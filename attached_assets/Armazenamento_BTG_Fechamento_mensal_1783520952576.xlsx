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utelog-my.sharepoint.com/personal/leonardo_dutelog_com_br/Documents/Pasta Profissional/Empresas/DUTELOG/Operacional/Armazenamento/BTG Pactual - Store/Armazenamento/"/>
    </mc:Choice>
  </mc:AlternateContent>
  <xr:revisionPtr revIDLastSave="68" documentId="11_6676DE5086E9FD82BC2235F879FA33BAC060F215" xr6:coauthVersionLast="47" xr6:coauthVersionMax="47" xr10:uidLastSave="{7AB4C6AD-5E0E-4A34-A246-C8C7248A72BA}"/>
  <bookViews>
    <workbookView xWindow="4044" yWindow="3720" windowWidth="17280" windowHeight="9960" activeTab="1" xr2:uid="{00000000-000D-0000-FFFF-FFFF00000000}"/>
  </bookViews>
  <sheets>
    <sheet name="Resumo" sheetId="1" r:id="rId1"/>
    <sheet name="MAIO 26" sheetId="3" r:id="rId2"/>
    <sheet name="JUNHO 26" sheetId="4" r:id="rId3"/>
    <sheet name="JULHO 26" sheetId="5" r:id="rId4"/>
    <sheet name="AGOSTO 26" sheetId="6" r:id="rId5"/>
    <sheet name="SETEMBRO 26" sheetId="7" r:id="rId6"/>
    <sheet name="OUTUBRO 26" sheetId="8" r:id="rId7"/>
    <sheet name="NOVEMBRO 26" sheetId="9" r:id="rId8"/>
    <sheet name="DEZEMBRO 26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9" i="3"/>
  <c r="E12" i="3"/>
  <c r="E13" i="3"/>
  <c r="D2" i="3"/>
  <c r="E30" i="10"/>
  <c r="E29" i="10"/>
  <c r="E27" i="10"/>
  <c r="E26" i="10"/>
  <c r="E25" i="10"/>
  <c r="E24" i="10"/>
  <c r="E23" i="10"/>
  <c r="E21" i="10"/>
  <c r="E20" i="10"/>
  <c r="E19" i="10"/>
  <c r="E17" i="10"/>
  <c r="E16" i="10"/>
  <c r="E15" i="10"/>
  <c r="E8" i="10"/>
  <c r="E7" i="10"/>
  <c r="E30" i="9"/>
  <c r="E29" i="9"/>
  <c r="E27" i="9"/>
  <c r="E26" i="9"/>
  <c r="E25" i="9"/>
  <c r="E24" i="9"/>
  <c r="E23" i="9"/>
  <c r="E21" i="9"/>
  <c r="E20" i="9"/>
  <c r="E19" i="9"/>
  <c r="E17" i="9"/>
  <c r="E16" i="9"/>
  <c r="E15" i="9"/>
  <c r="E8" i="9"/>
  <c r="E7" i="9"/>
  <c r="E30" i="8"/>
  <c r="E29" i="8"/>
  <c r="E27" i="8"/>
  <c r="E26" i="8"/>
  <c r="E25" i="8"/>
  <c r="E24" i="8"/>
  <c r="E23" i="8"/>
  <c r="E21" i="8"/>
  <c r="E20" i="8"/>
  <c r="E19" i="8"/>
  <c r="E17" i="8"/>
  <c r="E16" i="8"/>
  <c r="E15" i="8"/>
  <c r="E8" i="8"/>
  <c r="E7" i="8"/>
  <c r="E30" i="7"/>
  <c r="E29" i="7"/>
  <c r="E27" i="7"/>
  <c r="E26" i="7"/>
  <c r="E25" i="7"/>
  <c r="E24" i="7"/>
  <c r="E23" i="7"/>
  <c r="E21" i="7"/>
  <c r="E20" i="7"/>
  <c r="E19" i="7"/>
  <c r="E17" i="7"/>
  <c r="E16" i="7"/>
  <c r="E15" i="7"/>
  <c r="E8" i="7"/>
  <c r="E7" i="7"/>
  <c r="E30" i="6"/>
  <c r="E29" i="6"/>
  <c r="E27" i="6"/>
  <c r="E26" i="6"/>
  <c r="E25" i="6"/>
  <c r="E24" i="6"/>
  <c r="E23" i="6"/>
  <c r="E21" i="6"/>
  <c r="E20" i="6"/>
  <c r="E19" i="6"/>
  <c r="E17" i="6"/>
  <c r="E16" i="6"/>
  <c r="E15" i="6"/>
  <c r="E8" i="6"/>
  <c r="E7" i="6"/>
  <c r="E30" i="5"/>
  <c r="E29" i="5"/>
  <c r="E27" i="5"/>
  <c r="E26" i="5"/>
  <c r="E25" i="5"/>
  <c r="E24" i="5"/>
  <c r="E23" i="5"/>
  <c r="E21" i="5"/>
  <c r="E20" i="5"/>
  <c r="E19" i="5"/>
  <c r="E17" i="5"/>
  <c r="E16" i="5"/>
  <c r="E15" i="5"/>
  <c r="E8" i="5"/>
  <c r="E7" i="5"/>
  <c r="E30" i="4"/>
  <c r="E29" i="4"/>
  <c r="E27" i="4"/>
  <c r="E26" i="4"/>
  <c r="E25" i="4"/>
  <c r="E24" i="4"/>
  <c r="E23" i="4"/>
  <c r="E21" i="4"/>
  <c r="E20" i="4"/>
  <c r="E19" i="4"/>
  <c r="E17" i="4"/>
  <c r="E16" i="4"/>
  <c r="E15" i="4"/>
  <c r="E8" i="4"/>
  <c r="E7" i="4"/>
  <c r="E30" i="3"/>
  <c r="E27" i="3"/>
  <c r="E26" i="3"/>
  <c r="E25" i="3"/>
  <c r="E24" i="3"/>
  <c r="E23" i="3"/>
  <c r="E21" i="3"/>
  <c r="E20" i="3"/>
  <c r="E19" i="3"/>
  <c r="E17" i="3"/>
  <c r="E16" i="3"/>
  <c r="E15" i="3"/>
  <c r="E8" i="3"/>
  <c r="E7" i="3"/>
  <c r="E8" i="1"/>
  <c r="E12" i="10" l="1"/>
  <c r="E13" i="10" s="1"/>
  <c r="E33" i="10" s="1"/>
  <c r="E12" i="9"/>
  <c r="E13" i="9" s="1"/>
  <c r="E33" i="9" s="1"/>
  <c r="E12" i="8"/>
  <c r="E13" i="8" s="1"/>
  <c r="E33" i="8" s="1"/>
  <c r="E9" i="1"/>
  <c r="E12" i="7"/>
  <c r="E13" i="7" s="1"/>
  <c r="E33" i="7" s="1"/>
  <c r="E12" i="6"/>
  <c r="E13" i="6" s="1"/>
  <c r="E33" i="6" s="1"/>
  <c r="E12" i="5"/>
  <c r="E13" i="5" s="1"/>
  <c r="E33" i="5" s="1"/>
  <c r="E12" i="4"/>
  <c r="E13" i="4" s="1"/>
  <c r="E33" i="4" s="1"/>
</calcChain>
</file>

<file path=xl/sharedStrings.xml><?xml version="1.0" encoding="utf-8"?>
<sst xmlns="http://schemas.openxmlformats.org/spreadsheetml/2006/main" count="519" uniqueCount="82">
  <si>
    <t xml:space="preserve">  BTG PACTUAL  ·  RESUMO DE INVENTÁRIO (PARA COBRANÇA)</t>
  </si>
  <si>
    <t xml:space="preserve">  Atualize 1× por mês: cole o Custo Total dos Dashboards dos dois inventários abaixo.</t>
  </si>
  <si>
    <t>FONTE</t>
  </si>
  <si>
    <t>ARQUIVO</t>
  </si>
  <si>
    <t>ABA · CÉLULA</t>
  </si>
  <si>
    <t>CUSTO TOTAL (R$)</t>
  </si>
  <si>
    <t>ATUALIZADO EM</t>
  </si>
  <si>
    <t>ESTOQUE EVENTOS</t>
  </si>
  <si>
    <t>01_Inventário_Eventos_BTG.xlsx</t>
  </si>
  <si>
    <t>Dashboard · H6</t>
  </si>
  <si>
    <t>ESTOQUE STORE</t>
  </si>
  <si>
    <t>02_Inventário_Store_BTG.xlsx</t>
  </si>
  <si>
    <t>CUSTO TOTAL DO ESTOQUE</t>
  </si>
  <si>
    <t>AD VALOREM MENSAL (0,50%)</t>
  </si>
  <si>
    <t xml:space="preserve">  COMO ATUALIZAR</t>
  </si>
  <si>
    <t xml:space="preserve">  1. Abra `01_Inventário_Eventos_BTG.xlsx` → aba Dashboard → copie o valor da célula H6 (CUSTO TOTAL DO ESTOQUE).</t>
  </si>
  <si>
    <t xml:space="preserve">  2. Cole o valor na célula E6 desta aba (linha ESTOQUE EVENTOS).</t>
  </si>
  <si>
    <t xml:space="preserve">  3. Abra `02_Inventário_Store_BTG.xlsx` → aba Dashboard → copie o valor da célula H6.</t>
  </si>
  <si>
    <t xml:space="preserve">  4. Cole o valor na célula E7 desta aba (linha ESTOQUE STORE).</t>
  </si>
  <si>
    <t xml:space="preserve">  5. Preencha a data de atualização na coluna F.</t>
  </si>
  <si>
    <t xml:space="preserve">  6. Pronto! Todas as 9 abas de meses (ABRIL/26 a DEZEMBRO/26) puxam automaticamente o Ad Valorem desta aba.</t>
  </si>
  <si>
    <t xml:space="preserve">  BTG PACTUAL  ·  MODELO DE COBRANÇA — ARMAZENAMENTO &amp; SERVIÇOS</t>
  </si>
  <si>
    <t>SERVIÇO / ITEM</t>
  </si>
  <si>
    <t>UNIDADE</t>
  </si>
  <si>
    <t>QTDE</t>
  </si>
  <si>
    <t>VALOR UNIT. LPU (R$)</t>
  </si>
  <si>
    <t>TOTAL (R$)</t>
  </si>
  <si>
    <t>OBSERVAÇÃO</t>
  </si>
  <si>
    <t>DATAS DAS SOLICITAÇÕES</t>
  </si>
  <si>
    <t xml:space="preserve">  📦  ARMAZENAMENTO</t>
  </si>
  <si>
    <t>Posição Pallet – Armazenamento mensal</t>
  </si>
  <si>
    <t>Pallet/mês</t>
  </si>
  <si>
    <t>Custo Posição Prateleira</t>
  </si>
  <si>
    <t>Posição/mês</t>
  </si>
  <si>
    <t>→ Quantidade de móveis armazenados</t>
  </si>
  <si>
    <t>Peça(s)</t>
  </si>
  <si>
    <t>—</t>
  </si>
  <si>
    <t>Informativo (sem cobrança)</t>
  </si>
  <si>
    <t>→ Quantidade de produtos armazenados</t>
  </si>
  <si>
    <t xml:space="preserve">  💰  AD VALOREM (SEGURO SOBRE VALOR DO ESTOQUE)</t>
  </si>
  <si>
    <t xml:space="preserve">  → Custo Total do Estoque (puxado da aba Resumo)</t>
  </si>
  <si>
    <t>Atualize a aba Resumo ↑</t>
  </si>
  <si>
    <t>Ad Valorem – 0,50% sobre valor do estoque</t>
  </si>
  <si>
    <t>Calculado automaticamente</t>
  </si>
  <si>
    <t xml:space="preserve">  📥  RECEBIMENTO</t>
  </si>
  <si>
    <t>Recebimento por Pedido – Palete</t>
  </si>
  <si>
    <t>Palete</t>
  </si>
  <si>
    <t>Recebimento por Pedido – Caixa</t>
  </si>
  <si>
    <t>Caixa</t>
  </si>
  <si>
    <t>Recebimento por Pedido – Peça</t>
  </si>
  <si>
    <t>Lote</t>
  </si>
  <si>
    <t xml:space="preserve">  📤  EXPEDIÇÃO</t>
  </si>
  <si>
    <t>Expedição por Pedido – Palete</t>
  </si>
  <si>
    <t>Expedição por Pedido – Caixa</t>
  </si>
  <si>
    <t>Expedição por Pedido – Peça</t>
  </si>
  <si>
    <t>Peça</t>
  </si>
  <si>
    <t xml:space="preserve">  ⚙️  SERVIÇOS DE VALOR AGREGADO</t>
  </si>
  <si>
    <t>Movimentação Estoque Sistêmico</t>
  </si>
  <si>
    <t>Evento/mês</t>
  </si>
  <si>
    <t>Embalagem (caixa, fita, stretch, bolha)</t>
  </si>
  <si>
    <t>Kit</t>
  </si>
  <si>
    <t>Etiquetagem</t>
  </si>
  <si>
    <t>Etiqueta</t>
  </si>
  <si>
    <t>Montagem de Kits</t>
  </si>
  <si>
    <t>Inventário Físico x Sistêmico</t>
  </si>
  <si>
    <t>Item</t>
  </si>
  <si>
    <t xml:space="preserve">  🚚  ABASTECIMENTO / TRANSPORTE</t>
  </si>
  <si>
    <t>Abastecimento BTG SP – 350kg/Semanal</t>
  </si>
  <si>
    <t>Semana</t>
  </si>
  <si>
    <t>Abastecimento BTG RJ – 350kg/Quinzenal</t>
  </si>
  <si>
    <t>Quinzena</t>
  </si>
  <si>
    <t xml:space="preserve">  TOTAL DOS SERVIÇOS</t>
  </si>
  <si>
    <t xml:space="preserve">  Competência: JUNHO/2026   ·   Cliente: BTG Pactual   ·   Pallets armazenados: 15</t>
  </si>
  <si>
    <t xml:space="preserve">  Competência: JULHO/2026   ·   Cliente: BTG Pactual   ·   Pallets armazenados: 15</t>
  </si>
  <si>
    <t xml:space="preserve">  Competência: AGOSTO/2026   ·   Cliente: BTG Pactual   ·   Pallets armazenados: 15</t>
  </si>
  <si>
    <t xml:space="preserve">  Competência: SETEMBRO/2026   ·   Cliente: BTG Pactual   ·   Pallets armazenados: 15</t>
  </si>
  <si>
    <t xml:space="preserve">  Competência: OUTUBRO/2026   ·   Cliente: BTG Pactual   ·   Pallets armazenados: 15</t>
  </si>
  <si>
    <t xml:space="preserve">  Competência: NOVEMBRO/2026   ·   Cliente: BTG Pactual   ·   Pallets armazenados: 15</t>
  </si>
  <si>
    <t xml:space="preserve">  Competência: DEZEMBRO/2026   ·   Cliente: BTG Pactual   ·   Pallets armazenados: 15</t>
  </si>
  <si>
    <t xml:space="preserve">  Competência: MAIO/2026   ·   Cliente: BTG Pactual  </t>
  </si>
  <si>
    <t xml:space="preserve"> Pallets armazenados: </t>
  </si>
  <si>
    <t>06/05 Solicitação Thadeu ; 14/05/2026 ; 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</si>
</sst>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"/>
    <numFmt numFmtId="165" formatCode="\R\$\ #,##0.00;\(\R\$\ #,##0.00\);&quot;—&quot;"/>
    <numFmt numFmtId="166" formatCode="#,##0;\(#,##0\);&quot;—&quot;"/>
    <numFmt numFmtId="167" formatCode="\R\$\ #,##0.00"/>
  </numFmts>
  <fonts count="18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6"/>
      <color rgb="FFFFFFFF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1"/>
      <color rgb="FF001E62"/>
      <name val="Arial"/>
      <family val="2"/>
    </font>
    <font>
      <b/>
      <sz val="11"/>
      <color rgb="FF001E62"/>
      <name val="Arial"/>
      <family val="2"/>
    </font>
    <font>
      <b/>
      <sz val="14"/>
      <color rgb="FF0000FF"/>
      <name val="Arial"/>
      <family val="2"/>
    </font>
    <font>
      <b/>
      <sz val="12"/>
      <color rgb="FFFFFFFF"/>
      <name val="Arial"/>
      <family val="2"/>
    </font>
    <font>
      <b/>
      <sz val="12"/>
      <color rgb="FF001E62"/>
      <name val="Arial"/>
      <family val="2"/>
    </font>
    <font>
      <b/>
      <sz val="11"/>
      <color rgb="FFFFFFFF"/>
      <name val="Arial"/>
      <family val="2"/>
    </font>
    <font>
      <sz val="10"/>
      <color rgb="FF001E62"/>
      <name val="Arial"/>
      <family val="2"/>
    </font>
    <font>
      <b/>
      <sz val="14"/>
      <color rgb="FFFFFFFF"/>
      <name val="Arial"/>
      <family val="2"/>
    </font>
    <font>
      <i/>
      <sz val="11"/>
      <color rgb="FF6B7280"/>
      <name val="Arial"/>
      <family val="2"/>
    </font>
    <font>
      <b/>
      <sz val="12"/>
      <color rgb="FF0000FF"/>
      <name val="Arial"/>
      <family val="2"/>
    </font>
    <font>
      <i/>
      <sz val="9"/>
      <color rgb="FF6B728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0B429"/>
        <bgColor rgb="FFE6C200"/>
      </patternFill>
    </fill>
    <fill>
      <patternFill patternType="solid">
        <fgColor rgb="FF1B3A8C"/>
        <bgColor rgb="FF003366"/>
      </patternFill>
    </fill>
    <fill>
      <patternFill patternType="solid">
        <fgColor rgb="FFFFFFFF"/>
        <bgColor rgb="FFF4F7FC"/>
      </patternFill>
    </fill>
    <fill>
      <patternFill patternType="solid">
        <fgColor rgb="FFFFF9E6"/>
        <bgColor rgb="FFFFFFFF"/>
      </patternFill>
    </fill>
    <fill>
      <patternFill patternType="solid">
        <fgColor rgb="FF001E62"/>
      </patternFill>
    </fill>
    <fill>
      <patternFill patternType="solid">
        <fgColor rgb="FFF4F6FA"/>
      </patternFill>
    </fill>
    <fill>
      <patternFill patternType="solid">
        <fgColor rgb="FFFFFFFF"/>
      </patternFill>
    </fill>
    <fill>
      <patternFill patternType="solid">
        <fgColor rgb="FFC9A35B"/>
      </patternFill>
    </fill>
  </fills>
  <borders count="11">
    <border>
      <left/>
      <right/>
      <top/>
      <bottom/>
      <diagonal/>
    </border>
    <border>
      <left style="thin">
        <color rgb="FF1B3A8C"/>
      </left>
      <right style="thin">
        <color rgb="FF1B3A8C"/>
      </right>
      <top style="thin">
        <color rgb="FF1B3A8C"/>
      </top>
      <bottom style="thin">
        <color rgb="FF1B3A8C"/>
      </bottom>
      <diagonal/>
    </border>
    <border>
      <left style="thin">
        <color rgb="FF2756CC"/>
      </left>
      <right/>
      <top style="thin">
        <color rgb="FF2756CC"/>
      </top>
      <bottom style="thin">
        <color rgb="FF2756CC"/>
      </bottom>
      <diagonal/>
    </border>
    <border>
      <left style="thin">
        <color rgb="FFD3DAEA"/>
      </left>
      <right style="thin">
        <color rgb="FFD3DAEA"/>
      </right>
      <top style="thin">
        <color rgb="FFD3DAEA"/>
      </top>
      <bottom style="thin">
        <color rgb="FFD3DAEA"/>
      </bottom>
      <diagonal/>
    </border>
    <border>
      <left style="thin">
        <color rgb="FFD3DAEA"/>
      </left>
      <right/>
      <top style="thin">
        <color rgb="FFD3DAEA"/>
      </top>
      <bottom style="thin">
        <color rgb="FFD3DAEA"/>
      </bottom>
      <diagonal/>
    </border>
    <border>
      <left style="thin">
        <color rgb="FF1B3A8C"/>
      </left>
      <right/>
      <top style="thin">
        <color rgb="FF1B3A8C"/>
      </top>
      <bottom style="thin">
        <color rgb="FF1B3A8C"/>
      </bottom>
      <diagonal/>
    </border>
    <border>
      <left/>
      <right/>
      <top style="thin">
        <color rgb="FFD3DAEA"/>
      </top>
      <bottom style="thin">
        <color rgb="FFD3DAEA"/>
      </bottom>
      <diagonal/>
    </border>
    <border>
      <left/>
      <right/>
      <top style="thin">
        <color rgb="FF2756CC"/>
      </top>
      <bottom style="thin">
        <color rgb="FF2756CC"/>
      </bottom>
      <diagonal/>
    </border>
    <border>
      <left style="thin">
        <color rgb="FFB8BEC9"/>
      </left>
      <right style="thin">
        <color rgb="FFB8BEC9"/>
      </right>
      <top style="thin">
        <color rgb="FFB8BEC9"/>
      </top>
      <bottom style="thin">
        <color rgb="FFB8BEC9"/>
      </bottom>
      <diagonal/>
    </border>
    <border>
      <left style="medium">
        <color rgb="FF001E62"/>
      </left>
      <right style="medium">
        <color rgb="FF001E62"/>
      </right>
      <top style="medium">
        <color rgb="FF001E62"/>
      </top>
      <bottom style="medium">
        <color rgb="FF001E62"/>
      </bottom>
      <diagonal/>
    </border>
    <border>
      <left/>
      <right style="thin">
        <color rgb="FFD3DAEA"/>
      </right>
      <top style="thin">
        <color rgb="FFD3DAEA"/>
      </top>
      <bottom style="thin">
        <color rgb="FFD3DAEA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0" xfId="0" applyFill="1"/>
    <xf numFmtId="0" fontId="2" fillId="3" borderId="5" xfId="0" applyFont="1" applyFill="1" applyBorder="1" applyAlignment="1">
      <alignment horizontal="right" vertical="center"/>
    </xf>
    <xf numFmtId="0" fontId="6" fillId="6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left" vertical="center" indent="1"/>
    </xf>
    <xf numFmtId="0" fontId="7" fillId="7" borderId="8" xfId="0" applyFont="1" applyFill="1" applyBorder="1" applyAlignment="1">
      <alignment horizontal="left" vertical="center" indent="1"/>
    </xf>
    <xf numFmtId="0" fontId="5" fillId="7" borderId="8" xfId="0" applyFont="1" applyFill="1" applyBorder="1" applyAlignment="1">
      <alignment horizontal="center" vertical="center"/>
    </xf>
    <xf numFmtId="165" fontId="9" fillId="7" borderId="8" xfId="0" applyNumberFormat="1" applyFont="1" applyFill="1" applyBorder="1" applyAlignment="1">
      <alignment horizontal="center" vertical="center"/>
    </xf>
    <xf numFmtId="14" fontId="7" fillId="7" borderId="8" xfId="0" applyNumberFormat="1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 indent="1"/>
    </xf>
    <xf numFmtId="0" fontId="7" fillId="8" borderId="8" xfId="0" applyFont="1" applyFill="1" applyBorder="1" applyAlignment="1">
      <alignment horizontal="left" vertical="center" indent="1"/>
    </xf>
    <xf numFmtId="0" fontId="5" fillId="8" borderId="8" xfId="0" applyFont="1" applyFill="1" applyBorder="1" applyAlignment="1">
      <alignment horizontal="center" vertical="center"/>
    </xf>
    <xf numFmtId="165" fontId="9" fillId="8" borderId="8" xfId="0" applyNumberFormat="1" applyFont="1" applyFill="1" applyBorder="1" applyAlignment="1">
      <alignment horizontal="center" vertical="center"/>
    </xf>
    <xf numFmtId="14" fontId="7" fillId="8" borderId="8" xfId="0" applyNumberFormat="1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left" vertical="center" indent="1"/>
    </xf>
    <xf numFmtId="0" fontId="10" fillId="6" borderId="9" xfId="0" applyFont="1" applyFill="1" applyBorder="1" applyAlignment="1">
      <alignment horizontal="center" vertical="center"/>
    </xf>
    <xf numFmtId="165" fontId="10" fillId="6" borderId="9" xfId="0" applyNumberFormat="1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left" vertical="center" indent="1"/>
    </xf>
    <xf numFmtId="0" fontId="11" fillId="9" borderId="8" xfId="0" applyFont="1" applyFill="1" applyBorder="1" applyAlignment="1">
      <alignment horizontal="center" vertical="center"/>
    </xf>
    <xf numFmtId="165" fontId="11" fillId="9" borderId="8" xfId="0" applyNumberFormat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/>
    </xf>
    <xf numFmtId="166" fontId="7" fillId="8" borderId="8" xfId="0" applyNumberFormat="1" applyFont="1" applyFill="1" applyBorder="1" applyAlignment="1">
      <alignment horizontal="center" vertical="center"/>
    </xf>
    <xf numFmtId="165" fontId="7" fillId="8" borderId="8" xfId="0" applyNumberFormat="1" applyFont="1" applyFill="1" applyBorder="1" applyAlignment="1">
      <alignment horizontal="right" vertical="center" indent="1"/>
    </xf>
    <xf numFmtId="165" fontId="8" fillId="8" borderId="8" xfId="0" applyNumberFormat="1" applyFont="1" applyFill="1" applyBorder="1" applyAlignment="1">
      <alignment horizontal="right" vertical="center" indent="1"/>
    </xf>
    <xf numFmtId="0" fontId="7" fillId="8" borderId="8" xfId="0" applyFont="1" applyFill="1" applyBorder="1" applyAlignment="1">
      <alignment horizontal="left" vertical="center" wrapText="1" indent="1"/>
    </xf>
    <xf numFmtId="0" fontId="15" fillId="7" borderId="8" xfId="0" applyFont="1" applyFill="1" applyBorder="1" applyAlignment="1">
      <alignment horizontal="left" vertical="center" indent="2"/>
    </xf>
    <xf numFmtId="0" fontId="15" fillId="7" borderId="8" xfId="0" applyFont="1" applyFill="1" applyBorder="1" applyAlignment="1">
      <alignment horizontal="center" vertical="center"/>
    </xf>
    <xf numFmtId="166" fontId="16" fillId="7" borderId="8" xfId="0" applyNumberFormat="1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left" vertical="center" indent="1"/>
    </xf>
    <xf numFmtId="165" fontId="15" fillId="7" borderId="8" xfId="0" applyNumberFormat="1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left" vertical="center" indent="2"/>
    </xf>
    <xf numFmtId="0" fontId="0" fillId="7" borderId="8" xfId="0" applyFill="1" applyBorder="1"/>
    <xf numFmtId="165" fontId="8" fillId="7" borderId="8" xfId="0" applyNumberFormat="1" applyFont="1" applyFill="1" applyBorder="1" applyAlignment="1">
      <alignment horizontal="right" vertical="center" indent="1"/>
    </xf>
    <xf numFmtId="0" fontId="17" fillId="7" borderId="8" xfId="0" applyFont="1" applyFill="1" applyBorder="1" applyAlignment="1">
      <alignment horizontal="left" vertical="center" indent="1"/>
    </xf>
    <xf numFmtId="0" fontId="7" fillId="4" borderId="8" xfId="0" applyFont="1" applyFill="1" applyBorder="1" applyAlignment="1">
      <alignment horizontal="left" vertical="center" indent="1"/>
    </xf>
    <xf numFmtId="0" fontId="7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0" fontId="7" fillId="5" borderId="8" xfId="0" applyNumberFormat="1" applyFont="1" applyFill="1" applyBorder="1" applyAlignment="1">
      <alignment horizontal="right" vertical="center" indent="1"/>
    </xf>
    <xf numFmtId="165" fontId="8" fillId="4" borderId="8" xfId="0" applyNumberFormat="1" applyFont="1" applyFill="1" applyBorder="1" applyAlignment="1">
      <alignment horizontal="right" vertical="center" indent="1"/>
    </xf>
    <xf numFmtId="0" fontId="17" fillId="4" borderId="8" xfId="0" applyFont="1" applyFill="1" applyBorder="1" applyAlignment="1">
      <alignment horizontal="left" vertical="center" indent="1"/>
    </xf>
    <xf numFmtId="0" fontId="0" fillId="0" borderId="8" xfId="0" applyBorder="1"/>
    <xf numFmtId="167" fontId="7" fillId="8" borderId="8" xfId="0" applyNumberFormat="1" applyFont="1" applyFill="1" applyBorder="1" applyAlignment="1">
      <alignment horizontal="right" vertical="center" indent="1"/>
    </xf>
    <xf numFmtId="165" fontId="14" fillId="6" borderId="8" xfId="0" applyNumberFormat="1" applyFont="1" applyFill="1" applyBorder="1" applyAlignment="1">
      <alignment horizontal="right" vertical="center" indent="1"/>
    </xf>
    <xf numFmtId="0" fontId="0" fillId="6" borderId="0" xfId="0" applyFill="1"/>
    <xf numFmtId="14" fontId="7" fillId="8" borderId="8" xfId="0" applyNumberFormat="1" applyFont="1" applyFill="1" applyBorder="1" applyAlignment="1">
      <alignment horizontal="left" vertical="center" wrapText="1" indent="1"/>
    </xf>
    <xf numFmtId="14" fontId="0" fillId="0" borderId="0" xfId="0" applyNumberFormat="1"/>
    <xf numFmtId="0" fontId="15" fillId="7" borderId="0" xfId="0" applyFont="1" applyFill="1" applyAlignment="1">
      <alignment vertical="center"/>
    </xf>
    <xf numFmtId="166" fontId="15" fillId="7" borderId="0" xfId="0" applyNumberFormat="1" applyFont="1" applyFill="1" applyAlignment="1">
      <alignment vertical="center"/>
    </xf>
    <xf numFmtId="0" fontId="10" fillId="6" borderId="0" xfId="0" applyFont="1" applyFill="1" applyAlignment="1">
      <alignment horizontal="left" vertical="center" indent="1"/>
    </xf>
    <xf numFmtId="0" fontId="10" fillId="6" borderId="0" xfId="0" applyFont="1" applyFill="1"/>
    <xf numFmtId="0" fontId="12" fillId="9" borderId="4" xfId="0" applyFont="1" applyFill="1" applyBorder="1" applyAlignment="1">
      <alignment horizontal="left" vertical="center" indent="1"/>
    </xf>
    <xf numFmtId="0" fontId="0" fillId="0" borderId="6" xfId="0" applyBorder="1"/>
    <xf numFmtId="0" fontId="12" fillId="9" borderId="3" xfId="0" applyFont="1" applyFill="1" applyBorder="1" applyAlignment="1">
      <alignment horizontal="left" vertical="center" indent="1"/>
    </xf>
    <xf numFmtId="0" fontId="0" fillId="0" borderId="10" xfId="0" applyBorder="1"/>
    <xf numFmtId="0" fontId="14" fillId="6" borderId="0" xfId="0" applyFont="1" applyFill="1" applyAlignment="1">
      <alignment horizontal="left" vertical="center" indent="1"/>
    </xf>
    <xf numFmtId="0" fontId="0" fillId="0" borderId="0" xfId="0"/>
    <xf numFmtId="0" fontId="12" fillId="9" borderId="2" xfId="0" applyFont="1" applyFill="1" applyBorder="1" applyAlignment="1">
      <alignment horizontal="left" vertical="center" indent="1"/>
    </xf>
    <xf numFmtId="0" fontId="0" fillId="0" borderId="7" xfId="0" applyBorder="1"/>
    <xf numFmtId="0" fontId="15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 wrapText="1" indent="1"/>
    </xf>
    <xf numFmtId="0" fontId="13" fillId="8" borderId="0" xfId="0" applyFont="1" applyFill="1" applyAlignment="1">
      <alignment horizontal="left" vertical="center" wrapText="1" indent="1"/>
    </xf>
    <xf numFmtId="0" fontId="12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5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35B"/>
  </sheetPr>
  <dimension ref="B2:G29"/>
  <sheetViews>
    <sheetView showGridLines="0" workbookViewId="0">
      <selection activeCell="C31" sqref="C31"/>
    </sheetView>
  </sheetViews>
  <sheetFormatPr defaultRowHeight="14.4" x14ac:dyDescent="0.3"/>
  <cols>
    <col min="1" max="1" width="2" customWidth="1"/>
    <col min="2" max="2" width="28" customWidth="1"/>
    <col min="3" max="3" width="38" customWidth="1"/>
    <col min="4" max="4" width="18" customWidth="1"/>
    <col min="5" max="5" width="19.109375" bestFit="1" customWidth="1"/>
    <col min="6" max="6" width="16" customWidth="1"/>
  </cols>
  <sheetData>
    <row r="2" spans="2:6" ht="36" customHeight="1" x14ac:dyDescent="0.3">
      <c r="B2" s="65" t="s">
        <v>0</v>
      </c>
      <c r="C2" s="58"/>
      <c r="D2" s="58"/>
      <c r="E2" s="58"/>
      <c r="F2" s="58"/>
    </row>
    <row r="3" spans="2:6" x14ac:dyDescent="0.3">
      <c r="B3" s="66" t="s">
        <v>1</v>
      </c>
      <c r="C3" s="58"/>
      <c r="D3" s="58"/>
      <c r="E3" s="58"/>
      <c r="F3" s="58"/>
    </row>
    <row r="5" spans="2:6" ht="22.05" customHeight="1" x14ac:dyDescent="0.3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6" ht="28.05" customHeight="1" x14ac:dyDescent="0.3">
      <c r="B6" s="6" t="s">
        <v>7</v>
      </c>
      <c r="C6" s="7" t="s">
        <v>8</v>
      </c>
      <c r="D6" s="8" t="s">
        <v>9</v>
      </c>
      <c r="E6" s="9">
        <v>0</v>
      </c>
      <c r="F6" s="10"/>
    </row>
    <row r="7" spans="2:6" ht="28.05" customHeight="1" x14ac:dyDescent="0.3">
      <c r="B7" s="11" t="s">
        <v>10</v>
      </c>
      <c r="C7" s="12" t="s">
        <v>11</v>
      </c>
      <c r="D7" s="13" t="s">
        <v>9</v>
      </c>
      <c r="E7" s="14">
        <v>0</v>
      </c>
      <c r="F7" s="15"/>
    </row>
    <row r="8" spans="2:6" ht="34.049999999999997" customHeight="1" x14ac:dyDescent="0.3">
      <c r="B8" s="16" t="s">
        <v>12</v>
      </c>
      <c r="C8" s="17"/>
      <c r="D8" s="17"/>
      <c r="E8" s="18">
        <f>E6+E7</f>
        <v>0</v>
      </c>
      <c r="F8" s="17"/>
    </row>
    <row r="9" spans="2:6" ht="30" customHeight="1" x14ac:dyDescent="0.3">
      <c r="B9" s="19" t="s">
        <v>13</v>
      </c>
      <c r="C9" s="20"/>
      <c r="D9" s="20"/>
      <c r="E9" s="21">
        <f>E8*0.005</f>
        <v>0</v>
      </c>
      <c r="F9" s="20"/>
    </row>
    <row r="12" spans="2:6" ht="22.05" customHeight="1" x14ac:dyDescent="0.3">
      <c r="B12" s="64" t="s">
        <v>14</v>
      </c>
      <c r="C12" s="58"/>
      <c r="D12" s="58"/>
      <c r="E12" s="58"/>
      <c r="F12" s="58"/>
    </row>
    <row r="13" spans="2:6" ht="22.05" customHeight="1" x14ac:dyDescent="0.3">
      <c r="B13" s="62" t="s">
        <v>15</v>
      </c>
      <c r="C13" s="58"/>
      <c r="D13" s="58"/>
      <c r="E13" s="58"/>
      <c r="F13" s="58"/>
    </row>
    <row r="14" spans="2:6" ht="22.05" customHeight="1" x14ac:dyDescent="0.3">
      <c r="B14" s="63" t="s">
        <v>16</v>
      </c>
      <c r="C14" s="58"/>
      <c r="D14" s="58"/>
      <c r="E14" s="58"/>
      <c r="F14" s="58"/>
    </row>
    <row r="15" spans="2:6" ht="22.05" customHeight="1" x14ac:dyDescent="0.3">
      <c r="B15" s="62" t="s">
        <v>17</v>
      </c>
      <c r="C15" s="58"/>
      <c r="D15" s="58"/>
      <c r="E15" s="58"/>
      <c r="F15" s="58"/>
    </row>
    <row r="16" spans="2:6" ht="22.05" customHeight="1" x14ac:dyDescent="0.3">
      <c r="B16" s="63" t="s">
        <v>18</v>
      </c>
      <c r="C16" s="58"/>
      <c r="D16" s="58"/>
      <c r="E16" s="58"/>
      <c r="F16" s="58"/>
    </row>
    <row r="17" spans="2:7" ht="22.05" customHeight="1" x14ac:dyDescent="0.3">
      <c r="B17" s="62" t="s">
        <v>19</v>
      </c>
      <c r="C17" s="58"/>
      <c r="D17" s="58"/>
      <c r="E17" s="58"/>
      <c r="F17" s="58"/>
    </row>
    <row r="18" spans="2:7" ht="22.05" customHeight="1" x14ac:dyDescent="0.3">
      <c r="B18" s="63" t="s">
        <v>20</v>
      </c>
      <c r="C18" s="58"/>
      <c r="D18" s="58"/>
      <c r="E18" s="58"/>
      <c r="F18" s="58"/>
    </row>
    <row r="29" spans="2:7" x14ac:dyDescent="0.3">
      <c r="G29" s="48">
        <v>46155</v>
      </c>
    </row>
  </sheetData>
  <mergeCells count="9">
    <mergeCell ref="B17:F17"/>
    <mergeCell ref="B18:F18"/>
    <mergeCell ref="B13:F13"/>
    <mergeCell ref="B12:F12"/>
    <mergeCell ref="B2:F2"/>
    <mergeCell ref="B16:F16"/>
    <mergeCell ref="B15:F15"/>
    <mergeCell ref="B3:F3"/>
    <mergeCell ref="B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G33"/>
  <sheetViews>
    <sheetView showGridLines="0" tabSelected="1" topLeftCell="A13" zoomScaleNormal="100" workbookViewId="0">
      <selection activeCell="G29" sqref="G29"/>
    </sheetView>
  </sheetViews>
  <sheetFormatPr defaultColWidth="8.6640625" defaultRowHeight="14.4" x14ac:dyDescent="0.3"/>
  <cols>
    <col min="1" max="1" width="48" customWidth="1"/>
    <col min="2" max="2" width="14" customWidth="1"/>
    <col min="3" max="3" width="10" customWidth="1"/>
    <col min="4" max="4" width="18" customWidth="1"/>
    <col min="5" max="5" width="17.77734375" bestFit="1" customWidth="1"/>
    <col min="6" max="6" width="28" bestFit="1" customWidth="1"/>
    <col min="7" max="7" width="32" customWidth="1"/>
  </cols>
  <sheetData>
    <row r="1" spans="1:7" ht="31.95" customHeight="1" x14ac:dyDescent="0.3">
      <c r="A1" s="57" t="s">
        <v>21</v>
      </c>
      <c r="B1" s="58"/>
      <c r="C1" s="58"/>
      <c r="D1" s="58"/>
      <c r="E1" s="58"/>
      <c r="F1" s="58"/>
      <c r="G1" s="58"/>
    </row>
    <row r="2" spans="1:7" ht="22.05" customHeight="1" x14ac:dyDescent="0.3">
      <c r="A2" s="49" t="s">
        <v>79</v>
      </c>
      <c r="B2" s="61" t="s">
        <v>80</v>
      </c>
      <c r="C2" s="61"/>
      <c r="D2" s="50">
        <f>C7</f>
        <v>63</v>
      </c>
      <c r="E2" s="49"/>
    </row>
    <row r="3" spans="1:7" ht="4.5" customHeight="1" x14ac:dyDescent="0.3">
      <c r="A3" s="3"/>
    </row>
    <row r="4" spans="1:7" ht="9.75" customHeight="1" x14ac:dyDescent="0.3"/>
    <row r="5" spans="1:7" ht="30" customHeight="1" x14ac:dyDescent="0.3">
      <c r="A5" s="22" t="s">
        <v>22</v>
      </c>
      <c r="B5" s="22" t="s">
        <v>23</v>
      </c>
      <c r="C5" s="22" t="s">
        <v>24</v>
      </c>
      <c r="D5" s="22" t="s">
        <v>25</v>
      </c>
      <c r="E5" s="22" t="s">
        <v>26</v>
      </c>
      <c r="F5" s="22" t="s">
        <v>27</v>
      </c>
      <c r="G5" s="22" t="s">
        <v>28</v>
      </c>
    </row>
    <row r="6" spans="1:7" ht="24" customHeight="1" x14ac:dyDescent="0.3">
      <c r="A6" s="59" t="s">
        <v>29</v>
      </c>
      <c r="B6" s="60"/>
      <c r="C6" s="60"/>
      <c r="D6" s="60"/>
      <c r="E6" s="60"/>
      <c r="F6" s="60"/>
      <c r="G6" s="60"/>
    </row>
    <row r="7" spans="1:7" ht="22.05" customHeight="1" x14ac:dyDescent="0.3">
      <c r="A7" s="12" t="s">
        <v>30</v>
      </c>
      <c r="B7" s="23" t="s">
        <v>31</v>
      </c>
      <c r="C7" s="24">
        <v>63</v>
      </c>
      <c r="D7" s="25">
        <v>53.5</v>
      </c>
      <c r="E7" s="26">
        <f>C7*D7</f>
        <v>3370.5</v>
      </c>
      <c r="F7" s="12"/>
      <c r="G7" s="27"/>
    </row>
    <row r="8" spans="1:7" ht="22.05" customHeight="1" x14ac:dyDescent="0.3">
      <c r="A8" s="12" t="s">
        <v>32</v>
      </c>
      <c r="B8" s="23" t="s">
        <v>33</v>
      </c>
      <c r="C8" s="24"/>
      <c r="D8" s="25">
        <v>53.5</v>
      </c>
      <c r="E8" s="26">
        <f>C8*D8</f>
        <v>0</v>
      </c>
      <c r="F8" s="12"/>
      <c r="G8" s="27"/>
    </row>
    <row r="9" spans="1:7" ht="22.05" customHeight="1" x14ac:dyDescent="0.3">
      <c r="A9" s="28" t="s">
        <v>34</v>
      </c>
      <c r="B9" s="29" t="s">
        <v>35</v>
      </c>
      <c r="C9" s="30">
        <v>0</v>
      </c>
      <c r="D9" s="29" t="s">
        <v>36</v>
      </c>
      <c r="E9" s="29" t="s">
        <v>36</v>
      </c>
      <c r="F9" s="31" t="s">
        <v>37</v>
      </c>
      <c r="G9" s="31"/>
    </row>
    <row r="10" spans="1:7" ht="22.05" customHeight="1" x14ac:dyDescent="0.3">
      <c r="A10" s="28" t="s">
        <v>38</v>
      </c>
      <c r="B10" s="29" t="s">
        <v>35</v>
      </c>
      <c r="C10" s="30">
        <v>0</v>
      </c>
      <c r="D10" s="29" t="s">
        <v>36</v>
      </c>
      <c r="E10" s="32" t="s">
        <v>36</v>
      </c>
      <c r="F10" s="31" t="s">
        <v>37</v>
      </c>
      <c r="G10" s="31"/>
    </row>
    <row r="11" spans="1:7" ht="24" customHeight="1" x14ac:dyDescent="0.3">
      <c r="A11" s="53" t="s">
        <v>39</v>
      </c>
      <c r="B11" s="54"/>
      <c r="C11" s="54"/>
      <c r="D11" s="54"/>
      <c r="E11" s="54"/>
      <c r="F11" s="54"/>
      <c r="G11" s="54"/>
    </row>
    <row r="12" spans="1:7" ht="22.05" customHeight="1" x14ac:dyDescent="0.3">
      <c r="A12" s="33" t="s">
        <v>40</v>
      </c>
      <c r="B12" s="34"/>
      <c r="C12" s="34"/>
      <c r="D12" s="34"/>
      <c r="E12" s="41">
        <f>285981.06+390295</f>
        <v>676276.06</v>
      </c>
      <c r="F12" s="36"/>
      <c r="G12" s="34"/>
    </row>
    <row r="13" spans="1:7" ht="22.05" customHeight="1" x14ac:dyDescent="0.3">
      <c r="A13" s="37" t="s">
        <v>42</v>
      </c>
      <c r="B13" s="38" t="s">
        <v>36</v>
      </c>
      <c r="C13" s="39" t="s">
        <v>36</v>
      </c>
      <c r="D13" s="40">
        <v>5.0000000000000001E-3</v>
      </c>
      <c r="E13" s="41">
        <f>E12*D13</f>
        <v>3381.3803000000003</v>
      </c>
      <c r="F13" s="42" t="s">
        <v>43</v>
      </c>
      <c r="G13" s="43"/>
    </row>
    <row r="14" spans="1:7" ht="24" customHeight="1" x14ac:dyDescent="0.3">
      <c r="A14" s="55" t="s">
        <v>44</v>
      </c>
      <c r="B14" s="54"/>
      <c r="C14" s="54"/>
      <c r="D14" s="54"/>
      <c r="E14" s="54"/>
      <c r="F14" s="54"/>
      <c r="G14" s="56"/>
    </row>
    <row r="15" spans="1:7" ht="22.05" customHeight="1" x14ac:dyDescent="0.3">
      <c r="A15" s="12" t="s">
        <v>45</v>
      </c>
      <c r="B15" s="23" t="s">
        <v>46</v>
      </c>
      <c r="C15" s="24">
        <v>0</v>
      </c>
      <c r="D15" s="25">
        <v>30</v>
      </c>
      <c r="E15" s="26">
        <f>C15*D15</f>
        <v>0</v>
      </c>
      <c r="F15" s="12"/>
      <c r="G15" s="27"/>
    </row>
    <row r="16" spans="1:7" ht="22.05" customHeight="1" x14ac:dyDescent="0.3">
      <c r="A16" s="12" t="s">
        <v>47</v>
      </c>
      <c r="B16" s="23" t="s">
        <v>48</v>
      </c>
      <c r="C16" s="24">
        <v>0</v>
      </c>
      <c r="D16" s="25">
        <v>10</v>
      </c>
      <c r="E16" s="26">
        <f>C16*D16</f>
        <v>0</v>
      </c>
      <c r="F16" s="12"/>
      <c r="G16" s="27"/>
    </row>
    <row r="17" spans="1:7" ht="22.05" customHeight="1" x14ac:dyDescent="0.3">
      <c r="A17" s="12" t="s">
        <v>49</v>
      </c>
      <c r="B17" s="23" t="s">
        <v>50</v>
      </c>
      <c r="C17" s="24">
        <v>0</v>
      </c>
      <c r="D17" s="25">
        <v>350</v>
      </c>
      <c r="E17" s="26">
        <f>C17*D17</f>
        <v>0</v>
      </c>
      <c r="F17" s="12"/>
      <c r="G17" s="27"/>
    </row>
    <row r="18" spans="1:7" ht="24" customHeight="1" x14ac:dyDescent="0.3">
      <c r="A18" s="55" t="s">
        <v>51</v>
      </c>
      <c r="B18" s="54"/>
      <c r="C18" s="54"/>
      <c r="D18" s="54"/>
      <c r="E18" s="54"/>
      <c r="F18" s="54"/>
      <c r="G18" s="56"/>
    </row>
    <row r="19" spans="1:7" ht="22.05" customHeight="1" x14ac:dyDescent="0.3">
      <c r="A19" s="12" t="s">
        <v>52</v>
      </c>
      <c r="B19" s="23" t="s">
        <v>46</v>
      </c>
      <c r="C19" s="24">
        <v>0</v>
      </c>
      <c r="D19" s="25">
        <v>30</v>
      </c>
      <c r="E19" s="26">
        <f>C19*D19</f>
        <v>0</v>
      </c>
      <c r="F19" s="12"/>
      <c r="G19" s="27"/>
    </row>
    <row r="20" spans="1:7" ht="22.05" customHeight="1" x14ac:dyDescent="0.3">
      <c r="A20" s="12" t="s">
        <v>53</v>
      </c>
      <c r="B20" s="23" t="s">
        <v>48</v>
      </c>
      <c r="C20" s="24">
        <v>0</v>
      </c>
      <c r="D20" s="25">
        <v>10</v>
      </c>
      <c r="E20" s="26">
        <f>C20*D20</f>
        <v>0</v>
      </c>
      <c r="F20" s="12"/>
      <c r="G20" s="27"/>
    </row>
    <row r="21" spans="1:7" ht="22.05" customHeight="1" x14ac:dyDescent="0.3">
      <c r="A21" s="12" t="s">
        <v>54</v>
      </c>
      <c r="B21" s="23" t="s">
        <v>55</v>
      </c>
      <c r="C21" s="24">
        <v>0</v>
      </c>
      <c r="D21" s="25">
        <v>10</v>
      </c>
      <c r="E21" s="26">
        <f>C21*D21</f>
        <v>0</v>
      </c>
      <c r="F21" s="12"/>
      <c r="G21" s="27"/>
    </row>
    <row r="22" spans="1:7" ht="24" customHeight="1" x14ac:dyDescent="0.3">
      <c r="A22" s="55" t="s">
        <v>56</v>
      </c>
      <c r="B22" s="54"/>
      <c r="C22" s="54"/>
      <c r="D22" s="54"/>
      <c r="E22" s="54"/>
      <c r="F22" s="54"/>
      <c r="G22" s="56"/>
    </row>
    <row r="23" spans="1:7" ht="22.05" customHeight="1" x14ac:dyDescent="0.3">
      <c r="A23" s="12" t="s">
        <v>57</v>
      </c>
      <c r="B23" s="23" t="s">
        <v>58</v>
      </c>
      <c r="C23" s="24">
        <v>0</v>
      </c>
      <c r="D23" s="25">
        <v>350</v>
      </c>
      <c r="E23" s="26">
        <f>C23*D23</f>
        <v>0</v>
      </c>
      <c r="F23" s="12"/>
      <c r="G23" s="27"/>
    </row>
    <row r="24" spans="1:7" ht="22.05" customHeight="1" x14ac:dyDescent="0.3">
      <c r="A24" s="12" t="s">
        <v>59</v>
      </c>
      <c r="B24" s="23" t="s">
        <v>60</v>
      </c>
      <c r="C24" s="24">
        <v>0</v>
      </c>
      <c r="D24" s="25">
        <v>20</v>
      </c>
      <c r="E24" s="26">
        <f>C24*D24</f>
        <v>0</v>
      </c>
      <c r="F24" s="12"/>
      <c r="G24" s="27"/>
    </row>
    <row r="25" spans="1:7" ht="22.05" customHeight="1" x14ac:dyDescent="0.3">
      <c r="A25" s="12" t="s">
        <v>61</v>
      </c>
      <c r="B25" s="23" t="s">
        <v>62</v>
      </c>
      <c r="C25" s="24">
        <v>0</v>
      </c>
      <c r="D25" s="25">
        <v>1.2</v>
      </c>
      <c r="E25" s="26">
        <f>C25*D25</f>
        <v>0</v>
      </c>
      <c r="F25" s="12"/>
      <c r="G25" s="27"/>
    </row>
    <row r="26" spans="1:7" ht="22.05" customHeight="1" x14ac:dyDescent="0.3">
      <c r="A26" s="12" t="s">
        <v>63</v>
      </c>
      <c r="B26" s="23" t="s">
        <v>60</v>
      </c>
      <c r="C26" s="24">
        <v>0</v>
      </c>
      <c r="D26" s="25">
        <v>3</v>
      </c>
      <c r="E26" s="26">
        <f>C26*D26</f>
        <v>0</v>
      </c>
      <c r="F26" s="12"/>
      <c r="G26" s="27"/>
    </row>
    <row r="27" spans="1:7" ht="22.05" customHeight="1" x14ac:dyDescent="0.3">
      <c r="A27" s="12" t="s">
        <v>64</v>
      </c>
      <c r="B27" s="23" t="s">
        <v>65</v>
      </c>
      <c r="C27" s="24">
        <v>0</v>
      </c>
      <c r="D27" s="44">
        <v>0.2</v>
      </c>
      <c r="E27" s="26">
        <f>C27*D27</f>
        <v>0</v>
      </c>
      <c r="F27" s="12"/>
      <c r="G27" s="27"/>
    </row>
    <row r="28" spans="1:7" ht="24" customHeight="1" x14ac:dyDescent="0.3">
      <c r="A28" s="55" t="s">
        <v>66</v>
      </c>
      <c r="B28" s="54"/>
      <c r="C28" s="54"/>
      <c r="D28" s="54"/>
      <c r="E28" s="54"/>
      <c r="F28" s="54"/>
      <c r="G28" s="56"/>
    </row>
    <row r="29" spans="1:7" ht="22.05" customHeight="1" x14ac:dyDescent="0.3">
      <c r="A29" s="12" t="s">
        <v>67</v>
      </c>
      <c r="B29" s="23" t="s">
        <v>68</v>
      </c>
      <c r="C29" s="24">
        <v>3</v>
      </c>
      <c r="D29" s="25">
        <v>184.68</v>
      </c>
      <c r="E29" s="26">
        <f>C29*D29</f>
        <v>554.04</v>
      </c>
      <c r="F29" s="12"/>
      <c r="G29" s="47" t="s">
        <v>81</v>
      </c>
    </row>
    <row r="30" spans="1:7" ht="22.05" customHeight="1" x14ac:dyDescent="0.3">
      <c r="A30" s="12" t="s">
        <v>69</v>
      </c>
      <c r="B30" s="23" t="s">
        <v>70</v>
      </c>
      <c r="C30" s="24">
        <v>0</v>
      </c>
      <c r="D30" s="25">
        <v>761.91</v>
      </c>
      <c r="E30" s="26">
        <f>C30*D30</f>
        <v>0</v>
      </c>
      <c r="F30" s="12"/>
      <c r="G30" s="47">
        <v>46150</v>
      </c>
    </row>
    <row r="31" spans="1:7" ht="30" customHeight="1" x14ac:dyDescent="0.3">
      <c r="A31" s="4"/>
      <c r="E31" s="1"/>
      <c r="F31" s="2"/>
    </row>
    <row r="33" spans="1:7" ht="36" customHeight="1" x14ac:dyDescent="0.3">
      <c r="A33" s="51" t="s">
        <v>71</v>
      </c>
      <c r="B33" s="52"/>
      <c r="C33" s="52"/>
      <c r="D33" s="52"/>
      <c r="E33" s="45">
        <f>E7+E8+E13+SUM(E15:E17)+SUM(E19:E21)+SUM(E23:E27)+SUM(E29:E30)</f>
        <v>7305.9203000000007</v>
      </c>
      <c r="F33" s="46"/>
      <c r="G33" s="46"/>
    </row>
  </sheetData>
  <mergeCells count="9">
    <mergeCell ref="A33:D33"/>
    <mergeCell ref="A11:G11"/>
    <mergeCell ref="A28:G28"/>
    <mergeCell ref="A14:G14"/>
    <mergeCell ref="A1:G1"/>
    <mergeCell ref="A18:G18"/>
    <mergeCell ref="A6:G6"/>
    <mergeCell ref="A22:G22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G33"/>
  <sheetViews>
    <sheetView showGridLines="0" zoomScaleNormal="100" workbookViewId="0">
      <selection activeCell="C27" sqref="C27"/>
    </sheetView>
  </sheetViews>
  <sheetFormatPr defaultColWidth="8.6640625" defaultRowHeight="14.4" x14ac:dyDescent="0.3"/>
  <cols>
    <col min="1" max="1" width="48" customWidth="1"/>
    <col min="2" max="2" width="14" customWidth="1"/>
    <col min="3" max="3" width="10" customWidth="1"/>
    <col min="4" max="4" width="18" customWidth="1"/>
    <col min="5" max="5" width="16" bestFit="1" customWidth="1"/>
    <col min="6" max="6" width="28" bestFit="1" customWidth="1"/>
    <col min="7" max="7" width="32" customWidth="1"/>
  </cols>
  <sheetData>
    <row r="1" spans="1:7" ht="31.95" customHeight="1" x14ac:dyDescent="0.3">
      <c r="A1" s="57" t="s">
        <v>21</v>
      </c>
      <c r="B1" s="58"/>
      <c r="C1" s="58"/>
      <c r="D1" s="58"/>
      <c r="E1" s="58"/>
      <c r="F1" s="58"/>
      <c r="G1" s="58"/>
    </row>
    <row r="2" spans="1:7" ht="22.05" customHeight="1" x14ac:dyDescent="0.3">
      <c r="A2" s="67" t="s">
        <v>72</v>
      </c>
      <c r="B2" s="58"/>
      <c r="C2" s="58"/>
      <c r="D2" s="58"/>
      <c r="E2" s="58"/>
      <c r="F2" s="58"/>
      <c r="G2" s="58"/>
    </row>
    <row r="3" spans="1:7" ht="4.5" customHeight="1" x14ac:dyDescent="0.3">
      <c r="A3" s="3"/>
    </row>
    <row r="4" spans="1:7" ht="9.75" customHeight="1" x14ac:dyDescent="0.3"/>
    <row r="5" spans="1:7" ht="30" customHeight="1" x14ac:dyDescent="0.3">
      <c r="A5" s="22" t="s">
        <v>22</v>
      </c>
      <c r="B5" s="22" t="s">
        <v>23</v>
      </c>
      <c r="C5" s="22" t="s">
        <v>24</v>
      </c>
      <c r="D5" s="22" t="s">
        <v>25</v>
      </c>
      <c r="E5" s="22" t="s">
        <v>26</v>
      </c>
      <c r="F5" s="22" t="s">
        <v>27</v>
      </c>
      <c r="G5" s="22" t="s">
        <v>28</v>
      </c>
    </row>
    <row r="6" spans="1:7" ht="24" customHeight="1" x14ac:dyDescent="0.3">
      <c r="A6" s="59" t="s">
        <v>29</v>
      </c>
      <c r="B6" s="60"/>
      <c r="C6" s="60"/>
      <c r="D6" s="60"/>
      <c r="E6" s="60"/>
      <c r="F6" s="60"/>
      <c r="G6" s="60"/>
    </row>
    <row r="7" spans="1:7" ht="22.05" customHeight="1" x14ac:dyDescent="0.3">
      <c r="A7" s="12" t="s">
        <v>30</v>
      </c>
      <c r="B7" s="23" t="s">
        <v>31</v>
      </c>
      <c r="C7" s="24">
        <v>65</v>
      </c>
      <c r="D7" s="25">
        <v>53.5</v>
      </c>
      <c r="E7" s="26">
        <f>C7*D7</f>
        <v>3477.5</v>
      </c>
      <c r="F7" s="12"/>
      <c r="G7" s="27"/>
    </row>
    <row r="8" spans="1:7" ht="22.05" customHeight="1" x14ac:dyDescent="0.3">
      <c r="A8" s="12" t="s">
        <v>32</v>
      </c>
      <c r="B8" s="23" t="s">
        <v>33</v>
      </c>
      <c r="C8" s="24"/>
      <c r="D8" s="25">
        <v>53.5</v>
      </c>
      <c r="E8" s="26">
        <f>C8*D8</f>
        <v>0</v>
      </c>
      <c r="F8" s="12"/>
      <c r="G8" s="27"/>
    </row>
    <row r="9" spans="1:7" ht="22.05" customHeight="1" x14ac:dyDescent="0.3">
      <c r="A9" s="28" t="s">
        <v>34</v>
      </c>
      <c r="B9" s="29" t="s">
        <v>35</v>
      </c>
      <c r="C9" s="30">
        <v>0</v>
      </c>
      <c r="D9" s="29" t="s">
        <v>36</v>
      </c>
      <c r="E9" s="29" t="s">
        <v>36</v>
      </c>
      <c r="F9" s="31" t="s">
        <v>37</v>
      </c>
      <c r="G9" s="31"/>
    </row>
    <row r="10" spans="1:7" ht="22.05" customHeight="1" x14ac:dyDescent="0.3">
      <c r="A10" s="28" t="s">
        <v>38</v>
      </c>
      <c r="B10" s="29" t="s">
        <v>35</v>
      </c>
      <c r="C10" s="30">
        <v>0</v>
      </c>
      <c r="D10" s="29" t="s">
        <v>36</v>
      </c>
      <c r="E10" s="32" t="s">
        <v>36</v>
      </c>
      <c r="F10" s="31" t="s">
        <v>37</v>
      </c>
      <c r="G10" s="31"/>
    </row>
    <row r="11" spans="1:7" ht="24" customHeight="1" x14ac:dyDescent="0.3">
      <c r="A11" s="53" t="s">
        <v>39</v>
      </c>
      <c r="B11" s="54"/>
      <c r="C11" s="54"/>
      <c r="D11" s="54"/>
      <c r="E11" s="54"/>
      <c r="F11" s="54"/>
      <c r="G11" s="54"/>
    </row>
    <row r="12" spans="1:7" ht="22.05" customHeight="1" x14ac:dyDescent="0.3">
      <c r="A12" s="33" t="s">
        <v>40</v>
      </c>
      <c r="B12" s="34"/>
      <c r="C12" s="34"/>
      <c r="D12" s="34"/>
      <c r="E12" s="35">
        <f>Resumo!$E$8</f>
        <v>0</v>
      </c>
      <c r="F12" s="36" t="s">
        <v>41</v>
      </c>
      <c r="G12" s="34"/>
    </row>
    <row r="13" spans="1:7" ht="22.05" customHeight="1" x14ac:dyDescent="0.3">
      <c r="A13" s="37" t="s">
        <v>42</v>
      </c>
      <c r="B13" s="38" t="s">
        <v>36</v>
      </c>
      <c r="C13" s="39" t="s">
        <v>36</v>
      </c>
      <c r="D13" s="40">
        <v>5.0000000000000001E-3</v>
      </c>
      <c r="E13" s="41">
        <f>E12*D13</f>
        <v>0</v>
      </c>
      <c r="F13" s="42" t="s">
        <v>43</v>
      </c>
      <c r="G13" s="43"/>
    </row>
    <row r="14" spans="1:7" ht="24" customHeight="1" x14ac:dyDescent="0.3">
      <c r="A14" s="55" t="s">
        <v>44</v>
      </c>
      <c r="B14" s="54"/>
      <c r="C14" s="54"/>
      <c r="D14" s="54"/>
      <c r="E14" s="54"/>
      <c r="F14" s="54"/>
      <c r="G14" s="56"/>
    </row>
    <row r="15" spans="1:7" ht="22.05" customHeight="1" x14ac:dyDescent="0.3">
      <c r="A15" s="12" t="s">
        <v>45</v>
      </c>
      <c r="B15" s="23" t="s">
        <v>46</v>
      </c>
      <c r="C15" s="24">
        <v>0</v>
      </c>
      <c r="D15" s="25">
        <v>30</v>
      </c>
      <c r="E15" s="26">
        <f>C15*D15</f>
        <v>0</v>
      </c>
      <c r="F15" s="12"/>
      <c r="G15" s="27"/>
    </row>
    <row r="16" spans="1:7" ht="22.05" customHeight="1" x14ac:dyDescent="0.3">
      <c r="A16" s="12" t="s">
        <v>47</v>
      </c>
      <c r="B16" s="23" t="s">
        <v>48</v>
      </c>
      <c r="C16" s="24">
        <v>0</v>
      </c>
      <c r="D16" s="25">
        <v>10</v>
      </c>
      <c r="E16" s="26">
        <f>C16*D16</f>
        <v>0</v>
      </c>
      <c r="F16" s="12"/>
      <c r="G16" s="27"/>
    </row>
    <row r="17" spans="1:7" ht="22.05" customHeight="1" x14ac:dyDescent="0.3">
      <c r="A17" s="12" t="s">
        <v>49</v>
      </c>
      <c r="B17" s="23" t="s">
        <v>50</v>
      </c>
      <c r="C17" s="24">
        <v>0</v>
      </c>
      <c r="D17" s="25">
        <v>350</v>
      </c>
      <c r="E17" s="26">
        <f>C17*D17</f>
        <v>0</v>
      </c>
      <c r="F17" s="12"/>
      <c r="G17" s="27"/>
    </row>
    <row r="18" spans="1:7" ht="24" customHeight="1" x14ac:dyDescent="0.3">
      <c r="A18" s="55" t="s">
        <v>51</v>
      </c>
      <c r="B18" s="54"/>
      <c r="C18" s="54"/>
      <c r="D18" s="54"/>
      <c r="E18" s="54"/>
      <c r="F18" s="54"/>
      <c r="G18" s="56"/>
    </row>
    <row r="19" spans="1:7" ht="22.05" customHeight="1" x14ac:dyDescent="0.3">
      <c r="A19" s="12" t="s">
        <v>52</v>
      </c>
      <c r="B19" s="23" t="s">
        <v>46</v>
      </c>
      <c r="C19" s="24">
        <v>0</v>
      </c>
      <c r="D19" s="25">
        <v>30</v>
      </c>
      <c r="E19" s="26">
        <f>C19*D19</f>
        <v>0</v>
      </c>
      <c r="F19" s="12"/>
      <c r="G19" s="27"/>
    </row>
    <row r="20" spans="1:7" ht="22.05" customHeight="1" x14ac:dyDescent="0.3">
      <c r="A20" s="12" t="s">
        <v>53</v>
      </c>
      <c r="B20" s="23" t="s">
        <v>48</v>
      </c>
      <c r="C20" s="24">
        <v>0</v>
      </c>
      <c r="D20" s="25">
        <v>10</v>
      </c>
      <c r="E20" s="26">
        <f>C20*D20</f>
        <v>0</v>
      </c>
      <c r="F20" s="12"/>
      <c r="G20" s="27"/>
    </row>
    <row r="21" spans="1:7" ht="22.05" customHeight="1" x14ac:dyDescent="0.3">
      <c r="A21" s="12" t="s">
        <v>54</v>
      </c>
      <c r="B21" s="23" t="s">
        <v>55</v>
      </c>
      <c r="C21" s="24">
        <v>0</v>
      </c>
      <c r="D21" s="25">
        <v>10</v>
      </c>
      <c r="E21" s="26">
        <f>C21*D21</f>
        <v>0</v>
      </c>
      <c r="F21" s="12"/>
      <c r="G21" s="27"/>
    </row>
    <row r="22" spans="1:7" ht="24" customHeight="1" x14ac:dyDescent="0.3">
      <c r="A22" s="55" t="s">
        <v>56</v>
      </c>
      <c r="B22" s="54"/>
      <c r="C22" s="54"/>
      <c r="D22" s="54"/>
      <c r="E22" s="54"/>
      <c r="F22" s="54"/>
      <c r="G22" s="56"/>
    </row>
    <row r="23" spans="1:7" ht="22.05" customHeight="1" x14ac:dyDescent="0.3">
      <c r="A23" s="12" t="s">
        <v>57</v>
      </c>
      <c r="B23" s="23" t="s">
        <v>58</v>
      </c>
      <c r="C23" s="24">
        <v>1</v>
      </c>
      <c r="D23" s="25">
        <v>350</v>
      </c>
      <c r="E23" s="26">
        <f>C23*D23</f>
        <v>350</v>
      </c>
      <c r="F23" s="12"/>
      <c r="G23" s="27"/>
    </row>
    <row r="24" spans="1:7" ht="22.05" customHeight="1" x14ac:dyDescent="0.3">
      <c r="A24" s="12" t="s">
        <v>59</v>
      </c>
      <c r="B24" s="23" t="s">
        <v>60</v>
      </c>
      <c r="C24" s="24">
        <v>19</v>
      </c>
      <c r="D24" s="25">
        <v>20</v>
      </c>
      <c r="E24" s="26">
        <f>C24*D24</f>
        <v>380</v>
      </c>
      <c r="F24" s="12"/>
      <c r="G24" s="27"/>
    </row>
    <row r="25" spans="1:7" ht="22.05" customHeight="1" x14ac:dyDescent="0.3">
      <c r="A25" s="12" t="s">
        <v>61</v>
      </c>
      <c r="B25" s="23" t="s">
        <v>62</v>
      </c>
      <c r="C25" s="24">
        <v>65</v>
      </c>
      <c r="D25" s="25">
        <v>1.2</v>
      </c>
      <c r="E25" s="26">
        <f>C25*D25</f>
        <v>78</v>
      </c>
      <c r="F25" s="12"/>
      <c r="G25" s="27"/>
    </row>
    <row r="26" spans="1:7" ht="22.05" customHeight="1" x14ac:dyDescent="0.3">
      <c r="A26" s="12" t="s">
        <v>63</v>
      </c>
      <c r="B26" s="23" t="s">
        <v>60</v>
      </c>
      <c r="C26" s="24">
        <v>0</v>
      </c>
      <c r="D26" s="25">
        <v>3</v>
      </c>
      <c r="E26" s="26">
        <f>C26*D26</f>
        <v>0</v>
      </c>
      <c r="F26" s="12"/>
      <c r="G26" s="27"/>
    </row>
    <row r="27" spans="1:7" ht="22.05" customHeight="1" x14ac:dyDescent="0.3">
      <c r="A27" s="12" t="s">
        <v>64</v>
      </c>
      <c r="B27" s="23" t="s">
        <v>65</v>
      </c>
      <c r="C27" s="24">
        <v>3471</v>
      </c>
      <c r="D27" s="44">
        <v>0.2</v>
      </c>
      <c r="E27" s="26">
        <f>C27*D27</f>
        <v>694.2</v>
      </c>
      <c r="F27" s="12"/>
      <c r="G27" s="27"/>
    </row>
    <row r="28" spans="1:7" ht="24" customHeight="1" x14ac:dyDescent="0.3">
      <c r="A28" s="55" t="s">
        <v>66</v>
      </c>
      <c r="B28" s="54"/>
      <c r="C28" s="54"/>
      <c r="D28" s="54"/>
      <c r="E28" s="54"/>
      <c r="F28" s="54"/>
      <c r="G28" s="56"/>
    </row>
    <row r="29" spans="1:7" ht="22.05" customHeight="1" x14ac:dyDescent="0.3">
      <c r="A29" s="12" t="s">
        <v>67</v>
      </c>
      <c r="B29" s="23" t="s">
        <v>68</v>
      </c>
      <c r="C29" s="24">
        <v>2</v>
      </c>
      <c r="D29" s="25">
        <v>184.68</v>
      </c>
      <c r="E29" s="26">
        <f>C29*D29</f>
        <v>369.36</v>
      </c>
      <c r="F29" s="12"/>
      <c r="G29" s="27"/>
    </row>
    <row r="30" spans="1:7" ht="22.05" customHeight="1" x14ac:dyDescent="0.3">
      <c r="A30" s="12" t="s">
        <v>69</v>
      </c>
      <c r="B30" s="23" t="s">
        <v>70</v>
      </c>
      <c r="C30" s="24">
        <v>0</v>
      </c>
      <c r="D30" s="25">
        <v>761.91</v>
      </c>
      <c r="E30" s="26">
        <f>C30*D30</f>
        <v>0</v>
      </c>
      <c r="F30" s="12"/>
      <c r="G30" s="27"/>
    </row>
    <row r="31" spans="1:7" ht="30" customHeight="1" x14ac:dyDescent="0.3">
      <c r="A31" s="4"/>
      <c r="E31" s="1"/>
      <c r="F31" s="2"/>
    </row>
    <row r="33" spans="1:7" ht="36" customHeight="1" x14ac:dyDescent="0.3">
      <c r="A33" s="51" t="s">
        <v>71</v>
      </c>
      <c r="B33" s="52"/>
      <c r="C33" s="52"/>
      <c r="D33" s="52"/>
      <c r="E33" s="45">
        <f>E7+E8+E13+SUM(E15:E17)+SUM(E19:E21)+SUM(E23:E27)+SUM(E29:E30)</f>
        <v>5349.0599999999995</v>
      </c>
      <c r="F33" s="46"/>
      <c r="G33" s="46"/>
    </row>
  </sheetData>
  <mergeCells count="9">
    <mergeCell ref="A33:D33"/>
    <mergeCell ref="A11:G11"/>
    <mergeCell ref="A28:G28"/>
    <mergeCell ref="A14:G14"/>
    <mergeCell ref="A1:G1"/>
    <mergeCell ref="A18:G18"/>
    <mergeCell ref="A6:G6"/>
    <mergeCell ref="A22:G22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G33"/>
  <sheetViews>
    <sheetView showGridLines="0" zoomScaleNormal="100" workbookViewId="0">
      <selection activeCell="A3" sqref="A3:F3"/>
    </sheetView>
  </sheetViews>
  <sheetFormatPr defaultColWidth="8.6640625" defaultRowHeight="14.4" x14ac:dyDescent="0.3"/>
  <cols>
    <col min="1" max="1" width="48" customWidth="1"/>
    <col min="2" max="2" width="14" customWidth="1"/>
    <col min="3" max="3" width="10" customWidth="1"/>
    <col min="4" max="4" width="18" customWidth="1"/>
    <col min="5" max="5" width="16" bestFit="1" customWidth="1"/>
    <col min="6" max="6" width="28" bestFit="1" customWidth="1"/>
    <col min="7" max="7" width="32" customWidth="1"/>
  </cols>
  <sheetData>
    <row r="1" spans="1:7" ht="31.95" customHeight="1" x14ac:dyDescent="0.3">
      <c r="A1" s="57" t="s">
        <v>21</v>
      </c>
      <c r="B1" s="58"/>
      <c r="C1" s="58"/>
      <c r="D1" s="58"/>
      <c r="E1" s="58"/>
      <c r="F1" s="58"/>
      <c r="G1" s="58"/>
    </row>
    <row r="2" spans="1:7" ht="22.05" customHeight="1" x14ac:dyDescent="0.3">
      <c r="A2" s="67" t="s">
        <v>73</v>
      </c>
      <c r="B2" s="58"/>
      <c r="C2" s="58"/>
      <c r="D2" s="58"/>
      <c r="E2" s="58"/>
      <c r="F2" s="58"/>
      <c r="G2" s="58"/>
    </row>
    <row r="3" spans="1:7" ht="4.5" customHeight="1" x14ac:dyDescent="0.3">
      <c r="A3" s="3"/>
    </row>
    <row r="4" spans="1:7" ht="9.75" customHeight="1" x14ac:dyDescent="0.3"/>
    <row r="5" spans="1:7" ht="30" customHeight="1" x14ac:dyDescent="0.3">
      <c r="A5" s="22" t="s">
        <v>22</v>
      </c>
      <c r="B5" s="22" t="s">
        <v>23</v>
      </c>
      <c r="C5" s="22" t="s">
        <v>24</v>
      </c>
      <c r="D5" s="22" t="s">
        <v>25</v>
      </c>
      <c r="E5" s="22" t="s">
        <v>26</v>
      </c>
      <c r="F5" s="22" t="s">
        <v>27</v>
      </c>
      <c r="G5" s="22" t="s">
        <v>28</v>
      </c>
    </row>
    <row r="6" spans="1:7" ht="24" customHeight="1" x14ac:dyDescent="0.3">
      <c r="A6" s="59" t="s">
        <v>29</v>
      </c>
      <c r="B6" s="60"/>
      <c r="C6" s="60"/>
      <c r="D6" s="60"/>
      <c r="E6" s="60"/>
      <c r="F6" s="60"/>
      <c r="G6" s="60"/>
    </row>
    <row r="7" spans="1:7" ht="22.05" customHeight="1" x14ac:dyDescent="0.3">
      <c r="A7" s="12" t="s">
        <v>30</v>
      </c>
      <c r="B7" s="23" t="s">
        <v>31</v>
      </c>
      <c r="C7" s="24">
        <v>65</v>
      </c>
      <c r="D7" s="25">
        <v>53.5</v>
      </c>
      <c r="E7" s="26">
        <f>C7*D7</f>
        <v>3477.5</v>
      </c>
      <c r="F7" s="12"/>
      <c r="G7" s="27"/>
    </row>
    <row r="8" spans="1:7" ht="22.05" customHeight="1" x14ac:dyDescent="0.3">
      <c r="A8" s="12" t="s">
        <v>32</v>
      </c>
      <c r="B8" s="23" t="s">
        <v>33</v>
      </c>
      <c r="C8" s="24"/>
      <c r="D8" s="25">
        <v>53.5</v>
      </c>
      <c r="E8" s="26">
        <f>C8*D8</f>
        <v>0</v>
      </c>
      <c r="F8" s="12"/>
      <c r="G8" s="27"/>
    </row>
    <row r="9" spans="1:7" ht="22.05" customHeight="1" x14ac:dyDescent="0.3">
      <c r="A9" s="28" t="s">
        <v>34</v>
      </c>
      <c r="B9" s="29" t="s">
        <v>35</v>
      </c>
      <c r="C9" s="30">
        <v>0</v>
      </c>
      <c r="D9" s="29" t="s">
        <v>36</v>
      </c>
      <c r="E9" s="29" t="s">
        <v>36</v>
      </c>
      <c r="F9" s="31" t="s">
        <v>37</v>
      </c>
      <c r="G9" s="31"/>
    </row>
    <row r="10" spans="1:7" ht="22.05" customHeight="1" x14ac:dyDescent="0.3">
      <c r="A10" s="28" t="s">
        <v>38</v>
      </c>
      <c r="B10" s="29" t="s">
        <v>35</v>
      </c>
      <c r="C10" s="30">
        <v>0</v>
      </c>
      <c r="D10" s="29" t="s">
        <v>36</v>
      </c>
      <c r="E10" s="32" t="s">
        <v>36</v>
      </c>
      <c r="F10" s="31" t="s">
        <v>37</v>
      </c>
      <c r="G10" s="31"/>
    </row>
    <row r="11" spans="1:7" ht="24" customHeight="1" x14ac:dyDescent="0.3">
      <c r="A11" s="53" t="s">
        <v>39</v>
      </c>
      <c r="B11" s="54"/>
      <c r="C11" s="54"/>
      <c r="D11" s="54"/>
      <c r="E11" s="54"/>
      <c r="F11" s="54"/>
      <c r="G11" s="54"/>
    </row>
    <row r="12" spans="1:7" ht="22.05" customHeight="1" x14ac:dyDescent="0.3">
      <c r="A12" s="33" t="s">
        <v>40</v>
      </c>
      <c r="B12" s="34"/>
      <c r="C12" s="34"/>
      <c r="D12" s="34"/>
      <c r="E12" s="35">
        <f>Resumo!$E$8</f>
        <v>0</v>
      </c>
      <c r="F12" s="36" t="s">
        <v>41</v>
      </c>
      <c r="G12" s="34"/>
    </row>
    <row r="13" spans="1:7" ht="22.05" customHeight="1" x14ac:dyDescent="0.3">
      <c r="A13" s="37" t="s">
        <v>42</v>
      </c>
      <c r="B13" s="38" t="s">
        <v>36</v>
      </c>
      <c r="C13" s="39" t="s">
        <v>36</v>
      </c>
      <c r="D13" s="40">
        <v>5.0000000000000001E-3</v>
      </c>
      <c r="E13" s="41">
        <f>E12*D13</f>
        <v>0</v>
      </c>
      <c r="F13" s="42" t="s">
        <v>43</v>
      </c>
      <c r="G13" s="43"/>
    </row>
    <row r="14" spans="1:7" ht="24" customHeight="1" x14ac:dyDescent="0.3">
      <c r="A14" s="55" t="s">
        <v>44</v>
      </c>
      <c r="B14" s="54"/>
      <c r="C14" s="54"/>
      <c r="D14" s="54"/>
      <c r="E14" s="54"/>
      <c r="F14" s="54"/>
      <c r="G14" s="56"/>
    </row>
    <row r="15" spans="1:7" ht="22.05" customHeight="1" x14ac:dyDescent="0.3">
      <c r="A15" s="12" t="s">
        <v>45</v>
      </c>
      <c r="B15" s="23" t="s">
        <v>46</v>
      </c>
      <c r="C15" s="24">
        <v>0</v>
      </c>
      <c r="D15" s="25">
        <v>30</v>
      </c>
      <c r="E15" s="26">
        <f>C15*D15</f>
        <v>0</v>
      </c>
      <c r="F15" s="12"/>
      <c r="G15" s="27"/>
    </row>
    <row r="16" spans="1:7" ht="22.05" customHeight="1" x14ac:dyDescent="0.3">
      <c r="A16" s="12" t="s">
        <v>47</v>
      </c>
      <c r="B16" s="23" t="s">
        <v>48</v>
      </c>
      <c r="C16" s="24">
        <v>0</v>
      </c>
      <c r="D16" s="25">
        <v>10</v>
      </c>
      <c r="E16" s="26">
        <f>C16*D16</f>
        <v>0</v>
      </c>
      <c r="F16" s="12"/>
      <c r="G16" s="27"/>
    </row>
    <row r="17" spans="1:7" ht="22.05" customHeight="1" x14ac:dyDescent="0.3">
      <c r="A17" s="12" t="s">
        <v>49</v>
      </c>
      <c r="B17" s="23" t="s">
        <v>50</v>
      </c>
      <c r="C17" s="24">
        <v>0</v>
      </c>
      <c r="D17" s="25">
        <v>350</v>
      </c>
      <c r="E17" s="26">
        <f>C17*D17</f>
        <v>0</v>
      </c>
      <c r="F17" s="12"/>
      <c r="G17" s="27"/>
    </row>
    <row r="18" spans="1:7" ht="24" customHeight="1" x14ac:dyDescent="0.3">
      <c r="A18" s="55" t="s">
        <v>51</v>
      </c>
      <c r="B18" s="54"/>
      <c r="C18" s="54"/>
      <c r="D18" s="54"/>
      <c r="E18" s="54"/>
      <c r="F18" s="54"/>
      <c r="G18" s="56"/>
    </row>
    <row r="19" spans="1:7" ht="22.05" customHeight="1" x14ac:dyDescent="0.3">
      <c r="A19" s="12" t="s">
        <v>52</v>
      </c>
      <c r="B19" s="23" t="s">
        <v>46</v>
      </c>
      <c r="C19" s="24">
        <v>0</v>
      </c>
      <c r="D19" s="25">
        <v>30</v>
      </c>
      <c r="E19" s="26">
        <f>C19*D19</f>
        <v>0</v>
      </c>
      <c r="F19" s="12"/>
      <c r="G19" s="27"/>
    </row>
    <row r="20" spans="1:7" ht="22.05" customHeight="1" x14ac:dyDescent="0.3">
      <c r="A20" s="12" t="s">
        <v>53</v>
      </c>
      <c r="B20" s="23" t="s">
        <v>48</v>
      </c>
      <c r="C20" s="24">
        <v>0</v>
      </c>
      <c r="D20" s="25">
        <v>10</v>
      </c>
      <c r="E20" s="26">
        <f>C20*D20</f>
        <v>0</v>
      </c>
      <c r="F20" s="12"/>
      <c r="G20" s="27"/>
    </row>
    <row r="21" spans="1:7" ht="22.05" customHeight="1" x14ac:dyDescent="0.3">
      <c r="A21" s="12" t="s">
        <v>54</v>
      </c>
      <c r="B21" s="23" t="s">
        <v>55</v>
      </c>
      <c r="C21" s="24">
        <v>0</v>
      </c>
      <c r="D21" s="25">
        <v>10</v>
      </c>
      <c r="E21" s="26">
        <f>C21*D21</f>
        <v>0</v>
      </c>
      <c r="F21" s="12"/>
      <c r="G21" s="27"/>
    </row>
    <row r="22" spans="1:7" ht="24" customHeight="1" x14ac:dyDescent="0.3">
      <c r="A22" s="55" t="s">
        <v>56</v>
      </c>
      <c r="B22" s="54"/>
      <c r="C22" s="54"/>
      <c r="D22" s="54"/>
      <c r="E22" s="54"/>
      <c r="F22" s="54"/>
      <c r="G22" s="56"/>
    </row>
    <row r="23" spans="1:7" ht="22.05" customHeight="1" x14ac:dyDescent="0.3">
      <c r="A23" s="12" t="s">
        <v>57</v>
      </c>
      <c r="B23" s="23" t="s">
        <v>58</v>
      </c>
      <c r="C23" s="24">
        <v>1</v>
      </c>
      <c r="D23" s="25">
        <v>350</v>
      </c>
      <c r="E23" s="26">
        <f>C23*D23</f>
        <v>350</v>
      </c>
      <c r="F23" s="12"/>
      <c r="G23" s="27"/>
    </row>
    <row r="24" spans="1:7" ht="22.05" customHeight="1" x14ac:dyDescent="0.3">
      <c r="A24" s="12" t="s">
        <v>59</v>
      </c>
      <c r="B24" s="23" t="s">
        <v>60</v>
      </c>
      <c r="C24" s="24">
        <v>19</v>
      </c>
      <c r="D24" s="25">
        <v>20</v>
      </c>
      <c r="E24" s="26">
        <f>C24*D24</f>
        <v>380</v>
      </c>
      <c r="F24" s="12"/>
      <c r="G24" s="27"/>
    </row>
    <row r="25" spans="1:7" ht="22.05" customHeight="1" x14ac:dyDescent="0.3">
      <c r="A25" s="12" t="s">
        <v>61</v>
      </c>
      <c r="B25" s="23" t="s">
        <v>62</v>
      </c>
      <c r="C25" s="24">
        <v>65</v>
      </c>
      <c r="D25" s="25">
        <v>1.2</v>
      </c>
      <c r="E25" s="26">
        <f>C25*D25</f>
        <v>78</v>
      </c>
      <c r="F25" s="12"/>
      <c r="G25" s="27"/>
    </row>
    <row r="26" spans="1:7" ht="22.05" customHeight="1" x14ac:dyDescent="0.3">
      <c r="A26" s="12" t="s">
        <v>63</v>
      </c>
      <c r="B26" s="23" t="s">
        <v>60</v>
      </c>
      <c r="C26" s="24">
        <v>0</v>
      </c>
      <c r="D26" s="25">
        <v>3</v>
      </c>
      <c r="E26" s="26">
        <f>C26*D26</f>
        <v>0</v>
      </c>
      <c r="F26" s="12"/>
      <c r="G26" s="27"/>
    </row>
    <row r="27" spans="1:7" ht="22.05" customHeight="1" x14ac:dyDescent="0.3">
      <c r="A27" s="12" t="s">
        <v>64</v>
      </c>
      <c r="B27" s="23" t="s">
        <v>65</v>
      </c>
      <c r="C27" s="24">
        <v>3471</v>
      </c>
      <c r="D27" s="44">
        <v>0.2</v>
      </c>
      <c r="E27" s="26">
        <f>C27*D27</f>
        <v>694.2</v>
      </c>
      <c r="F27" s="12"/>
      <c r="G27" s="27"/>
    </row>
    <row r="28" spans="1:7" ht="24" customHeight="1" x14ac:dyDescent="0.3">
      <c r="A28" s="55" t="s">
        <v>66</v>
      </c>
      <c r="B28" s="54"/>
      <c r="C28" s="54"/>
      <c r="D28" s="54"/>
      <c r="E28" s="54"/>
      <c r="F28" s="54"/>
      <c r="G28" s="56"/>
    </row>
    <row r="29" spans="1:7" ht="22.05" customHeight="1" x14ac:dyDescent="0.3">
      <c r="A29" s="12" t="s">
        <v>67</v>
      </c>
      <c r="B29" s="23" t="s">
        <v>68</v>
      </c>
      <c r="C29" s="24">
        <v>2</v>
      </c>
      <c r="D29" s="25">
        <v>184.68</v>
      </c>
      <c r="E29" s="26">
        <f>C29*D29</f>
        <v>369.36</v>
      </c>
      <c r="F29" s="12"/>
      <c r="G29" s="27"/>
    </row>
    <row r="30" spans="1:7" ht="22.05" customHeight="1" x14ac:dyDescent="0.3">
      <c r="A30" s="12" t="s">
        <v>69</v>
      </c>
      <c r="B30" s="23" t="s">
        <v>70</v>
      </c>
      <c r="C30" s="24">
        <v>0</v>
      </c>
      <c r="D30" s="25">
        <v>761.91</v>
      </c>
      <c r="E30" s="26">
        <f>C30*D30</f>
        <v>0</v>
      </c>
      <c r="F30" s="12"/>
      <c r="G30" s="27"/>
    </row>
    <row r="31" spans="1:7" ht="30" customHeight="1" x14ac:dyDescent="0.3">
      <c r="A31" s="4"/>
      <c r="E31" s="1"/>
      <c r="F31" s="2"/>
    </row>
    <row r="33" spans="1:7" ht="36" customHeight="1" x14ac:dyDescent="0.3">
      <c r="A33" s="51" t="s">
        <v>71</v>
      </c>
      <c r="B33" s="52"/>
      <c r="C33" s="52"/>
      <c r="D33" s="52"/>
      <c r="E33" s="45">
        <f>E7+E8+E13+SUM(E15:E17)+SUM(E19:E21)+SUM(E23:E27)+SUM(E29:E30)</f>
        <v>5349.0599999999995</v>
      </c>
      <c r="F33" s="46"/>
      <c r="G33" s="46"/>
    </row>
  </sheetData>
  <mergeCells count="9">
    <mergeCell ref="A33:D33"/>
    <mergeCell ref="A11:G11"/>
    <mergeCell ref="A28:G28"/>
    <mergeCell ref="A14:G14"/>
    <mergeCell ref="A1:G1"/>
    <mergeCell ref="A18:G18"/>
    <mergeCell ref="A6:G6"/>
    <mergeCell ref="A22:G22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G33"/>
  <sheetViews>
    <sheetView showGridLines="0" zoomScaleNormal="100" workbookViewId="0">
      <selection activeCell="A3" sqref="A3:F3"/>
    </sheetView>
  </sheetViews>
  <sheetFormatPr defaultColWidth="8.6640625" defaultRowHeight="14.4" x14ac:dyDescent="0.3"/>
  <cols>
    <col min="1" max="1" width="48" customWidth="1"/>
    <col min="2" max="2" width="14" customWidth="1"/>
    <col min="3" max="3" width="10" customWidth="1"/>
    <col min="4" max="4" width="18" customWidth="1"/>
    <col min="5" max="5" width="16" bestFit="1" customWidth="1"/>
    <col min="6" max="6" width="28" bestFit="1" customWidth="1"/>
    <col min="7" max="7" width="32" customWidth="1"/>
  </cols>
  <sheetData>
    <row r="1" spans="1:7" ht="31.95" customHeight="1" x14ac:dyDescent="0.3">
      <c r="A1" s="57" t="s">
        <v>21</v>
      </c>
      <c r="B1" s="58"/>
      <c r="C1" s="58"/>
      <c r="D1" s="58"/>
      <c r="E1" s="58"/>
      <c r="F1" s="58"/>
      <c r="G1" s="58"/>
    </row>
    <row r="2" spans="1:7" ht="22.05" customHeight="1" x14ac:dyDescent="0.3">
      <c r="A2" s="67" t="s">
        <v>74</v>
      </c>
      <c r="B2" s="58"/>
      <c r="C2" s="58"/>
      <c r="D2" s="58"/>
      <c r="E2" s="58"/>
      <c r="F2" s="58"/>
      <c r="G2" s="58"/>
    </row>
    <row r="3" spans="1:7" ht="4.5" customHeight="1" x14ac:dyDescent="0.3">
      <c r="A3" s="3"/>
    </row>
    <row r="4" spans="1:7" ht="9.75" customHeight="1" x14ac:dyDescent="0.3"/>
    <row r="5" spans="1:7" ht="30" customHeight="1" x14ac:dyDescent="0.3">
      <c r="A5" s="22" t="s">
        <v>22</v>
      </c>
      <c r="B5" s="22" t="s">
        <v>23</v>
      </c>
      <c r="C5" s="22" t="s">
        <v>24</v>
      </c>
      <c r="D5" s="22" t="s">
        <v>25</v>
      </c>
      <c r="E5" s="22" t="s">
        <v>26</v>
      </c>
      <c r="F5" s="22" t="s">
        <v>27</v>
      </c>
      <c r="G5" s="22" t="s">
        <v>28</v>
      </c>
    </row>
    <row r="6" spans="1:7" ht="24" customHeight="1" x14ac:dyDescent="0.3">
      <c r="A6" s="59" t="s">
        <v>29</v>
      </c>
      <c r="B6" s="60"/>
      <c r="C6" s="60"/>
      <c r="D6" s="60"/>
      <c r="E6" s="60"/>
      <c r="F6" s="60"/>
      <c r="G6" s="60"/>
    </row>
    <row r="7" spans="1:7" ht="22.05" customHeight="1" x14ac:dyDescent="0.3">
      <c r="A7" s="12" t="s">
        <v>30</v>
      </c>
      <c r="B7" s="23" t="s">
        <v>31</v>
      </c>
      <c r="C7" s="24">
        <v>65</v>
      </c>
      <c r="D7" s="25">
        <v>53.5</v>
      </c>
      <c r="E7" s="26">
        <f>C7*D7</f>
        <v>3477.5</v>
      </c>
      <c r="F7" s="12"/>
      <c r="G7" s="27"/>
    </row>
    <row r="8" spans="1:7" ht="22.05" customHeight="1" x14ac:dyDescent="0.3">
      <c r="A8" s="12" t="s">
        <v>32</v>
      </c>
      <c r="B8" s="23" t="s">
        <v>33</v>
      </c>
      <c r="C8" s="24"/>
      <c r="D8" s="25">
        <v>53.5</v>
      </c>
      <c r="E8" s="26">
        <f>C8*D8</f>
        <v>0</v>
      </c>
      <c r="F8" s="12"/>
      <c r="G8" s="27"/>
    </row>
    <row r="9" spans="1:7" ht="22.05" customHeight="1" x14ac:dyDescent="0.3">
      <c r="A9" s="28" t="s">
        <v>34</v>
      </c>
      <c r="B9" s="29" t="s">
        <v>35</v>
      </c>
      <c r="C9" s="30">
        <v>0</v>
      </c>
      <c r="D9" s="29" t="s">
        <v>36</v>
      </c>
      <c r="E9" s="29" t="s">
        <v>36</v>
      </c>
      <c r="F9" s="31" t="s">
        <v>37</v>
      </c>
      <c r="G9" s="31"/>
    </row>
    <row r="10" spans="1:7" ht="22.05" customHeight="1" x14ac:dyDescent="0.3">
      <c r="A10" s="28" t="s">
        <v>38</v>
      </c>
      <c r="B10" s="29" t="s">
        <v>35</v>
      </c>
      <c r="C10" s="30">
        <v>0</v>
      </c>
      <c r="D10" s="29" t="s">
        <v>36</v>
      </c>
      <c r="E10" s="32" t="s">
        <v>36</v>
      </c>
      <c r="F10" s="31" t="s">
        <v>37</v>
      </c>
      <c r="G10" s="31"/>
    </row>
    <row r="11" spans="1:7" ht="24" customHeight="1" x14ac:dyDescent="0.3">
      <c r="A11" s="53" t="s">
        <v>39</v>
      </c>
      <c r="B11" s="54"/>
      <c r="C11" s="54"/>
      <c r="D11" s="54"/>
      <c r="E11" s="54"/>
      <c r="F11" s="54"/>
      <c r="G11" s="54"/>
    </row>
    <row r="12" spans="1:7" ht="22.05" customHeight="1" x14ac:dyDescent="0.3">
      <c r="A12" s="33" t="s">
        <v>40</v>
      </c>
      <c r="B12" s="34"/>
      <c r="C12" s="34"/>
      <c r="D12" s="34"/>
      <c r="E12" s="35">
        <f>Resumo!$E$8</f>
        <v>0</v>
      </c>
      <c r="F12" s="36" t="s">
        <v>41</v>
      </c>
      <c r="G12" s="34"/>
    </row>
    <row r="13" spans="1:7" ht="22.05" customHeight="1" x14ac:dyDescent="0.3">
      <c r="A13" s="37" t="s">
        <v>42</v>
      </c>
      <c r="B13" s="38" t="s">
        <v>36</v>
      </c>
      <c r="C13" s="39" t="s">
        <v>36</v>
      </c>
      <c r="D13" s="40">
        <v>5.0000000000000001E-3</v>
      </c>
      <c r="E13" s="41">
        <f>E12*D13</f>
        <v>0</v>
      </c>
      <c r="F13" s="42" t="s">
        <v>43</v>
      </c>
      <c r="G13" s="43"/>
    </row>
    <row r="14" spans="1:7" ht="24" customHeight="1" x14ac:dyDescent="0.3">
      <c r="A14" s="55" t="s">
        <v>44</v>
      </c>
      <c r="B14" s="54"/>
      <c r="C14" s="54"/>
      <c r="D14" s="54"/>
      <c r="E14" s="54"/>
      <c r="F14" s="54"/>
      <c r="G14" s="56"/>
    </row>
    <row r="15" spans="1:7" ht="22.05" customHeight="1" x14ac:dyDescent="0.3">
      <c r="A15" s="12" t="s">
        <v>45</v>
      </c>
      <c r="B15" s="23" t="s">
        <v>46</v>
      </c>
      <c r="C15" s="24">
        <v>0</v>
      </c>
      <c r="D15" s="25">
        <v>30</v>
      </c>
      <c r="E15" s="26">
        <f>C15*D15</f>
        <v>0</v>
      </c>
      <c r="F15" s="12"/>
      <c r="G15" s="27"/>
    </row>
    <row r="16" spans="1:7" ht="22.05" customHeight="1" x14ac:dyDescent="0.3">
      <c r="A16" s="12" t="s">
        <v>47</v>
      </c>
      <c r="B16" s="23" t="s">
        <v>48</v>
      </c>
      <c r="C16" s="24">
        <v>0</v>
      </c>
      <c r="D16" s="25">
        <v>10</v>
      </c>
      <c r="E16" s="26">
        <f>C16*D16</f>
        <v>0</v>
      </c>
      <c r="F16" s="12"/>
      <c r="G16" s="27"/>
    </row>
    <row r="17" spans="1:7" ht="22.05" customHeight="1" x14ac:dyDescent="0.3">
      <c r="A17" s="12" t="s">
        <v>49</v>
      </c>
      <c r="B17" s="23" t="s">
        <v>50</v>
      </c>
      <c r="C17" s="24">
        <v>0</v>
      </c>
      <c r="D17" s="25">
        <v>350</v>
      </c>
      <c r="E17" s="26">
        <f>C17*D17</f>
        <v>0</v>
      </c>
      <c r="F17" s="12"/>
      <c r="G17" s="27"/>
    </row>
    <row r="18" spans="1:7" ht="24" customHeight="1" x14ac:dyDescent="0.3">
      <c r="A18" s="55" t="s">
        <v>51</v>
      </c>
      <c r="B18" s="54"/>
      <c r="C18" s="54"/>
      <c r="D18" s="54"/>
      <c r="E18" s="54"/>
      <c r="F18" s="54"/>
      <c r="G18" s="56"/>
    </row>
    <row r="19" spans="1:7" ht="22.05" customHeight="1" x14ac:dyDescent="0.3">
      <c r="A19" s="12" t="s">
        <v>52</v>
      </c>
      <c r="B19" s="23" t="s">
        <v>46</v>
      </c>
      <c r="C19" s="24">
        <v>0</v>
      </c>
      <c r="D19" s="25">
        <v>30</v>
      </c>
      <c r="E19" s="26">
        <f>C19*D19</f>
        <v>0</v>
      </c>
      <c r="F19" s="12"/>
      <c r="G19" s="27"/>
    </row>
    <row r="20" spans="1:7" ht="22.05" customHeight="1" x14ac:dyDescent="0.3">
      <c r="A20" s="12" t="s">
        <v>53</v>
      </c>
      <c r="B20" s="23" t="s">
        <v>48</v>
      </c>
      <c r="C20" s="24">
        <v>0</v>
      </c>
      <c r="D20" s="25">
        <v>10</v>
      </c>
      <c r="E20" s="26">
        <f>C20*D20</f>
        <v>0</v>
      </c>
      <c r="F20" s="12"/>
      <c r="G20" s="27"/>
    </row>
    <row r="21" spans="1:7" ht="22.05" customHeight="1" x14ac:dyDescent="0.3">
      <c r="A21" s="12" t="s">
        <v>54</v>
      </c>
      <c r="B21" s="23" t="s">
        <v>55</v>
      </c>
      <c r="C21" s="24">
        <v>0</v>
      </c>
      <c r="D21" s="25">
        <v>10</v>
      </c>
      <c r="E21" s="26">
        <f>C21*D21</f>
        <v>0</v>
      </c>
      <c r="F21" s="12"/>
      <c r="G21" s="27"/>
    </row>
    <row r="22" spans="1:7" ht="24" customHeight="1" x14ac:dyDescent="0.3">
      <c r="A22" s="55" t="s">
        <v>56</v>
      </c>
      <c r="B22" s="54"/>
      <c r="C22" s="54"/>
      <c r="D22" s="54"/>
      <c r="E22" s="54"/>
      <c r="F22" s="54"/>
      <c r="G22" s="56"/>
    </row>
    <row r="23" spans="1:7" ht="22.05" customHeight="1" x14ac:dyDescent="0.3">
      <c r="A23" s="12" t="s">
        <v>57</v>
      </c>
      <c r="B23" s="23" t="s">
        <v>58</v>
      </c>
      <c r="C23" s="24">
        <v>1</v>
      </c>
      <c r="D23" s="25">
        <v>350</v>
      </c>
      <c r="E23" s="26">
        <f>C23*D23</f>
        <v>350</v>
      </c>
      <c r="F23" s="12"/>
      <c r="G23" s="27"/>
    </row>
    <row r="24" spans="1:7" ht="22.05" customHeight="1" x14ac:dyDescent="0.3">
      <c r="A24" s="12" t="s">
        <v>59</v>
      </c>
      <c r="B24" s="23" t="s">
        <v>60</v>
      </c>
      <c r="C24" s="24">
        <v>19</v>
      </c>
      <c r="D24" s="25">
        <v>20</v>
      </c>
      <c r="E24" s="26">
        <f>C24*D24</f>
        <v>380</v>
      </c>
      <c r="F24" s="12"/>
      <c r="G24" s="27"/>
    </row>
    <row r="25" spans="1:7" ht="22.05" customHeight="1" x14ac:dyDescent="0.3">
      <c r="A25" s="12" t="s">
        <v>61</v>
      </c>
      <c r="B25" s="23" t="s">
        <v>62</v>
      </c>
      <c r="C25" s="24">
        <v>65</v>
      </c>
      <c r="D25" s="25">
        <v>1.2</v>
      </c>
      <c r="E25" s="26">
        <f>C25*D25</f>
        <v>78</v>
      </c>
      <c r="F25" s="12"/>
      <c r="G25" s="27"/>
    </row>
    <row r="26" spans="1:7" ht="22.05" customHeight="1" x14ac:dyDescent="0.3">
      <c r="A26" s="12" t="s">
        <v>63</v>
      </c>
      <c r="B26" s="23" t="s">
        <v>60</v>
      </c>
      <c r="C26" s="24">
        <v>0</v>
      </c>
      <c r="D26" s="25">
        <v>3</v>
      </c>
      <c r="E26" s="26">
        <f>C26*D26</f>
        <v>0</v>
      </c>
      <c r="F26" s="12"/>
      <c r="G26" s="27"/>
    </row>
    <row r="27" spans="1:7" ht="22.05" customHeight="1" x14ac:dyDescent="0.3">
      <c r="A27" s="12" t="s">
        <v>64</v>
      </c>
      <c r="B27" s="23" t="s">
        <v>65</v>
      </c>
      <c r="C27" s="24">
        <v>3471</v>
      </c>
      <c r="D27" s="44">
        <v>0.2</v>
      </c>
      <c r="E27" s="26">
        <f>C27*D27</f>
        <v>694.2</v>
      </c>
      <c r="F27" s="12"/>
      <c r="G27" s="27"/>
    </row>
    <row r="28" spans="1:7" ht="24" customHeight="1" x14ac:dyDescent="0.3">
      <c r="A28" s="55" t="s">
        <v>66</v>
      </c>
      <c r="B28" s="54"/>
      <c r="C28" s="54"/>
      <c r="D28" s="54"/>
      <c r="E28" s="54"/>
      <c r="F28" s="54"/>
      <c r="G28" s="56"/>
    </row>
    <row r="29" spans="1:7" ht="22.05" customHeight="1" x14ac:dyDescent="0.3">
      <c r="A29" s="12" t="s">
        <v>67</v>
      </c>
      <c r="B29" s="23" t="s">
        <v>68</v>
      </c>
      <c r="C29" s="24">
        <v>2</v>
      </c>
      <c r="D29" s="25">
        <v>184.68</v>
      </c>
      <c r="E29" s="26">
        <f>C29*D29</f>
        <v>369.36</v>
      </c>
      <c r="F29" s="12"/>
      <c r="G29" s="27"/>
    </row>
    <row r="30" spans="1:7" ht="22.05" customHeight="1" x14ac:dyDescent="0.3">
      <c r="A30" s="12" t="s">
        <v>69</v>
      </c>
      <c r="B30" s="23" t="s">
        <v>70</v>
      </c>
      <c r="C30" s="24">
        <v>0</v>
      </c>
      <c r="D30" s="25">
        <v>761.91</v>
      </c>
      <c r="E30" s="26">
        <f>C30*D30</f>
        <v>0</v>
      </c>
      <c r="F30" s="12"/>
      <c r="G30" s="27"/>
    </row>
    <row r="31" spans="1:7" ht="30" customHeight="1" x14ac:dyDescent="0.3">
      <c r="A31" s="4"/>
      <c r="E31" s="1"/>
      <c r="F31" s="2"/>
    </row>
    <row r="33" spans="1:7" ht="36" customHeight="1" x14ac:dyDescent="0.3">
      <c r="A33" s="51" t="s">
        <v>71</v>
      </c>
      <c r="B33" s="52"/>
      <c r="C33" s="52"/>
      <c r="D33" s="52"/>
      <c r="E33" s="45">
        <f>E7+E8+E13+SUM(E15:E17)+SUM(E19:E21)+SUM(E23:E27)+SUM(E29:E30)</f>
        <v>5349.0599999999995</v>
      </c>
      <c r="F33" s="46"/>
      <c r="G33" s="46"/>
    </row>
  </sheetData>
  <mergeCells count="9">
    <mergeCell ref="A33:D33"/>
    <mergeCell ref="A11:G11"/>
    <mergeCell ref="A28:G28"/>
    <mergeCell ref="A14:G14"/>
    <mergeCell ref="A1:G1"/>
    <mergeCell ref="A18:G18"/>
    <mergeCell ref="A6:G6"/>
    <mergeCell ref="A22:G22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6"/>
  <dimension ref="A1:G33"/>
  <sheetViews>
    <sheetView showGridLines="0" zoomScaleNormal="100" workbookViewId="0">
      <selection activeCell="A3" sqref="A3:F3"/>
    </sheetView>
  </sheetViews>
  <sheetFormatPr defaultColWidth="8.6640625" defaultRowHeight="14.4" x14ac:dyDescent="0.3"/>
  <cols>
    <col min="1" max="1" width="48" customWidth="1"/>
    <col min="2" max="2" width="14" customWidth="1"/>
    <col min="3" max="3" width="10" customWidth="1"/>
    <col min="4" max="4" width="18" customWidth="1"/>
    <col min="5" max="5" width="16" bestFit="1" customWidth="1"/>
    <col min="6" max="6" width="28" bestFit="1" customWidth="1"/>
    <col min="7" max="7" width="32" customWidth="1"/>
  </cols>
  <sheetData>
    <row r="1" spans="1:7" ht="31.95" customHeight="1" x14ac:dyDescent="0.3">
      <c r="A1" s="57" t="s">
        <v>21</v>
      </c>
      <c r="B1" s="58"/>
      <c r="C1" s="58"/>
      <c r="D1" s="58"/>
      <c r="E1" s="58"/>
      <c r="F1" s="58"/>
      <c r="G1" s="58"/>
    </row>
    <row r="2" spans="1:7" ht="22.05" customHeight="1" x14ac:dyDescent="0.3">
      <c r="A2" s="67" t="s">
        <v>75</v>
      </c>
      <c r="B2" s="58"/>
      <c r="C2" s="58"/>
      <c r="D2" s="58"/>
      <c r="E2" s="58"/>
      <c r="F2" s="58"/>
      <c r="G2" s="58"/>
    </row>
    <row r="3" spans="1:7" ht="4.5" customHeight="1" x14ac:dyDescent="0.3">
      <c r="A3" s="3"/>
    </row>
    <row r="4" spans="1:7" ht="9.75" customHeight="1" x14ac:dyDescent="0.3"/>
    <row r="5" spans="1:7" ht="30" customHeight="1" x14ac:dyDescent="0.3">
      <c r="A5" s="22" t="s">
        <v>22</v>
      </c>
      <c r="B5" s="22" t="s">
        <v>23</v>
      </c>
      <c r="C5" s="22" t="s">
        <v>24</v>
      </c>
      <c r="D5" s="22" t="s">
        <v>25</v>
      </c>
      <c r="E5" s="22" t="s">
        <v>26</v>
      </c>
      <c r="F5" s="22" t="s">
        <v>27</v>
      </c>
      <c r="G5" s="22" t="s">
        <v>28</v>
      </c>
    </row>
    <row r="6" spans="1:7" ht="24" customHeight="1" x14ac:dyDescent="0.3">
      <c r="A6" s="59" t="s">
        <v>29</v>
      </c>
      <c r="B6" s="60"/>
      <c r="C6" s="60"/>
      <c r="D6" s="60"/>
      <c r="E6" s="60"/>
      <c r="F6" s="60"/>
      <c r="G6" s="60"/>
    </row>
    <row r="7" spans="1:7" ht="22.05" customHeight="1" x14ac:dyDescent="0.3">
      <c r="A7" s="12" t="s">
        <v>30</v>
      </c>
      <c r="B7" s="23" t="s">
        <v>31</v>
      </c>
      <c r="C7" s="24">
        <v>65</v>
      </c>
      <c r="D7" s="25">
        <v>53.5</v>
      </c>
      <c r="E7" s="26">
        <f>C7*D7</f>
        <v>3477.5</v>
      </c>
      <c r="F7" s="12"/>
      <c r="G7" s="27"/>
    </row>
    <row r="8" spans="1:7" ht="22.05" customHeight="1" x14ac:dyDescent="0.3">
      <c r="A8" s="12" t="s">
        <v>32</v>
      </c>
      <c r="B8" s="23" t="s">
        <v>33</v>
      </c>
      <c r="C8" s="24"/>
      <c r="D8" s="25">
        <v>53.5</v>
      </c>
      <c r="E8" s="26">
        <f>C8*D8</f>
        <v>0</v>
      </c>
      <c r="F8" s="12"/>
      <c r="G8" s="27"/>
    </row>
    <row r="9" spans="1:7" ht="22.05" customHeight="1" x14ac:dyDescent="0.3">
      <c r="A9" s="28" t="s">
        <v>34</v>
      </c>
      <c r="B9" s="29" t="s">
        <v>35</v>
      </c>
      <c r="C9" s="30">
        <v>0</v>
      </c>
      <c r="D9" s="29" t="s">
        <v>36</v>
      </c>
      <c r="E9" s="29" t="s">
        <v>36</v>
      </c>
      <c r="F9" s="31" t="s">
        <v>37</v>
      </c>
      <c r="G9" s="31"/>
    </row>
    <row r="10" spans="1:7" ht="22.05" customHeight="1" x14ac:dyDescent="0.3">
      <c r="A10" s="28" t="s">
        <v>38</v>
      </c>
      <c r="B10" s="29" t="s">
        <v>35</v>
      </c>
      <c r="C10" s="30">
        <v>0</v>
      </c>
      <c r="D10" s="29" t="s">
        <v>36</v>
      </c>
      <c r="E10" s="32" t="s">
        <v>36</v>
      </c>
      <c r="F10" s="31" t="s">
        <v>37</v>
      </c>
      <c r="G10" s="31"/>
    </row>
    <row r="11" spans="1:7" ht="24" customHeight="1" x14ac:dyDescent="0.3">
      <c r="A11" s="53" t="s">
        <v>39</v>
      </c>
      <c r="B11" s="54"/>
      <c r="C11" s="54"/>
      <c r="D11" s="54"/>
      <c r="E11" s="54"/>
      <c r="F11" s="54"/>
      <c r="G11" s="54"/>
    </row>
    <row r="12" spans="1:7" ht="22.05" customHeight="1" x14ac:dyDescent="0.3">
      <c r="A12" s="33" t="s">
        <v>40</v>
      </c>
      <c r="B12" s="34"/>
      <c r="C12" s="34"/>
      <c r="D12" s="34"/>
      <c r="E12" s="35">
        <f>Resumo!$E$8</f>
        <v>0</v>
      </c>
      <c r="F12" s="36" t="s">
        <v>41</v>
      </c>
      <c r="G12" s="34"/>
    </row>
    <row r="13" spans="1:7" ht="22.05" customHeight="1" x14ac:dyDescent="0.3">
      <c r="A13" s="37" t="s">
        <v>42</v>
      </c>
      <c r="B13" s="38" t="s">
        <v>36</v>
      </c>
      <c r="C13" s="39" t="s">
        <v>36</v>
      </c>
      <c r="D13" s="40">
        <v>5.0000000000000001E-3</v>
      </c>
      <c r="E13" s="41">
        <f>E12*D13</f>
        <v>0</v>
      </c>
      <c r="F13" s="42" t="s">
        <v>43</v>
      </c>
      <c r="G13" s="43"/>
    </row>
    <row r="14" spans="1:7" ht="24" customHeight="1" x14ac:dyDescent="0.3">
      <c r="A14" s="55" t="s">
        <v>44</v>
      </c>
      <c r="B14" s="54"/>
      <c r="C14" s="54"/>
      <c r="D14" s="54"/>
      <c r="E14" s="54"/>
      <c r="F14" s="54"/>
      <c r="G14" s="56"/>
    </row>
    <row r="15" spans="1:7" ht="22.05" customHeight="1" x14ac:dyDescent="0.3">
      <c r="A15" s="12" t="s">
        <v>45</v>
      </c>
      <c r="B15" s="23" t="s">
        <v>46</v>
      </c>
      <c r="C15" s="24">
        <v>0</v>
      </c>
      <c r="D15" s="25">
        <v>30</v>
      </c>
      <c r="E15" s="26">
        <f>C15*D15</f>
        <v>0</v>
      </c>
      <c r="F15" s="12"/>
      <c r="G15" s="27"/>
    </row>
    <row r="16" spans="1:7" ht="22.05" customHeight="1" x14ac:dyDescent="0.3">
      <c r="A16" s="12" t="s">
        <v>47</v>
      </c>
      <c r="B16" s="23" t="s">
        <v>48</v>
      </c>
      <c r="C16" s="24">
        <v>0</v>
      </c>
      <c r="D16" s="25">
        <v>10</v>
      </c>
      <c r="E16" s="26">
        <f>C16*D16</f>
        <v>0</v>
      </c>
      <c r="F16" s="12"/>
      <c r="G16" s="27"/>
    </row>
    <row r="17" spans="1:7" ht="22.05" customHeight="1" x14ac:dyDescent="0.3">
      <c r="A17" s="12" t="s">
        <v>49</v>
      </c>
      <c r="B17" s="23" t="s">
        <v>50</v>
      </c>
      <c r="C17" s="24">
        <v>0</v>
      </c>
      <c r="D17" s="25">
        <v>350</v>
      </c>
      <c r="E17" s="26">
        <f>C17*D17</f>
        <v>0</v>
      </c>
      <c r="F17" s="12"/>
      <c r="G17" s="27"/>
    </row>
    <row r="18" spans="1:7" ht="24" customHeight="1" x14ac:dyDescent="0.3">
      <c r="A18" s="55" t="s">
        <v>51</v>
      </c>
      <c r="B18" s="54"/>
      <c r="C18" s="54"/>
      <c r="D18" s="54"/>
      <c r="E18" s="54"/>
      <c r="F18" s="54"/>
      <c r="G18" s="56"/>
    </row>
    <row r="19" spans="1:7" ht="22.05" customHeight="1" x14ac:dyDescent="0.3">
      <c r="A19" s="12" t="s">
        <v>52</v>
      </c>
      <c r="B19" s="23" t="s">
        <v>46</v>
      </c>
      <c r="C19" s="24">
        <v>0</v>
      </c>
      <c r="D19" s="25">
        <v>30</v>
      </c>
      <c r="E19" s="26">
        <f>C19*D19</f>
        <v>0</v>
      </c>
      <c r="F19" s="12"/>
      <c r="G19" s="27"/>
    </row>
    <row r="20" spans="1:7" ht="22.05" customHeight="1" x14ac:dyDescent="0.3">
      <c r="A20" s="12" t="s">
        <v>53</v>
      </c>
      <c r="B20" s="23" t="s">
        <v>48</v>
      </c>
      <c r="C20" s="24">
        <v>0</v>
      </c>
      <c r="D20" s="25">
        <v>10</v>
      </c>
      <c r="E20" s="26">
        <f>C20*D20</f>
        <v>0</v>
      </c>
      <c r="F20" s="12"/>
      <c r="G20" s="27"/>
    </row>
    <row r="21" spans="1:7" ht="22.05" customHeight="1" x14ac:dyDescent="0.3">
      <c r="A21" s="12" t="s">
        <v>54</v>
      </c>
      <c r="B21" s="23" t="s">
        <v>55</v>
      </c>
      <c r="C21" s="24">
        <v>0</v>
      </c>
      <c r="D21" s="25">
        <v>10</v>
      </c>
      <c r="E21" s="26">
        <f>C21*D21</f>
        <v>0</v>
      </c>
      <c r="F21" s="12"/>
      <c r="G21" s="27"/>
    </row>
    <row r="22" spans="1:7" ht="24" customHeight="1" x14ac:dyDescent="0.3">
      <c r="A22" s="55" t="s">
        <v>56</v>
      </c>
      <c r="B22" s="54"/>
      <c r="C22" s="54"/>
      <c r="D22" s="54"/>
      <c r="E22" s="54"/>
      <c r="F22" s="54"/>
      <c r="G22" s="56"/>
    </row>
    <row r="23" spans="1:7" ht="22.05" customHeight="1" x14ac:dyDescent="0.3">
      <c r="A23" s="12" t="s">
        <v>57</v>
      </c>
      <c r="B23" s="23" t="s">
        <v>58</v>
      </c>
      <c r="C23" s="24">
        <v>1</v>
      </c>
      <c r="D23" s="25">
        <v>350</v>
      </c>
      <c r="E23" s="26">
        <f>C23*D23</f>
        <v>350</v>
      </c>
      <c r="F23" s="12"/>
      <c r="G23" s="27"/>
    </row>
    <row r="24" spans="1:7" ht="22.05" customHeight="1" x14ac:dyDescent="0.3">
      <c r="A24" s="12" t="s">
        <v>59</v>
      </c>
      <c r="B24" s="23" t="s">
        <v>60</v>
      </c>
      <c r="C24" s="24">
        <v>19</v>
      </c>
      <c r="D24" s="25">
        <v>20</v>
      </c>
      <c r="E24" s="26">
        <f>C24*D24</f>
        <v>380</v>
      </c>
      <c r="F24" s="12"/>
      <c r="G24" s="27"/>
    </row>
    <row r="25" spans="1:7" ht="22.05" customHeight="1" x14ac:dyDescent="0.3">
      <c r="A25" s="12" t="s">
        <v>61</v>
      </c>
      <c r="B25" s="23" t="s">
        <v>62</v>
      </c>
      <c r="C25" s="24">
        <v>65</v>
      </c>
      <c r="D25" s="25">
        <v>1.2</v>
      </c>
      <c r="E25" s="26">
        <f>C25*D25</f>
        <v>78</v>
      </c>
      <c r="F25" s="12"/>
      <c r="G25" s="27"/>
    </row>
    <row r="26" spans="1:7" ht="22.05" customHeight="1" x14ac:dyDescent="0.3">
      <c r="A26" s="12" t="s">
        <v>63</v>
      </c>
      <c r="B26" s="23" t="s">
        <v>60</v>
      </c>
      <c r="C26" s="24">
        <v>0</v>
      </c>
      <c r="D26" s="25">
        <v>3</v>
      </c>
      <c r="E26" s="26">
        <f>C26*D26</f>
        <v>0</v>
      </c>
      <c r="F26" s="12"/>
      <c r="G26" s="27"/>
    </row>
    <row r="27" spans="1:7" ht="22.05" customHeight="1" x14ac:dyDescent="0.3">
      <c r="A27" s="12" t="s">
        <v>64</v>
      </c>
      <c r="B27" s="23" t="s">
        <v>65</v>
      </c>
      <c r="C27" s="24">
        <v>3471</v>
      </c>
      <c r="D27" s="44">
        <v>0.2</v>
      </c>
      <c r="E27" s="26">
        <f>C27*D27</f>
        <v>694.2</v>
      </c>
      <c r="F27" s="12"/>
      <c r="G27" s="27"/>
    </row>
    <row r="28" spans="1:7" ht="24" customHeight="1" x14ac:dyDescent="0.3">
      <c r="A28" s="55" t="s">
        <v>66</v>
      </c>
      <c r="B28" s="54"/>
      <c r="C28" s="54"/>
      <c r="D28" s="54"/>
      <c r="E28" s="54"/>
      <c r="F28" s="54"/>
      <c r="G28" s="56"/>
    </row>
    <row r="29" spans="1:7" ht="22.05" customHeight="1" x14ac:dyDescent="0.3">
      <c r="A29" s="12" t="s">
        <v>67</v>
      </c>
      <c r="B29" s="23" t="s">
        <v>68</v>
      </c>
      <c r="C29" s="24">
        <v>2</v>
      </c>
      <c r="D29" s="25">
        <v>184.68</v>
      </c>
      <c r="E29" s="26">
        <f>C29*D29</f>
        <v>369.36</v>
      </c>
      <c r="F29" s="12"/>
      <c r="G29" s="27"/>
    </row>
    <row r="30" spans="1:7" ht="22.05" customHeight="1" x14ac:dyDescent="0.3">
      <c r="A30" s="12" t="s">
        <v>69</v>
      </c>
      <c r="B30" s="23" t="s">
        <v>70</v>
      </c>
      <c r="C30" s="24">
        <v>0</v>
      </c>
      <c r="D30" s="25">
        <v>761.91</v>
      </c>
      <c r="E30" s="26">
        <f>C30*D30</f>
        <v>0</v>
      </c>
      <c r="F30" s="12"/>
      <c r="G30" s="27"/>
    </row>
    <row r="31" spans="1:7" ht="30" customHeight="1" x14ac:dyDescent="0.3">
      <c r="A31" s="4"/>
      <c r="E31" s="1"/>
      <c r="F31" s="2"/>
    </row>
    <row r="33" spans="1:7" ht="36" customHeight="1" x14ac:dyDescent="0.3">
      <c r="A33" s="51" t="s">
        <v>71</v>
      </c>
      <c r="B33" s="52"/>
      <c r="C33" s="52"/>
      <c r="D33" s="52"/>
      <c r="E33" s="45">
        <f>E7+E8+E13+SUM(E15:E17)+SUM(E19:E21)+SUM(E23:E27)+SUM(E29:E30)</f>
        <v>5349.0599999999995</v>
      </c>
      <c r="F33" s="46"/>
      <c r="G33" s="46"/>
    </row>
  </sheetData>
  <mergeCells count="9">
    <mergeCell ref="A33:D33"/>
    <mergeCell ref="A11:G11"/>
    <mergeCell ref="A28:G28"/>
    <mergeCell ref="A14:G14"/>
    <mergeCell ref="A1:G1"/>
    <mergeCell ref="A18:G18"/>
    <mergeCell ref="A6:G6"/>
    <mergeCell ref="A22:G22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/>
  <dimension ref="A1:G33"/>
  <sheetViews>
    <sheetView showGridLines="0" zoomScaleNormal="100" workbookViewId="0">
      <selection activeCell="A3" sqref="A3:F3"/>
    </sheetView>
  </sheetViews>
  <sheetFormatPr defaultColWidth="8.6640625" defaultRowHeight="14.4" x14ac:dyDescent="0.3"/>
  <cols>
    <col min="1" max="1" width="48" customWidth="1"/>
    <col min="2" max="2" width="14" customWidth="1"/>
    <col min="3" max="3" width="10" customWidth="1"/>
    <col min="4" max="4" width="18" customWidth="1"/>
    <col min="5" max="5" width="16" bestFit="1" customWidth="1"/>
    <col min="6" max="6" width="28" bestFit="1" customWidth="1"/>
    <col min="7" max="7" width="32" customWidth="1"/>
  </cols>
  <sheetData>
    <row r="1" spans="1:7" ht="31.95" customHeight="1" x14ac:dyDescent="0.3">
      <c r="A1" s="57" t="s">
        <v>21</v>
      </c>
      <c r="B1" s="58"/>
      <c r="C1" s="58"/>
      <c r="D1" s="58"/>
      <c r="E1" s="58"/>
      <c r="F1" s="58"/>
      <c r="G1" s="58"/>
    </row>
    <row r="2" spans="1:7" ht="22.05" customHeight="1" x14ac:dyDescent="0.3">
      <c r="A2" s="67" t="s">
        <v>76</v>
      </c>
      <c r="B2" s="58"/>
      <c r="C2" s="58"/>
      <c r="D2" s="58"/>
      <c r="E2" s="58"/>
      <c r="F2" s="58"/>
      <c r="G2" s="58"/>
    </row>
    <row r="3" spans="1:7" ht="4.5" customHeight="1" x14ac:dyDescent="0.3">
      <c r="A3" s="3"/>
    </row>
    <row r="4" spans="1:7" ht="9.75" customHeight="1" x14ac:dyDescent="0.3"/>
    <row r="5" spans="1:7" ht="30" customHeight="1" x14ac:dyDescent="0.3">
      <c r="A5" s="22" t="s">
        <v>22</v>
      </c>
      <c r="B5" s="22" t="s">
        <v>23</v>
      </c>
      <c r="C5" s="22" t="s">
        <v>24</v>
      </c>
      <c r="D5" s="22" t="s">
        <v>25</v>
      </c>
      <c r="E5" s="22" t="s">
        <v>26</v>
      </c>
      <c r="F5" s="22" t="s">
        <v>27</v>
      </c>
      <c r="G5" s="22" t="s">
        <v>28</v>
      </c>
    </row>
    <row r="6" spans="1:7" ht="24" customHeight="1" x14ac:dyDescent="0.3">
      <c r="A6" s="59" t="s">
        <v>29</v>
      </c>
      <c r="B6" s="60"/>
      <c r="C6" s="60"/>
      <c r="D6" s="60"/>
      <c r="E6" s="60"/>
      <c r="F6" s="60"/>
      <c r="G6" s="60"/>
    </row>
    <row r="7" spans="1:7" ht="22.05" customHeight="1" x14ac:dyDescent="0.3">
      <c r="A7" s="12" t="s">
        <v>30</v>
      </c>
      <c r="B7" s="23" t="s">
        <v>31</v>
      </c>
      <c r="C7" s="24">
        <v>65</v>
      </c>
      <c r="D7" s="25">
        <v>53.5</v>
      </c>
      <c r="E7" s="26">
        <f>C7*D7</f>
        <v>3477.5</v>
      </c>
      <c r="F7" s="12"/>
      <c r="G7" s="27"/>
    </row>
    <row r="8" spans="1:7" ht="22.05" customHeight="1" x14ac:dyDescent="0.3">
      <c r="A8" s="12" t="s">
        <v>32</v>
      </c>
      <c r="B8" s="23" t="s">
        <v>33</v>
      </c>
      <c r="C8" s="24"/>
      <c r="D8" s="25">
        <v>53.5</v>
      </c>
      <c r="E8" s="26">
        <f>C8*D8</f>
        <v>0</v>
      </c>
      <c r="F8" s="12"/>
      <c r="G8" s="27"/>
    </row>
    <row r="9" spans="1:7" ht="22.05" customHeight="1" x14ac:dyDescent="0.3">
      <c r="A9" s="28" t="s">
        <v>34</v>
      </c>
      <c r="B9" s="29" t="s">
        <v>35</v>
      </c>
      <c r="C9" s="30">
        <v>0</v>
      </c>
      <c r="D9" s="29" t="s">
        <v>36</v>
      </c>
      <c r="E9" s="29" t="s">
        <v>36</v>
      </c>
      <c r="F9" s="31" t="s">
        <v>37</v>
      </c>
      <c r="G9" s="31"/>
    </row>
    <row r="10" spans="1:7" ht="22.05" customHeight="1" x14ac:dyDescent="0.3">
      <c r="A10" s="28" t="s">
        <v>38</v>
      </c>
      <c r="B10" s="29" t="s">
        <v>35</v>
      </c>
      <c r="C10" s="30">
        <v>0</v>
      </c>
      <c r="D10" s="29" t="s">
        <v>36</v>
      </c>
      <c r="E10" s="32" t="s">
        <v>36</v>
      </c>
      <c r="F10" s="31" t="s">
        <v>37</v>
      </c>
      <c r="G10" s="31"/>
    </row>
    <row r="11" spans="1:7" ht="24" customHeight="1" x14ac:dyDescent="0.3">
      <c r="A11" s="53" t="s">
        <v>39</v>
      </c>
      <c r="B11" s="54"/>
      <c r="C11" s="54"/>
      <c r="D11" s="54"/>
      <c r="E11" s="54"/>
      <c r="F11" s="54"/>
      <c r="G11" s="54"/>
    </row>
    <row r="12" spans="1:7" ht="22.05" customHeight="1" x14ac:dyDescent="0.3">
      <c r="A12" s="33" t="s">
        <v>40</v>
      </c>
      <c r="B12" s="34"/>
      <c r="C12" s="34"/>
      <c r="D12" s="34"/>
      <c r="E12" s="35">
        <f>Resumo!$E$8</f>
        <v>0</v>
      </c>
      <c r="F12" s="36" t="s">
        <v>41</v>
      </c>
      <c r="G12" s="34"/>
    </row>
    <row r="13" spans="1:7" ht="22.05" customHeight="1" x14ac:dyDescent="0.3">
      <c r="A13" s="37" t="s">
        <v>42</v>
      </c>
      <c r="B13" s="38" t="s">
        <v>36</v>
      </c>
      <c r="C13" s="39" t="s">
        <v>36</v>
      </c>
      <c r="D13" s="40">
        <v>5.0000000000000001E-3</v>
      </c>
      <c r="E13" s="41">
        <f>E12*D13</f>
        <v>0</v>
      </c>
      <c r="F13" s="42" t="s">
        <v>43</v>
      </c>
      <c r="G13" s="43"/>
    </row>
    <row r="14" spans="1:7" ht="24" customHeight="1" x14ac:dyDescent="0.3">
      <c r="A14" s="55" t="s">
        <v>44</v>
      </c>
      <c r="B14" s="54"/>
      <c r="C14" s="54"/>
      <c r="D14" s="54"/>
      <c r="E14" s="54"/>
      <c r="F14" s="54"/>
      <c r="G14" s="56"/>
    </row>
    <row r="15" spans="1:7" ht="22.05" customHeight="1" x14ac:dyDescent="0.3">
      <c r="A15" s="12" t="s">
        <v>45</v>
      </c>
      <c r="B15" s="23" t="s">
        <v>46</v>
      </c>
      <c r="C15" s="24">
        <v>0</v>
      </c>
      <c r="D15" s="25">
        <v>30</v>
      </c>
      <c r="E15" s="26">
        <f>C15*D15</f>
        <v>0</v>
      </c>
      <c r="F15" s="12"/>
      <c r="G15" s="27"/>
    </row>
    <row r="16" spans="1:7" ht="22.05" customHeight="1" x14ac:dyDescent="0.3">
      <c r="A16" s="12" t="s">
        <v>47</v>
      </c>
      <c r="B16" s="23" t="s">
        <v>48</v>
      </c>
      <c r="C16" s="24">
        <v>0</v>
      </c>
      <c r="D16" s="25">
        <v>10</v>
      </c>
      <c r="E16" s="26">
        <f>C16*D16</f>
        <v>0</v>
      </c>
      <c r="F16" s="12"/>
      <c r="G16" s="27"/>
    </row>
    <row r="17" spans="1:7" ht="22.05" customHeight="1" x14ac:dyDescent="0.3">
      <c r="A17" s="12" t="s">
        <v>49</v>
      </c>
      <c r="B17" s="23" t="s">
        <v>50</v>
      </c>
      <c r="C17" s="24">
        <v>0</v>
      </c>
      <c r="D17" s="25">
        <v>350</v>
      </c>
      <c r="E17" s="26">
        <f>C17*D17</f>
        <v>0</v>
      </c>
      <c r="F17" s="12"/>
      <c r="G17" s="27"/>
    </row>
    <row r="18" spans="1:7" ht="24" customHeight="1" x14ac:dyDescent="0.3">
      <c r="A18" s="55" t="s">
        <v>51</v>
      </c>
      <c r="B18" s="54"/>
      <c r="C18" s="54"/>
      <c r="D18" s="54"/>
      <c r="E18" s="54"/>
      <c r="F18" s="54"/>
      <c r="G18" s="56"/>
    </row>
    <row r="19" spans="1:7" ht="22.05" customHeight="1" x14ac:dyDescent="0.3">
      <c r="A19" s="12" t="s">
        <v>52</v>
      </c>
      <c r="B19" s="23" t="s">
        <v>46</v>
      </c>
      <c r="C19" s="24">
        <v>0</v>
      </c>
      <c r="D19" s="25">
        <v>30</v>
      </c>
      <c r="E19" s="26">
        <f>C19*D19</f>
        <v>0</v>
      </c>
      <c r="F19" s="12"/>
      <c r="G19" s="27"/>
    </row>
    <row r="20" spans="1:7" ht="22.05" customHeight="1" x14ac:dyDescent="0.3">
      <c r="A20" s="12" t="s">
        <v>53</v>
      </c>
      <c r="B20" s="23" t="s">
        <v>48</v>
      </c>
      <c r="C20" s="24">
        <v>0</v>
      </c>
      <c r="D20" s="25">
        <v>10</v>
      </c>
      <c r="E20" s="26">
        <f>C20*D20</f>
        <v>0</v>
      </c>
      <c r="F20" s="12"/>
      <c r="G20" s="27"/>
    </row>
    <row r="21" spans="1:7" ht="22.05" customHeight="1" x14ac:dyDescent="0.3">
      <c r="A21" s="12" t="s">
        <v>54</v>
      </c>
      <c r="B21" s="23" t="s">
        <v>55</v>
      </c>
      <c r="C21" s="24">
        <v>0</v>
      </c>
      <c r="D21" s="25">
        <v>10</v>
      </c>
      <c r="E21" s="26">
        <f>C21*D21</f>
        <v>0</v>
      </c>
      <c r="F21" s="12"/>
      <c r="G21" s="27"/>
    </row>
    <row r="22" spans="1:7" ht="24" customHeight="1" x14ac:dyDescent="0.3">
      <c r="A22" s="55" t="s">
        <v>56</v>
      </c>
      <c r="B22" s="54"/>
      <c r="C22" s="54"/>
      <c r="D22" s="54"/>
      <c r="E22" s="54"/>
      <c r="F22" s="54"/>
      <c r="G22" s="56"/>
    </row>
    <row r="23" spans="1:7" ht="22.05" customHeight="1" x14ac:dyDescent="0.3">
      <c r="A23" s="12" t="s">
        <v>57</v>
      </c>
      <c r="B23" s="23" t="s">
        <v>58</v>
      </c>
      <c r="C23" s="24">
        <v>1</v>
      </c>
      <c r="D23" s="25">
        <v>350</v>
      </c>
      <c r="E23" s="26">
        <f>C23*D23</f>
        <v>350</v>
      </c>
      <c r="F23" s="12"/>
      <c r="G23" s="27"/>
    </row>
    <row r="24" spans="1:7" ht="22.05" customHeight="1" x14ac:dyDescent="0.3">
      <c r="A24" s="12" t="s">
        <v>59</v>
      </c>
      <c r="B24" s="23" t="s">
        <v>60</v>
      </c>
      <c r="C24" s="24">
        <v>19</v>
      </c>
      <c r="D24" s="25">
        <v>20</v>
      </c>
      <c r="E24" s="26">
        <f>C24*D24</f>
        <v>380</v>
      </c>
      <c r="F24" s="12"/>
      <c r="G24" s="27"/>
    </row>
    <row r="25" spans="1:7" ht="22.05" customHeight="1" x14ac:dyDescent="0.3">
      <c r="A25" s="12" t="s">
        <v>61</v>
      </c>
      <c r="B25" s="23" t="s">
        <v>62</v>
      </c>
      <c r="C25" s="24">
        <v>65</v>
      </c>
      <c r="D25" s="25">
        <v>1.2</v>
      </c>
      <c r="E25" s="26">
        <f>C25*D25</f>
        <v>78</v>
      </c>
      <c r="F25" s="12"/>
      <c r="G25" s="27"/>
    </row>
    <row r="26" spans="1:7" ht="22.05" customHeight="1" x14ac:dyDescent="0.3">
      <c r="A26" s="12" t="s">
        <v>63</v>
      </c>
      <c r="B26" s="23" t="s">
        <v>60</v>
      </c>
      <c r="C26" s="24">
        <v>0</v>
      </c>
      <c r="D26" s="25">
        <v>3</v>
      </c>
      <c r="E26" s="26">
        <f>C26*D26</f>
        <v>0</v>
      </c>
      <c r="F26" s="12"/>
      <c r="G26" s="27"/>
    </row>
    <row r="27" spans="1:7" ht="22.05" customHeight="1" x14ac:dyDescent="0.3">
      <c r="A27" s="12" t="s">
        <v>64</v>
      </c>
      <c r="B27" s="23" t="s">
        <v>65</v>
      </c>
      <c r="C27" s="24">
        <v>3471</v>
      </c>
      <c r="D27" s="44">
        <v>0.2</v>
      </c>
      <c r="E27" s="26">
        <f>C27*D27</f>
        <v>694.2</v>
      </c>
      <c r="F27" s="12"/>
      <c r="G27" s="27"/>
    </row>
    <row r="28" spans="1:7" ht="24" customHeight="1" x14ac:dyDescent="0.3">
      <c r="A28" s="55" t="s">
        <v>66</v>
      </c>
      <c r="B28" s="54"/>
      <c r="C28" s="54"/>
      <c r="D28" s="54"/>
      <c r="E28" s="54"/>
      <c r="F28" s="54"/>
      <c r="G28" s="56"/>
    </row>
    <row r="29" spans="1:7" ht="22.05" customHeight="1" x14ac:dyDescent="0.3">
      <c r="A29" s="12" t="s">
        <v>67</v>
      </c>
      <c r="B29" s="23" t="s">
        <v>68</v>
      </c>
      <c r="C29" s="24">
        <v>2</v>
      </c>
      <c r="D29" s="25">
        <v>184.68</v>
      </c>
      <c r="E29" s="26">
        <f>C29*D29</f>
        <v>369.36</v>
      </c>
      <c r="F29" s="12"/>
      <c r="G29" s="27"/>
    </row>
    <row r="30" spans="1:7" ht="22.05" customHeight="1" x14ac:dyDescent="0.3">
      <c r="A30" s="12" t="s">
        <v>69</v>
      </c>
      <c r="B30" s="23" t="s">
        <v>70</v>
      </c>
      <c r="C30" s="24">
        <v>0</v>
      </c>
      <c r="D30" s="25">
        <v>761.91</v>
      </c>
      <c r="E30" s="26">
        <f>C30*D30</f>
        <v>0</v>
      </c>
      <c r="F30" s="12"/>
      <c r="G30" s="27"/>
    </row>
    <row r="31" spans="1:7" ht="30" customHeight="1" x14ac:dyDescent="0.3">
      <c r="A31" s="4"/>
      <c r="E31" s="1"/>
      <c r="F31" s="2"/>
    </row>
    <row r="33" spans="1:7" ht="36" customHeight="1" x14ac:dyDescent="0.3">
      <c r="A33" s="51" t="s">
        <v>71</v>
      </c>
      <c r="B33" s="52"/>
      <c r="C33" s="52"/>
      <c r="D33" s="52"/>
      <c r="E33" s="45">
        <f>E7+E8+E13+SUM(E15:E17)+SUM(E19:E21)+SUM(E23:E27)+SUM(E29:E30)</f>
        <v>5349.0599999999995</v>
      </c>
      <c r="F33" s="46"/>
      <c r="G33" s="46"/>
    </row>
  </sheetData>
  <mergeCells count="9">
    <mergeCell ref="A33:D33"/>
    <mergeCell ref="A11:G11"/>
    <mergeCell ref="A28:G28"/>
    <mergeCell ref="A14:G14"/>
    <mergeCell ref="A1:G1"/>
    <mergeCell ref="A18:G18"/>
    <mergeCell ref="A6:G6"/>
    <mergeCell ref="A22:G22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8"/>
  <dimension ref="A1:G33"/>
  <sheetViews>
    <sheetView showGridLines="0" zoomScaleNormal="100" workbookViewId="0">
      <selection activeCell="A3" sqref="A3:F3"/>
    </sheetView>
  </sheetViews>
  <sheetFormatPr defaultColWidth="8.6640625" defaultRowHeight="14.4" x14ac:dyDescent="0.3"/>
  <cols>
    <col min="1" max="1" width="48" customWidth="1"/>
    <col min="2" max="2" width="14" customWidth="1"/>
    <col min="3" max="3" width="10" customWidth="1"/>
    <col min="4" max="4" width="18" customWidth="1"/>
    <col min="5" max="5" width="16" bestFit="1" customWidth="1"/>
    <col min="6" max="6" width="28" bestFit="1" customWidth="1"/>
    <col min="7" max="7" width="32" customWidth="1"/>
  </cols>
  <sheetData>
    <row r="1" spans="1:7" ht="31.95" customHeight="1" x14ac:dyDescent="0.3">
      <c r="A1" s="57" t="s">
        <v>21</v>
      </c>
      <c r="B1" s="58"/>
      <c r="C1" s="58"/>
      <c r="D1" s="58"/>
      <c r="E1" s="58"/>
      <c r="F1" s="58"/>
      <c r="G1" s="58"/>
    </row>
    <row r="2" spans="1:7" ht="22.05" customHeight="1" x14ac:dyDescent="0.3">
      <c r="A2" s="67" t="s">
        <v>77</v>
      </c>
      <c r="B2" s="58"/>
      <c r="C2" s="58"/>
      <c r="D2" s="58"/>
      <c r="E2" s="58"/>
      <c r="F2" s="58"/>
      <c r="G2" s="58"/>
    </row>
    <row r="3" spans="1:7" ht="4.5" customHeight="1" x14ac:dyDescent="0.3">
      <c r="A3" s="3"/>
    </row>
    <row r="4" spans="1:7" ht="9.75" customHeight="1" x14ac:dyDescent="0.3"/>
    <row r="5" spans="1:7" ht="30" customHeight="1" x14ac:dyDescent="0.3">
      <c r="A5" s="22" t="s">
        <v>22</v>
      </c>
      <c r="B5" s="22" t="s">
        <v>23</v>
      </c>
      <c r="C5" s="22" t="s">
        <v>24</v>
      </c>
      <c r="D5" s="22" t="s">
        <v>25</v>
      </c>
      <c r="E5" s="22" t="s">
        <v>26</v>
      </c>
      <c r="F5" s="22" t="s">
        <v>27</v>
      </c>
      <c r="G5" s="22" t="s">
        <v>28</v>
      </c>
    </row>
    <row r="6" spans="1:7" ht="24" customHeight="1" x14ac:dyDescent="0.3">
      <c r="A6" s="59" t="s">
        <v>29</v>
      </c>
      <c r="B6" s="60"/>
      <c r="C6" s="60"/>
      <c r="D6" s="60"/>
      <c r="E6" s="60"/>
      <c r="F6" s="60"/>
      <c r="G6" s="60"/>
    </row>
    <row r="7" spans="1:7" ht="22.05" customHeight="1" x14ac:dyDescent="0.3">
      <c r="A7" s="12" t="s">
        <v>30</v>
      </c>
      <c r="B7" s="23" t="s">
        <v>31</v>
      </c>
      <c r="C7" s="24">
        <v>65</v>
      </c>
      <c r="D7" s="25">
        <v>53.5</v>
      </c>
      <c r="E7" s="26">
        <f>C7*D7</f>
        <v>3477.5</v>
      </c>
      <c r="F7" s="12"/>
      <c r="G7" s="27"/>
    </row>
    <row r="8" spans="1:7" ht="22.05" customHeight="1" x14ac:dyDescent="0.3">
      <c r="A8" s="12" t="s">
        <v>32</v>
      </c>
      <c r="B8" s="23" t="s">
        <v>33</v>
      </c>
      <c r="C8" s="24"/>
      <c r="D8" s="25">
        <v>53.5</v>
      </c>
      <c r="E8" s="26">
        <f>C8*D8</f>
        <v>0</v>
      </c>
      <c r="F8" s="12"/>
      <c r="G8" s="27"/>
    </row>
    <row r="9" spans="1:7" ht="22.05" customHeight="1" x14ac:dyDescent="0.3">
      <c r="A9" s="28" t="s">
        <v>34</v>
      </c>
      <c r="B9" s="29" t="s">
        <v>35</v>
      </c>
      <c r="C9" s="30">
        <v>0</v>
      </c>
      <c r="D9" s="29" t="s">
        <v>36</v>
      </c>
      <c r="E9" s="29" t="s">
        <v>36</v>
      </c>
      <c r="F9" s="31" t="s">
        <v>37</v>
      </c>
      <c r="G9" s="31"/>
    </row>
    <row r="10" spans="1:7" ht="22.05" customHeight="1" x14ac:dyDescent="0.3">
      <c r="A10" s="28" t="s">
        <v>38</v>
      </c>
      <c r="B10" s="29" t="s">
        <v>35</v>
      </c>
      <c r="C10" s="30">
        <v>0</v>
      </c>
      <c r="D10" s="29" t="s">
        <v>36</v>
      </c>
      <c r="E10" s="32" t="s">
        <v>36</v>
      </c>
      <c r="F10" s="31" t="s">
        <v>37</v>
      </c>
      <c r="G10" s="31"/>
    </row>
    <row r="11" spans="1:7" ht="24" customHeight="1" x14ac:dyDescent="0.3">
      <c r="A11" s="53" t="s">
        <v>39</v>
      </c>
      <c r="B11" s="54"/>
      <c r="C11" s="54"/>
      <c r="D11" s="54"/>
      <c r="E11" s="54"/>
      <c r="F11" s="54"/>
      <c r="G11" s="54"/>
    </row>
    <row r="12" spans="1:7" ht="22.05" customHeight="1" x14ac:dyDescent="0.3">
      <c r="A12" s="33" t="s">
        <v>40</v>
      </c>
      <c r="B12" s="34"/>
      <c r="C12" s="34"/>
      <c r="D12" s="34"/>
      <c r="E12" s="35">
        <f>Resumo!$E$8</f>
        <v>0</v>
      </c>
      <c r="F12" s="36" t="s">
        <v>41</v>
      </c>
      <c r="G12" s="34"/>
    </row>
    <row r="13" spans="1:7" ht="22.05" customHeight="1" x14ac:dyDescent="0.3">
      <c r="A13" s="37" t="s">
        <v>42</v>
      </c>
      <c r="B13" s="38" t="s">
        <v>36</v>
      </c>
      <c r="C13" s="39" t="s">
        <v>36</v>
      </c>
      <c r="D13" s="40">
        <v>5.0000000000000001E-3</v>
      </c>
      <c r="E13" s="41">
        <f>E12*D13</f>
        <v>0</v>
      </c>
      <c r="F13" s="42" t="s">
        <v>43</v>
      </c>
      <c r="G13" s="43"/>
    </row>
    <row r="14" spans="1:7" ht="24" customHeight="1" x14ac:dyDescent="0.3">
      <c r="A14" s="55" t="s">
        <v>44</v>
      </c>
      <c r="B14" s="54"/>
      <c r="C14" s="54"/>
      <c r="D14" s="54"/>
      <c r="E14" s="54"/>
      <c r="F14" s="54"/>
      <c r="G14" s="56"/>
    </row>
    <row r="15" spans="1:7" ht="22.05" customHeight="1" x14ac:dyDescent="0.3">
      <c r="A15" s="12" t="s">
        <v>45</v>
      </c>
      <c r="B15" s="23" t="s">
        <v>46</v>
      </c>
      <c r="C15" s="24">
        <v>0</v>
      </c>
      <c r="D15" s="25">
        <v>30</v>
      </c>
      <c r="E15" s="26">
        <f>C15*D15</f>
        <v>0</v>
      </c>
      <c r="F15" s="12"/>
      <c r="G15" s="27"/>
    </row>
    <row r="16" spans="1:7" ht="22.05" customHeight="1" x14ac:dyDescent="0.3">
      <c r="A16" s="12" t="s">
        <v>47</v>
      </c>
      <c r="B16" s="23" t="s">
        <v>48</v>
      </c>
      <c r="C16" s="24">
        <v>0</v>
      </c>
      <c r="D16" s="25">
        <v>10</v>
      </c>
      <c r="E16" s="26">
        <f>C16*D16</f>
        <v>0</v>
      </c>
      <c r="F16" s="12"/>
      <c r="G16" s="27"/>
    </row>
    <row r="17" spans="1:7" ht="22.05" customHeight="1" x14ac:dyDescent="0.3">
      <c r="A17" s="12" t="s">
        <v>49</v>
      </c>
      <c r="B17" s="23" t="s">
        <v>50</v>
      </c>
      <c r="C17" s="24">
        <v>0</v>
      </c>
      <c r="D17" s="25">
        <v>350</v>
      </c>
      <c r="E17" s="26">
        <f>C17*D17</f>
        <v>0</v>
      </c>
      <c r="F17" s="12"/>
      <c r="G17" s="27"/>
    </row>
    <row r="18" spans="1:7" ht="24" customHeight="1" x14ac:dyDescent="0.3">
      <c r="A18" s="55" t="s">
        <v>51</v>
      </c>
      <c r="B18" s="54"/>
      <c r="C18" s="54"/>
      <c r="D18" s="54"/>
      <c r="E18" s="54"/>
      <c r="F18" s="54"/>
      <c r="G18" s="56"/>
    </row>
    <row r="19" spans="1:7" ht="22.05" customHeight="1" x14ac:dyDescent="0.3">
      <c r="A19" s="12" t="s">
        <v>52</v>
      </c>
      <c r="B19" s="23" t="s">
        <v>46</v>
      </c>
      <c r="C19" s="24">
        <v>0</v>
      </c>
      <c r="D19" s="25">
        <v>30</v>
      </c>
      <c r="E19" s="26">
        <f>C19*D19</f>
        <v>0</v>
      </c>
      <c r="F19" s="12"/>
      <c r="G19" s="27"/>
    </row>
    <row r="20" spans="1:7" ht="22.05" customHeight="1" x14ac:dyDescent="0.3">
      <c r="A20" s="12" t="s">
        <v>53</v>
      </c>
      <c r="B20" s="23" t="s">
        <v>48</v>
      </c>
      <c r="C20" s="24">
        <v>0</v>
      </c>
      <c r="D20" s="25">
        <v>10</v>
      </c>
      <c r="E20" s="26">
        <f>C20*D20</f>
        <v>0</v>
      </c>
      <c r="F20" s="12"/>
      <c r="G20" s="27"/>
    </row>
    <row r="21" spans="1:7" ht="22.05" customHeight="1" x14ac:dyDescent="0.3">
      <c r="A21" s="12" t="s">
        <v>54</v>
      </c>
      <c r="B21" s="23" t="s">
        <v>55</v>
      </c>
      <c r="C21" s="24">
        <v>0</v>
      </c>
      <c r="D21" s="25">
        <v>10</v>
      </c>
      <c r="E21" s="26">
        <f>C21*D21</f>
        <v>0</v>
      </c>
      <c r="F21" s="12"/>
      <c r="G21" s="27"/>
    </row>
    <row r="22" spans="1:7" ht="24" customHeight="1" x14ac:dyDescent="0.3">
      <c r="A22" s="55" t="s">
        <v>56</v>
      </c>
      <c r="B22" s="54"/>
      <c r="C22" s="54"/>
      <c r="D22" s="54"/>
      <c r="E22" s="54"/>
      <c r="F22" s="54"/>
      <c r="G22" s="56"/>
    </row>
    <row r="23" spans="1:7" ht="22.05" customHeight="1" x14ac:dyDescent="0.3">
      <c r="A23" s="12" t="s">
        <v>57</v>
      </c>
      <c r="B23" s="23" t="s">
        <v>58</v>
      </c>
      <c r="C23" s="24">
        <v>1</v>
      </c>
      <c r="D23" s="25">
        <v>350</v>
      </c>
      <c r="E23" s="26">
        <f>C23*D23</f>
        <v>350</v>
      </c>
      <c r="F23" s="12"/>
      <c r="G23" s="27"/>
    </row>
    <row r="24" spans="1:7" ht="22.05" customHeight="1" x14ac:dyDescent="0.3">
      <c r="A24" s="12" t="s">
        <v>59</v>
      </c>
      <c r="B24" s="23" t="s">
        <v>60</v>
      </c>
      <c r="C24" s="24">
        <v>19</v>
      </c>
      <c r="D24" s="25">
        <v>20</v>
      </c>
      <c r="E24" s="26">
        <f>C24*D24</f>
        <v>380</v>
      </c>
      <c r="F24" s="12"/>
      <c r="G24" s="27"/>
    </row>
    <row r="25" spans="1:7" ht="22.05" customHeight="1" x14ac:dyDescent="0.3">
      <c r="A25" s="12" t="s">
        <v>61</v>
      </c>
      <c r="B25" s="23" t="s">
        <v>62</v>
      </c>
      <c r="C25" s="24">
        <v>65</v>
      </c>
      <c r="D25" s="25">
        <v>1.2</v>
      </c>
      <c r="E25" s="26">
        <f>C25*D25</f>
        <v>78</v>
      </c>
      <c r="F25" s="12"/>
      <c r="G25" s="27"/>
    </row>
    <row r="26" spans="1:7" ht="22.05" customHeight="1" x14ac:dyDescent="0.3">
      <c r="A26" s="12" t="s">
        <v>63</v>
      </c>
      <c r="B26" s="23" t="s">
        <v>60</v>
      </c>
      <c r="C26" s="24">
        <v>0</v>
      </c>
      <c r="D26" s="25">
        <v>3</v>
      </c>
      <c r="E26" s="26">
        <f>C26*D26</f>
        <v>0</v>
      </c>
      <c r="F26" s="12"/>
      <c r="G26" s="27"/>
    </row>
    <row r="27" spans="1:7" ht="22.05" customHeight="1" x14ac:dyDescent="0.3">
      <c r="A27" s="12" t="s">
        <v>64</v>
      </c>
      <c r="B27" s="23" t="s">
        <v>65</v>
      </c>
      <c r="C27" s="24">
        <v>3471</v>
      </c>
      <c r="D27" s="44">
        <v>0.2</v>
      </c>
      <c r="E27" s="26">
        <f>C27*D27</f>
        <v>694.2</v>
      </c>
      <c r="F27" s="12"/>
      <c r="G27" s="27"/>
    </row>
    <row r="28" spans="1:7" ht="24" customHeight="1" x14ac:dyDescent="0.3">
      <c r="A28" s="55" t="s">
        <v>66</v>
      </c>
      <c r="B28" s="54"/>
      <c r="C28" s="54"/>
      <c r="D28" s="54"/>
      <c r="E28" s="54"/>
      <c r="F28" s="54"/>
      <c r="G28" s="56"/>
    </row>
    <row r="29" spans="1:7" ht="22.05" customHeight="1" x14ac:dyDescent="0.3">
      <c r="A29" s="12" t="s">
        <v>67</v>
      </c>
      <c r="B29" s="23" t="s">
        <v>68</v>
      </c>
      <c r="C29" s="24">
        <v>2</v>
      </c>
      <c r="D29" s="25">
        <v>184.68</v>
      </c>
      <c r="E29" s="26">
        <f>C29*D29</f>
        <v>369.36</v>
      </c>
      <c r="F29" s="12"/>
      <c r="G29" s="27"/>
    </row>
    <row r="30" spans="1:7" ht="22.05" customHeight="1" x14ac:dyDescent="0.3">
      <c r="A30" s="12" t="s">
        <v>69</v>
      </c>
      <c r="B30" s="23" t="s">
        <v>70</v>
      </c>
      <c r="C30" s="24">
        <v>0</v>
      </c>
      <c r="D30" s="25">
        <v>761.91</v>
      </c>
      <c r="E30" s="26">
        <f>C30*D30</f>
        <v>0</v>
      </c>
      <c r="F30" s="12"/>
      <c r="G30" s="27"/>
    </row>
    <row r="31" spans="1:7" ht="30" customHeight="1" x14ac:dyDescent="0.3">
      <c r="A31" s="4"/>
      <c r="E31" s="1"/>
      <c r="F31" s="2"/>
    </row>
    <row r="33" spans="1:7" ht="36" customHeight="1" x14ac:dyDescent="0.3">
      <c r="A33" s="51" t="s">
        <v>71</v>
      </c>
      <c r="B33" s="52"/>
      <c r="C33" s="52"/>
      <c r="D33" s="52"/>
      <c r="E33" s="45">
        <f>E7+E8+E13+SUM(E15:E17)+SUM(E19:E21)+SUM(E23:E27)+SUM(E29:E30)</f>
        <v>5349.0599999999995</v>
      </c>
      <c r="F33" s="46"/>
      <c r="G33" s="46"/>
    </row>
  </sheetData>
  <mergeCells count="9">
    <mergeCell ref="A33:D33"/>
    <mergeCell ref="A11:G11"/>
    <mergeCell ref="A28:G28"/>
    <mergeCell ref="A14:G14"/>
    <mergeCell ref="A1:G1"/>
    <mergeCell ref="A18:G18"/>
    <mergeCell ref="A6:G6"/>
    <mergeCell ref="A22:G22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9"/>
  <dimension ref="A1:G33"/>
  <sheetViews>
    <sheetView showGridLines="0" zoomScaleNormal="100" workbookViewId="0">
      <selection activeCell="A3" sqref="A3:F3"/>
    </sheetView>
  </sheetViews>
  <sheetFormatPr defaultColWidth="8.6640625" defaultRowHeight="14.4" x14ac:dyDescent="0.3"/>
  <cols>
    <col min="1" max="1" width="48" customWidth="1"/>
    <col min="2" max="2" width="14" customWidth="1"/>
    <col min="3" max="3" width="10" customWidth="1"/>
    <col min="4" max="4" width="18" customWidth="1"/>
    <col min="5" max="5" width="16" bestFit="1" customWidth="1"/>
    <col min="6" max="6" width="28" bestFit="1" customWidth="1"/>
    <col min="7" max="7" width="32" customWidth="1"/>
  </cols>
  <sheetData>
    <row r="1" spans="1:7" ht="31.95" customHeight="1" x14ac:dyDescent="0.3">
      <c r="A1" s="57" t="s">
        <v>21</v>
      </c>
      <c r="B1" s="58"/>
      <c r="C1" s="58"/>
      <c r="D1" s="58"/>
      <c r="E1" s="58"/>
      <c r="F1" s="58"/>
      <c r="G1" s="58"/>
    </row>
    <row r="2" spans="1:7" ht="22.05" customHeight="1" x14ac:dyDescent="0.3">
      <c r="A2" s="67" t="s">
        <v>78</v>
      </c>
      <c r="B2" s="58"/>
      <c r="C2" s="58"/>
      <c r="D2" s="58"/>
      <c r="E2" s="58"/>
      <c r="F2" s="58"/>
      <c r="G2" s="58"/>
    </row>
    <row r="3" spans="1:7" ht="4.5" customHeight="1" x14ac:dyDescent="0.3">
      <c r="A3" s="3"/>
    </row>
    <row r="4" spans="1:7" ht="9.75" customHeight="1" x14ac:dyDescent="0.3"/>
    <row r="5" spans="1:7" ht="30" customHeight="1" x14ac:dyDescent="0.3">
      <c r="A5" s="22" t="s">
        <v>22</v>
      </c>
      <c r="B5" s="22" t="s">
        <v>23</v>
      </c>
      <c r="C5" s="22" t="s">
        <v>24</v>
      </c>
      <c r="D5" s="22" t="s">
        <v>25</v>
      </c>
      <c r="E5" s="22" t="s">
        <v>26</v>
      </c>
      <c r="F5" s="22" t="s">
        <v>27</v>
      </c>
      <c r="G5" s="22" t="s">
        <v>28</v>
      </c>
    </row>
    <row r="6" spans="1:7" ht="24" customHeight="1" x14ac:dyDescent="0.3">
      <c r="A6" s="59" t="s">
        <v>29</v>
      </c>
      <c r="B6" s="60"/>
      <c r="C6" s="60"/>
      <c r="D6" s="60"/>
      <c r="E6" s="60"/>
      <c r="F6" s="60"/>
      <c r="G6" s="60"/>
    </row>
    <row r="7" spans="1:7" ht="22.05" customHeight="1" x14ac:dyDescent="0.3">
      <c r="A7" s="12" t="s">
        <v>30</v>
      </c>
      <c r="B7" s="23" t="s">
        <v>31</v>
      </c>
      <c r="C7" s="24">
        <v>65</v>
      </c>
      <c r="D7" s="25">
        <v>53.5</v>
      </c>
      <c r="E7" s="26">
        <f>C7*D7</f>
        <v>3477.5</v>
      </c>
      <c r="F7" s="12"/>
      <c r="G7" s="27"/>
    </row>
    <row r="8" spans="1:7" ht="22.05" customHeight="1" x14ac:dyDescent="0.3">
      <c r="A8" s="12" t="s">
        <v>32</v>
      </c>
      <c r="B8" s="23" t="s">
        <v>33</v>
      </c>
      <c r="C8" s="24"/>
      <c r="D8" s="25">
        <v>53.5</v>
      </c>
      <c r="E8" s="26">
        <f>C8*D8</f>
        <v>0</v>
      </c>
      <c r="F8" s="12"/>
      <c r="G8" s="27"/>
    </row>
    <row r="9" spans="1:7" ht="22.05" customHeight="1" x14ac:dyDescent="0.3">
      <c r="A9" s="28" t="s">
        <v>34</v>
      </c>
      <c r="B9" s="29" t="s">
        <v>35</v>
      </c>
      <c r="C9" s="30">
        <v>0</v>
      </c>
      <c r="D9" s="29" t="s">
        <v>36</v>
      </c>
      <c r="E9" s="29" t="s">
        <v>36</v>
      </c>
      <c r="F9" s="31" t="s">
        <v>37</v>
      </c>
      <c r="G9" s="31"/>
    </row>
    <row r="10" spans="1:7" ht="22.05" customHeight="1" x14ac:dyDescent="0.3">
      <c r="A10" s="28" t="s">
        <v>38</v>
      </c>
      <c r="B10" s="29" t="s">
        <v>35</v>
      </c>
      <c r="C10" s="30">
        <v>0</v>
      </c>
      <c r="D10" s="29" t="s">
        <v>36</v>
      </c>
      <c r="E10" s="32" t="s">
        <v>36</v>
      </c>
      <c r="F10" s="31" t="s">
        <v>37</v>
      </c>
      <c r="G10" s="31"/>
    </row>
    <row r="11" spans="1:7" ht="24" customHeight="1" x14ac:dyDescent="0.3">
      <c r="A11" s="53" t="s">
        <v>39</v>
      </c>
      <c r="B11" s="54"/>
      <c r="C11" s="54"/>
      <c r="D11" s="54"/>
      <c r="E11" s="54"/>
      <c r="F11" s="54"/>
      <c r="G11" s="54"/>
    </row>
    <row r="12" spans="1:7" ht="22.05" customHeight="1" x14ac:dyDescent="0.3">
      <c r="A12" s="33" t="s">
        <v>40</v>
      </c>
      <c r="B12" s="34"/>
      <c r="C12" s="34"/>
      <c r="D12" s="34"/>
      <c r="E12" s="35">
        <f>Resumo!$E$8</f>
        <v>0</v>
      </c>
      <c r="F12" s="36" t="s">
        <v>41</v>
      </c>
      <c r="G12" s="34"/>
    </row>
    <row r="13" spans="1:7" ht="22.05" customHeight="1" x14ac:dyDescent="0.3">
      <c r="A13" s="37" t="s">
        <v>42</v>
      </c>
      <c r="B13" s="38" t="s">
        <v>36</v>
      </c>
      <c r="C13" s="39" t="s">
        <v>36</v>
      </c>
      <c r="D13" s="40">
        <v>5.0000000000000001E-3</v>
      </c>
      <c r="E13" s="41">
        <f>E12*D13</f>
        <v>0</v>
      </c>
      <c r="F13" s="42" t="s">
        <v>43</v>
      </c>
      <c r="G13" s="43"/>
    </row>
    <row r="14" spans="1:7" ht="24" customHeight="1" x14ac:dyDescent="0.3">
      <c r="A14" s="55" t="s">
        <v>44</v>
      </c>
      <c r="B14" s="54"/>
      <c r="C14" s="54"/>
      <c r="D14" s="54"/>
      <c r="E14" s="54"/>
      <c r="F14" s="54"/>
      <c r="G14" s="56"/>
    </row>
    <row r="15" spans="1:7" ht="22.05" customHeight="1" x14ac:dyDescent="0.3">
      <c r="A15" s="12" t="s">
        <v>45</v>
      </c>
      <c r="B15" s="23" t="s">
        <v>46</v>
      </c>
      <c r="C15" s="24">
        <v>0</v>
      </c>
      <c r="D15" s="25">
        <v>30</v>
      </c>
      <c r="E15" s="26">
        <f>C15*D15</f>
        <v>0</v>
      </c>
      <c r="F15" s="12"/>
      <c r="G15" s="27"/>
    </row>
    <row r="16" spans="1:7" ht="22.05" customHeight="1" x14ac:dyDescent="0.3">
      <c r="A16" s="12" t="s">
        <v>47</v>
      </c>
      <c r="B16" s="23" t="s">
        <v>48</v>
      </c>
      <c r="C16" s="24">
        <v>0</v>
      </c>
      <c r="D16" s="25">
        <v>10</v>
      </c>
      <c r="E16" s="26">
        <f>C16*D16</f>
        <v>0</v>
      </c>
      <c r="F16" s="12"/>
      <c r="G16" s="27"/>
    </row>
    <row r="17" spans="1:7" ht="22.05" customHeight="1" x14ac:dyDescent="0.3">
      <c r="A17" s="12" t="s">
        <v>49</v>
      </c>
      <c r="B17" s="23" t="s">
        <v>50</v>
      </c>
      <c r="C17" s="24">
        <v>0</v>
      </c>
      <c r="D17" s="25">
        <v>350</v>
      </c>
      <c r="E17" s="26">
        <f>C17*D17</f>
        <v>0</v>
      </c>
      <c r="F17" s="12"/>
      <c r="G17" s="27"/>
    </row>
    <row r="18" spans="1:7" ht="24" customHeight="1" x14ac:dyDescent="0.3">
      <c r="A18" s="55" t="s">
        <v>51</v>
      </c>
      <c r="B18" s="54"/>
      <c r="C18" s="54"/>
      <c r="D18" s="54"/>
      <c r="E18" s="54"/>
      <c r="F18" s="54"/>
      <c r="G18" s="56"/>
    </row>
    <row r="19" spans="1:7" ht="22.05" customHeight="1" x14ac:dyDescent="0.3">
      <c r="A19" s="12" t="s">
        <v>52</v>
      </c>
      <c r="B19" s="23" t="s">
        <v>46</v>
      </c>
      <c r="C19" s="24">
        <v>0</v>
      </c>
      <c r="D19" s="25">
        <v>30</v>
      </c>
      <c r="E19" s="26">
        <f>C19*D19</f>
        <v>0</v>
      </c>
      <c r="F19" s="12"/>
      <c r="G19" s="27"/>
    </row>
    <row r="20" spans="1:7" ht="22.05" customHeight="1" x14ac:dyDescent="0.3">
      <c r="A20" s="12" t="s">
        <v>53</v>
      </c>
      <c r="B20" s="23" t="s">
        <v>48</v>
      </c>
      <c r="C20" s="24">
        <v>0</v>
      </c>
      <c r="D20" s="25">
        <v>10</v>
      </c>
      <c r="E20" s="26">
        <f>C20*D20</f>
        <v>0</v>
      </c>
      <c r="F20" s="12"/>
      <c r="G20" s="27"/>
    </row>
    <row r="21" spans="1:7" ht="22.05" customHeight="1" x14ac:dyDescent="0.3">
      <c r="A21" s="12" t="s">
        <v>54</v>
      </c>
      <c r="B21" s="23" t="s">
        <v>55</v>
      </c>
      <c r="C21" s="24">
        <v>0</v>
      </c>
      <c r="D21" s="25">
        <v>10</v>
      </c>
      <c r="E21" s="26">
        <f>C21*D21</f>
        <v>0</v>
      </c>
      <c r="F21" s="12"/>
      <c r="G21" s="27"/>
    </row>
    <row r="22" spans="1:7" ht="24" customHeight="1" x14ac:dyDescent="0.3">
      <c r="A22" s="55" t="s">
        <v>56</v>
      </c>
      <c r="B22" s="54"/>
      <c r="C22" s="54"/>
      <c r="D22" s="54"/>
      <c r="E22" s="54"/>
      <c r="F22" s="54"/>
      <c r="G22" s="56"/>
    </row>
    <row r="23" spans="1:7" ht="22.05" customHeight="1" x14ac:dyDescent="0.3">
      <c r="A23" s="12" t="s">
        <v>57</v>
      </c>
      <c r="B23" s="23" t="s">
        <v>58</v>
      </c>
      <c r="C23" s="24">
        <v>1</v>
      </c>
      <c r="D23" s="25">
        <v>350</v>
      </c>
      <c r="E23" s="26">
        <f>C23*D23</f>
        <v>350</v>
      </c>
      <c r="F23" s="12"/>
      <c r="G23" s="27"/>
    </row>
    <row r="24" spans="1:7" ht="22.05" customHeight="1" x14ac:dyDescent="0.3">
      <c r="A24" s="12" t="s">
        <v>59</v>
      </c>
      <c r="B24" s="23" t="s">
        <v>60</v>
      </c>
      <c r="C24" s="24">
        <v>19</v>
      </c>
      <c r="D24" s="25">
        <v>20</v>
      </c>
      <c r="E24" s="26">
        <f>C24*D24</f>
        <v>380</v>
      </c>
      <c r="F24" s="12"/>
      <c r="G24" s="27"/>
    </row>
    <row r="25" spans="1:7" ht="22.05" customHeight="1" x14ac:dyDescent="0.3">
      <c r="A25" s="12" t="s">
        <v>61</v>
      </c>
      <c r="B25" s="23" t="s">
        <v>62</v>
      </c>
      <c r="C25" s="24">
        <v>65</v>
      </c>
      <c r="D25" s="25">
        <v>1.2</v>
      </c>
      <c r="E25" s="26">
        <f>C25*D25</f>
        <v>78</v>
      </c>
      <c r="F25" s="12"/>
      <c r="G25" s="27"/>
    </row>
    <row r="26" spans="1:7" ht="22.05" customHeight="1" x14ac:dyDescent="0.3">
      <c r="A26" s="12" t="s">
        <v>63</v>
      </c>
      <c r="B26" s="23" t="s">
        <v>60</v>
      </c>
      <c r="C26" s="24">
        <v>0</v>
      </c>
      <c r="D26" s="25">
        <v>3</v>
      </c>
      <c r="E26" s="26">
        <f>C26*D26</f>
        <v>0</v>
      </c>
      <c r="F26" s="12"/>
      <c r="G26" s="27"/>
    </row>
    <row r="27" spans="1:7" ht="22.05" customHeight="1" x14ac:dyDescent="0.3">
      <c r="A27" s="12" t="s">
        <v>64</v>
      </c>
      <c r="B27" s="23" t="s">
        <v>65</v>
      </c>
      <c r="C27" s="24">
        <v>3471</v>
      </c>
      <c r="D27" s="44">
        <v>0.2</v>
      </c>
      <c r="E27" s="26">
        <f>C27*D27</f>
        <v>694.2</v>
      </c>
      <c r="F27" s="12"/>
      <c r="G27" s="27"/>
    </row>
    <row r="28" spans="1:7" ht="24" customHeight="1" x14ac:dyDescent="0.3">
      <c r="A28" s="55" t="s">
        <v>66</v>
      </c>
      <c r="B28" s="54"/>
      <c r="C28" s="54"/>
      <c r="D28" s="54"/>
      <c r="E28" s="54"/>
      <c r="F28" s="54"/>
      <c r="G28" s="56"/>
    </row>
    <row r="29" spans="1:7" ht="22.05" customHeight="1" x14ac:dyDescent="0.3">
      <c r="A29" s="12" t="s">
        <v>67</v>
      </c>
      <c r="B29" s="23" t="s">
        <v>68</v>
      </c>
      <c r="C29" s="24">
        <v>2</v>
      </c>
      <c r="D29" s="25">
        <v>184.68</v>
      </c>
      <c r="E29" s="26">
        <f>C29*D29</f>
        <v>369.36</v>
      </c>
      <c r="F29" s="12"/>
      <c r="G29" s="27"/>
    </row>
    <row r="30" spans="1:7" ht="22.05" customHeight="1" x14ac:dyDescent="0.3">
      <c r="A30" s="12" t="s">
        <v>69</v>
      </c>
      <c r="B30" s="23" t="s">
        <v>70</v>
      </c>
      <c r="C30" s="24">
        <v>0</v>
      </c>
      <c r="D30" s="25">
        <v>761.91</v>
      </c>
      <c r="E30" s="26">
        <f>C30*D30</f>
        <v>0</v>
      </c>
      <c r="F30" s="12"/>
      <c r="G30" s="27"/>
    </row>
    <row r="31" spans="1:7" ht="30" customHeight="1" x14ac:dyDescent="0.3">
      <c r="A31" s="4"/>
      <c r="E31" s="1"/>
      <c r="F31" s="2"/>
    </row>
    <row r="33" spans="1:7" ht="36" customHeight="1" x14ac:dyDescent="0.3">
      <c r="A33" s="51" t="s">
        <v>71</v>
      </c>
      <c r="B33" s="52"/>
      <c r="C33" s="52"/>
      <c r="D33" s="52"/>
      <c r="E33" s="45">
        <f>E7+E8+E13+SUM(E15:E17)+SUM(E19:E21)+SUM(E23:E27)+SUM(E29:E30)</f>
        <v>5349.0599999999995</v>
      </c>
      <c r="F33" s="46"/>
      <c r="G33" s="46"/>
    </row>
  </sheetData>
  <mergeCells count="9">
    <mergeCell ref="A33:D33"/>
    <mergeCell ref="A11:G11"/>
    <mergeCell ref="A28:G28"/>
    <mergeCell ref="A14:G14"/>
    <mergeCell ref="A1:G1"/>
    <mergeCell ref="A18:G18"/>
    <mergeCell ref="A6:G6"/>
    <mergeCell ref="A22:G22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MAIO 26</vt:lpstr>
      <vt:lpstr>JUNHO 26</vt:lpstr>
      <vt:lpstr>JULHO 26</vt:lpstr>
      <vt:lpstr>AGOSTO 26</vt:lpstr>
      <vt:lpstr>SETEMBRO 26</vt:lpstr>
      <vt:lpstr>OUTUBRO 26</vt:lpstr>
      <vt:lpstr>NOVEMBRO 26</vt:lpstr>
      <vt:lpstr>DEZEMBRO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Duarte</dc:creator>
  <cp:lastModifiedBy>Leonardo Duarte</cp:lastModifiedBy>
  <dcterms:created xsi:type="dcterms:W3CDTF">2026-03-18T21:24:27Z</dcterms:created>
  <dcterms:modified xsi:type="dcterms:W3CDTF">2026-06-30T20:19:50Z</dcterms:modified>
</cp:coreProperties>
</file>