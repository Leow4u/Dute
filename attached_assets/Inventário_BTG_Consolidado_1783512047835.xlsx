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utelog-my.sharepoint.com/personal/leonardo_dutelog_com_br/Documents/Pasta Profissional/Empresas/DUTELOG/Operacional/Armazenamento/BTG Pactual - Store/Armazenamento/"/>
    </mc:Choice>
  </mc:AlternateContent>
  <xr:revisionPtr revIDLastSave="521" documentId="11_D0FB7FA6B2F66DA3D90C207F576D44309154CEA8" xr6:coauthVersionLast="47" xr6:coauthVersionMax="47" xr10:uidLastSave="{2BCFBBEE-260D-478B-9F64-9160E62B1212}"/>
  <bookViews>
    <workbookView xWindow="-108" yWindow="-108" windowWidth="23256" windowHeight="13896" activeTab="2" xr2:uid="{00000000-000D-0000-FFFF-FFFF00000000}"/>
  </bookViews>
  <sheets>
    <sheet name="Dashboard" sheetId="1" r:id="rId1"/>
    <sheet name="Catálogo" sheetId="2" r:id="rId2"/>
    <sheet name="SKUs" sheetId="3" r:id="rId3"/>
    <sheet name="Movimentações" sheetId="4" r:id="rId4"/>
    <sheet name="Pedidos" sheetId="5" r:id="rId5"/>
    <sheet name="Mapa do Galpão" sheetId="6" r:id="rId6"/>
    <sheet name="Configurações" sheetId="7" r:id="rId7"/>
  </sheets>
  <definedNames>
    <definedName name="_xlnm._FilterDatabase" localSheetId="3" hidden="1">Movimentações!$A$5:$M$1332</definedName>
    <definedName name="_xlnm._FilterDatabase" localSheetId="4" hidden="1">Pedidos!$A$5:$N$405</definedName>
    <definedName name="_xlnm._FilterDatabase" localSheetId="2" hidden="1">SKUs!$A$5:$N$997</definedName>
    <definedName name="lstCategorias">Configurações!$B$5:$B$57</definedName>
    <definedName name="lstEstado">Configurações!$F$5:$F$8</definedName>
    <definedName name="lstEstoque">Configurações!$L$5:$L$6</definedName>
    <definedName name="lstTipos">Configurações!$I$5:$I$15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42" i="3" l="1"/>
  <c r="N542" i="3"/>
  <c r="P542" i="3"/>
  <c r="Q542" i="3"/>
  <c r="R542" i="3"/>
  <c r="T542" i="3"/>
  <c r="F1332" i="4"/>
  <c r="D1332" i="4"/>
  <c r="F1331" i="4"/>
  <c r="D1331" i="4"/>
  <c r="F1330" i="4"/>
  <c r="D1330" i="4"/>
  <c r="F1329" i="4"/>
  <c r="D1329" i="4"/>
  <c r="F1328" i="4"/>
  <c r="D1328" i="4"/>
  <c r="F1327" i="4"/>
  <c r="D1327" i="4"/>
  <c r="F1326" i="4"/>
  <c r="D1326" i="4"/>
  <c r="F1325" i="4"/>
  <c r="D1325" i="4"/>
  <c r="F1324" i="4"/>
  <c r="D1324" i="4"/>
  <c r="H20" i="6"/>
  <c r="F20" i="6"/>
  <c r="E15" i="6"/>
  <c r="B15" i="6"/>
  <c r="E14" i="6"/>
  <c r="B14" i="6"/>
  <c r="E8" i="6"/>
  <c r="B8" i="6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141" i="5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F1306" i="4"/>
  <c r="D1306" i="4"/>
  <c r="F1305" i="4"/>
  <c r="D1305" i="4"/>
  <c r="F1304" i="4"/>
  <c r="D1304" i="4"/>
  <c r="F1303" i="4"/>
  <c r="D1303" i="4"/>
  <c r="F1302" i="4"/>
  <c r="D1302" i="4"/>
  <c r="F1301" i="4"/>
  <c r="D1301" i="4"/>
  <c r="F1300" i="4"/>
  <c r="D1300" i="4"/>
  <c r="F1299" i="4"/>
  <c r="D1299" i="4"/>
  <c r="F1298" i="4"/>
  <c r="D1298" i="4"/>
  <c r="F1297" i="4"/>
  <c r="D1297" i="4"/>
  <c r="F1296" i="4"/>
  <c r="D1296" i="4"/>
  <c r="F1295" i="4"/>
  <c r="D1295" i="4"/>
  <c r="F1294" i="4"/>
  <c r="D1294" i="4"/>
  <c r="F1293" i="4"/>
  <c r="D1293" i="4"/>
  <c r="F1292" i="4"/>
  <c r="D1292" i="4"/>
  <c r="F1291" i="4"/>
  <c r="D1291" i="4"/>
  <c r="F1290" i="4"/>
  <c r="D1290" i="4"/>
  <c r="F1289" i="4"/>
  <c r="D1289" i="4"/>
  <c r="F1288" i="4"/>
  <c r="D1288" i="4"/>
  <c r="F1287" i="4"/>
  <c r="D1287" i="4"/>
  <c r="F1286" i="4"/>
  <c r="D1286" i="4"/>
  <c r="F1285" i="4"/>
  <c r="D1285" i="4"/>
  <c r="F1284" i="4"/>
  <c r="D1284" i="4"/>
  <c r="F1283" i="4"/>
  <c r="D1283" i="4"/>
  <c r="F1282" i="4"/>
  <c r="D1282" i="4"/>
  <c r="F1281" i="4"/>
  <c r="D1281" i="4"/>
  <c r="F1280" i="4"/>
  <c r="D1280" i="4"/>
  <c r="F1279" i="4"/>
  <c r="D1279" i="4"/>
  <c r="F1278" i="4"/>
  <c r="D1278" i="4"/>
  <c r="F1277" i="4"/>
  <c r="D1277" i="4"/>
  <c r="F1276" i="4"/>
  <c r="D1276" i="4"/>
  <c r="F1275" i="4"/>
  <c r="D1275" i="4"/>
  <c r="F1274" i="4"/>
  <c r="D1274" i="4"/>
  <c r="F1273" i="4"/>
  <c r="D1273" i="4"/>
  <c r="F1272" i="4"/>
  <c r="D1272" i="4"/>
  <c r="F1271" i="4"/>
  <c r="D1271" i="4"/>
  <c r="F1270" i="4"/>
  <c r="D1270" i="4"/>
  <c r="F1269" i="4"/>
  <c r="D1269" i="4"/>
  <c r="F1268" i="4"/>
  <c r="D1268" i="4"/>
  <c r="F1267" i="4"/>
  <c r="D1267" i="4"/>
  <c r="F1266" i="4"/>
  <c r="D1266" i="4"/>
  <c r="F1265" i="4"/>
  <c r="D1265" i="4"/>
  <c r="F1264" i="4"/>
  <c r="D1264" i="4"/>
  <c r="F1263" i="4"/>
  <c r="D1263" i="4"/>
  <c r="F1262" i="4"/>
  <c r="D1262" i="4"/>
  <c r="F1261" i="4"/>
  <c r="D1261" i="4"/>
  <c r="F1260" i="4"/>
  <c r="D1260" i="4"/>
  <c r="F1259" i="4"/>
  <c r="D1259" i="4"/>
  <c r="F1258" i="4"/>
  <c r="D1258" i="4"/>
  <c r="F1257" i="4"/>
  <c r="I937" i="3" s="1"/>
  <c r="D1257" i="4"/>
  <c r="F1256" i="4"/>
  <c r="I936" i="3" s="1"/>
  <c r="D1256" i="4"/>
  <c r="F1255" i="4"/>
  <c r="I935" i="3" s="1"/>
  <c r="D1255" i="4"/>
  <c r="F1254" i="4"/>
  <c r="I934" i="3" s="1"/>
  <c r="J607" i="2" s="1"/>
  <c r="D1254" i="4"/>
  <c r="F1253" i="4"/>
  <c r="I933" i="3" s="1"/>
  <c r="D1253" i="4"/>
  <c r="F1252" i="4"/>
  <c r="I932" i="3" s="1"/>
  <c r="D1252" i="4"/>
  <c r="F1251" i="4"/>
  <c r="I931" i="3" s="1"/>
  <c r="D1251" i="4"/>
  <c r="F1250" i="4"/>
  <c r="I930" i="3" s="1"/>
  <c r="D1250" i="4"/>
  <c r="F1249" i="4"/>
  <c r="I929" i="3" s="1"/>
  <c r="D1249" i="4"/>
  <c r="F1248" i="4"/>
  <c r="I928" i="3" s="1"/>
  <c r="D1248" i="4"/>
  <c r="F1247" i="4"/>
  <c r="I927" i="3" s="1"/>
  <c r="D1247" i="4"/>
  <c r="F1246" i="4"/>
  <c r="D1246" i="4"/>
  <c r="F1245" i="4"/>
  <c r="I925" i="3" s="1"/>
  <c r="D1245" i="4"/>
  <c r="F1244" i="4"/>
  <c r="I924" i="3" s="1"/>
  <c r="D1244" i="4"/>
  <c r="F1243" i="4"/>
  <c r="I923" i="3" s="1"/>
  <c r="D1243" i="4"/>
  <c r="F1242" i="4"/>
  <c r="I922" i="3" s="1"/>
  <c r="D1242" i="4"/>
  <c r="F1241" i="4"/>
  <c r="I921" i="3" s="1"/>
  <c r="D1241" i="4"/>
  <c r="F1240" i="4"/>
  <c r="I920" i="3" s="1"/>
  <c r="D1240" i="4"/>
  <c r="F1239" i="4"/>
  <c r="I919" i="3" s="1"/>
  <c r="D1239" i="4"/>
  <c r="F1238" i="4"/>
  <c r="I918" i="3" s="1"/>
  <c r="D1238" i="4"/>
  <c r="F1237" i="4"/>
  <c r="I917" i="3" s="1"/>
  <c r="D1237" i="4"/>
  <c r="F1236" i="4"/>
  <c r="I916" i="3" s="1"/>
  <c r="D1236" i="4"/>
  <c r="F1235" i="4"/>
  <c r="I915" i="3" s="1"/>
  <c r="D1235" i="4"/>
  <c r="F1234" i="4"/>
  <c r="I914" i="3" s="1"/>
  <c r="D1234" i="4"/>
  <c r="F1233" i="4"/>
  <c r="I913" i="3" s="1"/>
  <c r="D1233" i="4"/>
  <c r="F1232" i="4"/>
  <c r="I912" i="3" s="1"/>
  <c r="D1232" i="4"/>
  <c r="F1231" i="4"/>
  <c r="I911" i="3" s="1"/>
  <c r="D1231" i="4"/>
  <c r="F1230" i="4"/>
  <c r="I910" i="3" s="1"/>
  <c r="D1230" i="4"/>
  <c r="F1229" i="4"/>
  <c r="I909" i="3" s="1"/>
  <c r="D1229" i="4"/>
  <c r="F1228" i="4"/>
  <c r="I908" i="3" s="1"/>
  <c r="J595" i="2" s="1"/>
  <c r="V595" i="2" s="1"/>
  <c r="D1228" i="4"/>
  <c r="F1227" i="4"/>
  <c r="I907" i="3" s="1"/>
  <c r="J594" i="2" s="1"/>
  <c r="V594" i="2" s="1"/>
  <c r="D1227" i="4"/>
  <c r="F1226" i="4"/>
  <c r="I906" i="3" s="1"/>
  <c r="J593" i="2" s="1"/>
  <c r="V593" i="2" s="1"/>
  <c r="D1226" i="4"/>
  <c r="F1225" i="4"/>
  <c r="I905" i="3" s="1"/>
  <c r="J592" i="2" s="1"/>
  <c r="V592" i="2" s="1"/>
  <c r="D1225" i="4"/>
  <c r="F1224" i="4"/>
  <c r="I904" i="3" s="1"/>
  <c r="J591" i="2" s="1"/>
  <c r="D1224" i="4"/>
  <c r="F1223" i="4"/>
  <c r="I903" i="3" s="1"/>
  <c r="D1223" i="4"/>
  <c r="F1222" i="4"/>
  <c r="I902" i="3" s="1"/>
  <c r="D1222" i="4"/>
  <c r="F1221" i="4"/>
  <c r="I901" i="3" s="1"/>
  <c r="J589" i="2" s="1"/>
  <c r="V589" i="2" s="1"/>
  <c r="D1221" i="4"/>
  <c r="F1220" i="4"/>
  <c r="I900" i="3" s="1"/>
  <c r="J588" i="2" s="1"/>
  <c r="V588" i="2" s="1"/>
  <c r="D1220" i="4"/>
  <c r="F1219" i="4"/>
  <c r="I899" i="3" s="1"/>
  <c r="D1219" i="4"/>
  <c r="F1218" i="4"/>
  <c r="I898" i="3" s="1"/>
  <c r="J587" i="2" s="1"/>
  <c r="D1218" i="4"/>
  <c r="F1217" i="4"/>
  <c r="I897" i="3" s="1"/>
  <c r="D1217" i="4"/>
  <c r="F1216" i="4"/>
  <c r="I896" i="3" s="1"/>
  <c r="D1216" i="4"/>
  <c r="F1215" i="4"/>
  <c r="I895" i="3" s="1"/>
  <c r="J584" i="2" s="1"/>
  <c r="V584" i="2" s="1"/>
  <c r="D1215" i="4"/>
  <c r="F1214" i="4"/>
  <c r="I894" i="3" s="1"/>
  <c r="J583" i="2" s="1"/>
  <c r="V583" i="2" s="1"/>
  <c r="D1214" i="4"/>
  <c r="F1213" i="4"/>
  <c r="I893" i="3" s="1"/>
  <c r="J582" i="2" s="1"/>
  <c r="V582" i="2" s="1"/>
  <c r="D1213" i="4"/>
  <c r="F1212" i="4"/>
  <c r="D1212" i="4"/>
  <c r="F1211" i="4"/>
  <c r="I891" i="3" s="1"/>
  <c r="J581" i="2" s="1"/>
  <c r="D1211" i="4"/>
  <c r="F1210" i="4"/>
  <c r="I890" i="3" s="1"/>
  <c r="D1210" i="4"/>
  <c r="F1209" i="4"/>
  <c r="I889" i="3" s="1"/>
  <c r="J580" i="2" s="1"/>
  <c r="D1209" i="4"/>
  <c r="F1208" i="4"/>
  <c r="I888" i="3" s="1"/>
  <c r="J579" i="2" s="1"/>
  <c r="D1208" i="4"/>
  <c r="F1207" i="4"/>
  <c r="I887" i="3" s="1"/>
  <c r="J578" i="2" s="1"/>
  <c r="D1207" i="4"/>
  <c r="F1206" i="4"/>
  <c r="I886" i="3" s="1"/>
  <c r="D1206" i="4"/>
  <c r="F1205" i="4"/>
  <c r="I885" i="3" s="1"/>
  <c r="D1205" i="4"/>
  <c r="F1204" i="4"/>
  <c r="I884" i="3" s="1"/>
  <c r="J577" i="2" s="1"/>
  <c r="V577" i="2" s="1"/>
  <c r="D1204" i="4"/>
  <c r="F1203" i="4"/>
  <c r="I883" i="3" s="1"/>
  <c r="J576" i="2" s="1"/>
  <c r="V576" i="2" s="1"/>
  <c r="D1203" i="4"/>
  <c r="F1202" i="4"/>
  <c r="I882" i="3" s="1"/>
  <c r="J575" i="2" s="1"/>
  <c r="D1202" i="4"/>
  <c r="F1201" i="4"/>
  <c r="I881" i="3" s="1"/>
  <c r="J574" i="2" s="1"/>
  <c r="V574" i="2" s="1"/>
  <c r="D1201" i="4"/>
  <c r="F1200" i="4"/>
  <c r="I880" i="3" s="1"/>
  <c r="J573" i="2" s="1"/>
  <c r="V573" i="2" s="1"/>
  <c r="D1200" i="4"/>
  <c r="F1199" i="4"/>
  <c r="I879" i="3" s="1"/>
  <c r="J572" i="2" s="1"/>
  <c r="V572" i="2" s="1"/>
  <c r="D1199" i="4"/>
  <c r="F1198" i="4"/>
  <c r="I878" i="3" s="1"/>
  <c r="D1198" i="4"/>
  <c r="F1197" i="4"/>
  <c r="I877" i="3" s="1"/>
  <c r="J570" i="2" s="1"/>
  <c r="V570" i="2" s="1"/>
  <c r="D1197" i="4"/>
  <c r="F1196" i="4"/>
  <c r="I876" i="3" s="1"/>
  <c r="J569" i="2" s="1"/>
  <c r="V569" i="2" s="1"/>
  <c r="D1196" i="4"/>
  <c r="F1195" i="4"/>
  <c r="I875" i="3" s="1"/>
  <c r="D1195" i="4"/>
  <c r="F1194" i="4"/>
  <c r="I874" i="3" s="1"/>
  <c r="J568" i="2" s="1"/>
  <c r="V568" i="2" s="1"/>
  <c r="D1194" i="4"/>
  <c r="F1193" i="4"/>
  <c r="I873" i="3" s="1"/>
  <c r="J567" i="2" s="1"/>
  <c r="D1193" i="4"/>
  <c r="F1192" i="4"/>
  <c r="I872" i="3" s="1"/>
  <c r="D1192" i="4"/>
  <c r="F1191" i="4"/>
  <c r="I871" i="3" s="1"/>
  <c r="J566" i="2" s="1"/>
  <c r="V566" i="2" s="1"/>
  <c r="D1191" i="4"/>
  <c r="F1190" i="4"/>
  <c r="I870" i="3" s="1"/>
  <c r="D1190" i="4"/>
  <c r="F1189" i="4"/>
  <c r="I869" i="3" s="1"/>
  <c r="J565" i="2" s="1"/>
  <c r="V565" i="2" s="1"/>
  <c r="D1189" i="4"/>
  <c r="F1188" i="4"/>
  <c r="I868" i="3" s="1"/>
  <c r="J564" i="2" s="1"/>
  <c r="V564" i="2" s="1"/>
  <c r="D1188" i="4"/>
  <c r="F1187" i="4"/>
  <c r="I867" i="3" s="1"/>
  <c r="D1187" i="4"/>
  <c r="F1186" i="4"/>
  <c r="I866" i="3" s="1"/>
  <c r="D1186" i="4"/>
  <c r="F1185" i="4"/>
  <c r="I865" i="3" s="1"/>
  <c r="J563" i="2" s="1"/>
  <c r="D1185" i="4"/>
  <c r="F1184" i="4"/>
  <c r="I864" i="3" s="1"/>
  <c r="D1184" i="4"/>
  <c r="F1183" i="4"/>
  <c r="I863" i="3" s="1"/>
  <c r="J561" i="2" s="1"/>
  <c r="V561" i="2" s="1"/>
  <c r="D1183" i="4"/>
  <c r="F1182" i="4"/>
  <c r="I862" i="3" s="1"/>
  <c r="J560" i="2" s="1"/>
  <c r="V560" i="2" s="1"/>
  <c r="D1182" i="4"/>
  <c r="F1181" i="4"/>
  <c r="I861" i="3" s="1"/>
  <c r="J559" i="2" s="1"/>
  <c r="V559" i="2" s="1"/>
  <c r="D1181" i="4"/>
  <c r="F1180" i="4"/>
  <c r="I860" i="3" s="1"/>
  <c r="D1180" i="4"/>
  <c r="F1179" i="4"/>
  <c r="I859" i="3" s="1"/>
  <c r="J557" i="2" s="1"/>
  <c r="V557" i="2" s="1"/>
  <c r="D1179" i="4"/>
  <c r="F1178" i="4"/>
  <c r="I858" i="3" s="1"/>
  <c r="J556" i="2" s="1"/>
  <c r="V556" i="2" s="1"/>
  <c r="D1178" i="4"/>
  <c r="F1177" i="4"/>
  <c r="I857" i="3" s="1"/>
  <c r="J555" i="2" s="1"/>
  <c r="V555" i="2" s="1"/>
  <c r="D1177" i="4"/>
  <c r="F1176" i="4"/>
  <c r="I856" i="3" s="1"/>
  <c r="D1176" i="4"/>
  <c r="F1175" i="4"/>
  <c r="I855" i="3" s="1"/>
  <c r="D1175" i="4"/>
  <c r="F1174" i="4"/>
  <c r="I854" i="3" s="1"/>
  <c r="J553" i="2" s="1"/>
  <c r="V553" i="2" s="1"/>
  <c r="D1174" i="4"/>
  <c r="F1173" i="4"/>
  <c r="I853" i="3" s="1"/>
  <c r="J552" i="2" s="1"/>
  <c r="V552" i="2" s="1"/>
  <c r="D1173" i="4"/>
  <c r="F1172" i="4"/>
  <c r="I852" i="3" s="1"/>
  <c r="J551" i="2" s="1"/>
  <c r="D1172" i="4"/>
  <c r="F1171" i="4"/>
  <c r="I851" i="3" s="1"/>
  <c r="J550" i="2" s="1"/>
  <c r="V550" i="2" s="1"/>
  <c r="D1171" i="4"/>
  <c r="F1170" i="4"/>
  <c r="I850" i="3" s="1"/>
  <c r="J549" i="2" s="1"/>
  <c r="V549" i="2" s="1"/>
  <c r="D1170" i="4"/>
  <c r="F1169" i="4"/>
  <c r="I849" i="3" s="1"/>
  <c r="J548" i="2" s="1"/>
  <c r="V548" i="2" s="1"/>
  <c r="D1169" i="4"/>
  <c r="F1168" i="4"/>
  <c r="I848" i="3" s="1"/>
  <c r="J547" i="2" s="1"/>
  <c r="V547" i="2" s="1"/>
  <c r="D1168" i="4"/>
  <c r="F1167" i="4"/>
  <c r="I847" i="3" s="1"/>
  <c r="J546" i="2" s="1"/>
  <c r="V546" i="2" s="1"/>
  <c r="D1167" i="4"/>
  <c r="F1166" i="4"/>
  <c r="I846" i="3" s="1"/>
  <c r="J545" i="2" s="1"/>
  <c r="V545" i="2" s="1"/>
  <c r="D1166" i="4"/>
  <c r="F1165" i="4"/>
  <c r="I845" i="3" s="1"/>
  <c r="J544" i="2" s="1"/>
  <c r="D1165" i="4"/>
  <c r="F1164" i="4"/>
  <c r="I844" i="3" s="1"/>
  <c r="D1164" i="4"/>
  <c r="F1163" i="4"/>
  <c r="I843" i="3" s="1"/>
  <c r="D1163" i="4"/>
  <c r="F1162" i="4"/>
  <c r="I842" i="3" s="1"/>
  <c r="D1162" i="4"/>
  <c r="F1161" i="4"/>
  <c r="I841" i="3" s="1"/>
  <c r="D1161" i="4"/>
  <c r="F1160" i="4"/>
  <c r="I840" i="3" s="1"/>
  <c r="J542" i="2" s="1"/>
  <c r="D1160" i="4"/>
  <c r="F1159" i="4"/>
  <c r="I839" i="3" s="1"/>
  <c r="J541" i="2" s="1"/>
  <c r="V541" i="2" s="1"/>
  <c r="D1159" i="4"/>
  <c r="F1158" i="4"/>
  <c r="I838" i="3" s="1"/>
  <c r="J540" i="2" s="1"/>
  <c r="V540" i="2" s="1"/>
  <c r="D1158" i="4"/>
  <c r="F1157" i="4"/>
  <c r="I837" i="3" s="1"/>
  <c r="D1157" i="4"/>
  <c r="F1156" i="4"/>
  <c r="I836" i="3" s="1"/>
  <c r="D1156" i="4"/>
  <c r="F1155" i="4"/>
  <c r="I835" i="3" s="1"/>
  <c r="D1155" i="4"/>
  <c r="F1154" i="4"/>
  <c r="I834" i="3" s="1"/>
  <c r="J539" i="2" s="1"/>
  <c r="V539" i="2" s="1"/>
  <c r="D1154" i="4"/>
  <c r="F1153" i="4"/>
  <c r="I833" i="3" s="1"/>
  <c r="J538" i="2" s="1"/>
  <c r="V538" i="2" s="1"/>
  <c r="D1153" i="4"/>
  <c r="F1152" i="4"/>
  <c r="I832" i="3" s="1"/>
  <c r="J537" i="2" s="1"/>
  <c r="V537" i="2" s="1"/>
  <c r="D1152" i="4"/>
  <c r="F1151" i="4"/>
  <c r="I831" i="3" s="1"/>
  <c r="J536" i="2" s="1"/>
  <c r="V536" i="2" s="1"/>
  <c r="D1151" i="4"/>
  <c r="F1150" i="4"/>
  <c r="I830" i="3" s="1"/>
  <c r="J535" i="2" s="1"/>
  <c r="V535" i="2" s="1"/>
  <c r="D1150" i="4"/>
  <c r="F1149" i="4"/>
  <c r="I829" i="3" s="1"/>
  <c r="D1149" i="4"/>
  <c r="F1148" i="4"/>
  <c r="I828" i="3" s="1"/>
  <c r="D1148" i="4"/>
  <c r="F1147" i="4"/>
  <c r="I827" i="3" s="1"/>
  <c r="D1147" i="4"/>
  <c r="F1146" i="4"/>
  <c r="I826" i="3" s="1"/>
  <c r="D1146" i="4"/>
  <c r="F1145" i="4"/>
  <c r="I825" i="3" s="1"/>
  <c r="J534" i="2" s="1"/>
  <c r="V534" i="2" s="1"/>
  <c r="D1145" i="4"/>
  <c r="F1144" i="4"/>
  <c r="I824" i="3" s="1"/>
  <c r="J533" i="2" s="1"/>
  <c r="V533" i="2" s="1"/>
  <c r="D1144" i="4"/>
  <c r="F1143" i="4"/>
  <c r="I823" i="3" s="1"/>
  <c r="D1143" i="4"/>
  <c r="F1142" i="4"/>
  <c r="I822" i="3" s="1"/>
  <c r="D1142" i="4"/>
  <c r="F1141" i="4"/>
  <c r="I821" i="3" s="1"/>
  <c r="D1141" i="4"/>
  <c r="F1140" i="4"/>
  <c r="I820" i="3" s="1"/>
  <c r="J531" i="2" s="1"/>
  <c r="V531" i="2" s="1"/>
  <c r="D1140" i="4"/>
  <c r="F1139" i="4"/>
  <c r="I819" i="3" s="1"/>
  <c r="J530" i="2" s="1"/>
  <c r="V530" i="2" s="1"/>
  <c r="D1139" i="4"/>
  <c r="F1138" i="4"/>
  <c r="I818" i="3" s="1"/>
  <c r="D1138" i="4"/>
  <c r="F1137" i="4"/>
  <c r="I817" i="3" s="1"/>
  <c r="D1137" i="4"/>
  <c r="F1136" i="4"/>
  <c r="I816" i="3" s="1"/>
  <c r="D1136" i="4"/>
  <c r="F1135" i="4"/>
  <c r="I815" i="3" s="1"/>
  <c r="J528" i="2" s="1"/>
  <c r="V528" i="2" s="1"/>
  <c r="D1135" i="4"/>
  <c r="F1134" i="4"/>
  <c r="I814" i="3" s="1"/>
  <c r="J527" i="2" s="1"/>
  <c r="D1134" i="4"/>
  <c r="F1133" i="4"/>
  <c r="I813" i="3" s="1"/>
  <c r="D1133" i="4"/>
  <c r="F1132" i="4"/>
  <c r="I812" i="3" s="1"/>
  <c r="D1132" i="4"/>
  <c r="F1131" i="4"/>
  <c r="I811" i="3" s="1"/>
  <c r="D1131" i="4"/>
  <c r="F1130" i="4"/>
  <c r="I810" i="3" s="1"/>
  <c r="D1130" i="4"/>
  <c r="F1129" i="4"/>
  <c r="I809" i="3" s="1"/>
  <c r="D1129" i="4"/>
  <c r="F1128" i="4"/>
  <c r="I808" i="3" s="1"/>
  <c r="J524" i="2" s="1"/>
  <c r="V524" i="2" s="1"/>
  <c r="D1128" i="4"/>
  <c r="F1127" i="4"/>
  <c r="I807" i="3" s="1"/>
  <c r="D1127" i="4"/>
  <c r="F1126" i="4"/>
  <c r="I806" i="3" s="1"/>
  <c r="D1126" i="4"/>
  <c r="F1125" i="4"/>
  <c r="I805" i="3" s="1"/>
  <c r="D1125" i="4"/>
  <c r="F1124" i="4"/>
  <c r="I804" i="3" s="1"/>
  <c r="J521" i="2" s="1"/>
  <c r="V521" i="2" s="1"/>
  <c r="D1124" i="4"/>
  <c r="F1123" i="4"/>
  <c r="I803" i="3" s="1"/>
  <c r="D1123" i="4"/>
  <c r="F1122" i="4"/>
  <c r="I802" i="3" s="1"/>
  <c r="D1122" i="4"/>
  <c r="F1121" i="4"/>
  <c r="I801" i="3" s="1"/>
  <c r="J519" i="2" s="1"/>
  <c r="V519" i="2" s="1"/>
  <c r="D1121" i="4"/>
  <c r="F1120" i="4"/>
  <c r="I800" i="3" s="1"/>
  <c r="J518" i="2" s="1"/>
  <c r="D1120" i="4"/>
  <c r="F1119" i="4"/>
  <c r="I799" i="3" s="1"/>
  <c r="J517" i="2" s="1"/>
  <c r="V517" i="2" s="1"/>
  <c r="D1119" i="4"/>
  <c r="F1118" i="4"/>
  <c r="I798" i="3" s="1"/>
  <c r="D1118" i="4"/>
  <c r="F1117" i="4"/>
  <c r="I797" i="3" s="1"/>
  <c r="D1117" i="4"/>
  <c r="F1116" i="4"/>
  <c r="I796" i="3" s="1"/>
  <c r="D1116" i="4"/>
  <c r="F1115" i="4"/>
  <c r="I795" i="3" s="1"/>
  <c r="D1115" i="4"/>
  <c r="F1114" i="4"/>
  <c r="I794" i="3" s="1"/>
  <c r="D1114" i="4"/>
  <c r="F1113" i="4"/>
  <c r="I793" i="3" s="1"/>
  <c r="D1113" i="4"/>
  <c r="F1112" i="4"/>
  <c r="I792" i="3" s="1"/>
  <c r="D1112" i="4"/>
  <c r="F1111" i="4"/>
  <c r="I791" i="3" s="1"/>
  <c r="J515" i="2" s="1"/>
  <c r="D1111" i="4"/>
  <c r="F1110" i="4"/>
  <c r="I790" i="3" s="1"/>
  <c r="J514" i="2" s="1"/>
  <c r="V514" i="2" s="1"/>
  <c r="D1110" i="4"/>
  <c r="F1109" i="4"/>
  <c r="I789" i="3" s="1"/>
  <c r="D1109" i="4"/>
  <c r="F1108" i="4"/>
  <c r="I788" i="3" s="1"/>
  <c r="D1108" i="4"/>
  <c r="F1107" i="4"/>
  <c r="I787" i="3" s="1"/>
  <c r="D1107" i="4"/>
  <c r="F1106" i="4"/>
  <c r="I786" i="3" s="1"/>
  <c r="J512" i="2" s="1"/>
  <c r="V512" i="2" s="1"/>
  <c r="D1106" i="4"/>
  <c r="F1105" i="4"/>
  <c r="I785" i="3" s="1"/>
  <c r="J511" i="2" s="1"/>
  <c r="V511" i="2" s="1"/>
  <c r="D1105" i="4"/>
  <c r="F1104" i="4"/>
  <c r="I784" i="3" s="1"/>
  <c r="J510" i="2" s="1"/>
  <c r="V510" i="2" s="1"/>
  <c r="D1104" i="4"/>
  <c r="F1103" i="4"/>
  <c r="I783" i="3" s="1"/>
  <c r="D1103" i="4"/>
  <c r="F1102" i="4"/>
  <c r="I782" i="3" s="1"/>
  <c r="D1102" i="4"/>
  <c r="F1101" i="4"/>
  <c r="I781" i="3" s="1"/>
  <c r="D1101" i="4"/>
  <c r="F1100" i="4"/>
  <c r="I780" i="3" s="1"/>
  <c r="J506" i="2" s="1"/>
  <c r="D1100" i="4"/>
  <c r="F1099" i="4"/>
  <c r="I779" i="3" s="1"/>
  <c r="J505" i="2" s="1"/>
  <c r="V505" i="2" s="1"/>
  <c r="D1099" i="4"/>
  <c r="F1098" i="4"/>
  <c r="I778" i="3" s="1"/>
  <c r="J504" i="2" s="1"/>
  <c r="V504" i="2" s="1"/>
  <c r="D1098" i="4"/>
  <c r="F1097" i="4"/>
  <c r="I777" i="3" s="1"/>
  <c r="J503" i="2" s="1"/>
  <c r="V503" i="2" s="1"/>
  <c r="D1097" i="4"/>
  <c r="F1096" i="4"/>
  <c r="I776" i="3" s="1"/>
  <c r="J502" i="2" s="1"/>
  <c r="V502" i="2" s="1"/>
  <c r="D1096" i="4"/>
  <c r="F1095" i="4"/>
  <c r="I775" i="3" s="1"/>
  <c r="J501" i="2" s="1"/>
  <c r="V501" i="2" s="1"/>
  <c r="D1095" i="4"/>
  <c r="F1094" i="4"/>
  <c r="I774" i="3" s="1"/>
  <c r="J500" i="2" s="1"/>
  <c r="V500" i="2" s="1"/>
  <c r="D1094" i="4"/>
  <c r="F1093" i="4"/>
  <c r="I773" i="3" s="1"/>
  <c r="J499" i="2" s="1"/>
  <c r="V499" i="2" s="1"/>
  <c r="D1093" i="4"/>
  <c r="F1092" i="4"/>
  <c r="I772" i="3" s="1"/>
  <c r="J498" i="2" s="1"/>
  <c r="V498" i="2" s="1"/>
  <c r="D1092" i="4"/>
  <c r="F1091" i="4"/>
  <c r="I771" i="3" s="1"/>
  <c r="J497" i="2" s="1"/>
  <c r="V497" i="2" s="1"/>
  <c r="D1091" i="4"/>
  <c r="F1090" i="4"/>
  <c r="D1090" i="4"/>
  <c r="F1089" i="4"/>
  <c r="D1089" i="4"/>
  <c r="F1088" i="4"/>
  <c r="D1088" i="4"/>
  <c r="F1087" i="4"/>
  <c r="D1087" i="4"/>
  <c r="F1086" i="4"/>
  <c r="D1086" i="4"/>
  <c r="F1085" i="4"/>
  <c r="D1085" i="4"/>
  <c r="F1084" i="4"/>
  <c r="D1084" i="4"/>
  <c r="F1083" i="4"/>
  <c r="D1083" i="4"/>
  <c r="F1082" i="4"/>
  <c r="D1082" i="4"/>
  <c r="F1081" i="4"/>
  <c r="D1081" i="4"/>
  <c r="F1080" i="4"/>
  <c r="D1080" i="4"/>
  <c r="F1079" i="4"/>
  <c r="D1079" i="4"/>
  <c r="F1078" i="4"/>
  <c r="D1078" i="4"/>
  <c r="F1077" i="4"/>
  <c r="D1077" i="4"/>
  <c r="F1076" i="4"/>
  <c r="D1076" i="4"/>
  <c r="F1075" i="4"/>
  <c r="D1075" i="4"/>
  <c r="F1074" i="4"/>
  <c r="D1074" i="4"/>
  <c r="F1073" i="4"/>
  <c r="D1073" i="4"/>
  <c r="F1072" i="4"/>
  <c r="D1072" i="4"/>
  <c r="F1071" i="4"/>
  <c r="D1071" i="4"/>
  <c r="F1070" i="4"/>
  <c r="D1070" i="4"/>
  <c r="F1069" i="4"/>
  <c r="D1069" i="4"/>
  <c r="F1068" i="4"/>
  <c r="D1068" i="4"/>
  <c r="F1067" i="4"/>
  <c r="D1067" i="4"/>
  <c r="F1066" i="4"/>
  <c r="D1066" i="4"/>
  <c r="F1065" i="4"/>
  <c r="D1065" i="4"/>
  <c r="F1064" i="4"/>
  <c r="D1064" i="4"/>
  <c r="F1063" i="4"/>
  <c r="D1063" i="4"/>
  <c r="F1062" i="4"/>
  <c r="D1062" i="4"/>
  <c r="F1061" i="4"/>
  <c r="D1061" i="4"/>
  <c r="F1060" i="4"/>
  <c r="D1060" i="4"/>
  <c r="F1059" i="4"/>
  <c r="D1059" i="4"/>
  <c r="F1058" i="4"/>
  <c r="D1058" i="4"/>
  <c r="F1057" i="4"/>
  <c r="D1057" i="4"/>
  <c r="F1056" i="4"/>
  <c r="D1056" i="4"/>
  <c r="F1055" i="4"/>
  <c r="D1055" i="4"/>
  <c r="F1054" i="4"/>
  <c r="D1054" i="4"/>
  <c r="F1053" i="4"/>
  <c r="D1053" i="4"/>
  <c r="F1052" i="4"/>
  <c r="D1052" i="4"/>
  <c r="F1051" i="4"/>
  <c r="D1051" i="4"/>
  <c r="F1050" i="4"/>
  <c r="D1050" i="4"/>
  <c r="F1049" i="4"/>
  <c r="D1049" i="4"/>
  <c r="F1048" i="4"/>
  <c r="D1048" i="4"/>
  <c r="F1047" i="4"/>
  <c r="D1047" i="4"/>
  <c r="F1046" i="4"/>
  <c r="D1046" i="4"/>
  <c r="F1045" i="4"/>
  <c r="D1045" i="4"/>
  <c r="F1044" i="4"/>
  <c r="D1044" i="4"/>
  <c r="F1043" i="4"/>
  <c r="D1043" i="4"/>
  <c r="F1042" i="4"/>
  <c r="D1042" i="4"/>
  <c r="F1041" i="4"/>
  <c r="D1041" i="4"/>
  <c r="F1040" i="4"/>
  <c r="D1040" i="4"/>
  <c r="F1039" i="4"/>
  <c r="D1039" i="4"/>
  <c r="F1038" i="4"/>
  <c r="D1038" i="4"/>
  <c r="F1037" i="4"/>
  <c r="D1037" i="4"/>
  <c r="F1036" i="4"/>
  <c r="D1036" i="4"/>
  <c r="F1035" i="4"/>
  <c r="D1035" i="4"/>
  <c r="F1034" i="4"/>
  <c r="D1034" i="4"/>
  <c r="F1033" i="4"/>
  <c r="D1033" i="4"/>
  <c r="F1032" i="4"/>
  <c r="D1032" i="4"/>
  <c r="F1031" i="4"/>
  <c r="D1031" i="4"/>
  <c r="F1030" i="4"/>
  <c r="D1030" i="4"/>
  <c r="F1029" i="4"/>
  <c r="D1029" i="4"/>
  <c r="F1028" i="4"/>
  <c r="D1028" i="4"/>
  <c r="F1027" i="4"/>
  <c r="D1027" i="4"/>
  <c r="F1026" i="4"/>
  <c r="D1026" i="4"/>
  <c r="F1025" i="4"/>
  <c r="D1025" i="4"/>
  <c r="F1024" i="4"/>
  <c r="D1024" i="4"/>
  <c r="F1023" i="4"/>
  <c r="D1023" i="4"/>
  <c r="F1022" i="4"/>
  <c r="D1022" i="4"/>
  <c r="F1021" i="4"/>
  <c r="D1021" i="4"/>
  <c r="F1020" i="4"/>
  <c r="D1020" i="4"/>
  <c r="F1019" i="4"/>
  <c r="D1019" i="4"/>
  <c r="F1018" i="4"/>
  <c r="D1018" i="4"/>
  <c r="F1017" i="4"/>
  <c r="D1017" i="4"/>
  <c r="F1016" i="4"/>
  <c r="D1016" i="4"/>
  <c r="F1015" i="4"/>
  <c r="D1015" i="4"/>
  <c r="F1014" i="4"/>
  <c r="D1014" i="4"/>
  <c r="F1013" i="4"/>
  <c r="D1013" i="4"/>
  <c r="F1012" i="4"/>
  <c r="D1012" i="4"/>
  <c r="F1011" i="4"/>
  <c r="D1011" i="4"/>
  <c r="F1010" i="4"/>
  <c r="D1010" i="4"/>
  <c r="F1009" i="4"/>
  <c r="D1009" i="4"/>
  <c r="F1008" i="4"/>
  <c r="D1008" i="4"/>
  <c r="F1007" i="4"/>
  <c r="D1007" i="4"/>
  <c r="F1006" i="4"/>
  <c r="D1006" i="4"/>
  <c r="F1005" i="4"/>
  <c r="D1005" i="4"/>
  <c r="F1004" i="4"/>
  <c r="D1004" i="4"/>
  <c r="F1003" i="4"/>
  <c r="D1003" i="4"/>
  <c r="F1002" i="4"/>
  <c r="D1002" i="4"/>
  <c r="F1001" i="4"/>
  <c r="D1001" i="4"/>
  <c r="F1000" i="4"/>
  <c r="D1000" i="4"/>
  <c r="F999" i="4"/>
  <c r="D999" i="4"/>
  <c r="F998" i="4"/>
  <c r="D998" i="4"/>
  <c r="F997" i="4"/>
  <c r="D997" i="4"/>
  <c r="F996" i="4"/>
  <c r="D996" i="4"/>
  <c r="F995" i="4"/>
  <c r="D995" i="4"/>
  <c r="F994" i="4"/>
  <c r="D994" i="4"/>
  <c r="F993" i="4"/>
  <c r="D993" i="4"/>
  <c r="F992" i="4"/>
  <c r="D992" i="4"/>
  <c r="F991" i="4"/>
  <c r="D991" i="4"/>
  <c r="F990" i="4"/>
  <c r="D990" i="4"/>
  <c r="F989" i="4"/>
  <c r="D989" i="4"/>
  <c r="F988" i="4"/>
  <c r="D988" i="4"/>
  <c r="F987" i="4"/>
  <c r="D987" i="4"/>
  <c r="F986" i="4"/>
  <c r="D986" i="4"/>
  <c r="F985" i="4"/>
  <c r="D985" i="4"/>
  <c r="F984" i="4"/>
  <c r="D984" i="4"/>
  <c r="F983" i="4"/>
  <c r="D983" i="4"/>
  <c r="F982" i="4"/>
  <c r="D982" i="4"/>
  <c r="F981" i="4"/>
  <c r="D981" i="4"/>
  <c r="F980" i="4"/>
  <c r="D980" i="4"/>
  <c r="F979" i="4"/>
  <c r="D979" i="4"/>
  <c r="F978" i="4"/>
  <c r="D978" i="4"/>
  <c r="F977" i="4"/>
  <c r="D977" i="4"/>
  <c r="F976" i="4"/>
  <c r="D976" i="4"/>
  <c r="F975" i="4"/>
  <c r="D975" i="4"/>
  <c r="F974" i="4"/>
  <c r="D974" i="4"/>
  <c r="F973" i="4"/>
  <c r="D973" i="4"/>
  <c r="F972" i="4"/>
  <c r="D972" i="4"/>
  <c r="F971" i="4"/>
  <c r="D971" i="4"/>
  <c r="F970" i="4"/>
  <c r="D970" i="4"/>
  <c r="F969" i="4"/>
  <c r="D969" i="4"/>
  <c r="F968" i="4"/>
  <c r="D968" i="4"/>
  <c r="F967" i="4"/>
  <c r="D967" i="4"/>
  <c r="F966" i="4"/>
  <c r="D966" i="4"/>
  <c r="F965" i="4"/>
  <c r="D965" i="4"/>
  <c r="F964" i="4"/>
  <c r="D964" i="4"/>
  <c r="F963" i="4"/>
  <c r="D963" i="4"/>
  <c r="F962" i="4"/>
  <c r="D962" i="4"/>
  <c r="F961" i="4"/>
  <c r="D961" i="4"/>
  <c r="F960" i="4"/>
  <c r="D960" i="4"/>
  <c r="F959" i="4"/>
  <c r="D959" i="4"/>
  <c r="F958" i="4"/>
  <c r="D958" i="4"/>
  <c r="F957" i="4"/>
  <c r="D957" i="4"/>
  <c r="F956" i="4"/>
  <c r="D956" i="4"/>
  <c r="F955" i="4"/>
  <c r="D955" i="4"/>
  <c r="F954" i="4"/>
  <c r="D954" i="4"/>
  <c r="F953" i="4"/>
  <c r="D953" i="4"/>
  <c r="F952" i="4"/>
  <c r="D952" i="4"/>
  <c r="F951" i="4"/>
  <c r="D951" i="4"/>
  <c r="F950" i="4"/>
  <c r="D950" i="4"/>
  <c r="F949" i="4"/>
  <c r="D949" i="4"/>
  <c r="F948" i="4"/>
  <c r="D948" i="4"/>
  <c r="F947" i="4"/>
  <c r="D947" i="4"/>
  <c r="F946" i="4"/>
  <c r="D946" i="4"/>
  <c r="F945" i="4"/>
  <c r="D945" i="4"/>
  <c r="F944" i="4"/>
  <c r="D944" i="4"/>
  <c r="F943" i="4"/>
  <c r="D943" i="4"/>
  <c r="F942" i="4"/>
  <c r="D942" i="4"/>
  <c r="F941" i="4"/>
  <c r="D941" i="4"/>
  <c r="F940" i="4"/>
  <c r="D940" i="4"/>
  <c r="F939" i="4"/>
  <c r="D939" i="4"/>
  <c r="F938" i="4"/>
  <c r="D938" i="4"/>
  <c r="F937" i="4"/>
  <c r="D937" i="4"/>
  <c r="F936" i="4"/>
  <c r="D936" i="4"/>
  <c r="F935" i="4"/>
  <c r="D935" i="4"/>
  <c r="F934" i="4"/>
  <c r="D934" i="4"/>
  <c r="F933" i="4"/>
  <c r="D933" i="4"/>
  <c r="F932" i="4"/>
  <c r="D932" i="4"/>
  <c r="F931" i="4"/>
  <c r="D931" i="4"/>
  <c r="F930" i="4"/>
  <c r="D930" i="4"/>
  <c r="F929" i="4"/>
  <c r="D929" i="4"/>
  <c r="F928" i="4"/>
  <c r="D928" i="4"/>
  <c r="F927" i="4"/>
  <c r="D927" i="4"/>
  <c r="F926" i="4"/>
  <c r="D926" i="4"/>
  <c r="F925" i="4"/>
  <c r="D925" i="4"/>
  <c r="F924" i="4"/>
  <c r="D924" i="4"/>
  <c r="F923" i="4"/>
  <c r="D923" i="4"/>
  <c r="F922" i="4"/>
  <c r="D922" i="4"/>
  <c r="F921" i="4"/>
  <c r="D921" i="4"/>
  <c r="F920" i="4"/>
  <c r="D920" i="4"/>
  <c r="F919" i="4"/>
  <c r="D919" i="4"/>
  <c r="F918" i="4"/>
  <c r="D918" i="4"/>
  <c r="F917" i="4"/>
  <c r="D917" i="4"/>
  <c r="F916" i="4"/>
  <c r="D916" i="4"/>
  <c r="F915" i="4"/>
  <c r="D915" i="4"/>
  <c r="F914" i="4"/>
  <c r="D914" i="4"/>
  <c r="F913" i="4"/>
  <c r="D913" i="4"/>
  <c r="F912" i="4"/>
  <c r="D912" i="4"/>
  <c r="F911" i="4"/>
  <c r="D911" i="4"/>
  <c r="F910" i="4"/>
  <c r="D910" i="4"/>
  <c r="F909" i="4"/>
  <c r="D909" i="4"/>
  <c r="F908" i="4"/>
  <c r="D908" i="4"/>
  <c r="F907" i="4"/>
  <c r="D907" i="4"/>
  <c r="F906" i="4"/>
  <c r="D906" i="4"/>
  <c r="F905" i="4"/>
  <c r="D905" i="4"/>
  <c r="F904" i="4"/>
  <c r="D904" i="4"/>
  <c r="F903" i="4"/>
  <c r="D903" i="4"/>
  <c r="F902" i="4"/>
  <c r="D902" i="4"/>
  <c r="F901" i="4"/>
  <c r="D901" i="4"/>
  <c r="F900" i="4"/>
  <c r="D900" i="4"/>
  <c r="F899" i="4"/>
  <c r="D899" i="4"/>
  <c r="F898" i="4"/>
  <c r="D898" i="4"/>
  <c r="F897" i="4"/>
  <c r="D897" i="4"/>
  <c r="F896" i="4"/>
  <c r="D896" i="4"/>
  <c r="F895" i="4"/>
  <c r="D895" i="4"/>
  <c r="F894" i="4"/>
  <c r="D894" i="4"/>
  <c r="F893" i="4"/>
  <c r="D893" i="4"/>
  <c r="F892" i="4"/>
  <c r="D892" i="4"/>
  <c r="F891" i="4"/>
  <c r="D891" i="4"/>
  <c r="F890" i="4"/>
  <c r="D890" i="4"/>
  <c r="F889" i="4"/>
  <c r="D889" i="4"/>
  <c r="F888" i="4"/>
  <c r="D888" i="4"/>
  <c r="F887" i="4"/>
  <c r="D887" i="4"/>
  <c r="F886" i="4"/>
  <c r="D886" i="4"/>
  <c r="F885" i="4"/>
  <c r="D885" i="4"/>
  <c r="F884" i="4"/>
  <c r="D884" i="4"/>
  <c r="F883" i="4"/>
  <c r="D883" i="4"/>
  <c r="F882" i="4"/>
  <c r="D882" i="4"/>
  <c r="F881" i="4"/>
  <c r="D881" i="4"/>
  <c r="F880" i="4"/>
  <c r="D880" i="4"/>
  <c r="F879" i="4"/>
  <c r="D879" i="4"/>
  <c r="F878" i="4"/>
  <c r="D878" i="4"/>
  <c r="F877" i="4"/>
  <c r="D877" i="4"/>
  <c r="F876" i="4"/>
  <c r="D876" i="4"/>
  <c r="F875" i="4"/>
  <c r="D875" i="4"/>
  <c r="F874" i="4"/>
  <c r="D874" i="4"/>
  <c r="F873" i="4"/>
  <c r="D873" i="4"/>
  <c r="F872" i="4"/>
  <c r="D872" i="4"/>
  <c r="F871" i="4"/>
  <c r="D871" i="4"/>
  <c r="F870" i="4"/>
  <c r="D870" i="4"/>
  <c r="F869" i="4"/>
  <c r="D869" i="4"/>
  <c r="F868" i="4"/>
  <c r="D868" i="4"/>
  <c r="F867" i="4"/>
  <c r="D867" i="4"/>
  <c r="F866" i="4"/>
  <c r="D866" i="4"/>
  <c r="F865" i="4"/>
  <c r="D865" i="4"/>
  <c r="F864" i="4"/>
  <c r="D864" i="4"/>
  <c r="F863" i="4"/>
  <c r="D863" i="4"/>
  <c r="F862" i="4"/>
  <c r="D862" i="4"/>
  <c r="F861" i="4"/>
  <c r="D861" i="4"/>
  <c r="F860" i="4"/>
  <c r="D860" i="4"/>
  <c r="F859" i="4"/>
  <c r="D859" i="4"/>
  <c r="F858" i="4"/>
  <c r="D858" i="4"/>
  <c r="F857" i="4"/>
  <c r="D857" i="4"/>
  <c r="F856" i="4"/>
  <c r="D856" i="4"/>
  <c r="F855" i="4"/>
  <c r="D855" i="4"/>
  <c r="F854" i="4"/>
  <c r="D854" i="4"/>
  <c r="F853" i="4"/>
  <c r="D853" i="4"/>
  <c r="F852" i="4"/>
  <c r="D852" i="4"/>
  <c r="F851" i="4"/>
  <c r="D851" i="4"/>
  <c r="F850" i="4"/>
  <c r="D850" i="4"/>
  <c r="F849" i="4"/>
  <c r="D849" i="4"/>
  <c r="F848" i="4"/>
  <c r="D848" i="4"/>
  <c r="F847" i="4"/>
  <c r="D847" i="4"/>
  <c r="F846" i="4"/>
  <c r="D846" i="4"/>
  <c r="F845" i="4"/>
  <c r="D845" i="4"/>
  <c r="F844" i="4"/>
  <c r="D844" i="4"/>
  <c r="F843" i="4"/>
  <c r="D843" i="4"/>
  <c r="F842" i="4"/>
  <c r="D842" i="4"/>
  <c r="F841" i="4"/>
  <c r="D841" i="4"/>
  <c r="F840" i="4"/>
  <c r="D840" i="4"/>
  <c r="F839" i="4"/>
  <c r="D839" i="4"/>
  <c r="F838" i="4"/>
  <c r="D838" i="4"/>
  <c r="F837" i="4"/>
  <c r="D837" i="4"/>
  <c r="F836" i="4"/>
  <c r="D836" i="4"/>
  <c r="F835" i="4"/>
  <c r="D835" i="4"/>
  <c r="F834" i="4"/>
  <c r="D834" i="4"/>
  <c r="F833" i="4"/>
  <c r="D833" i="4"/>
  <c r="F832" i="4"/>
  <c r="D832" i="4"/>
  <c r="F831" i="4"/>
  <c r="D831" i="4"/>
  <c r="F830" i="4"/>
  <c r="D830" i="4"/>
  <c r="F829" i="4"/>
  <c r="D829" i="4"/>
  <c r="F828" i="4"/>
  <c r="D828" i="4"/>
  <c r="F827" i="4"/>
  <c r="D827" i="4"/>
  <c r="F826" i="4"/>
  <c r="D826" i="4"/>
  <c r="F825" i="4"/>
  <c r="D825" i="4"/>
  <c r="F824" i="4"/>
  <c r="D824" i="4"/>
  <c r="F823" i="4"/>
  <c r="D823" i="4"/>
  <c r="F822" i="4"/>
  <c r="D822" i="4"/>
  <c r="F821" i="4"/>
  <c r="D821" i="4"/>
  <c r="F820" i="4"/>
  <c r="D820" i="4"/>
  <c r="F819" i="4"/>
  <c r="D819" i="4"/>
  <c r="F818" i="4"/>
  <c r="D818" i="4"/>
  <c r="F817" i="4"/>
  <c r="D817" i="4"/>
  <c r="F816" i="4"/>
  <c r="D816" i="4"/>
  <c r="F815" i="4"/>
  <c r="D815" i="4"/>
  <c r="F814" i="4"/>
  <c r="D814" i="4"/>
  <c r="F813" i="4"/>
  <c r="D813" i="4"/>
  <c r="F812" i="4"/>
  <c r="I769" i="3" s="1"/>
  <c r="D812" i="4"/>
  <c r="F811" i="4"/>
  <c r="I768" i="3" s="1"/>
  <c r="D811" i="4"/>
  <c r="F810" i="4"/>
  <c r="I767" i="3" s="1"/>
  <c r="D810" i="4"/>
  <c r="F809" i="4"/>
  <c r="I766" i="3" s="1"/>
  <c r="D809" i="4"/>
  <c r="F808" i="4"/>
  <c r="I765" i="3" s="1"/>
  <c r="D808" i="4"/>
  <c r="F807" i="4"/>
  <c r="I764" i="3" s="1"/>
  <c r="D807" i="4"/>
  <c r="F806" i="4"/>
  <c r="I763" i="3" s="1"/>
  <c r="D806" i="4"/>
  <c r="F805" i="4"/>
  <c r="I762" i="3" s="1"/>
  <c r="D805" i="4"/>
  <c r="F804" i="4"/>
  <c r="I761" i="3" s="1"/>
  <c r="D804" i="4"/>
  <c r="F803" i="4"/>
  <c r="I760" i="3" s="1"/>
  <c r="D803" i="4"/>
  <c r="F802" i="4"/>
  <c r="I759" i="3" s="1"/>
  <c r="D802" i="4"/>
  <c r="F801" i="4"/>
  <c r="I758" i="3" s="1"/>
  <c r="D801" i="4"/>
  <c r="F800" i="4"/>
  <c r="I757" i="3" s="1"/>
  <c r="D800" i="4"/>
  <c r="F799" i="4"/>
  <c r="I756" i="3" s="1"/>
  <c r="D799" i="4"/>
  <c r="F798" i="4"/>
  <c r="I755" i="3" s="1"/>
  <c r="D798" i="4"/>
  <c r="F797" i="4"/>
  <c r="I754" i="3" s="1"/>
  <c r="D797" i="4"/>
  <c r="F796" i="4"/>
  <c r="I753" i="3" s="1"/>
  <c r="D796" i="4"/>
  <c r="F795" i="4"/>
  <c r="I752" i="3" s="1"/>
  <c r="D795" i="4"/>
  <c r="F794" i="4"/>
  <c r="I751" i="3" s="1"/>
  <c r="D794" i="4"/>
  <c r="F793" i="4"/>
  <c r="I750" i="3" s="1"/>
  <c r="D793" i="4"/>
  <c r="F792" i="4"/>
  <c r="I749" i="3" s="1"/>
  <c r="D792" i="4"/>
  <c r="F791" i="4"/>
  <c r="I748" i="3" s="1"/>
  <c r="D791" i="4"/>
  <c r="F790" i="4"/>
  <c r="I747" i="3" s="1"/>
  <c r="D790" i="4"/>
  <c r="F789" i="4"/>
  <c r="I746" i="3" s="1"/>
  <c r="D789" i="4"/>
  <c r="F788" i="4"/>
  <c r="I745" i="3" s="1"/>
  <c r="D788" i="4"/>
  <c r="F787" i="4"/>
  <c r="I744" i="3" s="1"/>
  <c r="D787" i="4"/>
  <c r="F786" i="4"/>
  <c r="I743" i="3" s="1"/>
  <c r="D786" i="4"/>
  <c r="F785" i="4"/>
  <c r="I742" i="3" s="1"/>
  <c r="D785" i="4"/>
  <c r="F784" i="4"/>
  <c r="I741" i="3" s="1"/>
  <c r="D784" i="4"/>
  <c r="F783" i="4"/>
  <c r="I740" i="3" s="1"/>
  <c r="D783" i="4"/>
  <c r="F782" i="4"/>
  <c r="I739" i="3" s="1"/>
  <c r="D782" i="4"/>
  <c r="F781" i="4"/>
  <c r="I738" i="3" s="1"/>
  <c r="D781" i="4"/>
  <c r="F780" i="4"/>
  <c r="I737" i="3" s="1"/>
  <c r="D780" i="4"/>
  <c r="F779" i="4"/>
  <c r="I736" i="3" s="1"/>
  <c r="D779" i="4"/>
  <c r="F778" i="4"/>
  <c r="I735" i="3" s="1"/>
  <c r="D778" i="4"/>
  <c r="F777" i="4"/>
  <c r="I734" i="3" s="1"/>
  <c r="D777" i="4"/>
  <c r="F776" i="4"/>
  <c r="I733" i="3" s="1"/>
  <c r="D776" i="4"/>
  <c r="F775" i="4"/>
  <c r="I732" i="3" s="1"/>
  <c r="D775" i="4"/>
  <c r="F774" i="4"/>
  <c r="I731" i="3" s="1"/>
  <c r="D774" i="4"/>
  <c r="F773" i="4"/>
  <c r="I730" i="3" s="1"/>
  <c r="D773" i="4"/>
  <c r="F772" i="4"/>
  <c r="I729" i="3" s="1"/>
  <c r="D772" i="4"/>
  <c r="F771" i="4"/>
  <c r="I728" i="3" s="1"/>
  <c r="D771" i="4"/>
  <c r="F770" i="4"/>
  <c r="I727" i="3" s="1"/>
  <c r="D770" i="4"/>
  <c r="F769" i="4"/>
  <c r="I726" i="3" s="1"/>
  <c r="D769" i="4"/>
  <c r="F768" i="4"/>
  <c r="I725" i="3" s="1"/>
  <c r="D768" i="4"/>
  <c r="F767" i="4"/>
  <c r="I724" i="3" s="1"/>
  <c r="D767" i="4"/>
  <c r="F766" i="4"/>
  <c r="I723" i="3" s="1"/>
  <c r="D766" i="4"/>
  <c r="F765" i="4"/>
  <c r="I722" i="3" s="1"/>
  <c r="D765" i="4"/>
  <c r="F764" i="4"/>
  <c r="I721" i="3" s="1"/>
  <c r="D764" i="4"/>
  <c r="F763" i="4"/>
  <c r="I720" i="3" s="1"/>
  <c r="D763" i="4"/>
  <c r="F762" i="4"/>
  <c r="I719" i="3" s="1"/>
  <c r="D762" i="4"/>
  <c r="F761" i="4"/>
  <c r="I718" i="3" s="1"/>
  <c r="D761" i="4"/>
  <c r="F760" i="4"/>
  <c r="I717" i="3" s="1"/>
  <c r="D760" i="4"/>
  <c r="F759" i="4"/>
  <c r="I716" i="3" s="1"/>
  <c r="D759" i="4"/>
  <c r="F758" i="4"/>
  <c r="D758" i="4"/>
  <c r="F757" i="4"/>
  <c r="I714" i="3" s="1"/>
  <c r="D757" i="4"/>
  <c r="F756" i="4"/>
  <c r="I713" i="3" s="1"/>
  <c r="D756" i="4"/>
  <c r="F755" i="4"/>
  <c r="D755" i="4"/>
  <c r="F754" i="4"/>
  <c r="I711" i="3" s="1"/>
  <c r="D754" i="4"/>
  <c r="F753" i="4"/>
  <c r="I710" i="3" s="1"/>
  <c r="D753" i="4"/>
  <c r="F752" i="4"/>
  <c r="I709" i="3" s="1"/>
  <c r="D752" i="4"/>
  <c r="F751" i="4"/>
  <c r="I708" i="3" s="1"/>
  <c r="J491" i="2" s="1"/>
  <c r="V491" i="2" s="1"/>
  <c r="D751" i="4"/>
  <c r="F750" i="4"/>
  <c r="I707" i="3" s="1"/>
  <c r="D750" i="4"/>
  <c r="F749" i="4"/>
  <c r="I706" i="3" s="1"/>
  <c r="D749" i="4"/>
  <c r="F748" i="4"/>
  <c r="I705" i="3" s="1"/>
  <c r="D748" i="4"/>
  <c r="F747" i="4"/>
  <c r="I704" i="3" s="1"/>
  <c r="D747" i="4"/>
  <c r="F746" i="4"/>
  <c r="I703" i="3" s="1"/>
  <c r="D746" i="4"/>
  <c r="F745" i="4"/>
  <c r="I702" i="3" s="1"/>
  <c r="D745" i="4"/>
  <c r="F744" i="4"/>
  <c r="I701" i="3" s="1"/>
  <c r="D744" i="4"/>
  <c r="F743" i="4"/>
  <c r="I700" i="3" s="1"/>
  <c r="D743" i="4"/>
  <c r="F742" i="4"/>
  <c r="I699" i="3" s="1"/>
  <c r="D742" i="4"/>
  <c r="F741" i="4"/>
  <c r="I698" i="3" s="1"/>
  <c r="D741" i="4"/>
  <c r="F740" i="4"/>
  <c r="I697" i="3" s="1"/>
  <c r="D740" i="4"/>
  <c r="F739" i="4"/>
  <c r="I696" i="3" s="1"/>
  <c r="D739" i="4"/>
  <c r="F738" i="4"/>
  <c r="I695" i="3" s="1"/>
  <c r="D738" i="4"/>
  <c r="F737" i="4"/>
  <c r="I694" i="3" s="1"/>
  <c r="D737" i="4"/>
  <c r="F736" i="4"/>
  <c r="I693" i="3" s="1"/>
  <c r="D736" i="4"/>
  <c r="F735" i="4"/>
  <c r="I692" i="3" s="1"/>
  <c r="D735" i="4"/>
  <c r="F734" i="4"/>
  <c r="D734" i="4"/>
  <c r="F733" i="4"/>
  <c r="D733" i="4"/>
  <c r="F732" i="4"/>
  <c r="D732" i="4"/>
  <c r="F731" i="4"/>
  <c r="D731" i="4"/>
  <c r="F730" i="4"/>
  <c r="D730" i="4"/>
  <c r="F729" i="4"/>
  <c r="D729" i="4"/>
  <c r="F728" i="4"/>
  <c r="D728" i="4"/>
  <c r="F727" i="4"/>
  <c r="D727" i="4"/>
  <c r="F726" i="4"/>
  <c r="I683" i="3" s="1"/>
  <c r="D726" i="4"/>
  <c r="F725" i="4"/>
  <c r="I682" i="3" s="1"/>
  <c r="D725" i="4"/>
  <c r="F724" i="4"/>
  <c r="I681" i="3" s="1"/>
  <c r="D724" i="4"/>
  <c r="F723" i="4"/>
  <c r="I680" i="3" s="1"/>
  <c r="D723" i="4"/>
  <c r="F722" i="4"/>
  <c r="I679" i="3" s="1"/>
  <c r="D722" i="4"/>
  <c r="F721" i="4"/>
  <c r="I678" i="3" s="1"/>
  <c r="D721" i="4"/>
  <c r="F720" i="4"/>
  <c r="I677" i="3" s="1"/>
  <c r="D720" i="4"/>
  <c r="F719" i="4"/>
  <c r="I676" i="3" s="1"/>
  <c r="D719" i="4"/>
  <c r="F718" i="4"/>
  <c r="I675" i="3" s="1"/>
  <c r="D718" i="4"/>
  <c r="F717" i="4"/>
  <c r="I674" i="3" s="1"/>
  <c r="D717" i="4"/>
  <c r="F716" i="4"/>
  <c r="D716" i="4"/>
  <c r="F715" i="4"/>
  <c r="D715" i="4"/>
  <c r="F714" i="4"/>
  <c r="I671" i="3" s="1"/>
  <c r="D714" i="4"/>
  <c r="F713" i="4"/>
  <c r="I670" i="3" s="1"/>
  <c r="D713" i="4"/>
  <c r="F712" i="4"/>
  <c r="I669" i="3" s="1"/>
  <c r="D712" i="4"/>
  <c r="F711" i="4"/>
  <c r="I668" i="3" s="1"/>
  <c r="D711" i="4"/>
  <c r="F710" i="4"/>
  <c r="I667" i="3" s="1"/>
  <c r="D710" i="4"/>
  <c r="F709" i="4"/>
  <c r="I666" i="3" s="1"/>
  <c r="D709" i="4"/>
  <c r="F708" i="4"/>
  <c r="D708" i="4"/>
  <c r="F707" i="4"/>
  <c r="I664" i="3" s="1"/>
  <c r="J485" i="2" s="1"/>
  <c r="V485" i="2" s="1"/>
  <c r="D707" i="4"/>
  <c r="F706" i="4"/>
  <c r="I663" i="3" s="1"/>
  <c r="J484" i="2" s="1"/>
  <c r="D706" i="4"/>
  <c r="F705" i="4"/>
  <c r="I662" i="3" s="1"/>
  <c r="J483" i="2" s="1"/>
  <c r="V483" i="2" s="1"/>
  <c r="D705" i="4"/>
  <c r="F704" i="4"/>
  <c r="I661" i="3" s="1"/>
  <c r="J482" i="2" s="1"/>
  <c r="V482" i="2" s="1"/>
  <c r="D704" i="4"/>
  <c r="F703" i="4"/>
  <c r="I660" i="3" s="1"/>
  <c r="J481" i="2" s="1"/>
  <c r="D703" i="4"/>
  <c r="F702" i="4"/>
  <c r="I659" i="3" s="1"/>
  <c r="J480" i="2" s="1"/>
  <c r="V480" i="2" s="1"/>
  <c r="D702" i="4"/>
  <c r="F701" i="4"/>
  <c r="I658" i="3" s="1"/>
  <c r="J479" i="2" s="1"/>
  <c r="V479" i="2" s="1"/>
  <c r="D701" i="4"/>
  <c r="F700" i="4"/>
  <c r="I657" i="3" s="1"/>
  <c r="J478" i="2" s="1"/>
  <c r="V478" i="2" s="1"/>
  <c r="D700" i="4"/>
  <c r="F699" i="4"/>
  <c r="I656" i="3" s="1"/>
  <c r="J477" i="2" s="1"/>
  <c r="D699" i="4"/>
  <c r="F698" i="4"/>
  <c r="I655" i="3" s="1"/>
  <c r="J476" i="2" s="1"/>
  <c r="D698" i="4"/>
  <c r="F697" i="4"/>
  <c r="I654" i="3" s="1"/>
  <c r="J475" i="2" s="1"/>
  <c r="D697" i="4"/>
  <c r="F696" i="4"/>
  <c r="I653" i="3" s="1"/>
  <c r="J474" i="2" s="1"/>
  <c r="D696" i="4"/>
  <c r="F695" i="4"/>
  <c r="I652" i="3" s="1"/>
  <c r="J473" i="2" s="1"/>
  <c r="V473" i="2" s="1"/>
  <c r="D695" i="4"/>
  <c r="F694" i="4"/>
  <c r="I651" i="3" s="1"/>
  <c r="J472" i="2" s="1"/>
  <c r="D694" i="4"/>
  <c r="F693" i="4"/>
  <c r="D693" i="4"/>
  <c r="F692" i="4"/>
  <c r="I649" i="3" s="1"/>
  <c r="D692" i="4"/>
  <c r="F691" i="4"/>
  <c r="I648" i="3" s="1"/>
  <c r="D691" i="4"/>
  <c r="F690" i="4"/>
  <c r="I647" i="3" s="1"/>
  <c r="D690" i="4"/>
  <c r="F689" i="4"/>
  <c r="I646" i="3" s="1"/>
  <c r="D689" i="4"/>
  <c r="F688" i="4"/>
  <c r="D688" i="4"/>
  <c r="F687" i="4"/>
  <c r="I644" i="3" s="1"/>
  <c r="D687" i="4"/>
  <c r="F686" i="4"/>
  <c r="I643" i="3" s="1"/>
  <c r="D686" i="4"/>
  <c r="F685" i="4"/>
  <c r="I642" i="3" s="1"/>
  <c r="J20" i="6" s="1"/>
  <c r="D685" i="4"/>
  <c r="F684" i="4"/>
  <c r="D684" i="4"/>
  <c r="F683" i="4"/>
  <c r="D683" i="4"/>
  <c r="F682" i="4"/>
  <c r="I639" i="3" s="1"/>
  <c r="D682" i="4"/>
  <c r="F681" i="4"/>
  <c r="I638" i="3" s="1"/>
  <c r="D681" i="4"/>
  <c r="F680" i="4"/>
  <c r="I637" i="3" s="1"/>
  <c r="D680" i="4"/>
  <c r="F679" i="4"/>
  <c r="I636" i="3" s="1"/>
  <c r="J471" i="2" s="1"/>
  <c r="V471" i="2" s="1"/>
  <c r="D679" i="4"/>
  <c r="F678" i="4"/>
  <c r="I635" i="3" s="1"/>
  <c r="J470" i="2" s="1"/>
  <c r="V470" i="2" s="1"/>
  <c r="D678" i="4"/>
  <c r="F677" i="4"/>
  <c r="I634" i="3" s="1"/>
  <c r="J469" i="2" s="1"/>
  <c r="D677" i="4"/>
  <c r="F676" i="4"/>
  <c r="I633" i="3" s="1"/>
  <c r="J468" i="2" s="1"/>
  <c r="D676" i="4"/>
  <c r="F675" i="4"/>
  <c r="I632" i="3" s="1"/>
  <c r="J467" i="2" s="1"/>
  <c r="V467" i="2" s="1"/>
  <c r="D675" i="4"/>
  <c r="F674" i="4"/>
  <c r="I631" i="3" s="1"/>
  <c r="D674" i="4"/>
  <c r="F673" i="4"/>
  <c r="I630" i="3" s="1"/>
  <c r="D673" i="4"/>
  <c r="F672" i="4"/>
  <c r="D672" i="4"/>
  <c r="F671" i="4"/>
  <c r="I628" i="3" s="1"/>
  <c r="D671" i="4"/>
  <c r="F670" i="4"/>
  <c r="D670" i="4"/>
  <c r="F669" i="4"/>
  <c r="I626" i="3" s="1"/>
  <c r="D669" i="4"/>
  <c r="F668" i="4"/>
  <c r="D668" i="4"/>
  <c r="F667" i="4"/>
  <c r="I624" i="3" s="1"/>
  <c r="D667" i="4"/>
  <c r="F666" i="4"/>
  <c r="D666" i="4"/>
  <c r="F665" i="4"/>
  <c r="I622" i="3" s="1"/>
  <c r="D665" i="4"/>
  <c r="F664" i="4"/>
  <c r="I621" i="3" s="1"/>
  <c r="D664" i="4"/>
  <c r="F663" i="4"/>
  <c r="I620" i="3" s="1"/>
  <c r="D663" i="4"/>
  <c r="F662" i="4"/>
  <c r="D662" i="4"/>
  <c r="F661" i="4"/>
  <c r="I618" i="3" s="1"/>
  <c r="D661" i="4"/>
  <c r="F660" i="4"/>
  <c r="I617" i="3" s="1"/>
  <c r="D660" i="4"/>
  <c r="F659" i="4"/>
  <c r="I616" i="3" s="1"/>
  <c r="D659" i="4"/>
  <c r="F658" i="4"/>
  <c r="I615" i="3" s="1"/>
  <c r="D658" i="4"/>
  <c r="F657" i="4"/>
  <c r="I614" i="3" s="1"/>
  <c r="D657" i="4"/>
  <c r="F656" i="4"/>
  <c r="I613" i="3" s="1"/>
  <c r="D656" i="4"/>
  <c r="F655" i="4"/>
  <c r="D655" i="4"/>
  <c r="F654" i="4"/>
  <c r="I611" i="3" s="1"/>
  <c r="D654" i="4"/>
  <c r="F653" i="4"/>
  <c r="I610" i="3" s="1"/>
  <c r="D653" i="4"/>
  <c r="F652" i="4"/>
  <c r="D652" i="4"/>
  <c r="F651" i="4"/>
  <c r="I608" i="3" s="1"/>
  <c r="D651" i="4"/>
  <c r="F650" i="4"/>
  <c r="I607" i="3" s="1"/>
  <c r="J464" i="2" s="1"/>
  <c r="V464" i="2" s="1"/>
  <c r="D650" i="4"/>
  <c r="F649" i="4"/>
  <c r="I606" i="3" s="1"/>
  <c r="D649" i="4"/>
  <c r="F648" i="4"/>
  <c r="D648" i="4"/>
  <c r="F647" i="4"/>
  <c r="I604" i="3" s="1"/>
  <c r="J462" i="2" s="1"/>
  <c r="D647" i="4"/>
  <c r="F646" i="4"/>
  <c r="I603" i="3" s="1"/>
  <c r="D646" i="4"/>
  <c r="F645" i="4"/>
  <c r="I602" i="3" s="1"/>
  <c r="D645" i="4"/>
  <c r="F644" i="4"/>
  <c r="I601" i="3" s="1"/>
  <c r="J461" i="2" s="1"/>
  <c r="V461" i="2" s="1"/>
  <c r="D644" i="4"/>
  <c r="F643" i="4"/>
  <c r="I600" i="3" s="1"/>
  <c r="D643" i="4"/>
  <c r="F642" i="4"/>
  <c r="I599" i="3" s="1"/>
  <c r="J460" i="2" s="1"/>
  <c r="V460" i="2" s="1"/>
  <c r="D642" i="4"/>
  <c r="F641" i="4"/>
  <c r="I598" i="3" s="1"/>
  <c r="D641" i="4"/>
  <c r="F640" i="4"/>
  <c r="I597" i="3" s="1"/>
  <c r="D640" i="4"/>
  <c r="F639" i="4"/>
  <c r="I596" i="3" s="1"/>
  <c r="D639" i="4"/>
  <c r="F638" i="4"/>
  <c r="I595" i="3" s="1"/>
  <c r="D638" i="4"/>
  <c r="F637" i="4"/>
  <c r="I594" i="3" s="1"/>
  <c r="D637" i="4"/>
  <c r="F636" i="4"/>
  <c r="I593" i="3" s="1"/>
  <c r="J458" i="2" s="1"/>
  <c r="D636" i="4"/>
  <c r="F635" i="4"/>
  <c r="I592" i="3" s="1"/>
  <c r="J457" i="2" s="1"/>
  <c r="D635" i="4"/>
  <c r="F634" i="4"/>
  <c r="I591" i="3" s="1"/>
  <c r="D634" i="4"/>
  <c r="F633" i="4"/>
  <c r="D633" i="4"/>
  <c r="F632" i="4"/>
  <c r="D632" i="4"/>
  <c r="F631" i="4"/>
  <c r="D631" i="4"/>
  <c r="F630" i="4"/>
  <c r="I587" i="3" s="1"/>
  <c r="D630" i="4"/>
  <c r="F629" i="4"/>
  <c r="D629" i="4"/>
  <c r="F628" i="4"/>
  <c r="I585" i="3" s="1"/>
  <c r="D628" i="4"/>
  <c r="F627" i="4"/>
  <c r="D627" i="4"/>
  <c r="F626" i="4"/>
  <c r="D626" i="4"/>
  <c r="F625" i="4"/>
  <c r="I582" i="3" s="1"/>
  <c r="D625" i="4"/>
  <c r="F624" i="4"/>
  <c r="I581" i="3" s="1"/>
  <c r="D624" i="4"/>
  <c r="F623" i="4"/>
  <c r="I580" i="3" s="1"/>
  <c r="D623" i="4"/>
  <c r="F622" i="4"/>
  <c r="I579" i="3" s="1"/>
  <c r="D622" i="4"/>
  <c r="F621" i="4"/>
  <c r="D621" i="4"/>
  <c r="F620" i="4"/>
  <c r="I577" i="3" s="1"/>
  <c r="D620" i="4"/>
  <c r="F619" i="4"/>
  <c r="I576" i="3" s="1"/>
  <c r="D619" i="4"/>
  <c r="F618" i="4"/>
  <c r="D618" i="4"/>
  <c r="F617" i="4"/>
  <c r="D617" i="4"/>
  <c r="F616" i="4"/>
  <c r="D616" i="4"/>
  <c r="F615" i="4"/>
  <c r="D615" i="4"/>
  <c r="F614" i="4"/>
  <c r="D614" i="4"/>
  <c r="F613" i="4"/>
  <c r="D613" i="4"/>
  <c r="F612" i="4"/>
  <c r="D612" i="4"/>
  <c r="F611" i="4"/>
  <c r="D611" i="4"/>
  <c r="F610" i="4"/>
  <c r="D610" i="4"/>
  <c r="F609" i="4"/>
  <c r="I571" i="3" s="1"/>
  <c r="D609" i="4"/>
  <c r="F608" i="4"/>
  <c r="I570" i="3" s="1"/>
  <c r="D608" i="4"/>
  <c r="F607" i="4"/>
  <c r="D607" i="4"/>
  <c r="F606" i="4"/>
  <c r="I568" i="3" s="1"/>
  <c r="D606" i="4"/>
  <c r="F605" i="4"/>
  <c r="D605" i="4"/>
  <c r="F604" i="4"/>
  <c r="D604" i="4"/>
  <c r="F603" i="4"/>
  <c r="I566" i="3" s="1"/>
  <c r="D603" i="4"/>
  <c r="F602" i="4"/>
  <c r="I565" i="3" s="1"/>
  <c r="D602" i="4"/>
  <c r="F601" i="4"/>
  <c r="I564" i="3" s="1"/>
  <c r="D601" i="4"/>
  <c r="F600" i="4"/>
  <c r="I563" i="3" s="1"/>
  <c r="J454" i="2" s="1"/>
  <c r="D600" i="4"/>
  <c r="F599" i="4"/>
  <c r="I562" i="3" s="1"/>
  <c r="J453" i="2" s="1"/>
  <c r="D599" i="4"/>
  <c r="F598" i="4"/>
  <c r="I561" i="3" s="1"/>
  <c r="D598" i="4"/>
  <c r="F597" i="4"/>
  <c r="I560" i="3" s="1"/>
  <c r="D597" i="4"/>
  <c r="F596" i="4"/>
  <c r="I559" i="3" s="1"/>
  <c r="J452" i="2" s="1"/>
  <c r="V452" i="2" s="1"/>
  <c r="D596" i="4"/>
  <c r="F595" i="4"/>
  <c r="I558" i="3" s="1"/>
  <c r="J451" i="2" s="1"/>
  <c r="D595" i="4"/>
  <c r="F594" i="4"/>
  <c r="D594" i="4"/>
  <c r="F593" i="4"/>
  <c r="I556" i="3" s="1"/>
  <c r="D593" i="4"/>
  <c r="F592" i="4"/>
  <c r="I555" i="3" s="1"/>
  <c r="D592" i="4"/>
  <c r="F591" i="4"/>
  <c r="D591" i="4"/>
  <c r="F590" i="4"/>
  <c r="D590" i="4"/>
  <c r="F589" i="4"/>
  <c r="I552" i="3" s="1"/>
  <c r="D589" i="4"/>
  <c r="F588" i="4"/>
  <c r="I551" i="3" s="1"/>
  <c r="D588" i="4"/>
  <c r="F587" i="4"/>
  <c r="D587" i="4"/>
  <c r="F586" i="4"/>
  <c r="I549" i="3" s="1"/>
  <c r="D586" i="4"/>
  <c r="F585" i="4"/>
  <c r="I548" i="3" s="1"/>
  <c r="D585" i="4"/>
  <c r="F584" i="4"/>
  <c r="I547" i="3" s="1"/>
  <c r="D584" i="4"/>
  <c r="F583" i="4"/>
  <c r="I546" i="3" s="1"/>
  <c r="D583" i="4"/>
  <c r="F582" i="4"/>
  <c r="I545" i="3" s="1"/>
  <c r="D582" i="4"/>
  <c r="F581" i="4"/>
  <c r="I544" i="3" s="1"/>
  <c r="D581" i="4"/>
  <c r="F580" i="4"/>
  <c r="I543" i="3" s="1"/>
  <c r="J446" i="2" s="1"/>
  <c r="D580" i="4"/>
  <c r="F579" i="4"/>
  <c r="D579" i="4"/>
  <c r="F578" i="4"/>
  <c r="I541" i="3" s="1"/>
  <c r="D578" i="4"/>
  <c r="F577" i="4"/>
  <c r="I540" i="3" s="1"/>
  <c r="D577" i="4"/>
  <c r="F576" i="4"/>
  <c r="I539" i="3" s="1"/>
  <c r="J443" i="2" s="1"/>
  <c r="V443" i="2" s="1"/>
  <c r="D576" i="4"/>
  <c r="F575" i="4"/>
  <c r="I538" i="3" s="1"/>
  <c r="D575" i="4"/>
  <c r="F574" i="4"/>
  <c r="I537" i="3" s="1"/>
  <c r="D574" i="4"/>
  <c r="F573" i="4"/>
  <c r="I536" i="3" s="1"/>
  <c r="D573" i="4"/>
  <c r="F572" i="4"/>
  <c r="I535" i="3" s="1"/>
  <c r="D572" i="4"/>
  <c r="F571" i="4"/>
  <c r="I534" i="3" s="1"/>
  <c r="D571" i="4"/>
  <c r="F570" i="4"/>
  <c r="I533" i="3" s="1"/>
  <c r="D570" i="4"/>
  <c r="F569" i="4"/>
  <c r="I532" i="3" s="1"/>
  <c r="D569" i="4"/>
  <c r="F568" i="4"/>
  <c r="I531" i="3" s="1"/>
  <c r="D568" i="4"/>
  <c r="F567" i="4"/>
  <c r="I530" i="3" s="1"/>
  <c r="D567" i="4"/>
  <c r="F566" i="4"/>
  <c r="I529" i="3" s="1"/>
  <c r="D566" i="4"/>
  <c r="F565" i="4"/>
  <c r="I528" i="3" s="1"/>
  <c r="D565" i="4"/>
  <c r="F564" i="4"/>
  <c r="I527" i="3" s="1"/>
  <c r="D564" i="4"/>
  <c r="F563" i="4"/>
  <c r="I526" i="3" s="1"/>
  <c r="D563" i="4"/>
  <c r="F562" i="4"/>
  <c r="I525" i="3" s="1"/>
  <c r="D562" i="4"/>
  <c r="F561" i="4"/>
  <c r="I524" i="3" s="1"/>
  <c r="D561" i="4"/>
  <c r="F560" i="4"/>
  <c r="I523" i="3" s="1"/>
  <c r="J435" i="2" s="1"/>
  <c r="V435" i="2" s="1"/>
  <c r="D560" i="4"/>
  <c r="F559" i="4"/>
  <c r="I522" i="3" s="1"/>
  <c r="D559" i="4"/>
  <c r="F558" i="4"/>
  <c r="I521" i="3" s="1"/>
  <c r="D558" i="4"/>
  <c r="F557" i="4"/>
  <c r="I520" i="3" s="1"/>
  <c r="D557" i="4"/>
  <c r="F556" i="4"/>
  <c r="I519" i="3" s="1"/>
  <c r="D556" i="4"/>
  <c r="F555" i="4"/>
  <c r="I518" i="3" s="1"/>
  <c r="D555" i="4"/>
  <c r="F554" i="4"/>
  <c r="I517" i="3" s="1"/>
  <c r="D554" i="4"/>
  <c r="F553" i="4"/>
  <c r="I516" i="3" s="1"/>
  <c r="D553" i="4"/>
  <c r="F552" i="4"/>
  <c r="I515" i="3" s="1"/>
  <c r="D552" i="4"/>
  <c r="F551" i="4"/>
  <c r="I514" i="3" s="1"/>
  <c r="D551" i="4"/>
  <c r="F550" i="4"/>
  <c r="I513" i="3" s="1"/>
  <c r="D550" i="4"/>
  <c r="F549" i="4"/>
  <c r="I512" i="3" s="1"/>
  <c r="D549" i="4"/>
  <c r="F548" i="4"/>
  <c r="D548" i="4"/>
  <c r="F547" i="4"/>
  <c r="D547" i="4"/>
  <c r="F546" i="4"/>
  <c r="D546" i="4"/>
  <c r="F545" i="4"/>
  <c r="D545" i="4"/>
  <c r="F544" i="4"/>
  <c r="D544" i="4"/>
  <c r="F543" i="4"/>
  <c r="D543" i="4"/>
  <c r="F542" i="4"/>
  <c r="D542" i="4"/>
  <c r="F541" i="4"/>
  <c r="D541" i="4"/>
  <c r="F540" i="4"/>
  <c r="D540" i="4"/>
  <c r="F539" i="4"/>
  <c r="I502" i="3" s="1"/>
  <c r="D539" i="4"/>
  <c r="F538" i="4"/>
  <c r="I501" i="3" s="1"/>
  <c r="J430" i="2" s="1"/>
  <c r="D538" i="4"/>
  <c r="F537" i="4"/>
  <c r="I500" i="3" s="1"/>
  <c r="J429" i="2" s="1"/>
  <c r="D537" i="4"/>
  <c r="F536" i="4"/>
  <c r="I499" i="3" s="1"/>
  <c r="J428" i="2" s="1"/>
  <c r="V428" i="2" s="1"/>
  <c r="D536" i="4"/>
  <c r="F535" i="4"/>
  <c r="I498" i="3" s="1"/>
  <c r="D535" i="4"/>
  <c r="F534" i="4"/>
  <c r="I497" i="3" s="1"/>
  <c r="D534" i="4"/>
  <c r="F533" i="4"/>
  <c r="I496" i="3" s="1"/>
  <c r="J426" i="2" s="1"/>
  <c r="D533" i="4"/>
  <c r="F532" i="4"/>
  <c r="I495" i="3" s="1"/>
  <c r="J425" i="2" s="1"/>
  <c r="V425" i="2" s="1"/>
  <c r="D532" i="4"/>
  <c r="F531" i="4"/>
  <c r="I494" i="3" s="1"/>
  <c r="J424" i="2" s="1"/>
  <c r="V424" i="2" s="1"/>
  <c r="D531" i="4"/>
  <c r="F530" i="4"/>
  <c r="I493" i="3" s="1"/>
  <c r="J423" i="2" s="1"/>
  <c r="V423" i="2" s="1"/>
  <c r="D530" i="4"/>
  <c r="F529" i="4"/>
  <c r="I492" i="3" s="1"/>
  <c r="D529" i="4"/>
  <c r="F528" i="4"/>
  <c r="I491" i="3" s="1"/>
  <c r="J421" i="2" s="1"/>
  <c r="V421" i="2" s="1"/>
  <c r="D528" i="4"/>
  <c r="F527" i="4"/>
  <c r="I574" i="3" s="1"/>
  <c r="D527" i="4"/>
  <c r="F526" i="4"/>
  <c r="D526" i="4"/>
  <c r="F525" i="4"/>
  <c r="I490" i="3" s="1"/>
  <c r="J420" i="2" s="1"/>
  <c r="V420" i="2" s="1"/>
  <c r="D525" i="4"/>
  <c r="F524" i="4"/>
  <c r="D524" i="4"/>
  <c r="F523" i="4"/>
  <c r="D523" i="4"/>
  <c r="F522" i="4"/>
  <c r="I487" i="3" s="1"/>
  <c r="J418" i="2" s="1"/>
  <c r="V418" i="2" s="1"/>
  <c r="D522" i="4"/>
  <c r="F521" i="4"/>
  <c r="I486" i="3" s="1"/>
  <c r="J417" i="2" s="1"/>
  <c r="V417" i="2" s="1"/>
  <c r="D521" i="4"/>
  <c r="F520" i="4"/>
  <c r="D520" i="4"/>
  <c r="F519" i="4"/>
  <c r="D519" i="4"/>
  <c r="F518" i="4"/>
  <c r="D518" i="4"/>
  <c r="F517" i="4"/>
  <c r="D517" i="4"/>
  <c r="F516" i="4"/>
  <c r="D516" i="4"/>
  <c r="F515" i="4"/>
  <c r="D515" i="4"/>
  <c r="F514" i="4"/>
  <c r="D514" i="4"/>
  <c r="F513" i="4"/>
  <c r="D513" i="4"/>
  <c r="F512" i="4"/>
  <c r="D512" i="4"/>
  <c r="F511" i="4"/>
  <c r="D511" i="4"/>
  <c r="F510" i="4"/>
  <c r="D510" i="4"/>
  <c r="F509" i="4"/>
  <c r="D509" i="4"/>
  <c r="F508" i="4"/>
  <c r="D508" i="4"/>
  <c r="F507" i="4"/>
  <c r="D507" i="4"/>
  <c r="F506" i="4"/>
  <c r="D506" i="4"/>
  <c r="F505" i="4"/>
  <c r="D505" i="4"/>
  <c r="F504" i="4"/>
  <c r="D504" i="4"/>
  <c r="F503" i="4"/>
  <c r="D503" i="4"/>
  <c r="F502" i="4"/>
  <c r="D502" i="4"/>
  <c r="F501" i="4"/>
  <c r="D501" i="4"/>
  <c r="F500" i="4"/>
  <c r="D500" i="4"/>
  <c r="F499" i="4"/>
  <c r="D499" i="4"/>
  <c r="F498" i="4"/>
  <c r="D498" i="4"/>
  <c r="F497" i="4"/>
  <c r="D497" i="4"/>
  <c r="F496" i="4"/>
  <c r="D496" i="4"/>
  <c r="F495" i="4"/>
  <c r="D495" i="4"/>
  <c r="F494" i="4"/>
  <c r="D494" i="4"/>
  <c r="F493" i="4"/>
  <c r="D493" i="4"/>
  <c r="F492" i="4"/>
  <c r="D492" i="4"/>
  <c r="F491" i="4"/>
  <c r="D491" i="4"/>
  <c r="F490" i="4"/>
  <c r="D490" i="4"/>
  <c r="F489" i="4"/>
  <c r="D489" i="4"/>
  <c r="F488" i="4"/>
  <c r="D488" i="4"/>
  <c r="F487" i="4"/>
  <c r="D487" i="4"/>
  <c r="F486" i="4"/>
  <c r="D486" i="4"/>
  <c r="F485" i="4"/>
  <c r="D485" i="4"/>
  <c r="F484" i="4"/>
  <c r="I484" i="3" s="1"/>
  <c r="J415" i="2" s="1"/>
  <c r="V415" i="2" s="1"/>
  <c r="D484" i="4"/>
  <c r="F483" i="4"/>
  <c r="I483" i="3" s="1"/>
  <c r="J414" i="2" s="1"/>
  <c r="D483" i="4"/>
  <c r="F482" i="4"/>
  <c r="D482" i="4"/>
  <c r="F481" i="4"/>
  <c r="D481" i="4"/>
  <c r="F480" i="4"/>
  <c r="D480" i="4"/>
  <c r="F479" i="4"/>
  <c r="I394" i="3" s="1"/>
  <c r="D479" i="4"/>
  <c r="F478" i="4"/>
  <c r="I345" i="3" s="1"/>
  <c r="D478" i="4"/>
  <c r="F477" i="4"/>
  <c r="I362" i="3" s="1"/>
  <c r="D477" i="4"/>
  <c r="F476" i="4"/>
  <c r="I479" i="3" s="1"/>
  <c r="J410" i="2" s="1"/>
  <c r="D476" i="4"/>
  <c r="F475" i="4"/>
  <c r="I393" i="3" s="1"/>
  <c r="D475" i="4"/>
  <c r="F474" i="4"/>
  <c r="I347" i="3" s="1"/>
  <c r="D474" i="4"/>
  <c r="F473" i="4"/>
  <c r="I341" i="3" s="1"/>
  <c r="D473" i="4"/>
  <c r="F472" i="4"/>
  <c r="D472" i="4"/>
  <c r="F471" i="4"/>
  <c r="D471" i="4"/>
  <c r="F470" i="4"/>
  <c r="D470" i="4"/>
  <c r="F469" i="4"/>
  <c r="I475" i="3" s="1"/>
  <c r="D469" i="4"/>
  <c r="F468" i="4"/>
  <c r="I474" i="3" s="1"/>
  <c r="D468" i="4"/>
  <c r="F467" i="4"/>
  <c r="I473" i="3" s="1"/>
  <c r="D467" i="4"/>
  <c r="F466" i="4"/>
  <c r="D466" i="4"/>
  <c r="F465" i="4"/>
  <c r="D465" i="4"/>
  <c r="F464" i="4"/>
  <c r="I365" i="3" s="1"/>
  <c r="D464" i="4"/>
  <c r="F463" i="4"/>
  <c r="I471" i="3" s="1"/>
  <c r="J405" i="2" s="1"/>
  <c r="D463" i="4"/>
  <c r="F462" i="4"/>
  <c r="I470" i="3" s="1"/>
  <c r="J404" i="2" s="1"/>
  <c r="V404" i="2" s="1"/>
  <c r="D462" i="4"/>
  <c r="F461" i="4"/>
  <c r="I469" i="3" s="1"/>
  <c r="J403" i="2" s="1"/>
  <c r="D461" i="4"/>
  <c r="F460" i="4"/>
  <c r="I468" i="3" s="1"/>
  <c r="J402" i="2" s="1"/>
  <c r="D460" i="4"/>
  <c r="F459" i="4"/>
  <c r="I467" i="3" s="1"/>
  <c r="J401" i="2" s="1"/>
  <c r="V401" i="2" s="1"/>
  <c r="D459" i="4"/>
  <c r="F458" i="4"/>
  <c r="I466" i="3" s="1"/>
  <c r="J400" i="2" s="1"/>
  <c r="V400" i="2" s="1"/>
  <c r="D458" i="4"/>
  <c r="F457" i="4"/>
  <c r="I465" i="3" s="1"/>
  <c r="J399" i="2" s="1"/>
  <c r="V399" i="2" s="1"/>
  <c r="D457" i="4"/>
  <c r="F456" i="4"/>
  <c r="I392" i="3" s="1"/>
  <c r="D456" i="4"/>
  <c r="F455" i="4"/>
  <c r="I340" i="3" s="1"/>
  <c r="D455" i="4"/>
  <c r="F454" i="4"/>
  <c r="I370" i="3" s="1"/>
  <c r="D454" i="4"/>
  <c r="F453" i="4"/>
  <c r="D453" i="4"/>
  <c r="F452" i="4"/>
  <c r="D452" i="4"/>
  <c r="F451" i="4"/>
  <c r="I462" i="3" s="1"/>
  <c r="J396" i="2" s="1"/>
  <c r="D451" i="4"/>
  <c r="F450" i="4"/>
  <c r="I461" i="3" s="1"/>
  <c r="J395" i="2" s="1"/>
  <c r="D450" i="4"/>
  <c r="F449" i="4"/>
  <c r="I460" i="3" s="1"/>
  <c r="J394" i="2" s="1"/>
  <c r="D449" i="4"/>
  <c r="F448" i="4"/>
  <c r="D448" i="4"/>
  <c r="F447" i="4"/>
  <c r="I458" i="3" s="1"/>
  <c r="J392" i="2" s="1"/>
  <c r="D447" i="4"/>
  <c r="F446" i="4"/>
  <c r="I457" i="3" s="1"/>
  <c r="J391" i="2" s="1"/>
  <c r="D446" i="4"/>
  <c r="F445" i="4"/>
  <c r="D445" i="4"/>
  <c r="F444" i="4"/>
  <c r="D444" i="4"/>
  <c r="F443" i="4"/>
  <c r="D443" i="4"/>
  <c r="F442" i="4"/>
  <c r="D442" i="4"/>
  <c r="F441" i="4"/>
  <c r="D441" i="4"/>
  <c r="F440" i="4"/>
  <c r="D440" i="4"/>
  <c r="F439" i="4"/>
  <c r="D439" i="4"/>
  <c r="F438" i="4"/>
  <c r="D438" i="4"/>
  <c r="F437" i="4"/>
  <c r="D437" i="4"/>
  <c r="F436" i="4"/>
  <c r="D436" i="4"/>
  <c r="F435" i="4"/>
  <c r="I449" i="3" s="1"/>
  <c r="J383" i="2" s="1"/>
  <c r="D435" i="4"/>
  <c r="F434" i="4"/>
  <c r="I448" i="3" s="1"/>
  <c r="J382" i="2" s="1"/>
  <c r="D434" i="4"/>
  <c r="F433" i="4"/>
  <c r="I447" i="3" s="1"/>
  <c r="J381" i="2" s="1"/>
  <c r="D433" i="4"/>
  <c r="F432" i="4"/>
  <c r="I446" i="3" s="1"/>
  <c r="J380" i="2" s="1"/>
  <c r="D432" i="4"/>
  <c r="F431" i="4"/>
  <c r="I445" i="3" s="1"/>
  <c r="J379" i="2" s="1"/>
  <c r="D431" i="4"/>
  <c r="F430" i="4"/>
  <c r="I391" i="3" s="1"/>
  <c r="D430" i="4"/>
  <c r="F429" i="4"/>
  <c r="I344" i="3" s="1"/>
  <c r="D429" i="4"/>
  <c r="F428" i="4"/>
  <c r="I339" i="3" s="1"/>
  <c r="D428" i="4"/>
  <c r="F427" i="4"/>
  <c r="D427" i="4"/>
  <c r="F426" i="4"/>
  <c r="I444" i="3" s="1"/>
  <c r="J378" i="2" s="1"/>
  <c r="D426" i="4"/>
  <c r="F425" i="4"/>
  <c r="D425" i="4"/>
  <c r="F424" i="4"/>
  <c r="D424" i="4"/>
  <c r="F423" i="4"/>
  <c r="D423" i="4"/>
  <c r="F422" i="4"/>
  <c r="I441" i="3" s="1"/>
  <c r="D422" i="4"/>
  <c r="F421" i="4"/>
  <c r="I440" i="3" s="1"/>
  <c r="J374" i="2" s="1"/>
  <c r="D421" i="4"/>
  <c r="F420" i="4"/>
  <c r="I439" i="3" s="1"/>
  <c r="J373" i="2" s="1"/>
  <c r="D420" i="4"/>
  <c r="F419" i="4"/>
  <c r="D419" i="4"/>
  <c r="F418" i="4"/>
  <c r="D418" i="4"/>
  <c r="F417" i="4"/>
  <c r="I436" i="3" s="1"/>
  <c r="J370" i="2" s="1"/>
  <c r="D417" i="4"/>
  <c r="F416" i="4"/>
  <c r="I435" i="3" s="1"/>
  <c r="J369" i="2" s="1"/>
  <c r="D416" i="4"/>
  <c r="F415" i="4"/>
  <c r="I434" i="3" s="1"/>
  <c r="J368" i="2" s="1"/>
  <c r="D415" i="4"/>
  <c r="F414" i="4"/>
  <c r="I433" i="3" s="1"/>
  <c r="J367" i="2" s="1"/>
  <c r="D414" i="4"/>
  <c r="F413" i="4"/>
  <c r="I432" i="3" s="1"/>
  <c r="D413" i="4"/>
  <c r="F412" i="4"/>
  <c r="I431" i="3" s="1"/>
  <c r="J366" i="2" s="1"/>
  <c r="D412" i="4"/>
  <c r="F411" i="4"/>
  <c r="I430" i="3" s="1"/>
  <c r="J365" i="2" s="1"/>
  <c r="V365" i="2" s="1"/>
  <c r="D411" i="4"/>
  <c r="F410" i="4"/>
  <c r="D410" i="4"/>
  <c r="F409" i="4"/>
  <c r="D409" i="4"/>
  <c r="F408" i="4"/>
  <c r="D408" i="4"/>
  <c r="F407" i="4"/>
  <c r="I426" i="3" s="1"/>
  <c r="J361" i="2" s="1"/>
  <c r="D407" i="4"/>
  <c r="F406" i="4"/>
  <c r="I425" i="3" s="1"/>
  <c r="D406" i="4"/>
  <c r="F405" i="4"/>
  <c r="D405" i="4"/>
  <c r="F404" i="4"/>
  <c r="D404" i="4"/>
  <c r="F403" i="4"/>
  <c r="D403" i="4"/>
  <c r="F402" i="4"/>
  <c r="D402" i="4"/>
  <c r="F401" i="4"/>
  <c r="D401" i="4"/>
  <c r="F400" i="4"/>
  <c r="D400" i="4"/>
  <c r="F399" i="4"/>
  <c r="D399" i="4"/>
  <c r="F398" i="4"/>
  <c r="D398" i="4"/>
  <c r="F397" i="4"/>
  <c r="D397" i="4"/>
  <c r="F396" i="4"/>
  <c r="I415" i="3" s="1"/>
  <c r="J350" i="2" s="1"/>
  <c r="D396" i="4"/>
  <c r="F395" i="4"/>
  <c r="I414" i="3" s="1"/>
  <c r="J349" i="2" s="1"/>
  <c r="V349" i="2" s="1"/>
  <c r="D395" i="4"/>
  <c r="F394" i="4"/>
  <c r="I413" i="3" s="1"/>
  <c r="J348" i="2" s="1"/>
  <c r="D394" i="4"/>
  <c r="F393" i="4"/>
  <c r="D393" i="4"/>
  <c r="F392" i="4"/>
  <c r="D392" i="4"/>
  <c r="F391" i="4"/>
  <c r="D391" i="4"/>
  <c r="F390" i="4"/>
  <c r="D390" i="4"/>
  <c r="F389" i="4"/>
  <c r="D389" i="4"/>
  <c r="F388" i="4"/>
  <c r="D388" i="4"/>
  <c r="F387" i="4"/>
  <c r="D387" i="4"/>
  <c r="F386" i="4"/>
  <c r="D386" i="4"/>
  <c r="F385" i="4"/>
  <c r="D385" i="4"/>
  <c r="F384" i="4"/>
  <c r="D384" i="4"/>
  <c r="F383" i="4"/>
  <c r="D383" i="4"/>
  <c r="F382" i="4"/>
  <c r="D382" i="4"/>
  <c r="F381" i="4"/>
  <c r="I397" i="3" s="1"/>
  <c r="D381" i="4"/>
  <c r="F380" i="4"/>
  <c r="I396" i="3" s="1"/>
  <c r="D380" i="4"/>
  <c r="F379" i="4"/>
  <c r="I395" i="3" s="1"/>
  <c r="D379" i="4"/>
  <c r="F378" i="4"/>
  <c r="I390" i="3" s="1"/>
  <c r="D378" i="4"/>
  <c r="F377" i="4"/>
  <c r="I343" i="3" s="1"/>
  <c r="D377" i="4"/>
  <c r="F376" i="4"/>
  <c r="I324" i="3" s="1"/>
  <c r="D376" i="4"/>
  <c r="F375" i="4"/>
  <c r="I317" i="3" s="1"/>
  <c r="D375" i="4"/>
  <c r="F374" i="4"/>
  <c r="I321" i="3" s="1"/>
  <c r="D374" i="4"/>
  <c r="F373" i="4"/>
  <c r="I319" i="3" s="1"/>
  <c r="D373" i="4"/>
  <c r="F372" i="4"/>
  <c r="I389" i="3" s="1"/>
  <c r="J331" i="2" s="1"/>
  <c r="V331" i="2" s="1"/>
  <c r="D372" i="4"/>
  <c r="F371" i="4"/>
  <c r="D371" i="4"/>
  <c r="F370" i="4"/>
  <c r="D370" i="4"/>
  <c r="F369" i="4"/>
  <c r="D369" i="4"/>
  <c r="F368" i="4"/>
  <c r="D368" i="4"/>
  <c r="F367" i="4"/>
  <c r="D367" i="4"/>
  <c r="F366" i="4"/>
  <c r="I384" i="3" s="1"/>
  <c r="D366" i="4"/>
  <c r="F365" i="4"/>
  <c r="D365" i="4"/>
  <c r="F364" i="4"/>
  <c r="D364" i="4"/>
  <c r="F363" i="4"/>
  <c r="D363" i="4"/>
  <c r="F362" i="4"/>
  <c r="D362" i="4"/>
  <c r="F361" i="4"/>
  <c r="D361" i="4"/>
  <c r="F360" i="4"/>
  <c r="D360" i="4"/>
  <c r="F359" i="4"/>
  <c r="D359" i="4"/>
  <c r="F358" i="4"/>
  <c r="I351" i="3" s="1"/>
  <c r="D358" i="4"/>
  <c r="F357" i="4"/>
  <c r="I349" i="3" s="1"/>
  <c r="D357" i="4"/>
  <c r="F356" i="4"/>
  <c r="I375" i="3" s="1"/>
  <c r="D356" i="4"/>
  <c r="F355" i="4"/>
  <c r="D355" i="4"/>
  <c r="F354" i="4"/>
  <c r="I372" i="3" s="1"/>
  <c r="D354" i="4"/>
  <c r="F353" i="4"/>
  <c r="D353" i="4"/>
  <c r="F352" i="4"/>
  <c r="I369" i="3" s="1"/>
  <c r="D352" i="4"/>
  <c r="F351" i="4"/>
  <c r="D351" i="4"/>
  <c r="F350" i="4"/>
  <c r="I366" i="3" s="1"/>
  <c r="D350" i="4"/>
  <c r="F349" i="4"/>
  <c r="I364" i="3" s="1"/>
  <c r="D349" i="4"/>
  <c r="F348" i="4"/>
  <c r="I363" i="3" s="1"/>
  <c r="J312" i="2" s="1"/>
  <c r="V312" i="2" s="1"/>
  <c r="D348" i="4"/>
  <c r="F347" i="4"/>
  <c r="I361" i="3" s="1"/>
  <c r="D347" i="4"/>
  <c r="F346" i="4"/>
  <c r="I360" i="3" s="1"/>
  <c r="J310" i="2" s="1"/>
  <c r="V310" i="2" s="1"/>
  <c r="D346" i="4"/>
  <c r="F345" i="4"/>
  <c r="I359" i="3" s="1"/>
  <c r="J309" i="2" s="1"/>
  <c r="V309" i="2" s="1"/>
  <c r="D345" i="4"/>
  <c r="F344" i="4"/>
  <c r="I358" i="3" s="1"/>
  <c r="J308" i="2" s="1"/>
  <c r="V308" i="2" s="1"/>
  <c r="D344" i="4"/>
  <c r="F343" i="4"/>
  <c r="I357" i="3" s="1"/>
  <c r="J307" i="2" s="1"/>
  <c r="V307" i="2" s="1"/>
  <c r="D343" i="4"/>
  <c r="F342" i="4"/>
  <c r="I356" i="3" s="1"/>
  <c r="J306" i="2" s="1"/>
  <c r="V306" i="2" s="1"/>
  <c r="D342" i="4"/>
  <c r="F341" i="4"/>
  <c r="I355" i="3" s="1"/>
  <c r="J305" i="2" s="1"/>
  <c r="V305" i="2" s="1"/>
  <c r="D341" i="4"/>
  <c r="F340" i="4"/>
  <c r="D340" i="4"/>
  <c r="F339" i="4"/>
  <c r="I353" i="3" s="1"/>
  <c r="J303" i="2" s="1"/>
  <c r="V303" i="2" s="1"/>
  <c r="D339" i="4"/>
  <c r="F338" i="4"/>
  <c r="I352" i="3" s="1"/>
  <c r="J302" i="2" s="1"/>
  <c r="V302" i="2" s="1"/>
  <c r="D338" i="4"/>
  <c r="F337" i="4"/>
  <c r="I350" i="3" s="1"/>
  <c r="D337" i="4"/>
  <c r="F336" i="4"/>
  <c r="I348" i="3" s="1"/>
  <c r="D336" i="4"/>
  <c r="F335" i="4"/>
  <c r="I346" i="3" s="1"/>
  <c r="D335" i="4"/>
  <c r="F334" i="4"/>
  <c r="I342" i="3" s="1"/>
  <c r="D334" i="4"/>
  <c r="F333" i="4"/>
  <c r="I338" i="3" s="1"/>
  <c r="D333" i="4"/>
  <c r="F332" i="4"/>
  <c r="I337" i="3" s="1"/>
  <c r="J296" i="2" s="1"/>
  <c r="V296" i="2" s="1"/>
  <c r="D332" i="4"/>
  <c r="F331" i="4"/>
  <c r="I336" i="3" s="1"/>
  <c r="D331" i="4"/>
  <c r="F330" i="4"/>
  <c r="I335" i="3" s="1"/>
  <c r="D330" i="4"/>
  <c r="F329" i="4"/>
  <c r="D329" i="4"/>
  <c r="F328" i="4"/>
  <c r="D328" i="4"/>
  <c r="F327" i="4"/>
  <c r="D327" i="4"/>
  <c r="F326" i="4"/>
  <c r="I330" i="3" s="1"/>
  <c r="J290" i="2" s="1"/>
  <c r="V290" i="2" s="1"/>
  <c r="D326" i="4"/>
  <c r="F325" i="4"/>
  <c r="I329" i="3" s="1"/>
  <c r="D325" i="4"/>
  <c r="F324" i="4"/>
  <c r="I328" i="3" s="1"/>
  <c r="D324" i="4"/>
  <c r="F323" i="4"/>
  <c r="I327" i="3" s="1"/>
  <c r="D323" i="4"/>
  <c r="F322" i="4"/>
  <c r="I326" i="3" s="1"/>
  <c r="D322" i="4"/>
  <c r="F321" i="4"/>
  <c r="I325" i="3" s="1"/>
  <c r="D321" i="4"/>
  <c r="F320" i="4"/>
  <c r="I323" i="3" s="1"/>
  <c r="D320" i="4"/>
  <c r="F319" i="4"/>
  <c r="I316" i="3" s="1"/>
  <c r="D319" i="4"/>
  <c r="F318" i="4"/>
  <c r="I314" i="3" s="1"/>
  <c r="D318" i="4"/>
  <c r="F317" i="4"/>
  <c r="I322" i="3" s="1"/>
  <c r="D317" i="4"/>
  <c r="F316" i="4"/>
  <c r="I320" i="3" s="1"/>
  <c r="D316" i="4"/>
  <c r="F315" i="4"/>
  <c r="I318" i="3" s="1"/>
  <c r="D315" i="4"/>
  <c r="F314" i="4"/>
  <c r="I315" i="3" s="1"/>
  <c r="D314" i="4"/>
  <c r="F313" i="4"/>
  <c r="I313" i="3" s="1"/>
  <c r="D313" i="4"/>
  <c r="F312" i="4"/>
  <c r="I312" i="3" s="1"/>
  <c r="J281" i="2" s="1"/>
  <c r="V281" i="2" s="1"/>
  <c r="D312" i="4"/>
  <c r="F311" i="4"/>
  <c r="I311" i="3" s="1"/>
  <c r="J280" i="2" s="1"/>
  <c r="V280" i="2" s="1"/>
  <c r="D311" i="4"/>
  <c r="F310" i="4"/>
  <c r="I310" i="3" s="1"/>
  <c r="J279" i="2" s="1"/>
  <c r="V279" i="2" s="1"/>
  <c r="D310" i="4"/>
  <c r="F309" i="4"/>
  <c r="I309" i="3" s="1"/>
  <c r="D309" i="4"/>
  <c r="F308" i="4"/>
  <c r="I308" i="3" s="1"/>
  <c r="J277" i="2" s="1"/>
  <c r="V277" i="2" s="1"/>
  <c r="D308" i="4"/>
  <c r="F307" i="4"/>
  <c r="I307" i="3" s="1"/>
  <c r="D307" i="4"/>
  <c r="F306" i="4"/>
  <c r="I306" i="3" s="1"/>
  <c r="D306" i="4"/>
  <c r="F305" i="4"/>
  <c r="I305" i="3" s="1"/>
  <c r="D305" i="4"/>
  <c r="F304" i="4"/>
  <c r="I304" i="3" s="1"/>
  <c r="D304" i="4"/>
  <c r="F303" i="4"/>
  <c r="I303" i="3" s="1"/>
  <c r="D303" i="4"/>
  <c r="F302" i="4"/>
  <c r="I263" i="3" s="1"/>
  <c r="D302" i="4"/>
  <c r="F301" i="4"/>
  <c r="I261" i="3" s="1"/>
  <c r="D301" i="4"/>
  <c r="F300" i="4"/>
  <c r="I259" i="3" s="1"/>
  <c r="D300" i="4"/>
  <c r="F299" i="4"/>
  <c r="I257" i="3" s="1"/>
  <c r="D299" i="4"/>
  <c r="F298" i="4"/>
  <c r="I255" i="3" s="1"/>
  <c r="D298" i="4"/>
  <c r="F297" i="4"/>
  <c r="D297" i="4"/>
  <c r="F296" i="4"/>
  <c r="I302" i="3" s="1"/>
  <c r="D296" i="4"/>
  <c r="F295" i="4"/>
  <c r="I301" i="3" s="1"/>
  <c r="J270" i="2" s="1"/>
  <c r="V270" i="2" s="1"/>
  <c r="D295" i="4"/>
  <c r="F294" i="4"/>
  <c r="I300" i="3" s="1"/>
  <c r="D294" i="4"/>
  <c r="F293" i="4"/>
  <c r="I299" i="3" s="1"/>
  <c r="D293" i="4"/>
  <c r="F292" i="4"/>
  <c r="I298" i="3" s="1"/>
  <c r="J267" i="2" s="1"/>
  <c r="V267" i="2" s="1"/>
  <c r="D292" i="4"/>
  <c r="F291" i="4"/>
  <c r="I274" i="3" s="1"/>
  <c r="D291" i="4"/>
  <c r="F290" i="4"/>
  <c r="I271" i="3" s="1"/>
  <c r="D290" i="4"/>
  <c r="F289" i="4"/>
  <c r="I268" i="3" s="1"/>
  <c r="D289" i="4"/>
  <c r="F288" i="4"/>
  <c r="I287" i="3" s="1"/>
  <c r="D288" i="4"/>
  <c r="F287" i="4"/>
  <c r="I297" i="3" s="1"/>
  <c r="D287" i="4"/>
  <c r="F286" i="4"/>
  <c r="I296" i="3" s="1"/>
  <c r="D286" i="4"/>
  <c r="F285" i="4"/>
  <c r="I295" i="3" s="1"/>
  <c r="D285" i="4"/>
  <c r="F284" i="4"/>
  <c r="I294" i="3" s="1"/>
  <c r="J263" i="2" s="1"/>
  <c r="V263" i="2" s="1"/>
  <c r="D284" i="4"/>
  <c r="F283" i="4"/>
  <c r="I293" i="3" s="1"/>
  <c r="J262" i="2" s="1"/>
  <c r="V262" i="2" s="1"/>
  <c r="D283" i="4"/>
  <c r="F282" i="4"/>
  <c r="I292" i="3" s="1"/>
  <c r="J261" i="2" s="1"/>
  <c r="V261" i="2" s="1"/>
  <c r="D282" i="4"/>
  <c r="F281" i="4"/>
  <c r="I291" i="3" s="1"/>
  <c r="J260" i="2" s="1"/>
  <c r="V260" i="2" s="1"/>
  <c r="D281" i="4"/>
  <c r="F280" i="4"/>
  <c r="I290" i="3" s="1"/>
  <c r="J259" i="2" s="1"/>
  <c r="V259" i="2" s="1"/>
  <c r="D280" i="4"/>
  <c r="F279" i="4"/>
  <c r="I289" i="3" s="1"/>
  <c r="J258" i="2" s="1"/>
  <c r="V258" i="2" s="1"/>
  <c r="D279" i="4"/>
  <c r="F278" i="4"/>
  <c r="I288" i="3" s="1"/>
  <c r="J257" i="2" s="1"/>
  <c r="V257" i="2" s="1"/>
  <c r="D278" i="4"/>
  <c r="F277" i="4"/>
  <c r="I273" i="3" s="1"/>
  <c r="D277" i="4"/>
  <c r="F276" i="4"/>
  <c r="I270" i="3" s="1"/>
  <c r="D276" i="4"/>
  <c r="F275" i="4"/>
  <c r="I267" i="3" s="1"/>
  <c r="D275" i="4"/>
  <c r="F274" i="4"/>
  <c r="I265" i="3" s="1"/>
  <c r="D274" i="4"/>
  <c r="F273" i="4"/>
  <c r="I286" i="3" s="1"/>
  <c r="D273" i="4"/>
  <c r="F272" i="4"/>
  <c r="I285" i="3" s="1"/>
  <c r="D272" i="4"/>
  <c r="F271" i="4"/>
  <c r="I284" i="3" s="1"/>
  <c r="J254" i="2" s="1"/>
  <c r="V254" i="2" s="1"/>
  <c r="D271" i="4"/>
  <c r="F270" i="4"/>
  <c r="I283" i="3" s="1"/>
  <c r="J253" i="2" s="1"/>
  <c r="V253" i="2" s="1"/>
  <c r="D270" i="4"/>
  <c r="F269" i="4"/>
  <c r="D269" i="4"/>
  <c r="F268" i="4"/>
  <c r="D268" i="4"/>
  <c r="F267" i="4"/>
  <c r="I280" i="3" s="1"/>
  <c r="D267" i="4"/>
  <c r="F266" i="4"/>
  <c r="D266" i="4"/>
  <c r="F265" i="4"/>
  <c r="D265" i="4"/>
  <c r="F264" i="4"/>
  <c r="I277" i="3" s="1"/>
  <c r="D264" i="4"/>
  <c r="F263" i="4"/>
  <c r="D263" i="4"/>
  <c r="F262" i="4"/>
  <c r="I276" i="3" s="1"/>
  <c r="J494" i="2" s="1"/>
  <c r="D262" i="4"/>
  <c r="F261" i="4"/>
  <c r="D261" i="4"/>
  <c r="F260" i="4"/>
  <c r="I272" i="3" s="1"/>
  <c r="D260" i="4"/>
  <c r="F259" i="4"/>
  <c r="I269" i="3" s="1"/>
  <c r="D259" i="4"/>
  <c r="F258" i="4"/>
  <c r="I266" i="3" s="1"/>
  <c r="D258" i="4"/>
  <c r="F257" i="4"/>
  <c r="I264" i="3" s="1"/>
  <c r="D257" i="4"/>
  <c r="F256" i="4"/>
  <c r="I262" i="3" s="1"/>
  <c r="D256" i="4"/>
  <c r="F255" i="4"/>
  <c r="I260" i="3" s="1"/>
  <c r="D255" i="4"/>
  <c r="F254" i="4"/>
  <c r="I258" i="3" s="1"/>
  <c r="D254" i="4"/>
  <c r="F253" i="4"/>
  <c r="I256" i="3" s="1"/>
  <c r="D253" i="4"/>
  <c r="F252" i="4"/>
  <c r="I254" i="3" s="1"/>
  <c r="D252" i="4"/>
  <c r="F251" i="4"/>
  <c r="I252" i="3" s="1"/>
  <c r="D251" i="4"/>
  <c r="F250" i="4"/>
  <c r="I251" i="3" s="1"/>
  <c r="J234" i="2" s="1"/>
  <c r="V234" i="2" s="1"/>
  <c r="D250" i="4"/>
  <c r="F249" i="4"/>
  <c r="I250" i="3" s="1"/>
  <c r="J233" i="2" s="1"/>
  <c r="V233" i="2" s="1"/>
  <c r="D249" i="4"/>
  <c r="F248" i="4"/>
  <c r="I249" i="3" s="1"/>
  <c r="J232" i="2" s="1"/>
  <c r="V232" i="2" s="1"/>
  <c r="D248" i="4"/>
  <c r="F247" i="4"/>
  <c r="I248" i="3" s="1"/>
  <c r="J231" i="2" s="1"/>
  <c r="V231" i="2" s="1"/>
  <c r="D247" i="4"/>
  <c r="F246" i="4"/>
  <c r="I247" i="3" s="1"/>
  <c r="J230" i="2" s="1"/>
  <c r="V230" i="2" s="1"/>
  <c r="D246" i="4"/>
  <c r="F245" i="4"/>
  <c r="I246" i="3" s="1"/>
  <c r="J229" i="2" s="1"/>
  <c r="V229" i="2" s="1"/>
  <c r="D245" i="4"/>
  <c r="F244" i="4"/>
  <c r="I245" i="3" s="1"/>
  <c r="J228" i="2" s="1"/>
  <c r="V228" i="2" s="1"/>
  <c r="D244" i="4"/>
  <c r="F243" i="4"/>
  <c r="I244" i="3" s="1"/>
  <c r="D243" i="4"/>
  <c r="F242" i="4"/>
  <c r="I243" i="3" s="1"/>
  <c r="D242" i="4"/>
  <c r="F241" i="4"/>
  <c r="I242" i="3" s="1"/>
  <c r="D241" i="4"/>
  <c r="F240" i="4"/>
  <c r="I241" i="3" s="1"/>
  <c r="J224" i="2" s="1"/>
  <c r="V224" i="2" s="1"/>
  <c r="D240" i="4"/>
  <c r="F239" i="4"/>
  <c r="D239" i="4"/>
  <c r="F238" i="4"/>
  <c r="D238" i="4"/>
  <c r="F237" i="4"/>
  <c r="D237" i="4"/>
  <c r="F236" i="4"/>
  <c r="D236" i="4"/>
  <c r="F235" i="4"/>
  <c r="D235" i="4"/>
  <c r="F234" i="4"/>
  <c r="D234" i="4"/>
  <c r="F233" i="4"/>
  <c r="D233" i="4"/>
  <c r="F232" i="4"/>
  <c r="D232" i="4"/>
  <c r="F231" i="4"/>
  <c r="D231" i="4"/>
  <c r="F230" i="4"/>
  <c r="D230" i="4"/>
  <c r="F229" i="4"/>
  <c r="D229" i="4"/>
  <c r="F228" i="4"/>
  <c r="D228" i="4"/>
  <c r="F227" i="4"/>
  <c r="D227" i="4"/>
  <c r="F226" i="4"/>
  <c r="D226" i="4"/>
  <c r="F225" i="4"/>
  <c r="D225" i="4"/>
  <c r="F224" i="4"/>
  <c r="D224" i="4"/>
  <c r="F223" i="4"/>
  <c r="D223" i="4"/>
  <c r="F222" i="4"/>
  <c r="I222" i="3" s="1"/>
  <c r="J206" i="2" s="1"/>
  <c r="V206" i="2" s="1"/>
  <c r="D222" i="4"/>
  <c r="F221" i="4"/>
  <c r="I221" i="3" s="1"/>
  <c r="J205" i="2" s="1"/>
  <c r="V205" i="2" s="1"/>
  <c r="D221" i="4"/>
  <c r="F220" i="4"/>
  <c r="D220" i="4"/>
  <c r="F219" i="4"/>
  <c r="D219" i="4"/>
  <c r="F218" i="4"/>
  <c r="D218" i="4"/>
  <c r="F217" i="4"/>
  <c r="I217" i="3" s="1"/>
  <c r="J201" i="2" s="1"/>
  <c r="V201" i="2" s="1"/>
  <c r="D217" i="4"/>
  <c r="F216" i="4"/>
  <c r="I216" i="3" s="1"/>
  <c r="J200" i="2" s="1"/>
  <c r="V200" i="2" s="1"/>
  <c r="D216" i="4"/>
  <c r="F215" i="4"/>
  <c r="I215" i="3" s="1"/>
  <c r="J199" i="2" s="1"/>
  <c r="V199" i="2" s="1"/>
  <c r="D215" i="4"/>
  <c r="F214" i="4"/>
  <c r="D214" i="4"/>
  <c r="F213" i="4"/>
  <c r="D213" i="4"/>
  <c r="F212" i="4"/>
  <c r="D212" i="4"/>
  <c r="F211" i="4"/>
  <c r="D211" i="4"/>
  <c r="F210" i="4"/>
  <c r="I212" i="3" s="1"/>
  <c r="J198" i="2" s="1"/>
  <c r="V198" i="2" s="1"/>
  <c r="D210" i="4"/>
  <c r="F209" i="4"/>
  <c r="D209" i="4"/>
  <c r="F208" i="4"/>
  <c r="I210" i="3" s="1"/>
  <c r="J196" i="2" s="1"/>
  <c r="V196" i="2" s="1"/>
  <c r="D208" i="4"/>
  <c r="F207" i="4"/>
  <c r="D207" i="4"/>
  <c r="F206" i="4"/>
  <c r="I208" i="3" s="1"/>
  <c r="J194" i="2" s="1"/>
  <c r="V194" i="2" s="1"/>
  <c r="D206" i="4"/>
  <c r="F205" i="4"/>
  <c r="I207" i="3" s="1"/>
  <c r="J193" i="2" s="1"/>
  <c r="V193" i="2" s="1"/>
  <c r="D205" i="4"/>
  <c r="F204" i="4"/>
  <c r="I206" i="3" s="1"/>
  <c r="J192" i="2" s="1"/>
  <c r="V192" i="2" s="1"/>
  <c r="D204" i="4"/>
  <c r="F203" i="4"/>
  <c r="I205" i="3" s="1"/>
  <c r="D203" i="4"/>
  <c r="F202" i="4"/>
  <c r="D202" i="4"/>
  <c r="F201" i="4"/>
  <c r="I203" i="3" s="1"/>
  <c r="D201" i="4"/>
  <c r="F200" i="4"/>
  <c r="I202" i="3" s="1"/>
  <c r="J188" i="2" s="1"/>
  <c r="V188" i="2" s="1"/>
  <c r="D200" i="4"/>
  <c r="F199" i="4"/>
  <c r="I201" i="3" s="1"/>
  <c r="J187" i="2" s="1"/>
  <c r="V187" i="2" s="1"/>
  <c r="D199" i="4"/>
  <c r="F198" i="4"/>
  <c r="I200" i="3" s="1"/>
  <c r="J186" i="2" s="1"/>
  <c r="V186" i="2" s="1"/>
  <c r="D198" i="4"/>
  <c r="F197" i="4"/>
  <c r="I199" i="3" s="1"/>
  <c r="J185" i="2" s="1"/>
  <c r="V185" i="2" s="1"/>
  <c r="D197" i="4"/>
  <c r="F196" i="4"/>
  <c r="I198" i="3" s="1"/>
  <c r="J184" i="2" s="1"/>
  <c r="V184" i="2" s="1"/>
  <c r="D196" i="4"/>
  <c r="F195" i="4"/>
  <c r="I197" i="3" s="1"/>
  <c r="J183" i="2" s="1"/>
  <c r="V183" i="2" s="1"/>
  <c r="D195" i="4"/>
  <c r="F194" i="4"/>
  <c r="I196" i="3" s="1"/>
  <c r="J182" i="2" s="1"/>
  <c r="V182" i="2" s="1"/>
  <c r="D194" i="4"/>
  <c r="F193" i="4"/>
  <c r="I195" i="3" s="1"/>
  <c r="J181" i="2" s="1"/>
  <c r="V181" i="2" s="1"/>
  <c r="D193" i="4"/>
  <c r="F192" i="4"/>
  <c r="D192" i="4"/>
  <c r="F191" i="4"/>
  <c r="D191" i="4"/>
  <c r="F190" i="4"/>
  <c r="D190" i="4"/>
  <c r="F189" i="4"/>
  <c r="D189" i="4"/>
  <c r="F188" i="4"/>
  <c r="D188" i="4"/>
  <c r="F187" i="4"/>
  <c r="D187" i="4"/>
  <c r="F186" i="4"/>
  <c r="D186" i="4"/>
  <c r="F185" i="4"/>
  <c r="D185" i="4"/>
  <c r="F184" i="4"/>
  <c r="D184" i="4"/>
  <c r="F183" i="4"/>
  <c r="D183" i="4"/>
  <c r="F182" i="4"/>
  <c r="D182" i="4"/>
  <c r="F181" i="4"/>
  <c r="D181" i="4"/>
  <c r="F180" i="4"/>
  <c r="D180" i="4"/>
  <c r="F179" i="4"/>
  <c r="D179" i="4"/>
  <c r="F178" i="4"/>
  <c r="D178" i="4"/>
  <c r="F177" i="4"/>
  <c r="D177" i="4"/>
  <c r="F176" i="4"/>
  <c r="D176" i="4"/>
  <c r="F175" i="4"/>
  <c r="D175" i="4"/>
  <c r="F174" i="4"/>
  <c r="D174" i="4"/>
  <c r="F173" i="4"/>
  <c r="D173" i="4"/>
  <c r="F172" i="4"/>
  <c r="D172" i="4"/>
  <c r="F171" i="4"/>
  <c r="D171" i="4"/>
  <c r="F170" i="4"/>
  <c r="D170" i="4"/>
  <c r="F169" i="4"/>
  <c r="D169" i="4"/>
  <c r="F168" i="4"/>
  <c r="D168" i="4"/>
  <c r="F167" i="4"/>
  <c r="D167" i="4"/>
  <c r="F166" i="4"/>
  <c r="D166" i="4"/>
  <c r="F165" i="4"/>
  <c r="D165" i="4"/>
  <c r="F164" i="4"/>
  <c r="D164" i="4"/>
  <c r="F163" i="4"/>
  <c r="D163" i="4"/>
  <c r="F162" i="4"/>
  <c r="D162" i="4"/>
  <c r="F161" i="4"/>
  <c r="D161" i="4"/>
  <c r="F160" i="4"/>
  <c r="D160" i="4"/>
  <c r="F159" i="4"/>
  <c r="D159" i="4"/>
  <c r="F158" i="4"/>
  <c r="D158" i="4"/>
  <c r="F157" i="4"/>
  <c r="D157" i="4"/>
  <c r="F156" i="4"/>
  <c r="D156" i="4"/>
  <c r="F155" i="4"/>
  <c r="D155" i="4"/>
  <c r="F154" i="4"/>
  <c r="D154" i="4"/>
  <c r="F153" i="4"/>
  <c r="D153" i="4"/>
  <c r="F152" i="4"/>
  <c r="D152" i="4"/>
  <c r="F151" i="4"/>
  <c r="D151" i="4"/>
  <c r="F150" i="4"/>
  <c r="I156" i="3" s="1"/>
  <c r="D150" i="4"/>
  <c r="F149" i="4"/>
  <c r="I155" i="3" s="1"/>
  <c r="J143" i="2" s="1"/>
  <c r="V143" i="2" s="1"/>
  <c r="D149" i="4"/>
  <c r="F148" i="4"/>
  <c r="I154" i="3" s="1"/>
  <c r="J142" i="2" s="1"/>
  <c r="V142" i="2" s="1"/>
  <c r="D148" i="4"/>
  <c r="F147" i="4"/>
  <c r="I153" i="3" s="1"/>
  <c r="J141" i="2" s="1"/>
  <c r="V141" i="2" s="1"/>
  <c r="D147" i="4"/>
  <c r="F146" i="4"/>
  <c r="I152" i="3" s="1"/>
  <c r="D146" i="4"/>
  <c r="F145" i="4"/>
  <c r="I151" i="3" s="1"/>
  <c r="D145" i="4"/>
  <c r="F144" i="4"/>
  <c r="I150" i="3" s="1"/>
  <c r="J138" i="2" s="1"/>
  <c r="V138" i="2" s="1"/>
  <c r="D144" i="4"/>
  <c r="F143" i="4"/>
  <c r="I149" i="3" s="1"/>
  <c r="J137" i="2" s="1"/>
  <c r="V137" i="2" s="1"/>
  <c r="D143" i="4"/>
  <c r="F142" i="4"/>
  <c r="D142" i="4"/>
  <c r="F141" i="4"/>
  <c r="D141" i="4"/>
  <c r="F140" i="4"/>
  <c r="D140" i="4"/>
  <c r="F139" i="4"/>
  <c r="I145" i="3" s="1"/>
  <c r="J133" i="2" s="1"/>
  <c r="V133" i="2" s="1"/>
  <c r="D139" i="4"/>
  <c r="F138" i="4"/>
  <c r="I144" i="3" s="1"/>
  <c r="J132" i="2" s="1"/>
  <c r="V132" i="2" s="1"/>
  <c r="D138" i="4"/>
  <c r="F137" i="4"/>
  <c r="I143" i="3" s="1"/>
  <c r="J131" i="2" s="1"/>
  <c r="D137" i="4"/>
  <c r="F136" i="4"/>
  <c r="D136" i="4"/>
  <c r="F135" i="4"/>
  <c r="D135" i="4"/>
  <c r="F134" i="4"/>
  <c r="D134" i="4"/>
  <c r="F133" i="4"/>
  <c r="I139" i="3" s="1"/>
  <c r="J127" i="2" s="1"/>
  <c r="V127" i="2" s="1"/>
  <c r="D133" i="4"/>
  <c r="F132" i="4"/>
  <c r="I138" i="3" s="1"/>
  <c r="J126" i="2" s="1"/>
  <c r="V126" i="2" s="1"/>
  <c r="D132" i="4"/>
  <c r="F131" i="4"/>
  <c r="I137" i="3" s="1"/>
  <c r="J125" i="2" s="1"/>
  <c r="V125" i="2" s="1"/>
  <c r="D131" i="4"/>
  <c r="F130" i="4"/>
  <c r="D130" i="4"/>
  <c r="F129" i="4"/>
  <c r="D129" i="4"/>
  <c r="F128" i="4"/>
  <c r="D128" i="4"/>
  <c r="F127" i="4"/>
  <c r="I133" i="3" s="1"/>
  <c r="J121" i="2" s="1"/>
  <c r="V121" i="2" s="1"/>
  <c r="D127" i="4"/>
  <c r="F126" i="4"/>
  <c r="I132" i="3" s="1"/>
  <c r="J120" i="2" s="1"/>
  <c r="V120" i="2" s="1"/>
  <c r="D126" i="4"/>
  <c r="F125" i="4"/>
  <c r="D125" i="4"/>
  <c r="F124" i="4"/>
  <c r="D124" i="4"/>
  <c r="F123" i="4"/>
  <c r="D123" i="4"/>
  <c r="F122" i="4"/>
  <c r="D122" i="4"/>
  <c r="F121" i="4"/>
  <c r="I127" i="3" s="1"/>
  <c r="J115" i="2" s="1"/>
  <c r="V115" i="2" s="1"/>
  <c r="D121" i="4"/>
  <c r="F120" i="4"/>
  <c r="I126" i="3" s="1"/>
  <c r="J114" i="2" s="1"/>
  <c r="V114" i="2" s="1"/>
  <c r="D120" i="4"/>
  <c r="F119" i="4"/>
  <c r="D119" i="4"/>
  <c r="F118" i="4"/>
  <c r="D118" i="4"/>
  <c r="F117" i="4"/>
  <c r="D117" i="4"/>
  <c r="F116" i="4"/>
  <c r="D116" i="4"/>
  <c r="F115" i="4"/>
  <c r="I121" i="3" s="1"/>
  <c r="J109" i="2" s="1"/>
  <c r="V109" i="2" s="1"/>
  <c r="D115" i="4"/>
  <c r="F114" i="4"/>
  <c r="I120" i="3" s="1"/>
  <c r="J108" i="2" s="1"/>
  <c r="V108" i="2" s="1"/>
  <c r="D114" i="4"/>
  <c r="F113" i="4"/>
  <c r="D113" i="4"/>
  <c r="F112" i="4"/>
  <c r="D112" i="4"/>
  <c r="F111" i="4"/>
  <c r="D111" i="4"/>
  <c r="F110" i="4"/>
  <c r="D110" i="4"/>
  <c r="F109" i="4"/>
  <c r="D109" i="4"/>
  <c r="F108" i="4"/>
  <c r="D108" i="4"/>
  <c r="F107" i="4"/>
  <c r="D107" i="4"/>
  <c r="F106" i="4"/>
  <c r="D106" i="4"/>
  <c r="F105" i="4"/>
  <c r="D105" i="4"/>
  <c r="F104" i="4"/>
  <c r="D104" i="4"/>
  <c r="F103" i="4"/>
  <c r="I109" i="3" s="1"/>
  <c r="J97" i="2" s="1"/>
  <c r="V97" i="2" s="1"/>
  <c r="D103" i="4"/>
  <c r="F102" i="4"/>
  <c r="I108" i="3" s="1"/>
  <c r="J96" i="2" s="1"/>
  <c r="V96" i="2" s="1"/>
  <c r="D102" i="4"/>
  <c r="F101" i="4"/>
  <c r="D101" i="4"/>
  <c r="F100" i="4"/>
  <c r="D100" i="4"/>
  <c r="F99" i="4"/>
  <c r="D99" i="4"/>
  <c r="F98" i="4"/>
  <c r="D98" i="4"/>
  <c r="F97" i="4"/>
  <c r="D97" i="4"/>
  <c r="F96" i="4"/>
  <c r="D96" i="4"/>
  <c r="F95" i="4"/>
  <c r="I99" i="3" s="1"/>
  <c r="D95" i="4"/>
  <c r="F94" i="4"/>
  <c r="I97" i="3" s="1"/>
  <c r="D94" i="4"/>
  <c r="F93" i="4"/>
  <c r="I95" i="3" s="1"/>
  <c r="D93" i="4"/>
  <c r="F92" i="4"/>
  <c r="D92" i="4"/>
  <c r="F91" i="4"/>
  <c r="D91" i="4"/>
  <c r="F90" i="4"/>
  <c r="I98" i="3" s="1"/>
  <c r="D90" i="4"/>
  <c r="F89" i="4"/>
  <c r="I96" i="3" s="1"/>
  <c r="D89" i="4"/>
  <c r="F88" i="4"/>
  <c r="I94" i="3" s="1"/>
  <c r="D88" i="4"/>
  <c r="F87" i="4"/>
  <c r="D87" i="4"/>
  <c r="F86" i="4"/>
  <c r="D86" i="4"/>
  <c r="F85" i="4"/>
  <c r="D85" i="4"/>
  <c r="F84" i="4"/>
  <c r="D84" i="4"/>
  <c r="F83" i="4"/>
  <c r="D83" i="4"/>
  <c r="F82" i="4"/>
  <c r="D82" i="4"/>
  <c r="F81" i="4"/>
  <c r="D81" i="4"/>
  <c r="F80" i="4"/>
  <c r="D80" i="4"/>
  <c r="F79" i="4"/>
  <c r="D79" i="4"/>
  <c r="F78" i="4"/>
  <c r="I84" i="3" s="1"/>
  <c r="J77" i="2" s="1"/>
  <c r="D78" i="4"/>
  <c r="F77" i="4"/>
  <c r="I83" i="3" s="1"/>
  <c r="D77" i="4"/>
  <c r="F76" i="4"/>
  <c r="D76" i="4"/>
  <c r="F75" i="4"/>
  <c r="D75" i="4"/>
  <c r="F74" i="4"/>
  <c r="D74" i="4"/>
  <c r="F73" i="4"/>
  <c r="D73" i="4"/>
  <c r="F72" i="4"/>
  <c r="D72" i="4"/>
  <c r="F71" i="4"/>
  <c r="D71" i="4"/>
  <c r="F70" i="4"/>
  <c r="D70" i="4"/>
  <c r="F69" i="4"/>
  <c r="D69" i="4"/>
  <c r="F68" i="4"/>
  <c r="D68" i="4"/>
  <c r="F67" i="4"/>
  <c r="D67" i="4"/>
  <c r="F66" i="4"/>
  <c r="I72" i="3" s="1"/>
  <c r="D66" i="4"/>
  <c r="F65" i="4"/>
  <c r="I71" i="3" s="1"/>
  <c r="D65" i="4"/>
  <c r="F64" i="4"/>
  <c r="I70" i="3" s="1"/>
  <c r="D64" i="4"/>
  <c r="F63" i="4"/>
  <c r="D63" i="4"/>
  <c r="F62" i="4"/>
  <c r="D62" i="4"/>
  <c r="F61" i="4"/>
  <c r="D61" i="4"/>
  <c r="F60" i="4"/>
  <c r="I66" i="3" s="1"/>
  <c r="D60" i="4"/>
  <c r="F59" i="4"/>
  <c r="I65" i="3" s="1"/>
  <c r="D59" i="4"/>
  <c r="F58" i="4"/>
  <c r="I64" i="3" s="1"/>
  <c r="D58" i="4"/>
  <c r="F57" i="4"/>
  <c r="D57" i="4"/>
  <c r="F56" i="4"/>
  <c r="I61" i="3" s="1"/>
  <c r="D56" i="4"/>
  <c r="F55" i="4"/>
  <c r="I59" i="3" s="1"/>
  <c r="D55" i="4"/>
  <c r="F54" i="4"/>
  <c r="I57" i="3" s="1"/>
  <c r="D54" i="4"/>
  <c r="F53" i="4"/>
  <c r="I55" i="3" s="1"/>
  <c r="D53" i="4"/>
  <c r="F52" i="4"/>
  <c r="I53" i="3" s="1"/>
  <c r="D52" i="4"/>
  <c r="F51" i="4"/>
  <c r="I51" i="3" s="1"/>
  <c r="D51" i="4"/>
  <c r="F50" i="4"/>
  <c r="I50" i="3" s="1"/>
  <c r="J49" i="2" s="1"/>
  <c r="V49" i="2" s="1"/>
  <c r="D50" i="4"/>
  <c r="F49" i="4"/>
  <c r="I49" i="3" s="1"/>
  <c r="J48" i="2" s="1"/>
  <c r="V48" i="2" s="1"/>
  <c r="D49" i="4"/>
  <c r="F48" i="4"/>
  <c r="I48" i="3" s="1"/>
  <c r="J47" i="2" s="1"/>
  <c r="D48" i="4"/>
  <c r="F47" i="4"/>
  <c r="I47" i="3" s="1"/>
  <c r="J46" i="2" s="1"/>
  <c r="V46" i="2" s="1"/>
  <c r="D47" i="4"/>
  <c r="F46" i="4"/>
  <c r="I46" i="3" s="1"/>
  <c r="D46" i="4"/>
  <c r="F45" i="4"/>
  <c r="I45" i="3" s="1"/>
  <c r="J44" i="2" s="1"/>
  <c r="V44" i="2" s="1"/>
  <c r="D45" i="4"/>
  <c r="F44" i="4"/>
  <c r="I44" i="3" s="1"/>
  <c r="J43" i="2" s="1"/>
  <c r="V43" i="2" s="1"/>
  <c r="D44" i="4"/>
  <c r="F43" i="4"/>
  <c r="I43" i="3" s="1"/>
  <c r="D43" i="4"/>
  <c r="F42" i="4"/>
  <c r="I42" i="3" s="1"/>
  <c r="J41" i="2" s="1"/>
  <c r="V41" i="2" s="1"/>
  <c r="D42" i="4"/>
  <c r="F41" i="4"/>
  <c r="I41" i="3" s="1"/>
  <c r="J40" i="2" s="1"/>
  <c r="D41" i="4"/>
  <c r="F40" i="4"/>
  <c r="D40" i="4"/>
  <c r="F39" i="4"/>
  <c r="D39" i="4"/>
  <c r="F38" i="4"/>
  <c r="I38" i="3" s="1"/>
  <c r="J37" i="2" s="1"/>
  <c r="V37" i="2" s="1"/>
  <c r="D38" i="4"/>
  <c r="F37" i="4"/>
  <c r="I37" i="3" s="1"/>
  <c r="J36" i="2" s="1"/>
  <c r="V36" i="2" s="1"/>
  <c r="D37" i="4"/>
  <c r="F36" i="4"/>
  <c r="I36" i="3" s="1"/>
  <c r="J35" i="2" s="1"/>
  <c r="D36" i="4"/>
  <c r="F35" i="4"/>
  <c r="I35" i="3" s="1"/>
  <c r="J34" i="2" s="1"/>
  <c r="V34" i="2" s="1"/>
  <c r="D35" i="4"/>
  <c r="F34" i="4"/>
  <c r="I32" i="3" s="1"/>
  <c r="D34" i="4"/>
  <c r="F33" i="4"/>
  <c r="I34" i="3" s="1"/>
  <c r="J33" i="2" s="1"/>
  <c r="V33" i="2" s="1"/>
  <c r="D33" i="4"/>
  <c r="F32" i="4"/>
  <c r="I33" i="3" s="1"/>
  <c r="D32" i="4"/>
  <c r="F31" i="4"/>
  <c r="I31" i="3" s="1"/>
  <c r="D31" i="4"/>
  <c r="F30" i="4"/>
  <c r="I30" i="3" s="1"/>
  <c r="J30" i="2" s="1"/>
  <c r="V30" i="2" s="1"/>
  <c r="D30" i="4"/>
  <c r="F29" i="4"/>
  <c r="D29" i="4"/>
  <c r="F28" i="4"/>
  <c r="D28" i="4"/>
  <c r="F27" i="4"/>
  <c r="D27" i="4"/>
  <c r="F26" i="4"/>
  <c r="D26" i="4"/>
  <c r="F25" i="4"/>
  <c r="D25" i="4"/>
  <c r="F24" i="4"/>
  <c r="D24" i="4"/>
  <c r="F23" i="4"/>
  <c r="D23" i="4"/>
  <c r="F22" i="4"/>
  <c r="D22" i="4"/>
  <c r="F21" i="4"/>
  <c r="D21" i="4"/>
  <c r="F20" i="4"/>
  <c r="D20" i="4"/>
  <c r="F19" i="4"/>
  <c r="D19" i="4"/>
  <c r="F18" i="4"/>
  <c r="D18" i="4"/>
  <c r="F17" i="4"/>
  <c r="D17" i="4"/>
  <c r="F16" i="4"/>
  <c r="D16" i="4"/>
  <c r="F15" i="4"/>
  <c r="D15" i="4"/>
  <c r="F14" i="4"/>
  <c r="D14" i="4"/>
  <c r="F13" i="4"/>
  <c r="D13" i="4"/>
  <c r="F12" i="4"/>
  <c r="D12" i="4"/>
  <c r="F11" i="4"/>
  <c r="D11" i="4"/>
  <c r="F10" i="4"/>
  <c r="D10" i="4"/>
  <c r="F9" i="4"/>
  <c r="D9" i="4"/>
  <c r="F8" i="4"/>
  <c r="D8" i="4"/>
  <c r="F7" i="4"/>
  <c r="D7" i="4"/>
  <c r="F6" i="4"/>
  <c r="D6" i="4"/>
  <c r="T997" i="3"/>
  <c r="R997" i="3"/>
  <c r="Q997" i="3"/>
  <c r="P997" i="3"/>
  <c r="N997" i="3"/>
  <c r="I997" i="3"/>
  <c r="D997" i="3"/>
  <c r="T996" i="3"/>
  <c r="R996" i="3"/>
  <c r="Q996" i="3"/>
  <c r="P996" i="3"/>
  <c r="N996" i="3"/>
  <c r="I996" i="3"/>
  <c r="D996" i="3"/>
  <c r="T995" i="3"/>
  <c r="R995" i="3"/>
  <c r="Q995" i="3"/>
  <c r="P995" i="3"/>
  <c r="N995" i="3"/>
  <c r="I995" i="3"/>
  <c r="D995" i="3"/>
  <c r="T994" i="3"/>
  <c r="R994" i="3"/>
  <c r="Q994" i="3"/>
  <c r="P994" i="3"/>
  <c r="N994" i="3"/>
  <c r="I994" i="3"/>
  <c r="D994" i="3"/>
  <c r="T993" i="3"/>
  <c r="R993" i="3"/>
  <c r="Q993" i="3"/>
  <c r="P993" i="3"/>
  <c r="N993" i="3"/>
  <c r="I993" i="3"/>
  <c r="D993" i="3"/>
  <c r="T992" i="3"/>
  <c r="R992" i="3"/>
  <c r="Q992" i="3"/>
  <c r="P992" i="3"/>
  <c r="N992" i="3"/>
  <c r="I992" i="3"/>
  <c r="D992" i="3"/>
  <c r="T991" i="3"/>
  <c r="R991" i="3"/>
  <c r="Q991" i="3"/>
  <c r="P991" i="3"/>
  <c r="N991" i="3"/>
  <c r="I991" i="3"/>
  <c r="D991" i="3"/>
  <c r="T990" i="3"/>
  <c r="R990" i="3"/>
  <c r="Q990" i="3"/>
  <c r="P990" i="3"/>
  <c r="N990" i="3"/>
  <c r="I990" i="3"/>
  <c r="D990" i="3"/>
  <c r="T989" i="3"/>
  <c r="R989" i="3"/>
  <c r="Q989" i="3"/>
  <c r="P989" i="3"/>
  <c r="N989" i="3"/>
  <c r="I989" i="3"/>
  <c r="D989" i="3"/>
  <c r="T988" i="3"/>
  <c r="R988" i="3"/>
  <c r="Q988" i="3"/>
  <c r="P988" i="3"/>
  <c r="N988" i="3"/>
  <c r="I988" i="3"/>
  <c r="D988" i="3"/>
  <c r="T987" i="3"/>
  <c r="R987" i="3"/>
  <c r="Q987" i="3"/>
  <c r="P987" i="3"/>
  <c r="N987" i="3"/>
  <c r="I987" i="3"/>
  <c r="D987" i="3"/>
  <c r="T986" i="3"/>
  <c r="R986" i="3"/>
  <c r="Q986" i="3"/>
  <c r="P986" i="3"/>
  <c r="N986" i="3"/>
  <c r="I986" i="3"/>
  <c r="D986" i="3"/>
  <c r="T985" i="3"/>
  <c r="R985" i="3"/>
  <c r="Q985" i="3"/>
  <c r="P985" i="3"/>
  <c r="N985" i="3"/>
  <c r="I985" i="3"/>
  <c r="D985" i="3"/>
  <c r="T984" i="3"/>
  <c r="R984" i="3"/>
  <c r="Q984" i="3"/>
  <c r="P984" i="3"/>
  <c r="N984" i="3"/>
  <c r="I984" i="3"/>
  <c r="D984" i="3"/>
  <c r="T983" i="3"/>
  <c r="R983" i="3"/>
  <c r="Q983" i="3"/>
  <c r="P983" i="3"/>
  <c r="N983" i="3"/>
  <c r="I983" i="3"/>
  <c r="D983" i="3"/>
  <c r="T982" i="3"/>
  <c r="R982" i="3"/>
  <c r="Q982" i="3"/>
  <c r="P982" i="3"/>
  <c r="N982" i="3"/>
  <c r="I982" i="3"/>
  <c r="D982" i="3"/>
  <c r="T981" i="3"/>
  <c r="R981" i="3"/>
  <c r="Q981" i="3"/>
  <c r="P981" i="3"/>
  <c r="N981" i="3"/>
  <c r="I981" i="3"/>
  <c r="D981" i="3"/>
  <c r="T980" i="3"/>
  <c r="R980" i="3"/>
  <c r="Q980" i="3"/>
  <c r="P980" i="3"/>
  <c r="N980" i="3"/>
  <c r="I980" i="3"/>
  <c r="D980" i="3"/>
  <c r="T979" i="3"/>
  <c r="R979" i="3"/>
  <c r="Q979" i="3"/>
  <c r="P979" i="3"/>
  <c r="N979" i="3"/>
  <c r="I979" i="3"/>
  <c r="D979" i="3"/>
  <c r="T978" i="3"/>
  <c r="R978" i="3"/>
  <c r="Q978" i="3"/>
  <c r="P978" i="3"/>
  <c r="N978" i="3"/>
  <c r="I978" i="3"/>
  <c r="D978" i="3"/>
  <c r="T977" i="3"/>
  <c r="R977" i="3"/>
  <c r="Q977" i="3"/>
  <c r="P977" i="3"/>
  <c r="N977" i="3"/>
  <c r="I977" i="3"/>
  <c r="D977" i="3"/>
  <c r="T976" i="3"/>
  <c r="R976" i="3"/>
  <c r="Q976" i="3"/>
  <c r="P976" i="3"/>
  <c r="N976" i="3"/>
  <c r="I976" i="3"/>
  <c r="D976" i="3"/>
  <c r="T975" i="3"/>
  <c r="R975" i="3"/>
  <c r="Q975" i="3"/>
  <c r="P975" i="3"/>
  <c r="N975" i="3"/>
  <c r="I975" i="3"/>
  <c r="D975" i="3"/>
  <c r="T974" i="3"/>
  <c r="R974" i="3"/>
  <c r="Q974" i="3"/>
  <c r="P974" i="3"/>
  <c r="N974" i="3"/>
  <c r="I974" i="3"/>
  <c r="D974" i="3"/>
  <c r="T973" i="3"/>
  <c r="R973" i="3"/>
  <c r="Q973" i="3"/>
  <c r="P973" i="3"/>
  <c r="N973" i="3"/>
  <c r="I973" i="3"/>
  <c r="D973" i="3"/>
  <c r="T972" i="3"/>
  <c r="R972" i="3"/>
  <c r="Q972" i="3"/>
  <c r="P972" i="3"/>
  <c r="N972" i="3"/>
  <c r="I972" i="3"/>
  <c r="D972" i="3"/>
  <c r="T971" i="3"/>
  <c r="R971" i="3"/>
  <c r="Q971" i="3"/>
  <c r="P971" i="3"/>
  <c r="N971" i="3"/>
  <c r="I971" i="3"/>
  <c r="D971" i="3"/>
  <c r="T970" i="3"/>
  <c r="R970" i="3"/>
  <c r="Q970" i="3"/>
  <c r="P970" i="3"/>
  <c r="N970" i="3"/>
  <c r="I970" i="3"/>
  <c r="D970" i="3"/>
  <c r="T969" i="3"/>
  <c r="R969" i="3"/>
  <c r="Q969" i="3"/>
  <c r="P969" i="3"/>
  <c r="N969" i="3"/>
  <c r="I969" i="3"/>
  <c r="D969" i="3"/>
  <c r="T968" i="3"/>
  <c r="R968" i="3"/>
  <c r="Q968" i="3"/>
  <c r="P968" i="3"/>
  <c r="N968" i="3"/>
  <c r="I968" i="3"/>
  <c r="D968" i="3"/>
  <c r="T967" i="3"/>
  <c r="R967" i="3"/>
  <c r="Q967" i="3"/>
  <c r="P967" i="3"/>
  <c r="N967" i="3"/>
  <c r="I967" i="3"/>
  <c r="D967" i="3"/>
  <c r="T966" i="3"/>
  <c r="R966" i="3"/>
  <c r="Q966" i="3"/>
  <c r="P966" i="3"/>
  <c r="N966" i="3"/>
  <c r="I966" i="3"/>
  <c r="D966" i="3"/>
  <c r="T965" i="3"/>
  <c r="R965" i="3"/>
  <c r="Q965" i="3"/>
  <c r="P965" i="3"/>
  <c r="N965" i="3"/>
  <c r="I965" i="3"/>
  <c r="D965" i="3"/>
  <c r="T964" i="3"/>
  <c r="R964" i="3"/>
  <c r="Q964" i="3"/>
  <c r="P964" i="3"/>
  <c r="N964" i="3"/>
  <c r="I964" i="3"/>
  <c r="D964" i="3"/>
  <c r="T963" i="3"/>
  <c r="R963" i="3"/>
  <c r="Q963" i="3"/>
  <c r="P963" i="3"/>
  <c r="N963" i="3"/>
  <c r="I963" i="3"/>
  <c r="D963" i="3"/>
  <c r="T962" i="3"/>
  <c r="R962" i="3"/>
  <c r="Q962" i="3"/>
  <c r="P962" i="3"/>
  <c r="N962" i="3"/>
  <c r="I962" i="3"/>
  <c r="D962" i="3"/>
  <c r="T961" i="3"/>
  <c r="R961" i="3"/>
  <c r="Q961" i="3"/>
  <c r="P961" i="3"/>
  <c r="N961" i="3"/>
  <c r="I961" i="3"/>
  <c r="D961" i="3"/>
  <c r="T960" i="3"/>
  <c r="R960" i="3"/>
  <c r="Q960" i="3"/>
  <c r="P960" i="3"/>
  <c r="N960" i="3"/>
  <c r="I960" i="3"/>
  <c r="D960" i="3"/>
  <c r="T959" i="3"/>
  <c r="R959" i="3"/>
  <c r="Q959" i="3"/>
  <c r="P959" i="3"/>
  <c r="N959" i="3"/>
  <c r="I959" i="3"/>
  <c r="D959" i="3"/>
  <c r="T958" i="3"/>
  <c r="R958" i="3"/>
  <c r="Q958" i="3"/>
  <c r="P958" i="3"/>
  <c r="N958" i="3"/>
  <c r="I958" i="3"/>
  <c r="D958" i="3"/>
  <c r="T957" i="3"/>
  <c r="R957" i="3"/>
  <c r="Q957" i="3"/>
  <c r="P957" i="3"/>
  <c r="N957" i="3"/>
  <c r="I957" i="3"/>
  <c r="D957" i="3"/>
  <c r="T956" i="3"/>
  <c r="R956" i="3"/>
  <c r="Q956" i="3"/>
  <c r="P956" i="3"/>
  <c r="N956" i="3"/>
  <c r="I956" i="3"/>
  <c r="D956" i="3"/>
  <c r="T955" i="3"/>
  <c r="R955" i="3"/>
  <c r="Q955" i="3"/>
  <c r="P955" i="3"/>
  <c r="N955" i="3"/>
  <c r="I955" i="3"/>
  <c r="D955" i="3"/>
  <c r="T954" i="3"/>
  <c r="R954" i="3"/>
  <c r="Q954" i="3"/>
  <c r="P954" i="3"/>
  <c r="N954" i="3"/>
  <c r="I954" i="3"/>
  <c r="D954" i="3"/>
  <c r="T953" i="3"/>
  <c r="R953" i="3"/>
  <c r="Q953" i="3"/>
  <c r="P953" i="3"/>
  <c r="N953" i="3"/>
  <c r="I953" i="3"/>
  <c r="D953" i="3"/>
  <c r="T952" i="3"/>
  <c r="R952" i="3"/>
  <c r="Q952" i="3"/>
  <c r="P952" i="3"/>
  <c r="N952" i="3"/>
  <c r="I952" i="3"/>
  <c r="D952" i="3"/>
  <c r="T951" i="3"/>
  <c r="R951" i="3"/>
  <c r="Q951" i="3"/>
  <c r="P951" i="3"/>
  <c r="N951" i="3"/>
  <c r="I951" i="3"/>
  <c r="D951" i="3"/>
  <c r="T950" i="3"/>
  <c r="R950" i="3"/>
  <c r="Q950" i="3"/>
  <c r="P950" i="3"/>
  <c r="N950" i="3"/>
  <c r="I950" i="3"/>
  <c r="D950" i="3"/>
  <c r="T949" i="3"/>
  <c r="R949" i="3"/>
  <c r="Q949" i="3"/>
  <c r="P949" i="3"/>
  <c r="N949" i="3"/>
  <c r="I949" i="3"/>
  <c r="D949" i="3"/>
  <c r="T948" i="3"/>
  <c r="R948" i="3"/>
  <c r="Q948" i="3"/>
  <c r="P948" i="3"/>
  <c r="N948" i="3"/>
  <c r="I948" i="3"/>
  <c r="D948" i="3"/>
  <c r="T947" i="3"/>
  <c r="R947" i="3"/>
  <c r="Q947" i="3"/>
  <c r="P947" i="3"/>
  <c r="N947" i="3"/>
  <c r="I947" i="3"/>
  <c r="D947" i="3"/>
  <c r="T946" i="3"/>
  <c r="R946" i="3"/>
  <c r="Q946" i="3"/>
  <c r="P946" i="3"/>
  <c r="N946" i="3"/>
  <c r="I946" i="3"/>
  <c r="D946" i="3"/>
  <c r="T945" i="3"/>
  <c r="R945" i="3"/>
  <c r="Q945" i="3"/>
  <c r="P945" i="3"/>
  <c r="N945" i="3"/>
  <c r="I945" i="3"/>
  <c r="D945" i="3"/>
  <c r="T944" i="3"/>
  <c r="R944" i="3"/>
  <c r="Q944" i="3"/>
  <c r="P944" i="3"/>
  <c r="N944" i="3"/>
  <c r="I944" i="3"/>
  <c r="D944" i="3"/>
  <c r="T943" i="3"/>
  <c r="R943" i="3"/>
  <c r="Q943" i="3"/>
  <c r="P943" i="3"/>
  <c r="N943" i="3"/>
  <c r="I943" i="3"/>
  <c r="D943" i="3"/>
  <c r="T942" i="3"/>
  <c r="R942" i="3"/>
  <c r="Q942" i="3"/>
  <c r="P942" i="3"/>
  <c r="N942" i="3"/>
  <c r="I942" i="3"/>
  <c r="D942" i="3"/>
  <c r="T941" i="3"/>
  <c r="R941" i="3"/>
  <c r="Q941" i="3"/>
  <c r="P941" i="3"/>
  <c r="N941" i="3"/>
  <c r="I941" i="3"/>
  <c r="D941" i="3"/>
  <c r="T940" i="3"/>
  <c r="R940" i="3"/>
  <c r="Q940" i="3"/>
  <c r="P940" i="3"/>
  <c r="N940" i="3"/>
  <c r="I940" i="3"/>
  <c r="D940" i="3"/>
  <c r="T939" i="3"/>
  <c r="R939" i="3"/>
  <c r="Q939" i="3"/>
  <c r="P939" i="3"/>
  <c r="N939" i="3"/>
  <c r="I939" i="3"/>
  <c r="D939" i="3"/>
  <c r="T938" i="3"/>
  <c r="R938" i="3"/>
  <c r="Q938" i="3"/>
  <c r="P938" i="3"/>
  <c r="N938" i="3"/>
  <c r="I938" i="3"/>
  <c r="D938" i="3"/>
  <c r="T937" i="3"/>
  <c r="R937" i="3"/>
  <c r="Q937" i="3"/>
  <c r="P937" i="3"/>
  <c r="N937" i="3"/>
  <c r="D937" i="3"/>
  <c r="T936" i="3"/>
  <c r="R936" i="3"/>
  <c r="Q936" i="3"/>
  <c r="P936" i="3"/>
  <c r="N936" i="3"/>
  <c r="D936" i="3"/>
  <c r="T935" i="3"/>
  <c r="R935" i="3"/>
  <c r="Q935" i="3"/>
  <c r="P935" i="3"/>
  <c r="N935" i="3"/>
  <c r="D935" i="3"/>
  <c r="T934" i="3"/>
  <c r="R934" i="3"/>
  <c r="Q934" i="3"/>
  <c r="P934" i="3"/>
  <c r="N934" i="3"/>
  <c r="D934" i="3"/>
  <c r="T933" i="3"/>
  <c r="R933" i="3"/>
  <c r="Q933" i="3"/>
  <c r="P933" i="3"/>
  <c r="N933" i="3"/>
  <c r="D933" i="3"/>
  <c r="T932" i="3"/>
  <c r="R932" i="3"/>
  <c r="Q932" i="3"/>
  <c r="P932" i="3"/>
  <c r="N932" i="3"/>
  <c r="D932" i="3"/>
  <c r="T931" i="3"/>
  <c r="R931" i="3"/>
  <c r="Q931" i="3"/>
  <c r="P931" i="3"/>
  <c r="N931" i="3"/>
  <c r="D931" i="3"/>
  <c r="T930" i="3"/>
  <c r="R930" i="3"/>
  <c r="Q930" i="3"/>
  <c r="P930" i="3"/>
  <c r="N930" i="3"/>
  <c r="D930" i="3"/>
  <c r="T929" i="3"/>
  <c r="R929" i="3"/>
  <c r="Q929" i="3"/>
  <c r="P929" i="3"/>
  <c r="N929" i="3"/>
  <c r="D929" i="3"/>
  <c r="T928" i="3"/>
  <c r="R928" i="3"/>
  <c r="Q928" i="3"/>
  <c r="P928" i="3"/>
  <c r="N928" i="3"/>
  <c r="D928" i="3"/>
  <c r="T927" i="3"/>
  <c r="R927" i="3"/>
  <c r="Q927" i="3"/>
  <c r="P927" i="3"/>
  <c r="N927" i="3"/>
  <c r="D927" i="3"/>
  <c r="T926" i="3"/>
  <c r="R926" i="3"/>
  <c r="Q926" i="3"/>
  <c r="P926" i="3"/>
  <c r="N926" i="3"/>
  <c r="I926" i="3"/>
  <c r="D926" i="3"/>
  <c r="T925" i="3"/>
  <c r="R925" i="3"/>
  <c r="Q925" i="3"/>
  <c r="P925" i="3"/>
  <c r="N925" i="3"/>
  <c r="D925" i="3"/>
  <c r="T924" i="3"/>
  <c r="R924" i="3"/>
  <c r="Q924" i="3"/>
  <c r="P924" i="3"/>
  <c r="N924" i="3"/>
  <c r="D924" i="3"/>
  <c r="T923" i="3"/>
  <c r="R923" i="3"/>
  <c r="Q923" i="3"/>
  <c r="P923" i="3"/>
  <c r="N923" i="3"/>
  <c r="D923" i="3"/>
  <c r="T922" i="3"/>
  <c r="R922" i="3"/>
  <c r="Q922" i="3"/>
  <c r="P922" i="3"/>
  <c r="N922" i="3"/>
  <c r="D922" i="3"/>
  <c r="T921" i="3"/>
  <c r="R921" i="3"/>
  <c r="Q921" i="3"/>
  <c r="P921" i="3"/>
  <c r="N921" i="3"/>
  <c r="D921" i="3"/>
  <c r="T920" i="3"/>
  <c r="R920" i="3"/>
  <c r="Q920" i="3"/>
  <c r="P920" i="3"/>
  <c r="N920" i="3"/>
  <c r="D920" i="3"/>
  <c r="T919" i="3"/>
  <c r="R919" i="3"/>
  <c r="Q919" i="3"/>
  <c r="P919" i="3"/>
  <c r="N919" i="3"/>
  <c r="D919" i="3"/>
  <c r="T918" i="3"/>
  <c r="R918" i="3"/>
  <c r="Q918" i="3"/>
  <c r="P918" i="3"/>
  <c r="N918" i="3"/>
  <c r="D918" i="3"/>
  <c r="T917" i="3"/>
  <c r="R917" i="3"/>
  <c r="Q917" i="3"/>
  <c r="P917" i="3"/>
  <c r="N917" i="3"/>
  <c r="D917" i="3"/>
  <c r="T916" i="3"/>
  <c r="R916" i="3"/>
  <c r="Q916" i="3"/>
  <c r="P916" i="3"/>
  <c r="N916" i="3"/>
  <c r="D916" i="3"/>
  <c r="T915" i="3"/>
  <c r="R915" i="3"/>
  <c r="Q915" i="3"/>
  <c r="P915" i="3"/>
  <c r="N915" i="3"/>
  <c r="D915" i="3"/>
  <c r="T914" i="3"/>
  <c r="R914" i="3"/>
  <c r="Q914" i="3"/>
  <c r="P914" i="3"/>
  <c r="N914" i="3"/>
  <c r="D914" i="3"/>
  <c r="T913" i="3"/>
  <c r="R913" i="3"/>
  <c r="Q913" i="3"/>
  <c r="P913" i="3"/>
  <c r="N913" i="3"/>
  <c r="D913" i="3"/>
  <c r="T912" i="3"/>
  <c r="R912" i="3"/>
  <c r="Q912" i="3"/>
  <c r="P912" i="3"/>
  <c r="N912" i="3"/>
  <c r="D912" i="3"/>
  <c r="T911" i="3"/>
  <c r="R911" i="3"/>
  <c r="Q911" i="3"/>
  <c r="P911" i="3"/>
  <c r="N911" i="3"/>
  <c r="D911" i="3"/>
  <c r="T910" i="3"/>
  <c r="R910" i="3"/>
  <c r="Q910" i="3"/>
  <c r="P910" i="3"/>
  <c r="N910" i="3"/>
  <c r="D910" i="3"/>
  <c r="T909" i="3"/>
  <c r="R909" i="3"/>
  <c r="Q909" i="3"/>
  <c r="P909" i="3"/>
  <c r="N909" i="3"/>
  <c r="D909" i="3"/>
  <c r="T908" i="3"/>
  <c r="R908" i="3"/>
  <c r="Q908" i="3"/>
  <c r="P908" i="3"/>
  <c r="N908" i="3"/>
  <c r="D908" i="3"/>
  <c r="T907" i="3"/>
  <c r="R907" i="3"/>
  <c r="Q907" i="3"/>
  <c r="P907" i="3"/>
  <c r="N907" i="3"/>
  <c r="D907" i="3"/>
  <c r="T906" i="3"/>
  <c r="R906" i="3"/>
  <c r="Q906" i="3"/>
  <c r="P906" i="3"/>
  <c r="N906" i="3"/>
  <c r="D906" i="3"/>
  <c r="T905" i="3"/>
  <c r="R905" i="3"/>
  <c r="Q905" i="3"/>
  <c r="P905" i="3"/>
  <c r="N905" i="3"/>
  <c r="D905" i="3"/>
  <c r="T904" i="3"/>
  <c r="R904" i="3"/>
  <c r="Q904" i="3"/>
  <c r="P904" i="3"/>
  <c r="N904" i="3"/>
  <c r="D904" i="3"/>
  <c r="T903" i="3"/>
  <c r="R903" i="3"/>
  <c r="Q903" i="3"/>
  <c r="P903" i="3"/>
  <c r="N903" i="3"/>
  <c r="D903" i="3"/>
  <c r="T902" i="3"/>
  <c r="R902" i="3"/>
  <c r="Q902" i="3"/>
  <c r="P902" i="3"/>
  <c r="N902" i="3"/>
  <c r="D902" i="3"/>
  <c r="T901" i="3"/>
  <c r="R901" i="3"/>
  <c r="Q901" i="3"/>
  <c r="P901" i="3"/>
  <c r="N901" i="3"/>
  <c r="D901" i="3"/>
  <c r="T900" i="3"/>
  <c r="R900" i="3"/>
  <c r="Q900" i="3"/>
  <c r="P900" i="3"/>
  <c r="N900" i="3"/>
  <c r="D900" i="3"/>
  <c r="T899" i="3"/>
  <c r="R899" i="3"/>
  <c r="Q899" i="3"/>
  <c r="P899" i="3"/>
  <c r="N899" i="3"/>
  <c r="D899" i="3"/>
  <c r="T898" i="3"/>
  <c r="R898" i="3"/>
  <c r="Q898" i="3"/>
  <c r="P898" i="3"/>
  <c r="N898" i="3"/>
  <c r="D898" i="3"/>
  <c r="T897" i="3"/>
  <c r="R897" i="3"/>
  <c r="Q897" i="3"/>
  <c r="P897" i="3"/>
  <c r="N897" i="3"/>
  <c r="D897" i="3"/>
  <c r="T896" i="3"/>
  <c r="R896" i="3"/>
  <c r="Q896" i="3"/>
  <c r="P896" i="3"/>
  <c r="N896" i="3"/>
  <c r="D896" i="3"/>
  <c r="T895" i="3"/>
  <c r="R895" i="3"/>
  <c r="Q895" i="3"/>
  <c r="P895" i="3"/>
  <c r="N895" i="3"/>
  <c r="D895" i="3"/>
  <c r="T894" i="3"/>
  <c r="R894" i="3"/>
  <c r="Q894" i="3"/>
  <c r="P894" i="3"/>
  <c r="N894" i="3"/>
  <c r="D894" i="3"/>
  <c r="T893" i="3"/>
  <c r="R893" i="3"/>
  <c r="Q893" i="3"/>
  <c r="P893" i="3"/>
  <c r="N893" i="3"/>
  <c r="D893" i="3"/>
  <c r="T892" i="3"/>
  <c r="R892" i="3"/>
  <c r="Q892" i="3"/>
  <c r="P892" i="3"/>
  <c r="N892" i="3"/>
  <c r="D892" i="3"/>
  <c r="T891" i="3"/>
  <c r="R891" i="3"/>
  <c r="Q891" i="3"/>
  <c r="P891" i="3"/>
  <c r="N891" i="3"/>
  <c r="D891" i="3"/>
  <c r="T890" i="3"/>
  <c r="R890" i="3"/>
  <c r="Q890" i="3"/>
  <c r="P890" i="3"/>
  <c r="N890" i="3"/>
  <c r="D890" i="3"/>
  <c r="T889" i="3"/>
  <c r="R889" i="3"/>
  <c r="Q889" i="3"/>
  <c r="P889" i="3"/>
  <c r="N889" i="3"/>
  <c r="D889" i="3"/>
  <c r="T888" i="3"/>
  <c r="R888" i="3"/>
  <c r="Q888" i="3"/>
  <c r="P888" i="3"/>
  <c r="N888" i="3"/>
  <c r="D888" i="3"/>
  <c r="T887" i="3"/>
  <c r="R887" i="3"/>
  <c r="Q887" i="3"/>
  <c r="P887" i="3"/>
  <c r="N887" i="3"/>
  <c r="D887" i="3"/>
  <c r="T886" i="3"/>
  <c r="R886" i="3"/>
  <c r="Q886" i="3"/>
  <c r="P886" i="3"/>
  <c r="N886" i="3"/>
  <c r="D886" i="3"/>
  <c r="T885" i="3"/>
  <c r="R885" i="3"/>
  <c r="Q885" i="3"/>
  <c r="P885" i="3"/>
  <c r="N885" i="3"/>
  <c r="D885" i="3"/>
  <c r="T884" i="3"/>
  <c r="R884" i="3"/>
  <c r="Q884" i="3"/>
  <c r="P884" i="3"/>
  <c r="N884" i="3"/>
  <c r="D884" i="3"/>
  <c r="T883" i="3"/>
  <c r="R883" i="3"/>
  <c r="Q883" i="3"/>
  <c r="P883" i="3"/>
  <c r="N883" i="3"/>
  <c r="D883" i="3"/>
  <c r="T882" i="3"/>
  <c r="R882" i="3"/>
  <c r="Q882" i="3"/>
  <c r="P882" i="3"/>
  <c r="N882" i="3"/>
  <c r="D882" i="3"/>
  <c r="T881" i="3"/>
  <c r="R881" i="3"/>
  <c r="Q881" i="3"/>
  <c r="P881" i="3"/>
  <c r="N881" i="3"/>
  <c r="D881" i="3"/>
  <c r="T880" i="3"/>
  <c r="R880" i="3"/>
  <c r="Q880" i="3"/>
  <c r="P880" i="3"/>
  <c r="N880" i="3"/>
  <c r="D880" i="3"/>
  <c r="T879" i="3"/>
  <c r="R879" i="3"/>
  <c r="Q879" i="3"/>
  <c r="P879" i="3"/>
  <c r="N879" i="3"/>
  <c r="D879" i="3"/>
  <c r="T878" i="3"/>
  <c r="R878" i="3"/>
  <c r="Q878" i="3"/>
  <c r="P878" i="3"/>
  <c r="N878" i="3"/>
  <c r="D878" i="3"/>
  <c r="T877" i="3"/>
  <c r="R877" i="3"/>
  <c r="Q877" i="3"/>
  <c r="P877" i="3"/>
  <c r="N877" i="3"/>
  <c r="D877" i="3"/>
  <c r="T876" i="3"/>
  <c r="R876" i="3"/>
  <c r="Q876" i="3"/>
  <c r="P876" i="3"/>
  <c r="N876" i="3"/>
  <c r="D876" i="3"/>
  <c r="T875" i="3"/>
  <c r="R875" i="3"/>
  <c r="Q875" i="3"/>
  <c r="P875" i="3"/>
  <c r="N875" i="3"/>
  <c r="D875" i="3"/>
  <c r="T874" i="3"/>
  <c r="R874" i="3"/>
  <c r="Q874" i="3"/>
  <c r="P874" i="3"/>
  <c r="N874" i="3"/>
  <c r="D874" i="3"/>
  <c r="T873" i="3"/>
  <c r="R873" i="3"/>
  <c r="Q873" i="3"/>
  <c r="P873" i="3"/>
  <c r="N873" i="3"/>
  <c r="D873" i="3"/>
  <c r="T872" i="3"/>
  <c r="R872" i="3"/>
  <c r="Q872" i="3"/>
  <c r="P872" i="3"/>
  <c r="N872" i="3"/>
  <c r="D872" i="3"/>
  <c r="T871" i="3"/>
  <c r="R871" i="3"/>
  <c r="Q871" i="3"/>
  <c r="P871" i="3"/>
  <c r="N871" i="3"/>
  <c r="D871" i="3"/>
  <c r="T870" i="3"/>
  <c r="R870" i="3"/>
  <c r="Q870" i="3"/>
  <c r="P870" i="3"/>
  <c r="N870" i="3"/>
  <c r="D870" i="3"/>
  <c r="T869" i="3"/>
  <c r="R869" i="3"/>
  <c r="Q869" i="3"/>
  <c r="P869" i="3"/>
  <c r="N869" i="3"/>
  <c r="D869" i="3"/>
  <c r="T868" i="3"/>
  <c r="R868" i="3"/>
  <c r="Q868" i="3"/>
  <c r="P868" i="3"/>
  <c r="N868" i="3"/>
  <c r="D868" i="3"/>
  <c r="T867" i="3"/>
  <c r="R867" i="3"/>
  <c r="Q867" i="3"/>
  <c r="P867" i="3"/>
  <c r="N867" i="3"/>
  <c r="D867" i="3"/>
  <c r="T866" i="3"/>
  <c r="R866" i="3"/>
  <c r="Q866" i="3"/>
  <c r="P866" i="3"/>
  <c r="N866" i="3"/>
  <c r="D866" i="3"/>
  <c r="T865" i="3"/>
  <c r="R865" i="3"/>
  <c r="Q865" i="3"/>
  <c r="P865" i="3"/>
  <c r="N865" i="3"/>
  <c r="D865" i="3"/>
  <c r="T864" i="3"/>
  <c r="R864" i="3"/>
  <c r="Q864" i="3"/>
  <c r="P864" i="3"/>
  <c r="N864" i="3"/>
  <c r="D864" i="3"/>
  <c r="T863" i="3"/>
  <c r="R863" i="3"/>
  <c r="Q863" i="3"/>
  <c r="P863" i="3"/>
  <c r="N863" i="3"/>
  <c r="D863" i="3"/>
  <c r="T862" i="3"/>
  <c r="R862" i="3"/>
  <c r="Q862" i="3"/>
  <c r="P862" i="3"/>
  <c r="N862" i="3"/>
  <c r="D862" i="3"/>
  <c r="T861" i="3"/>
  <c r="R861" i="3"/>
  <c r="Q861" i="3"/>
  <c r="P861" i="3"/>
  <c r="N861" i="3"/>
  <c r="D861" i="3"/>
  <c r="T860" i="3"/>
  <c r="R860" i="3"/>
  <c r="Q860" i="3"/>
  <c r="P860" i="3"/>
  <c r="N860" i="3"/>
  <c r="D860" i="3"/>
  <c r="T859" i="3"/>
  <c r="R859" i="3"/>
  <c r="Q859" i="3"/>
  <c r="P859" i="3"/>
  <c r="N859" i="3"/>
  <c r="D859" i="3"/>
  <c r="T858" i="3"/>
  <c r="R858" i="3"/>
  <c r="Q858" i="3"/>
  <c r="P858" i="3"/>
  <c r="N858" i="3"/>
  <c r="D858" i="3"/>
  <c r="T857" i="3"/>
  <c r="R857" i="3"/>
  <c r="Q857" i="3"/>
  <c r="P857" i="3"/>
  <c r="N857" i="3"/>
  <c r="D857" i="3"/>
  <c r="T856" i="3"/>
  <c r="R856" i="3"/>
  <c r="Q856" i="3"/>
  <c r="P856" i="3"/>
  <c r="N856" i="3"/>
  <c r="D856" i="3"/>
  <c r="T855" i="3"/>
  <c r="R855" i="3"/>
  <c r="Q855" i="3"/>
  <c r="P855" i="3"/>
  <c r="N855" i="3"/>
  <c r="D855" i="3"/>
  <c r="T854" i="3"/>
  <c r="R854" i="3"/>
  <c r="Q854" i="3"/>
  <c r="P854" i="3"/>
  <c r="N854" i="3"/>
  <c r="D854" i="3"/>
  <c r="T853" i="3"/>
  <c r="R853" i="3"/>
  <c r="Q853" i="3"/>
  <c r="P853" i="3"/>
  <c r="N853" i="3"/>
  <c r="D853" i="3"/>
  <c r="T852" i="3"/>
  <c r="R852" i="3"/>
  <c r="Q852" i="3"/>
  <c r="P852" i="3"/>
  <c r="N852" i="3"/>
  <c r="D852" i="3"/>
  <c r="T851" i="3"/>
  <c r="R851" i="3"/>
  <c r="Q851" i="3"/>
  <c r="P851" i="3"/>
  <c r="N851" i="3"/>
  <c r="D851" i="3"/>
  <c r="T850" i="3"/>
  <c r="R850" i="3"/>
  <c r="Q850" i="3"/>
  <c r="P850" i="3"/>
  <c r="N850" i="3"/>
  <c r="D850" i="3"/>
  <c r="T849" i="3"/>
  <c r="R849" i="3"/>
  <c r="Q849" i="3"/>
  <c r="P849" i="3"/>
  <c r="N849" i="3"/>
  <c r="D849" i="3"/>
  <c r="T848" i="3"/>
  <c r="R848" i="3"/>
  <c r="Q848" i="3"/>
  <c r="P848" i="3"/>
  <c r="N848" i="3"/>
  <c r="D848" i="3"/>
  <c r="T847" i="3"/>
  <c r="R847" i="3"/>
  <c r="Q847" i="3"/>
  <c r="P847" i="3"/>
  <c r="N847" i="3"/>
  <c r="D847" i="3"/>
  <c r="T846" i="3"/>
  <c r="R846" i="3"/>
  <c r="Q846" i="3"/>
  <c r="P846" i="3"/>
  <c r="N846" i="3"/>
  <c r="D846" i="3"/>
  <c r="T845" i="3"/>
  <c r="R845" i="3"/>
  <c r="Q845" i="3"/>
  <c r="P845" i="3"/>
  <c r="N845" i="3"/>
  <c r="D845" i="3"/>
  <c r="T844" i="3"/>
  <c r="R844" i="3"/>
  <c r="Q844" i="3"/>
  <c r="P844" i="3"/>
  <c r="N844" i="3"/>
  <c r="D844" i="3"/>
  <c r="T843" i="3"/>
  <c r="R843" i="3"/>
  <c r="Q843" i="3"/>
  <c r="P843" i="3"/>
  <c r="N843" i="3"/>
  <c r="D843" i="3"/>
  <c r="T842" i="3"/>
  <c r="R842" i="3"/>
  <c r="Q842" i="3"/>
  <c r="P842" i="3"/>
  <c r="N842" i="3"/>
  <c r="D842" i="3"/>
  <c r="T841" i="3"/>
  <c r="R841" i="3"/>
  <c r="Q841" i="3"/>
  <c r="P841" i="3"/>
  <c r="N841" i="3"/>
  <c r="D841" i="3"/>
  <c r="T840" i="3"/>
  <c r="R840" i="3"/>
  <c r="Q840" i="3"/>
  <c r="P840" i="3"/>
  <c r="N840" i="3"/>
  <c r="D840" i="3"/>
  <c r="T839" i="3"/>
  <c r="R839" i="3"/>
  <c r="Q839" i="3"/>
  <c r="P839" i="3"/>
  <c r="N839" i="3"/>
  <c r="D839" i="3"/>
  <c r="T838" i="3"/>
  <c r="R838" i="3"/>
  <c r="Q838" i="3"/>
  <c r="P838" i="3"/>
  <c r="N838" i="3"/>
  <c r="D838" i="3"/>
  <c r="T837" i="3"/>
  <c r="R837" i="3"/>
  <c r="Q837" i="3"/>
  <c r="P837" i="3"/>
  <c r="N837" i="3"/>
  <c r="D837" i="3"/>
  <c r="T836" i="3"/>
  <c r="R836" i="3"/>
  <c r="Q836" i="3"/>
  <c r="P836" i="3"/>
  <c r="N836" i="3"/>
  <c r="D836" i="3"/>
  <c r="T835" i="3"/>
  <c r="R835" i="3"/>
  <c r="Q835" i="3"/>
  <c r="P835" i="3"/>
  <c r="N835" i="3"/>
  <c r="D835" i="3"/>
  <c r="T834" i="3"/>
  <c r="R834" i="3"/>
  <c r="Q834" i="3"/>
  <c r="P834" i="3"/>
  <c r="N834" i="3"/>
  <c r="D834" i="3"/>
  <c r="T833" i="3"/>
  <c r="R833" i="3"/>
  <c r="Q833" i="3"/>
  <c r="P833" i="3"/>
  <c r="N833" i="3"/>
  <c r="D833" i="3"/>
  <c r="T832" i="3"/>
  <c r="R832" i="3"/>
  <c r="Q832" i="3"/>
  <c r="P832" i="3"/>
  <c r="N832" i="3"/>
  <c r="D832" i="3"/>
  <c r="T831" i="3"/>
  <c r="R831" i="3"/>
  <c r="Q831" i="3"/>
  <c r="P831" i="3"/>
  <c r="N831" i="3"/>
  <c r="D831" i="3"/>
  <c r="T830" i="3"/>
  <c r="R830" i="3"/>
  <c r="Q830" i="3"/>
  <c r="P830" i="3"/>
  <c r="N830" i="3"/>
  <c r="D830" i="3"/>
  <c r="T829" i="3"/>
  <c r="R829" i="3"/>
  <c r="Q829" i="3"/>
  <c r="P829" i="3"/>
  <c r="N829" i="3"/>
  <c r="D829" i="3"/>
  <c r="T828" i="3"/>
  <c r="R828" i="3"/>
  <c r="Q828" i="3"/>
  <c r="P828" i="3"/>
  <c r="N828" i="3"/>
  <c r="D828" i="3"/>
  <c r="T827" i="3"/>
  <c r="R827" i="3"/>
  <c r="Q827" i="3"/>
  <c r="P827" i="3"/>
  <c r="N827" i="3"/>
  <c r="D827" i="3"/>
  <c r="T826" i="3"/>
  <c r="R826" i="3"/>
  <c r="Q826" i="3"/>
  <c r="P826" i="3"/>
  <c r="N826" i="3"/>
  <c r="D826" i="3"/>
  <c r="T825" i="3"/>
  <c r="R825" i="3"/>
  <c r="Q825" i="3"/>
  <c r="P825" i="3"/>
  <c r="N825" i="3"/>
  <c r="D825" i="3"/>
  <c r="T824" i="3"/>
  <c r="R824" i="3"/>
  <c r="Q824" i="3"/>
  <c r="P824" i="3"/>
  <c r="N824" i="3"/>
  <c r="D824" i="3"/>
  <c r="T823" i="3"/>
  <c r="R823" i="3"/>
  <c r="Q823" i="3"/>
  <c r="P823" i="3"/>
  <c r="N823" i="3"/>
  <c r="D823" i="3"/>
  <c r="T822" i="3"/>
  <c r="R822" i="3"/>
  <c r="Q822" i="3"/>
  <c r="P822" i="3"/>
  <c r="N822" i="3"/>
  <c r="D822" i="3"/>
  <c r="T821" i="3"/>
  <c r="R821" i="3"/>
  <c r="Q821" i="3"/>
  <c r="P821" i="3"/>
  <c r="N821" i="3"/>
  <c r="D821" i="3"/>
  <c r="T820" i="3"/>
  <c r="R820" i="3"/>
  <c r="Q820" i="3"/>
  <c r="P820" i="3"/>
  <c r="N820" i="3"/>
  <c r="D820" i="3"/>
  <c r="T819" i="3"/>
  <c r="R819" i="3"/>
  <c r="Q819" i="3"/>
  <c r="P819" i="3"/>
  <c r="N819" i="3"/>
  <c r="D819" i="3"/>
  <c r="T818" i="3"/>
  <c r="R818" i="3"/>
  <c r="Q818" i="3"/>
  <c r="P818" i="3"/>
  <c r="N818" i="3"/>
  <c r="D818" i="3"/>
  <c r="T817" i="3"/>
  <c r="R817" i="3"/>
  <c r="Q817" i="3"/>
  <c r="P817" i="3"/>
  <c r="N817" i="3"/>
  <c r="D817" i="3"/>
  <c r="T816" i="3"/>
  <c r="R816" i="3"/>
  <c r="Q816" i="3"/>
  <c r="P816" i="3"/>
  <c r="N816" i="3"/>
  <c r="D816" i="3"/>
  <c r="T815" i="3"/>
  <c r="R815" i="3"/>
  <c r="Q815" i="3"/>
  <c r="P815" i="3"/>
  <c r="N815" i="3"/>
  <c r="D815" i="3"/>
  <c r="T814" i="3"/>
  <c r="R814" i="3"/>
  <c r="Q814" i="3"/>
  <c r="P814" i="3"/>
  <c r="N814" i="3"/>
  <c r="D814" i="3"/>
  <c r="T813" i="3"/>
  <c r="R813" i="3"/>
  <c r="Q813" i="3"/>
  <c r="P813" i="3"/>
  <c r="N813" i="3"/>
  <c r="D813" i="3"/>
  <c r="T812" i="3"/>
  <c r="R812" i="3"/>
  <c r="Q812" i="3"/>
  <c r="P812" i="3"/>
  <c r="N812" i="3"/>
  <c r="D812" i="3"/>
  <c r="T811" i="3"/>
  <c r="R811" i="3"/>
  <c r="Q811" i="3"/>
  <c r="P811" i="3"/>
  <c r="N811" i="3"/>
  <c r="D811" i="3"/>
  <c r="T810" i="3"/>
  <c r="R810" i="3"/>
  <c r="Q810" i="3"/>
  <c r="P810" i="3"/>
  <c r="N810" i="3"/>
  <c r="D810" i="3"/>
  <c r="T809" i="3"/>
  <c r="R809" i="3"/>
  <c r="Q809" i="3"/>
  <c r="P809" i="3"/>
  <c r="N809" i="3"/>
  <c r="D809" i="3"/>
  <c r="T808" i="3"/>
  <c r="R808" i="3"/>
  <c r="Q808" i="3"/>
  <c r="P808" i="3"/>
  <c r="N808" i="3"/>
  <c r="D808" i="3"/>
  <c r="T807" i="3"/>
  <c r="R807" i="3"/>
  <c r="Q807" i="3"/>
  <c r="P807" i="3"/>
  <c r="N807" i="3"/>
  <c r="D807" i="3"/>
  <c r="T806" i="3"/>
  <c r="R806" i="3"/>
  <c r="Q806" i="3"/>
  <c r="P806" i="3"/>
  <c r="N806" i="3"/>
  <c r="D806" i="3"/>
  <c r="T805" i="3"/>
  <c r="R805" i="3"/>
  <c r="Q805" i="3"/>
  <c r="P805" i="3"/>
  <c r="N805" i="3"/>
  <c r="D805" i="3"/>
  <c r="T804" i="3"/>
  <c r="R804" i="3"/>
  <c r="Q804" i="3"/>
  <c r="P804" i="3"/>
  <c r="N804" i="3"/>
  <c r="D804" i="3"/>
  <c r="T803" i="3"/>
  <c r="R803" i="3"/>
  <c r="Q803" i="3"/>
  <c r="P803" i="3"/>
  <c r="N803" i="3"/>
  <c r="D803" i="3"/>
  <c r="T802" i="3"/>
  <c r="R802" i="3"/>
  <c r="Q802" i="3"/>
  <c r="P802" i="3"/>
  <c r="N802" i="3"/>
  <c r="D802" i="3"/>
  <c r="T801" i="3"/>
  <c r="R801" i="3"/>
  <c r="Q801" i="3"/>
  <c r="P801" i="3"/>
  <c r="N801" i="3"/>
  <c r="D801" i="3"/>
  <c r="T800" i="3"/>
  <c r="R800" i="3"/>
  <c r="Q800" i="3"/>
  <c r="P800" i="3"/>
  <c r="N800" i="3"/>
  <c r="D800" i="3"/>
  <c r="T799" i="3"/>
  <c r="R799" i="3"/>
  <c r="Q799" i="3"/>
  <c r="P799" i="3"/>
  <c r="N799" i="3"/>
  <c r="D799" i="3"/>
  <c r="T798" i="3"/>
  <c r="R798" i="3"/>
  <c r="Q798" i="3"/>
  <c r="P798" i="3"/>
  <c r="N798" i="3"/>
  <c r="D798" i="3"/>
  <c r="T797" i="3"/>
  <c r="R797" i="3"/>
  <c r="Q797" i="3"/>
  <c r="P797" i="3"/>
  <c r="N797" i="3"/>
  <c r="D797" i="3"/>
  <c r="T796" i="3"/>
  <c r="R796" i="3"/>
  <c r="Q796" i="3"/>
  <c r="P796" i="3"/>
  <c r="N796" i="3"/>
  <c r="D796" i="3"/>
  <c r="T795" i="3"/>
  <c r="R795" i="3"/>
  <c r="Q795" i="3"/>
  <c r="P795" i="3"/>
  <c r="N795" i="3"/>
  <c r="D795" i="3"/>
  <c r="T794" i="3"/>
  <c r="R794" i="3"/>
  <c r="Q794" i="3"/>
  <c r="P794" i="3"/>
  <c r="N794" i="3"/>
  <c r="D794" i="3"/>
  <c r="T793" i="3"/>
  <c r="R793" i="3"/>
  <c r="Q793" i="3"/>
  <c r="P793" i="3"/>
  <c r="N793" i="3"/>
  <c r="D793" i="3"/>
  <c r="T792" i="3"/>
  <c r="R792" i="3"/>
  <c r="Q792" i="3"/>
  <c r="P792" i="3"/>
  <c r="N792" i="3"/>
  <c r="D792" i="3"/>
  <c r="T791" i="3"/>
  <c r="R791" i="3"/>
  <c r="Q791" i="3"/>
  <c r="P791" i="3"/>
  <c r="N791" i="3"/>
  <c r="D791" i="3"/>
  <c r="T790" i="3"/>
  <c r="R790" i="3"/>
  <c r="Q790" i="3"/>
  <c r="P790" i="3"/>
  <c r="N790" i="3"/>
  <c r="D790" i="3"/>
  <c r="T789" i="3"/>
  <c r="R789" i="3"/>
  <c r="Q789" i="3"/>
  <c r="P789" i="3"/>
  <c r="N789" i="3"/>
  <c r="D789" i="3"/>
  <c r="T788" i="3"/>
  <c r="R788" i="3"/>
  <c r="Q788" i="3"/>
  <c r="P788" i="3"/>
  <c r="N788" i="3"/>
  <c r="D788" i="3"/>
  <c r="T787" i="3"/>
  <c r="R787" i="3"/>
  <c r="Q787" i="3"/>
  <c r="P787" i="3"/>
  <c r="N787" i="3"/>
  <c r="D787" i="3"/>
  <c r="T786" i="3"/>
  <c r="R786" i="3"/>
  <c r="Q786" i="3"/>
  <c r="P786" i="3"/>
  <c r="N786" i="3"/>
  <c r="D786" i="3"/>
  <c r="T785" i="3"/>
  <c r="R785" i="3"/>
  <c r="Q785" i="3"/>
  <c r="P785" i="3"/>
  <c r="N785" i="3"/>
  <c r="D785" i="3"/>
  <c r="T784" i="3"/>
  <c r="R784" i="3"/>
  <c r="Q784" i="3"/>
  <c r="P784" i="3"/>
  <c r="N784" i="3"/>
  <c r="D784" i="3"/>
  <c r="T783" i="3"/>
  <c r="R783" i="3"/>
  <c r="Q783" i="3"/>
  <c r="P783" i="3"/>
  <c r="N783" i="3"/>
  <c r="D783" i="3"/>
  <c r="T782" i="3"/>
  <c r="R782" i="3"/>
  <c r="Q782" i="3"/>
  <c r="P782" i="3"/>
  <c r="N782" i="3"/>
  <c r="D782" i="3"/>
  <c r="T781" i="3"/>
  <c r="R781" i="3"/>
  <c r="Q781" i="3"/>
  <c r="P781" i="3"/>
  <c r="N781" i="3"/>
  <c r="D781" i="3"/>
  <c r="T780" i="3"/>
  <c r="R780" i="3"/>
  <c r="Q780" i="3"/>
  <c r="P780" i="3"/>
  <c r="N780" i="3"/>
  <c r="D780" i="3"/>
  <c r="T779" i="3"/>
  <c r="R779" i="3"/>
  <c r="Q779" i="3"/>
  <c r="P779" i="3"/>
  <c r="N779" i="3"/>
  <c r="D779" i="3"/>
  <c r="T778" i="3"/>
  <c r="R778" i="3"/>
  <c r="Q778" i="3"/>
  <c r="P778" i="3"/>
  <c r="N778" i="3"/>
  <c r="D778" i="3"/>
  <c r="T777" i="3"/>
  <c r="R777" i="3"/>
  <c r="Q777" i="3"/>
  <c r="P777" i="3"/>
  <c r="N777" i="3"/>
  <c r="D777" i="3"/>
  <c r="T776" i="3"/>
  <c r="R776" i="3"/>
  <c r="Q776" i="3"/>
  <c r="P776" i="3"/>
  <c r="N776" i="3"/>
  <c r="D776" i="3"/>
  <c r="T775" i="3"/>
  <c r="R775" i="3"/>
  <c r="Q775" i="3"/>
  <c r="P775" i="3"/>
  <c r="N775" i="3"/>
  <c r="D775" i="3"/>
  <c r="T774" i="3"/>
  <c r="R774" i="3"/>
  <c r="Q774" i="3"/>
  <c r="P774" i="3"/>
  <c r="N774" i="3"/>
  <c r="D774" i="3"/>
  <c r="T773" i="3"/>
  <c r="R773" i="3"/>
  <c r="Q773" i="3"/>
  <c r="P773" i="3"/>
  <c r="N773" i="3"/>
  <c r="D773" i="3"/>
  <c r="T772" i="3"/>
  <c r="R772" i="3"/>
  <c r="Q772" i="3"/>
  <c r="P772" i="3"/>
  <c r="N772" i="3"/>
  <c r="D772" i="3"/>
  <c r="T771" i="3"/>
  <c r="R771" i="3"/>
  <c r="Q771" i="3"/>
  <c r="P771" i="3"/>
  <c r="N771" i="3"/>
  <c r="D771" i="3"/>
  <c r="T770" i="3"/>
  <c r="R770" i="3"/>
  <c r="Q770" i="3"/>
  <c r="P770" i="3"/>
  <c r="N770" i="3"/>
  <c r="D770" i="3"/>
  <c r="T769" i="3"/>
  <c r="R769" i="3"/>
  <c r="Q769" i="3"/>
  <c r="P769" i="3"/>
  <c r="N769" i="3"/>
  <c r="D769" i="3"/>
  <c r="T768" i="3"/>
  <c r="R768" i="3"/>
  <c r="Q768" i="3"/>
  <c r="P768" i="3"/>
  <c r="N768" i="3"/>
  <c r="D768" i="3"/>
  <c r="T767" i="3"/>
  <c r="R767" i="3"/>
  <c r="Q767" i="3"/>
  <c r="P767" i="3"/>
  <c r="N767" i="3"/>
  <c r="D767" i="3"/>
  <c r="T766" i="3"/>
  <c r="R766" i="3"/>
  <c r="Q766" i="3"/>
  <c r="P766" i="3"/>
  <c r="N766" i="3"/>
  <c r="D766" i="3"/>
  <c r="T765" i="3"/>
  <c r="R765" i="3"/>
  <c r="Q765" i="3"/>
  <c r="P765" i="3"/>
  <c r="N765" i="3"/>
  <c r="D765" i="3"/>
  <c r="T764" i="3"/>
  <c r="R764" i="3"/>
  <c r="Q764" i="3"/>
  <c r="P764" i="3"/>
  <c r="N764" i="3"/>
  <c r="D764" i="3"/>
  <c r="T763" i="3"/>
  <c r="R763" i="3"/>
  <c r="Q763" i="3"/>
  <c r="P763" i="3"/>
  <c r="N763" i="3"/>
  <c r="D763" i="3"/>
  <c r="T762" i="3"/>
  <c r="R762" i="3"/>
  <c r="Q762" i="3"/>
  <c r="P762" i="3"/>
  <c r="N762" i="3"/>
  <c r="D762" i="3"/>
  <c r="T761" i="3"/>
  <c r="R761" i="3"/>
  <c r="Q761" i="3"/>
  <c r="P761" i="3"/>
  <c r="N761" i="3"/>
  <c r="D761" i="3"/>
  <c r="T760" i="3"/>
  <c r="R760" i="3"/>
  <c r="Q760" i="3"/>
  <c r="P760" i="3"/>
  <c r="N760" i="3"/>
  <c r="D760" i="3"/>
  <c r="T759" i="3"/>
  <c r="R759" i="3"/>
  <c r="Q759" i="3"/>
  <c r="P759" i="3"/>
  <c r="N759" i="3"/>
  <c r="D759" i="3"/>
  <c r="T758" i="3"/>
  <c r="R758" i="3"/>
  <c r="Q758" i="3"/>
  <c r="P758" i="3"/>
  <c r="N758" i="3"/>
  <c r="D758" i="3"/>
  <c r="T757" i="3"/>
  <c r="R757" i="3"/>
  <c r="Q757" i="3"/>
  <c r="P757" i="3"/>
  <c r="N757" i="3"/>
  <c r="D757" i="3"/>
  <c r="T756" i="3"/>
  <c r="R756" i="3"/>
  <c r="Q756" i="3"/>
  <c r="P756" i="3"/>
  <c r="N756" i="3"/>
  <c r="D756" i="3"/>
  <c r="T755" i="3"/>
  <c r="R755" i="3"/>
  <c r="Q755" i="3"/>
  <c r="P755" i="3"/>
  <c r="N755" i="3"/>
  <c r="D755" i="3"/>
  <c r="T754" i="3"/>
  <c r="R754" i="3"/>
  <c r="Q754" i="3"/>
  <c r="P754" i="3"/>
  <c r="N754" i="3"/>
  <c r="D754" i="3"/>
  <c r="T753" i="3"/>
  <c r="R753" i="3"/>
  <c r="Q753" i="3"/>
  <c r="P753" i="3"/>
  <c r="N753" i="3"/>
  <c r="D753" i="3"/>
  <c r="T752" i="3"/>
  <c r="R752" i="3"/>
  <c r="Q752" i="3"/>
  <c r="P752" i="3"/>
  <c r="N752" i="3"/>
  <c r="D752" i="3"/>
  <c r="T751" i="3"/>
  <c r="R751" i="3"/>
  <c r="Q751" i="3"/>
  <c r="P751" i="3"/>
  <c r="N751" i="3"/>
  <c r="D751" i="3"/>
  <c r="T750" i="3"/>
  <c r="R750" i="3"/>
  <c r="Q750" i="3"/>
  <c r="P750" i="3"/>
  <c r="N750" i="3"/>
  <c r="D750" i="3"/>
  <c r="T749" i="3"/>
  <c r="R749" i="3"/>
  <c r="Q749" i="3"/>
  <c r="P749" i="3"/>
  <c r="N749" i="3"/>
  <c r="D749" i="3"/>
  <c r="T748" i="3"/>
  <c r="R748" i="3"/>
  <c r="Q748" i="3"/>
  <c r="P748" i="3"/>
  <c r="N748" i="3"/>
  <c r="D748" i="3"/>
  <c r="T747" i="3"/>
  <c r="R747" i="3"/>
  <c r="Q747" i="3"/>
  <c r="P747" i="3"/>
  <c r="N747" i="3"/>
  <c r="D747" i="3"/>
  <c r="T746" i="3"/>
  <c r="R746" i="3"/>
  <c r="Q746" i="3"/>
  <c r="P746" i="3"/>
  <c r="N746" i="3"/>
  <c r="D746" i="3"/>
  <c r="T745" i="3"/>
  <c r="R745" i="3"/>
  <c r="Q745" i="3"/>
  <c r="P745" i="3"/>
  <c r="N745" i="3"/>
  <c r="D745" i="3"/>
  <c r="T744" i="3"/>
  <c r="R744" i="3"/>
  <c r="Q744" i="3"/>
  <c r="P744" i="3"/>
  <c r="N744" i="3"/>
  <c r="D744" i="3"/>
  <c r="T743" i="3"/>
  <c r="R743" i="3"/>
  <c r="Q743" i="3"/>
  <c r="P743" i="3"/>
  <c r="N743" i="3"/>
  <c r="D743" i="3"/>
  <c r="T742" i="3"/>
  <c r="R742" i="3"/>
  <c r="Q742" i="3"/>
  <c r="P742" i="3"/>
  <c r="N742" i="3"/>
  <c r="D742" i="3"/>
  <c r="T741" i="3"/>
  <c r="R741" i="3"/>
  <c r="Q741" i="3"/>
  <c r="P741" i="3"/>
  <c r="N741" i="3"/>
  <c r="D741" i="3"/>
  <c r="T740" i="3"/>
  <c r="R740" i="3"/>
  <c r="Q740" i="3"/>
  <c r="P740" i="3"/>
  <c r="N740" i="3"/>
  <c r="D740" i="3"/>
  <c r="T739" i="3"/>
  <c r="R739" i="3"/>
  <c r="Q739" i="3"/>
  <c r="P739" i="3"/>
  <c r="N739" i="3"/>
  <c r="D739" i="3"/>
  <c r="T738" i="3"/>
  <c r="R738" i="3"/>
  <c r="Q738" i="3"/>
  <c r="P738" i="3"/>
  <c r="N738" i="3"/>
  <c r="D738" i="3"/>
  <c r="T737" i="3"/>
  <c r="R737" i="3"/>
  <c r="Q737" i="3"/>
  <c r="P737" i="3"/>
  <c r="N737" i="3"/>
  <c r="D737" i="3"/>
  <c r="T736" i="3"/>
  <c r="R736" i="3"/>
  <c r="Q736" i="3"/>
  <c r="P736" i="3"/>
  <c r="N736" i="3"/>
  <c r="D736" i="3"/>
  <c r="T735" i="3"/>
  <c r="R735" i="3"/>
  <c r="Q735" i="3"/>
  <c r="P735" i="3"/>
  <c r="N735" i="3"/>
  <c r="D735" i="3"/>
  <c r="T734" i="3"/>
  <c r="R734" i="3"/>
  <c r="Q734" i="3"/>
  <c r="P734" i="3"/>
  <c r="N734" i="3"/>
  <c r="D734" i="3"/>
  <c r="T733" i="3"/>
  <c r="R733" i="3"/>
  <c r="Q733" i="3"/>
  <c r="P733" i="3"/>
  <c r="N733" i="3"/>
  <c r="D733" i="3"/>
  <c r="T732" i="3"/>
  <c r="R732" i="3"/>
  <c r="Q732" i="3"/>
  <c r="P732" i="3"/>
  <c r="N732" i="3"/>
  <c r="D732" i="3"/>
  <c r="T731" i="3"/>
  <c r="R731" i="3"/>
  <c r="Q731" i="3"/>
  <c r="P731" i="3"/>
  <c r="N731" i="3"/>
  <c r="D731" i="3"/>
  <c r="T730" i="3"/>
  <c r="R730" i="3"/>
  <c r="Q730" i="3"/>
  <c r="P730" i="3"/>
  <c r="N730" i="3"/>
  <c r="D730" i="3"/>
  <c r="T729" i="3"/>
  <c r="R729" i="3"/>
  <c r="Q729" i="3"/>
  <c r="P729" i="3"/>
  <c r="N729" i="3"/>
  <c r="D729" i="3"/>
  <c r="T728" i="3"/>
  <c r="R728" i="3"/>
  <c r="Q728" i="3"/>
  <c r="P728" i="3"/>
  <c r="N728" i="3"/>
  <c r="D728" i="3"/>
  <c r="T727" i="3"/>
  <c r="R727" i="3"/>
  <c r="Q727" i="3"/>
  <c r="P727" i="3"/>
  <c r="N727" i="3"/>
  <c r="D727" i="3"/>
  <c r="T726" i="3"/>
  <c r="R726" i="3"/>
  <c r="Q726" i="3"/>
  <c r="P726" i="3"/>
  <c r="N726" i="3"/>
  <c r="D726" i="3"/>
  <c r="T725" i="3"/>
  <c r="R725" i="3"/>
  <c r="Q725" i="3"/>
  <c r="P725" i="3"/>
  <c r="N725" i="3"/>
  <c r="D725" i="3"/>
  <c r="T724" i="3"/>
  <c r="R724" i="3"/>
  <c r="Q724" i="3"/>
  <c r="P724" i="3"/>
  <c r="N724" i="3"/>
  <c r="D724" i="3"/>
  <c r="T723" i="3"/>
  <c r="R723" i="3"/>
  <c r="Q723" i="3"/>
  <c r="P723" i="3"/>
  <c r="N723" i="3"/>
  <c r="D723" i="3"/>
  <c r="T722" i="3"/>
  <c r="R722" i="3"/>
  <c r="Q722" i="3"/>
  <c r="P722" i="3"/>
  <c r="N722" i="3"/>
  <c r="D722" i="3"/>
  <c r="T721" i="3"/>
  <c r="R721" i="3"/>
  <c r="Q721" i="3"/>
  <c r="P721" i="3"/>
  <c r="N721" i="3"/>
  <c r="D721" i="3"/>
  <c r="T720" i="3"/>
  <c r="R720" i="3"/>
  <c r="Q720" i="3"/>
  <c r="P720" i="3"/>
  <c r="N720" i="3"/>
  <c r="D720" i="3"/>
  <c r="T719" i="3"/>
  <c r="R719" i="3"/>
  <c r="Q719" i="3"/>
  <c r="P719" i="3"/>
  <c r="N719" i="3"/>
  <c r="D719" i="3"/>
  <c r="T718" i="3"/>
  <c r="R718" i="3"/>
  <c r="Q718" i="3"/>
  <c r="P718" i="3"/>
  <c r="N718" i="3"/>
  <c r="D718" i="3"/>
  <c r="T717" i="3"/>
  <c r="R717" i="3"/>
  <c r="Q717" i="3"/>
  <c r="P717" i="3"/>
  <c r="N717" i="3"/>
  <c r="D717" i="3"/>
  <c r="T716" i="3"/>
  <c r="R716" i="3"/>
  <c r="Q716" i="3"/>
  <c r="P716" i="3"/>
  <c r="N716" i="3"/>
  <c r="D716" i="3"/>
  <c r="T715" i="3"/>
  <c r="R715" i="3"/>
  <c r="Q715" i="3"/>
  <c r="P715" i="3"/>
  <c r="N715" i="3"/>
  <c r="D715" i="3"/>
  <c r="T714" i="3"/>
  <c r="R714" i="3"/>
  <c r="Q714" i="3"/>
  <c r="P714" i="3"/>
  <c r="N714" i="3"/>
  <c r="D714" i="3"/>
  <c r="T713" i="3"/>
  <c r="R713" i="3"/>
  <c r="Q713" i="3"/>
  <c r="P713" i="3"/>
  <c r="N713" i="3"/>
  <c r="D713" i="3"/>
  <c r="T712" i="3"/>
  <c r="R712" i="3"/>
  <c r="Q712" i="3"/>
  <c r="P712" i="3"/>
  <c r="N712" i="3"/>
  <c r="D712" i="3"/>
  <c r="T711" i="3"/>
  <c r="R711" i="3"/>
  <c r="Q711" i="3"/>
  <c r="P711" i="3"/>
  <c r="N711" i="3"/>
  <c r="D711" i="3"/>
  <c r="T710" i="3"/>
  <c r="R710" i="3"/>
  <c r="Q710" i="3"/>
  <c r="P710" i="3"/>
  <c r="N710" i="3"/>
  <c r="D710" i="3"/>
  <c r="T709" i="3"/>
  <c r="R709" i="3"/>
  <c r="Q709" i="3"/>
  <c r="P709" i="3"/>
  <c r="N709" i="3"/>
  <c r="D709" i="3"/>
  <c r="T708" i="3"/>
  <c r="R708" i="3"/>
  <c r="Q708" i="3"/>
  <c r="P708" i="3"/>
  <c r="N708" i="3"/>
  <c r="D708" i="3"/>
  <c r="T707" i="3"/>
  <c r="R707" i="3"/>
  <c r="Q707" i="3"/>
  <c r="P707" i="3"/>
  <c r="N707" i="3"/>
  <c r="D707" i="3"/>
  <c r="T706" i="3"/>
  <c r="R706" i="3"/>
  <c r="Q706" i="3"/>
  <c r="P706" i="3"/>
  <c r="N706" i="3"/>
  <c r="D706" i="3"/>
  <c r="T705" i="3"/>
  <c r="R705" i="3"/>
  <c r="Q705" i="3"/>
  <c r="P705" i="3"/>
  <c r="N705" i="3"/>
  <c r="D705" i="3"/>
  <c r="T704" i="3"/>
  <c r="R704" i="3"/>
  <c r="Q704" i="3"/>
  <c r="P704" i="3"/>
  <c r="N704" i="3"/>
  <c r="D704" i="3"/>
  <c r="T703" i="3"/>
  <c r="R703" i="3"/>
  <c r="Q703" i="3"/>
  <c r="P703" i="3"/>
  <c r="N703" i="3"/>
  <c r="D703" i="3"/>
  <c r="T702" i="3"/>
  <c r="R702" i="3"/>
  <c r="Q702" i="3"/>
  <c r="P702" i="3"/>
  <c r="N702" i="3"/>
  <c r="D702" i="3"/>
  <c r="T701" i="3"/>
  <c r="R701" i="3"/>
  <c r="Q701" i="3"/>
  <c r="P701" i="3"/>
  <c r="N701" i="3"/>
  <c r="D701" i="3"/>
  <c r="T700" i="3"/>
  <c r="R700" i="3"/>
  <c r="Q700" i="3"/>
  <c r="P700" i="3"/>
  <c r="N700" i="3"/>
  <c r="D700" i="3"/>
  <c r="T699" i="3"/>
  <c r="R699" i="3"/>
  <c r="Q699" i="3"/>
  <c r="P699" i="3"/>
  <c r="N699" i="3"/>
  <c r="D699" i="3"/>
  <c r="T698" i="3"/>
  <c r="R698" i="3"/>
  <c r="Q698" i="3"/>
  <c r="P698" i="3"/>
  <c r="N698" i="3"/>
  <c r="D698" i="3"/>
  <c r="T697" i="3"/>
  <c r="R697" i="3"/>
  <c r="Q697" i="3"/>
  <c r="P697" i="3"/>
  <c r="N697" i="3"/>
  <c r="D697" i="3"/>
  <c r="T696" i="3"/>
  <c r="R696" i="3"/>
  <c r="Q696" i="3"/>
  <c r="P696" i="3"/>
  <c r="N696" i="3"/>
  <c r="D696" i="3"/>
  <c r="T695" i="3"/>
  <c r="R695" i="3"/>
  <c r="Q695" i="3"/>
  <c r="P695" i="3"/>
  <c r="N695" i="3"/>
  <c r="D695" i="3"/>
  <c r="T694" i="3"/>
  <c r="R694" i="3"/>
  <c r="Q694" i="3"/>
  <c r="P694" i="3"/>
  <c r="N694" i="3"/>
  <c r="D694" i="3"/>
  <c r="T693" i="3"/>
  <c r="R693" i="3"/>
  <c r="Q693" i="3"/>
  <c r="P693" i="3"/>
  <c r="N693" i="3"/>
  <c r="D693" i="3"/>
  <c r="T692" i="3"/>
  <c r="R692" i="3"/>
  <c r="Q692" i="3"/>
  <c r="P692" i="3"/>
  <c r="N692" i="3"/>
  <c r="D692" i="3"/>
  <c r="T691" i="3"/>
  <c r="R691" i="3"/>
  <c r="Q691" i="3"/>
  <c r="P691" i="3"/>
  <c r="N691" i="3"/>
  <c r="D691" i="3"/>
  <c r="T690" i="3"/>
  <c r="R690" i="3"/>
  <c r="Q690" i="3"/>
  <c r="P690" i="3"/>
  <c r="N690" i="3"/>
  <c r="D690" i="3"/>
  <c r="T689" i="3"/>
  <c r="R689" i="3"/>
  <c r="Q689" i="3"/>
  <c r="P689" i="3"/>
  <c r="N689" i="3"/>
  <c r="D689" i="3"/>
  <c r="T688" i="3"/>
  <c r="R688" i="3"/>
  <c r="Q688" i="3"/>
  <c r="P688" i="3"/>
  <c r="N688" i="3"/>
  <c r="D688" i="3"/>
  <c r="T687" i="3"/>
  <c r="R687" i="3"/>
  <c r="Q687" i="3"/>
  <c r="P687" i="3"/>
  <c r="N687" i="3"/>
  <c r="D687" i="3"/>
  <c r="T686" i="3"/>
  <c r="R686" i="3"/>
  <c r="Q686" i="3"/>
  <c r="P686" i="3"/>
  <c r="N686" i="3"/>
  <c r="D686" i="3"/>
  <c r="T685" i="3"/>
  <c r="R685" i="3"/>
  <c r="Q685" i="3"/>
  <c r="P685" i="3"/>
  <c r="N685" i="3"/>
  <c r="D685" i="3"/>
  <c r="T684" i="3"/>
  <c r="R684" i="3"/>
  <c r="Q684" i="3"/>
  <c r="P684" i="3"/>
  <c r="N684" i="3"/>
  <c r="D684" i="3"/>
  <c r="T683" i="3"/>
  <c r="R683" i="3"/>
  <c r="Q683" i="3"/>
  <c r="P683" i="3"/>
  <c r="N683" i="3"/>
  <c r="D683" i="3"/>
  <c r="T682" i="3"/>
  <c r="R682" i="3"/>
  <c r="Q682" i="3"/>
  <c r="P682" i="3"/>
  <c r="N682" i="3"/>
  <c r="D682" i="3"/>
  <c r="T681" i="3"/>
  <c r="R681" i="3"/>
  <c r="Q681" i="3"/>
  <c r="P681" i="3"/>
  <c r="N681" i="3"/>
  <c r="D681" i="3"/>
  <c r="T680" i="3"/>
  <c r="R680" i="3"/>
  <c r="Q680" i="3"/>
  <c r="P680" i="3"/>
  <c r="N680" i="3"/>
  <c r="D680" i="3"/>
  <c r="T679" i="3"/>
  <c r="R679" i="3"/>
  <c r="Q679" i="3"/>
  <c r="P679" i="3"/>
  <c r="N679" i="3"/>
  <c r="D679" i="3"/>
  <c r="T678" i="3"/>
  <c r="R678" i="3"/>
  <c r="Q678" i="3"/>
  <c r="P678" i="3"/>
  <c r="N678" i="3"/>
  <c r="D678" i="3"/>
  <c r="T677" i="3"/>
  <c r="R677" i="3"/>
  <c r="Q677" i="3"/>
  <c r="P677" i="3"/>
  <c r="N677" i="3"/>
  <c r="D677" i="3"/>
  <c r="T676" i="3"/>
  <c r="R676" i="3"/>
  <c r="Q676" i="3"/>
  <c r="P676" i="3"/>
  <c r="N676" i="3"/>
  <c r="D676" i="3"/>
  <c r="T675" i="3"/>
  <c r="R675" i="3"/>
  <c r="Q675" i="3"/>
  <c r="P675" i="3"/>
  <c r="N675" i="3"/>
  <c r="D675" i="3"/>
  <c r="T674" i="3"/>
  <c r="R674" i="3"/>
  <c r="Q674" i="3"/>
  <c r="P674" i="3"/>
  <c r="N674" i="3"/>
  <c r="D674" i="3"/>
  <c r="T673" i="3"/>
  <c r="R673" i="3"/>
  <c r="Q673" i="3"/>
  <c r="P673" i="3"/>
  <c r="N673" i="3"/>
  <c r="D673" i="3"/>
  <c r="T672" i="3"/>
  <c r="R672" i="3"/>
  <c r="Q672" i="3"/>
  <c r="P672" i="3"/>
  <c r="N672" i="3"/>
  <c r="D672" i="3"/>
  <c r="T671" i="3"/>
  <c r="R671" i="3"/>
  <c r="Q671" i="3"/>
  <c r="P671" i="3"/>
  <c r="N671" i="3"/>
  <c r="D671" i="3"/>
  <c r="T670" i="3"/>
  <c r="R670" i="3"/>
  <c r="Q670" i="3"/>
  <c r="P670" i="3"/>
  <c r="N670" i="3"/>
  <c r="D670" i="3"/>
  <c r="T669" i="3"/>
  <c r="R669" i="3"/>
  <c r="Q669" i="3"/>
  <c r="P669" i="3"/>
  <c r="N669" i="3"/>
  <c r="D669" i="3"/>
  <c r="T668" i="3"/>
  <c r="R668" i="3"/>
  <c r="Q668" i="3"/>
  <c r="P668" i="3"/>
  <c r="N668" i="3"/>
  <c r="D668" i="3"/>
  <c r="T667" i="3"/>
  <c r="R667" i="3"/>
  <c r="Q667" i="3"/>
  <c r="P667" i="3"/>
  <c r="N667" i="3"/>
  <c r="D667" i="3"/>
  <c r="T666" i="3"/>
  <c r="R666" i="3"/>
  <c r="Q666" i="3"/>
  <c r="P666" i="3"/>
  <c r="N666" i="3"/>
  <c r="D666" i="3"/>
  <c r="T665" i="3"/>
  <c r="R665" i="3"/>
  <c r="Q665" i="3"/>
  <c r="P665" i="3"/>
  <c r="N665" i="3"/>
  <c r="D665" i="3"/>
  <c r="T664" i="3"/>
  <c r="R664" i="3"/>
  <c r="Q664" i="3"/>
  <c r="P664" i="3"/>
  <c r="N664" i="3"/>
  <c r="D664" i="3"/>
  <c r="T663" i="3"/>
  <c r="R663" i="3"/>
  <c r="Q663" i="3"/>
  <c r="P663" i="3"/>
  <c r="N663" i="3"/>
  <c r="D663" i="3"/>
  <c r="T662" i="3"/>
  <c r="R662" i="3"/>
  <c r="Q662" i="3"/>
  <c r="P662" i="3"/>
  <c r="N662" i="3"/>
  <c r="D662" i="3"/>
  <c r="T661" i="3"/>
  <c r="R661" i="3"/>
  <c r="Q661" i="3"/>
  <c r="P661" i="3"/>
  <c r="N661" i="3"/>
  <c r="D661" i="3"/>
  <c r="T660" i="3"/>
  <c r="R660" i="3"/>
  <c r="Q660" i="3"/>
  <c r="P660" i="3"/>
  <c r="N660" i="3"/>
  <c r="D660" i="3"/>
  <c r="T659" i="3"/>
  <c r="R659" i="3"/>
  <c r="Q659" i="3"/>
  <c r="P659" i="3"/>
  <c r="N659" i="3"/>
  <c r="D659" i="3"/>
  <c r="T658" i="3"/>
  <c r="R658" i="3"/>
  <c r="Q658" i="3"/>
  <c r="P658" i="3"/>
  <c r="N658" i="3"/>
  <c r="D658" i="3"/>
  <c r="T657" i="3"/>
  <c r="R657" i="3"/>
  <c r="Q657" i="3"/>
  <c r="P657" i="3"/>
  <c r="N657" i="3"/>
  <c r="D657" i="3"/>
  <c r="T656" i="3"/>
  <c r="R656" i="3"/>
  <c r="Q656" i="3"/>
  <c r="P656" i="3"/>
  <c r="N656" i="3"/>
  <c r="D656" i="3"/>
  <c r="T655" i="3"/>
  <c r="R655" i="3"/>
  <c r="Q655" i="3"/>
  <c r="P655" i="3"/>
  <c r="N655" i="3"/>
  <c r="D655" i="3"/>
  <c r="T654" i="3"/>
  <c r="R654" i="3"/>
  <c r="Q654" i="3"/>
  <c r="P654" i="3"/>
  <c r="N654" i="3"/>
  <c r="D654" i="3"/>
  <c r="T653" i="3"/>
  <c r="R653" i="3"/>
  <c r="Q653" i="3"/>
  <c r="P653" i="3"/>
  <c r="N653" i="3"/>
  <c r="D653" i="3"/>
  <c r="T652" i="3"/>
  <c r="R652" i="3"/>
  <c r="Q652" i="3"/>
  <c r="P652" i="3"/>
  <c r="N652" i="3"/>
  <c r="D652" i="3"/>
  <c r="T651" i="3"/>
  <c r="R651" i="3"/>
  <c r="Q651" i="3"/>
  <c r="P651" i="3"/>
  <c r="N651" i="3"/>
  <c r="D651" i="3"/>
  <c r="T650" i="3"/>
  <c r="R650" i="3"/>
  <c r="Q650" i="3"/>
  <c r="P650" i="3"/>
  <c r="N650" i="3"/>
  <c r="D650" i="3"/>
  <c r="T649" i="3"/>
  <c r="R649" i="3"/>
  <c r="Q649" i="3"/>
  <c r="P649" i="3"/>
  <c r="N649" i="3"/>
  <c r="D649" i="3"/>
  <c r="T648" i="3"/>
  <c r="R648" i="3"/>
  <c r="Q648" i="3"/>
  <c r="P648" i="3"/>
  <c r="N648" i="3"/>
  <c r="D648" i="3"/>
  <c r="T647" i="3"/>
  <c r="R647" i="3"/>
  <c r="Q647" i="3"/>
  <c r="P647" i="3"/>
  <c r="N647" i="3"/>
  <c r="D647" i="3"/>
  <c r="T646" i="3"/>
  <c r="R646" i="3"/>
  <c r="Q646" i="3"/>
  <c r="P646" i="3"/>
  <c r="N646" i="3"/>
  <c r="D646" i="3"/>
  <c r="T645" i="3"/>
  <c r="R645" i="3"/>
  <c r="Q645" i="3"/>
  <c r="P645" i="3"/>
  <c r="N645" i="3"/>
  <c r="D645" i="3"/>
  <c r="T644" i="3"/>
  <c r="R644" i="3"/>
  <c r="Q644" i="3"/>
  <c r="P644" i="3"/>
  <c r="N644" i="3"/>
  <c r="D644" i="3"/>
  <c r="T643" i="3"/>
  <c r="R643" i="3"/>
  <c r="Q643" i="3"/>
  <c r="P643" i="3"/>
  <c r="N643" i="3"/>
  <c r="D643" i="3"/>
  <c r="T642" i="3"/>
  <c r="R642" i="3"/>
  <c r="Q642" i="3"/>
  <c r="P642" i="3"/>
  <c r="N642" i="3"/>
  <c r="D642" i="3"/>
  <c r="T641" i="3"/>
  <c r="R641" i="3"/>
  <c r="Q641" i="3"/>
  <c r="P641" i="3"/>
  <c r="N641" i="3"/>
  <c r="D641" i="3"/>
  <c r="T640" i="3"/>
  <c r="R640" i="3"/>
  <c r="Q640" i="3"/>
  <c r="P640" i="3"/>
  <c r="N640" i="3"/>
  <c r="D640" i="3"/>
  <c r="T639" i="3"/>
  <c r="R639" i="3"/>
  <c r="Q639" i="3"/>
  <c r="P639" i="3"/>
  <c r="N639" i="3"/>
  <c r="D639" i="3"/>
  <c r="T638" i="3"/>
  <c r="R638" i="3"/>
  <c r="Q638" i="3"/>
  <c r="P638" i="3"/>
  <c r="N638" i="3"/>
  <c r="D638" i="3"/>
  <c r="T637" i="3"/>
  <c r="R637" i="3"/>
  <c r="Q637" i="3"/>
  <c r="P637" i="3"/>
  <c r="N637" i="3"/>
  <c r="D637" i="3"/>
  <c r="T636" i="3"/>
  <c r="R636" i="3"/>
  <c r="Q636" i="3"/>
  <c r="P636" i="3"/>
  <c r="N636" i="3"/>
  <c r="D636" i="3"/>
  <c r="T635" i="3"/>
  <c r="R635" i="3"/>
  <c r="Q635" i="3"/>
  <c r="P635" i="3"/>
  <c r="N635" i="3"/>
  <c r="D635" i="3"/>
  <c r="T634" i="3"/>
  <c r="R634" i="3"/>
  <c r="Q634" i="3"/>
  <c r="P634" i="3"/>
  <c r="N634" i="3"/>
  <c r="D634" i="3"/>
  <c r="T633" i="3"/>
  <c r="R633" i="3"/>
  <c r="Q633" i="3"/>
  <c r="P633" i="3"/>
  <c r="N633" i="3"/>
  <c r="D633" i="3"/>
  <c r="T632" i="3"/>
  <c r="R632" i="3"/>
  <c r="Q632" i="3"/>
  <c r="P632" i="3"/>
  <c r="N632" i="3"/>
  <c r="D632" i="3"/>
  <c r="T631" i="3"/>
  <c r="R631" i="3"/>
  <c r="Q631" i="3"/>
  <c r="P631" i="3"/>
  <c r="N631" i="3"/>
  <c r="D631" i="3"/>
  <c r="T630" i="3"/>
  <c r="R630" i="3"/>
  <c r="Q630" i="3"/>
  <c r="P630" i="3"/>
  <c r="N630" i="3"/>
  <c r="D630" i="3"/>
  <c r="T629" i="3"/>
  <c r="R629" i="3"/>
  <c r="Q629" i="3"/>
  <c r="P629" i="3"/>
  <c r="N629" i="3"/>
  <c r="D629" i="3"/>
  <c r="T628" i="3"/>
  <c r="R628" i="3"/>
  <c r="Q628" i="3"/>
  <c r="P628" i="3"/>
  <c r="N628" i="3"/>
  <c r="D628" i="3"/>
  <c r="T627" i="3"/>
  <c r="R627" i="3"/>
  <c r="Q627" i="3"/>
  <c r="P627" i="3"/>
  <c r="N627" i="3"/>
  <c r="D627" i="3"/>
  <c r="T626" i="3"/>
  <c r="R626" i="3"/>
  <c r="Q626" i="3"/>
  <c r="P626" i="3"/>
  <c r="N626" i="3"/>
  <c r="D626" i="3"/>
  <c r="T625" i="3"/>
  <c r="R625" i="3"/>
  <c r="Q625" i="3"/>
  <c r="P625" i="3"/>
  <c r="N625" i="3"/>
  <c r="D625" i="3"/>
  <c r="T624" i="3"/>
  <c r="R624" i="3"/>
  <c r="Q624" i="3"/>
  <c r="P624" i="3"/>
  <c r="N624" i="3"/>
  <c r="D624" i="3"/>
  <c r="T623" i="3"/>
  <c r="R623" i="3"/>
  <c r="Q623" i="3"/>
  <c r="P623" i="3"/>
  <c r="N623" i="3"/>
  <c r="D623" i="3"/>
  <c r="T622" i="3"/>
  <c r="R622" i="3"/>
  <c r="Q622" i="3"/>
  <c r="P622" i="3"/>
  <c r="N622" i="3"/>
  <c r="D622" i="3"/>
  <c r="T621" i="3"/>
  <c r="R621" i="3"/>
  <c r="Q621" i="3"/>
  <c r="P621" i="3"/>
  <c r="N621" i="3"/>
  <c r="D621" i="3"/>
  <c r="T620" i="3"/>
  <c r="R620" i="3"/>
  <c r="Q620" i="3"/>
  <c r="P620" i="3"/>
  <c r="N620" i="3"/>
  <c r="D620" i="3"/>
  <c r="T619" i="3"/>
  <c r="R619" i="3"/>
  <c r="Q619" i="3"/>
  <c r="P619" i="3"/>
  <c r="N619" i="3"/>
  <c r="D619" i="3"/>
  <c r="T618" i="3"/>
  <c r="R618" i="3"/>
  <c r="Q618" i="3"/>
  <c r="P618" i="3"/>
  <c r="N618" i="3"/>
  <c r="D618" i="3"/>
  <c r="T617" i="3"/>
  <c r="R617" i="3"/>
  <c r="Q617" i="3"/>
  <c r="P617" i="3"/>
  <c r="N617" i="3"/>
  <c r="D617" i="3"/>
  <c r="T616" i="3"/>
  <c r="R616" i="3"/>
  <c r="Q616" i="3"/>
  <c r="P616" i="3"/>
  <c r="N616" i="3"/>
  <c r="D616" i="3"/>
  <c r="T615" i="3"/>
  <c r="R615" i="3"/>
  <c r="Q615" i="3"/>
  <c r="P615" i="3"/>
  <c r="N615" i="3"/>
  <c r="D615" i="3"/>
  <c r="T614" i="3"/>
  <c r="R614" i="3"/>
  <c r="Q614" i="3"/>
  <c r="P614" i="3"/>
  <c r="N614" i="3"/>
  <c r="D614" i="3"/>
  <c r="T613" i="3"/>
  <c r="R613" i="3"/>
  <c r="Q613" i="3"/>
  <c r="P613" i="3"/>
  <c r="N613" i="3"/>
  <c r="D613" i="3"/>
  <c r="T612" i="3"/>
  <c r="R612" i="3"/>
  <c r="Q612" i="3"/>
  <c r="P612" i="3"/>
  <c r="N612" i="3"/>
  <c r="D612" i="3"/>
  <c r="T611" i="3"/>
  <c r="R611" i="3"/>
  <c r="Q611" i="3"/>
  <c r="P611" i="3"/>
  <c r="N611" i="3"/>
  <c r="D611" i="3"/>
  <c r="T610" i="3"/>
  <c r="R610" i="3"/>
  <c r="Q610" i="3"/>
  <c r="P610" i="3"/>
  <c r="N610" i="3"/>
  <c r="D610" i="3"/>
  <c r="T609" i="3"/>
  <c r="R609" i="3"/>
  <c r="Q609" i="3"/>
  <c r="P609" i="3"/>
  <c r="N609" i="3"/>
  <c r="D609" i="3"/>
  <c r="T608" i="3"/>
  <c r="R608" i="3"/>
  <c r="Q608" i="3"/>
  <c r="P608" i="3"/>
  <c r="N608" i="3"/>
  <c r="D608" i="3"/>
  <c r="T607" i="3"/>
  <c r="R607" i="3"/>
  <c r="Q607" i="3"/>
  <c r="P607" i="3"/>
  <c r="N607" i="3"/>
  <c r="D607" i="3"/>
  <c r="T606" i="3"/>
  <c r="R606" i="3"/>
  <c r="Q606" i="3"/>
  <c r="P606" i="3"/>
  <c r="N606" i="3"/>
  <c r="D606" i="3"/>
  <c r="T605" i="3"/>
  <c r="R605" i="3"/>
  <c r="Q605" i="3"/>
  <c r="P605" i="3"/>
  <c r="N605" i="3"/>
  <c r="D605" i="3"/>
  <c r="T604" i="3"/>
  <c r="R604" i="3"/>
  <c r="Q604" i="3"/>
  <c r="P604" i="3"/>
  <c r="N604" i="3"/>
  <c r="D604" i="3"/>
  <c r="T603" i="3"/>
  <c r="R603" i="3"/>
  <c r="Q603" i="3"/>
  <c r="P603" i="3"/>
  <c r="N603" i="3"/>
  <c r="D603" i="3"/>
  <c r="T602" i="3"/>
  <c r="R602" i="3"/>
  <c r="Q602" i="3"/>
  <c r="P602" i="3"/>
  <c r="N602" i="3"/>
  <c r="D602" i="3"/>
  <c r="T601" i="3"/>
  <c r="R601" i="3"/>
  <c r="Q601" i="3"/>
  <c r="P601" i="3"/>
  <c r="N601" i="3"/>
  <c r="D601" i="3"/>
  <c r="T600" i="3"/>
  <c r="R600" i="3"/>
  <c r="Q600" i="3"/>
  <c r="P600" i="3"/>
  <c r="N600" i="3"/>
  <c r="D600" i="3"/>
  <c r="T599" i="3"/>
  <c r="R599" i="3"/>
  <c r="Q599" i="3"/>
  <c r="P599" i="3"/>
  <c r="N599" i="3"/>
  <c r="D599" i="3"/>
  <c r="T598" i="3"/>
  <c r="R598" i="3"/>
  <c r="Q598" i="3"/>
  <c r="P598" i="3"/>
  <c r="N598" i="3"/>
  <c r="D598" i="3"/>
  <c r="T597" i="3"/>
  <c r="R597" i="3"/>
  <c r="Q597" i="3"/>
  <c r="P597" i="3"/>
  <c r="N597" i="3"/>
  <c r="D597" i="3"/>
  <c r="T596" i="3"/>
  <c r="R596" i="3"/>
  <c r="Q596" i="3"/>
  <c r="P596" i="3"/>
  <c r="N596" i="3"/>
  <c r="D596" i="3"/>
  <c r="T595" i="3"/>
  <c r="R595" i="3"/>
  <c r="Q595" i="3"/>
  <c r="P595" i="3"/>
  <c r="N595" i="3"/>
  <c r="D595" i="3"/>
  <c r="T594" i="3"/>
  <c r="R594" i="3"/>
  <c r="Q594" i="3"/>
  <c r="P594" i="3"/>
  <c r="N594" i="3"/>
  <c r="D594" i="3"/>
  <c r="T593" i="3"/>
  <c r="R593" i="3"/>
  <c r="Q593" i="3"/>
  <c r="P593" i="3"/>
  <c r="N593" i="3"/>
  <c r="D593" i="3"/>
  <c r="T592" i="3"/>
  <c r="R592" i="3"/>
  <c r="Q592" i="3"/>
  <c r="P592" i="3"/>
  <c r="N592" i="3"/>
  <c r="D592" i="3"/>
  <c r="T591" i="3"/>
  <c r="R591" i="3"/>
  <c r="Q591" i="3"/>
  <c r="P591" i="3"/>
  <c r="N591" i="3"/>
  <c r="D591" i="3"/>
  <c r="T590" i="3"/>
  <c r="R590" i="3"/>
  <c r="Q590" i="3"/>
  <c r="P590" i="3"/>
  <c r="N590" i="3"/>
  <c r="D590" i="3"/>
  <c r="T589" i="3"/>
  <c r="R589" i="3"/>
  <c r="Q589" i="3"/>
  <c r="P589" i="3"/>
  <c r="N589" i="3"/>
  <c r="D589" i="3"/>
  <c r="T588" i="3"/>
  <c r="R588" i="3"/>
  <c r="Q588" i="3"/>
  <c r="P588" i="3"/>
  <c r="N588" i="3"/>
  <c r="D588" i="3"/>
  <c r="T587" i="3"/>
  <c r="R587" i="3"/>
  <c r="Q587" i="3"/>
  <c r="P587" i="3"/>
  <c r="N587" i="3"/>
  <c r="D587" i="3"/>
  <c r="T586" i="3"/>
  <c r="R586" i="3"/>
  <c r="Q586" i="3"/>
  <c r="P586" i="3"/>
  <c r="N586" i="3"/>
  <c r="D586" i="3"/>
  <c r="T585" i="3"/>
  <c r="R585" i="3"/>
  <c r="Q585" i="3"/>
  <c r="P585" i="3"/>
  <c r="N585" i="3"/>
  <c r="D585" i="3"/>
  <c r="T584" i="3"/>
  <c r="R584" i="3"/>
  <c r="Q584" i="3"/>
  <c r="P584" i="3"/>
  <c r="N584" i="3"/>
  <c r="D584" i="3"/>
  <c r="T583" i="3"/>
  <c r="R583" i="3"/>
  <c r="Q583" i="3"/>
  <c r="P583" i="3"/>
  <c r="N583" i="3"/>
  <c r="D583" i="3"/>
  <c r="T582" i="3"/>
  <c r="R582" i="3"/>
  <c r="Q582" i="3"/>
  <c r="P582" i="3"/>
  <c r="N582" i="3"/>
  <c r="D582" i="3"/>
  <c r="T581" i="3"/>
  <c r="R581" i="3"/>
  <c r="Q581" i="3"/>
  <c r="P581" i="3"/>
  <c r="N581" i="3"/>
  <c r="D581" i="3"/>
  <c r="T580" i="3"/>
  <c r="R580" i="3"/>
  <c r="Q580" i="3"/>
  <c r="P580" i="3"/>
  <c r="N580" i="3"/>
  <c r="D580" i="3"/>
  <c r="T579" i="3"/>
  <c r="R579" i="3"/>
  <c r="Q579" i="3"/>
  <c r="P579" i="3"/>
  <c r="N579" i="3"/>
  <c r="D579" i="3"/>
  <c r="T578" i="3"/>
  <c r="R578" i="3"/>
  <c r="Q578" i="3"/>
  <c r="P578" i="3"/>
  <c r="N578" i="3"/>
  <c r="D578" i="3"/>
  <c r="T577" i="3"/>
  <c r="R577" i="3"/>
  <c r="Q577" i="3"/>
  <c r="P577" i="3"/>
  <c r="N577" i="3"/>
  <c r="D577" i="3"/>
  <c r="T576" i="3"/>
  <c r="R576" i="3"/>
  <c r="Q576" i="3"/>
  <c r="P576" i="3"/>
  <c r="N576" i="3"/>
  <c r="D576" i="3"/>
  <c r="T575" i="3"/>
  <c r="R575" i="3"/>
  <c r="Q575" i="3"/>
  <c r="P575" i="3"/>
  <c r="N575" i="3"/>
  <c r="D575" i="3"/>
  <c r="T574" i="3"/>
  <c r="R574" i="3"/>
  <c r="Q574" i="3"/>
  <c r="P574" i="3"/>
  <c r="N574" i="3"/>
  <c r="D574" i="3"/>
  <c r="T573" i="3"/>
  <c r="R573" i="3"/>
  <c r="Q573" i="3"/>
  <c r="P573" i="3"/>
  <c r="N573" i="3"/>
  <c r="D573" i="3"/>
  <c r="T572" i="3"/>
  <c r="R572" i="3"/>
  <c r="Q572" i="3"/>
  <c r="P572" i="3"/>
  <c r="N572" i="3"/>
  <c r="D572" i="3"/>
  <c r="T571" i="3"/>
  <c r="R571" i="3"/>
  <c r="Q571" i="3"/>
  <c r="P571" i="3"/>
  <c r="N571" i="3"/>
  <c r="D571" i="3"/>
  <c r="T570" i="3"/>
  <c r="R570" i="3"/>
  <c r="Q570" i="3"/>
  <c r="P570" i="3"/>
  <c r="N570" i="3"/>
  <c r="D570" i="3"/>
  <c r="T569" i="3"/>
  <c r="R569" i="3"/>
  <c r="Q569" i="3"/>
  <c r="P569" i="3"/>
  <c r="N569" i="3"/>
  <c r="D569" i="3"/>
  <c r="T568" i="3"/>
  <c r="R568" i="3"/>
  <c r="Q568" i="3"/>
  <c r="P568" i="3"/>
  <c r="N568" i="3"/>
  <c r="D568" i="3"/>
  <c r="T567" i="3"/>
  <c r="R567" i="3"/>
  <c r="Q567" i="3"/>
  <c r="P567" i="3"/>
  <c r="N567" i="3"/>
  <c r="D567" i="3"/>
  <c r="T566" i="3"/>
  <c r="R566" i="3"/>
  <c r="Q566" i="3"/>
  <c r="P566" i="3"/>
  <c r="N566" i="3"/>
  <c r="D566" i="3"/>
  <c r="T565" i="3"/>
  <c r="R565" i="3"/>
  <c r="Q565" i="3"/>
  <c r="P565" i="3"/>
  <c r="N565" i="3"/>
  <c r="D565" i="3"/>
  <c r="T564" i="3"/>
  <c r="R564" i="3"/>
  <c r="Q564" i="3"/>
  <c r="P564" i="3"/>
  <c r="N564" i="3"/>
  <c r="D564" i="3"/>
  <c r="T563" i="3"/>
  <c r="R563" i="3"/>
  <c r="Q563" i="3"/>
  <c r="P563" i="3"/>
  <c r="N563" i="3"/>
  <c r="D563" i="3"/>
  <c r="T562" i="3"/>
  <c r="R562" i="3"/>
  <c r="Q562" i="3"/>
  <c r="P562" i="3"/>
  <c r="N562" i="3"/>
  <c r="D562" i="3"/>
  <c r="T561" i="3"/>
  <c r="R561" i="3"/>
  <c r="Q561" i="3"/>
  <c r="P561" i="3"/>
  <c r="N561" i="3"/>
  <c r="D561" i="3"/>
  <c r="T560" i="3"/>
  <c r="R560" i="3"/>
  <c r="Q560" i="3"/>
  <c r="P560" i="3"/>
  <c r="N560" i="3"/>
  <c r="D560" i="3"/>
  <c r="T559" i="3"/>
  <c r="R559" i="3"/>
  <c r="Q559" i="3"/>
  <c r="P559" i="3"/>
  <c r="N559" i="3"/>
  <c r="D559" i="3"/>
  <c r="T558" i="3"/>
  <c r="R558" i="3"/>
  <c r="Q558" i="3"/>
  <c r="P558" i="3"/>
  <c r="N558" i="3"/>
  <c r="D558" i="3"/>
  <c r="T557" i="3"/>
  <c r="R557" i="3"/>
  <c r="Q557" i="3"/>
  <c r="P557" i="3"/>
  <c r="N557" i="3"/>
  <c r="D557" i="3"/>
  <c r="T556" i="3"/>
  <c r="R556" i="3"/>
  <c r="Q556" i="3"/>
  <c r="P556" i="3"/>
  <c r="N556" i="3"/>
  <c r="D556" i="3"/>
  <c r="T555" i="3"/>
  <c r="R555" i="3"/>
  <c r="Q555" i="3"/>
  <c r="P555" i="3"/>
  <c r="N555" i="3"/>
  <c r="D555" i="3"/>
  <c r="T554" i="3"/>
  <c r="R554" i="3"/>
  <c r="Q554" i="3"/>
  <c r="P554" i="3"/>
  <c r="N554" i="3"/>
  <c r="D554" i="3"/>
  <c r="T553" i="3"/>
  <c r="R553" i="3"/>
  <c r="Q553" i="3"/>
  <c r="P553" i="3"/>
  <c r="N553" i="3"/>
  <c r="D553" i="3"/>
  <c r="T552" i="3"/>
  <c r="R552" i="3"/>
  <c r="Q552" i="3"/>
  <c r="P552" i="3"/>
  <c r="N552" i="3"/>
  <c r="D552" i="3"/>
  <c r="T551" i="3"/>
  <c r="R551" i="3"/>
  <c r="Q551" i="3"/>
  <c r="P551" i="3"/>
  <c r="N551" i="3"/>
  <c r="D551" i="3"/>
  <c r="T550" i="3"/>
  <c r="R550" i="3"/>
  <c r="Q550" i="3"/>
  <c r="P550" i="3"/>
  <c r="N550" i="3"/>
  <c r="D550" i="3"/>
  <c r="T549" i="3"/>
  <c r="R549" i="3"/>
  <c r="Q549" i="3"/>
  <c r="P549" i="3"/>
  <c r="N549" i="3"/>
  <c r="D549" i="3"/>
  <c r="T548" i="3"/>
  <c r="R548" i="3"/>
  <c r="Q548" i="3"/>
  <c r="P548" i="3"/>
  <c r="N548" i="3"/>
  <c r="D548" i="3"/>
  <c r="T547" i="3"/>
  <c r="R547" i="3"/>
  <c r="Q547" i="3"/>
  <c r="P547" i="3"/>
  <c r="N547" i="3"/>
  <c r="D547" i="3"/>
  <c r="T546" i="3"/>
  <c r="R546" i="3"/>
  <c r="Q546" i="3"/>
  <c r="P546" i="3"/>
  <c r="N546" i="3"/>
  <c r="D546" i="3"/>
  <c r="T545" i="3"/>
  <c r="R545" i="3"/>
  <c r="Q545" i="3"/>
  <c r="P545" i="3"/>
  <c r="N545" i="3"/>
  <c r="D545" i="3"/>
  <c r="T544" i="3"/>
  <c r="R544" i="3"/>
  <c r="Q544" i="3"/>
  <c r="P544" i="3"/>
  <c r="N544" i="3"/>
  <c r="D544" i="3"/>
  <c r="T543" i="3"/>
  <c r="R543" i="3"/>
  <c r="Q543" i="3"/>
  <c r="P543" i="3"/>
  <c r="N543" i="3"/>
  <c r="D543" i="3"/>
  <c r="T541" i="3"/>
  <c r="R541" i="3"/>
  <c r="Q541" i="3"/>
  <c r="P541" i="3"/>
  <c r="N541" i="3"/>
  <c r="D541" i="3"/>
  <c r="T540" i="3"/>
  <c r="R540" i="3"/>
  <c r="Q540" i="3"/>
  <c r="P540" i="3"/>
  <c r="N540" i="3"/>
  <c r="D540" i="3"/>
  <c r="T539" i="3"/>
  <c r="R539" i="3"/>
  <c r="Q539" i="3"/>
  <c r="P539" i="3"/>
  <c r="N539" i="3"/>
  <c r="D539" i="3"/>
  <c r="T538" i="3"/>
  <c r="R538" i="3"/>
  <c r="Q538" i="3"/>
  <c r="P538" i="3"/>
  <c r="N538" i="3"/>
  <c r="D538" i="3"/>
  <c r="T537" i="3"/>
  <c r="R537" i="3"/>
  <c r="Q537" i="3"/>
  <c r="P537" i="3"/>
  <c r="N537" i="3"/>
  <c r="D537" i="3"/>
  <c r="T536" i="3"/>
  <c r="R536" i="3"/>
  <c r="Q536" i="3"/>
  <c r="P536" i="3"/>
  <c r="N536" i="3"/>
  <c r="D536" i="3"/>
  <c r="T535" i="3"/>
  <c r="R535" i="3"/>
  <c r="Q535" i="3"/>
  <c r="P535" i="3"/>
  <c r="N535" i="3"/>
  <c r="D535" i="3"/>
  <c r="T534" i="3"/>
  <c r="R534" i="3"/>
  <c r="Q534" i="3"/>
  <c r="P534" i="3"/>
  <c r="N534" i="3"/>
  <c r="D534" i="3"/>
  <c r="T533" i="3"/>
  <c r="R533" i="3"/>
  <c r="Q533" i="3"/>
  <c r="P533" i="3"/>
  <c r="N533" i="3"/>
  <c r="D533" i="3"/>
  <c r="T532" i="3"/>
  <c r="R532" i="3"/>
  <c r="Q532" i="3"/>
  <c r="P532" i="3"/>
  <c r="N532" i="3"/>
  <c r="D532" i="3"/>
  <c r="T531" i="3"/>
  <c r="R531" i="3"/>
  <c r="Q531" i="3"/>
  <c r="P531" i="3"/>
  <c r="N531" i="3"/>
  <c r="D531" i="3"/>
  <c r="T530" i="3"/>
  <c r="R530" i="3"/>
  <c r="Q530" i="3"/>
  <c r="P530" i="3"/>
  <c r="N530" i="3"/>
  <c r="D530" i="3"/>
  <c r="T529" i="3"/>
  <c r="R529" i="3"/>
  <c r="Q529" i="3"/>
  <c r="P529" i="3"/>
  <c r="N529" i="3"/>
  <c r="D529" i="3"/>
  <c r="T528" i="3"/>
  <c r="R528" i="3"/>
  <c r="Q528" i="3"/>
  <c r="P528" i="3"/>
  <c r="N528" i="3"/>
  <c r="D528" i="3"/>
  <c r="T527" i="3"/>
  <c r="R527" i="3"/>
  <c r="Q527" i="3"/>
  <c r="P527" i="3"/>
  <c r="N527" i="3"/>
  <c r="D527" i="3"/>
  <c r="T526" i="3"/>
  <c r="R526" i="3"/>
  <c r="Q526" i="3"/>
  <c r="P526" i="3"/>
  <c r="N526" i="3"/>
  <c r="D526" i="3"/>
  <c r="T525" i="3"/>
  <c r="R525" i="3"/>
  <c r="Q525" i="3"/>
  <c r="P525" i="3"/>
  <c r="N525" i="3"/>
  <c r="D525" i="3"/>
  <c r="T524" i="3"/>
  <c r="R524" i="3"/>
  <c r="Q524" i="3"/>
  <c r="P524" i="3"/>
  <c r="N524" i="3"/>
  <c r="D524" i="3"/>
  <c r="T523" i="3"/>
  <c r="R523" i="3"/>
  <c r="Q523" i="3"/>
  <c r="P523" i="3"/>
  <c r="N523" i="3"/>
  <c r="D523" i="3"/>
  <c r="T522" i="3"/>
  <c r="R522" i="3"/>
  <c r="Q522" i="3"/>
  <c r="P522" i="3"/>
  <c r="N522" i="3"/>
  <c r="D522" i="3"/>
  <c r="T521" i="3"/>
  <c r="R521" i="3"/>
  <c r="Q521" i="3"/>
  <c r="P521" i="3"/>
  <c r="N521" i="3"/>
  <c r="D521" i="3"/>
  <c r="T520" i="3"/>
  <c r="R520" i="3"/>
  <c r="Q520" i="3"/>
  <c r="P520" i="3"/>
  <c r="N520" i="3"/>
  <c r="D520" i="3"/>
  <c r="T519" i="3"/>
  <c r="R519" i="3"/>
  <c r="Q519" i="3"/>
  <c r="P519" i="3"/>
  <c r="N519" i="3"/>
  <c r="D519" i="3"/>
  <c r="T518" i="3"/>
  <c r="R518" i="3"/>
  <c r="Q518" i="3"/>
  <c r="P518" i="3"/>
  <c r="N518" i="3"/>
  <c r="D518" i="3"/>
  <c r="T517" i="3"/>
  <c r="R517" i="3"/>
  <c r="Q517" i="3"/>
  <c r="P517" i="3"/>
  <c r="N517" i="3"/>
  <c r="D517" i="3"/>
  <c r="T516" i="3"/>
  <c r="R516" i="3"/>
  <c r="Q516" i="3"/>
  <c r="P516" i="3"/>
  <c r="N516" i="3"/>
  <c r="D516" i="3"/>
  <c r="T515" i="3"/>
  <c r="R515" i="3"/>
  <c r="Q515" i="3"/>
  <c r="P515" i="3"/>
  <c r="N515" i="3"/>
  <c r="D515" i="3"/>
  <c r="T514" i="3"/>
  <c r="R514" i="3"/>
  <c r="Q514" i="3"/>
  <c r="P514" i="3"/>
  <c r="N514" i="3"/>
  <c r="D514" i="3"/>
  <c r="T513" i="3"/>
  <c r="R513" i="3"/>
  <c r="Q513" i="3"/>
  <c r="P513" i="3"/>
  <c r="N513" i="3"/>
  <c r="D513" i="3"/>
  <c r="T512" i="3"/>
  <c r="R512" i="3"/>
  <c r="Q512" i="3"/>
  <c r="P512" i="3"/>
  <c r="N512" i="3"/>
  <c r="D512" i="3"/>
  <c r="T511" i="3"/>
  <c r="R511" i="3"/>
  <c r="Q511" i="3"/>
  <c r="P511" i="3"/>
  <c r="N511" i="3"/>
  <c r="D511" i="3"/>
  <c r="T510" i="3"/>
  <c r="R510" i="3"/>
  <c r="Q510" i="3"/>
  <c r="P510" i="3"/>
  <c r="N510" i="3"/>
  <c r="D510" i="3"/>
  <c r="T509" i="3"/>
  <c r="R509" i="3"/>
  <c r="Q509" i="3"/>
  <c r="P509" i="3"/>
  <c r="N509" i="3"/>
  <c r="D509" i="3"/>
  <c r="T508" i="3"/>
  <c r="R508" i="3"/>
  <c r="Q508" i="3"/>
  <c r="P508" i="3"/>
  <c r="N508" i="3"/>
  <c r="D508" i="3"/>
  <c r="T507" i="3"/>
  <c r="R507" i="3"/>
  <c r="Q507" i="3"/>
  <c r="P507" i="3"/>
  <c r="N507" i="3"/>
  <c r="D507" i="3"/>
  <c r="T506" i="3"/>
  <c r="R506" i="3"/>
  <c r="Q506" i="3"/>
  <c r="P506" i="3"/>
  <c r="N506" i="3"/>
  <c r="D506" i="3"/>
  <c r="T505" i="3"/>
  <c r="R505" i="3"/>
  <c r="Q505" i="3"/>
  <c r="P505" i="3"/>
  <c r="N505" i="3"/>
  <c r="D505" i="3"/>
  <c r="T504" i="3"/>
  <c r="R504" i="3"/>
  <c r="Q504" i="3"/>
  <c r="P504" i="3"/>
  <c r="N504" i="3"/>
  <c r="D504" i="3"/>
  <c r="T503" i="3"/>
  <c r="R503" i="3"/>
  <c r="Q503" i="3"/>
  <c r="P503" i="3"/>
  <c r="N503" i="3"/>
  <c r="D503" i="3"/>
  <c r="T502" i="3"/>
  <c r="R502" i="3"/>
  <c r="Q502" i="3"/>
  <c r="P502" i="3"/>
  <c r="N502" i="3"/>
  <c r="D502" i="3"/>
  <c r="T501" i="3"/>
  <c r="R501" i="3"/>
  <c r="Q501" i="3"/>
  <c r="P501" i="3"/>
  <c r="N501" i="3"/>
  <c r="D501" i="3"/>
  <c r="T500" i="3"/>
  <c r="R500" i="3"/>
  <c r="Q500" i="3"/>
  <c r="P500" i="3"/>
  <c r="N500" i="3"/>
  <c r="D500" i="3"/>
  <c r="T499" i="3"/>
  <c r="R499" i="3"/>
  <c r="Q499" i="3"/>
  <c r="P499" i="3"/>
  <c r="N499" i="3"/>
  <c r="D499" i="3"/>
  <c r="T498" i="3"/>
  <c r="R498" i="3"/>
  <c r="Q498" i="3"/>
  <c r="P498" i="3"/>
  <c r="N498" i="3"/>
  <c r="D498" i="3"/>
  <c r="T497" i="3"/>
  <c r="R497" i="3"/>
  <c r="Q497" i="3"/>
  <c r="P497" i="3"/>
  <c r="N497" i="3"/>
  <c r="D497" i="3"/>
  <c r="T496" i="3"/>
  <c r="R496" i="3"/>
  <c r="Q496" i="3"/>
  <c r="P496" i="3"/>
  <c r="N496" i="3"/>
  <c r="D496" i="3"/>
  <c r="T495" i="3"/>
  <c r="R495" i="3"/>
  <c r="Q495" i="3"/>
  <c r="P495" i="3"/>
  <c r="N495" i="3"/>
  <c r="D495" i="3"/>
  <c r="T494" i="3"/>
  <c r="R494" i="3"/>
  <c r="Q494" i="3"/>
  <c r="P494" i="3"/>
  <c r="N494" i="3"/>
  <c r="D494" i="3"/>
  <c r="T493" i="3"/>
  <c r="R493" i="3"/>
  <c r="Q493" i="3"/>
  <c r="P493" i="3"/>
  <c r="N493" i="3"/>
  <c r="D493" i="3"/>
  <c r="T492" i="3"/>
  <c r="R492" i="3"/>
  <c r="Q492" i="3"/>
  <c r="P492" i="3"/>
  <c r="N492" i="3"/>
  <c r="D492" i="3"/>
  <c r="T491" i="3"/>
  <c r="R491" i="3"/>
  <c r="Q491" i="3"/>
  <c r="P491" i="3"/>
  <c r="N491" i="3"/>
  <c r="D491" i="3"/>
  <c r="T490" i="3"/>
  <c r="R490" i="3"/>
  <c r="Q490" i="3"/>
  <c r="P490" i="3"/>
  <c r="N490" i="3"/>
  <c r="D490" i="3"/>
  <c r="T489" i="3"/>
  <c r="R489" i="3"/>
  <c r="Q489" i="3"/>
  <c r="P489" i="3"/>
  <c r="N489" i="3"/>
  <c r="D489" i="3"/>
  <c r="T488" i="3"/>
  <c r="R488" i="3"/>
  <c r="Q488" i="3"/>
  <c r="P488" i="3"/>
  <c r="N488" i="3"/>
  <c r="D488" i="3"/>
  <c r="T487" i="3"/>
  <c r="R487" i="3"/>
  <c r="Q487" i="3"/>
  <c r="P487" i="3"/>
  <c r="N487" i="3"/>
  <c r="D487" i="3"/>
  <c r="T486" i="3"/>
  <c r="R486" i="3"/>
  <c r="Q486" i="3"/>
  <c r="P486" i="3"/>
  <c r="N486" i="3"/>
  <c r="D486" i="3"/>
  <c r="T485" i="3"/>
  <c r="R485" i="3"/>
  <c r="Q485" i="3"/>
  <c r="P485" i="3"/>
  <c r="N485" i="3"/>
  <c r="D485" i="3"/>
  <c r="T484" i="3"/>
  <c r="R484" i="3"/>
  <c r="Q484" i="3"/>
  <c r="P484" i="3"/>
  <c r="N484" i="3"/>
  <c r="D484" i="3"/>
  <c r="T483" i="3"/>
  <c r="R483" i="3"/>
  <c r="Q483" i="3"/>
  <c r="P483" i="3"/>
  <c r="N483" i="3"/>
  <c r="D483" i="3"/>
  <c r="T482" i="3"/>
  <c r="R482" i="3"/>
  <c r="Q482" i="3"/>
  <c r="P482" i="3"/>
  <c r="N482" i="3"/>
  <c r="D482" i="3"/>
  <c r="T481" i="3"/>
  <c r="R481" i="3"/>
  <c r="Q481" i="3"/>
  <c r="P481" i="3"/>
  <c r="N481" i="3"/>
  <c r="D481" i="3"/>
  <c r="T480" i="3"/>
  <c r="R480" i="3"/>
  <c r="Q480" i="3"/>
  <c r="P480" i="3"/>
  <c r="N480" i="3"/>
  <c r="D480" i="3"/>
  <c r="T479" i="3"/>
  <c r="R479" i="3"/>
  <c r="Q479" i="3"/>
  <c r="P479" i="3"/>
  <c r="N479" i="3"/>
  <c r="D479" i="3"/>
  <c r="T478" i="3"/>
  <c r="R478" i="3"/>
  <c r="Q478" i="3"/>
  <c r="P478" i="3"/>
  <c r="N478" i="3"/>
  <c r="D478" i="3"/>
  <c r="T477" i="3"/>
  <c r="R477" i="3"/>
  <c r="Q477" i="3"/>
  <c r="P477" i="3"/>
  <c r="N477" i="3"/>
  <c r="D477" i="3"/>
  <c r="T476" i="3"/>
  <c r="R476" i="3"/>
  <c r="Q476" i="3"/>
  <c r="P476" i="3"/>
  <c r="N476" i="3"/>
  <c r="D476" i="3"/>
  <c r="T475" i="3"/>
  <c r="R475" i="3"/>
  <c r="Q475" i="3"/>
  <c r="P475" i="3"/>
  <c r="N475" i="3"/>
  <c r="D475" i="3"/>
  <c r="T474" i="3"/>
  <c r="R474" i="3"/>
  <c r="Q474" i="3"/>
  <c r="P474" i="3"/>
  <c r="N474" i="3"/>
  <c r="D474" i="3"/>
  <c r="T473" i="3"/>
  <c r="R473" i="3"/>
  <c r="Q473" i="3"/>
  <c r="P473" i="3"/>
  <c r="N473" i="3"/>
  <c r="D473" i="3"/>
  <c r="T472" i="3"/>
  <c r="R472" i="3"/>
  <c r="Q472" i="3"/>
  <c r="P472" i="3"/>
  <c r="N472" i="3"/>
  <c r="D472" i="3"/>
  <c r="T471" i="3"/>
  <c r="R471" i="3"/>
  <c r="Q471" i="3"/>
  <c r="P471" i="3"/>
  <c r="N471" i="3"/>
  <c r="D471" i="3"/>
  <c r="T470" i="3"/>
  <c r="R470" i="3"/>
  <c r="Q470" i="3"/>
  <c r="P470" i="3"/>
  <c r="N470" i="3"/>
  <c r="D470" i="3"/>
  <c r="T469" i="3"/>
  <c r="R469" i="3"/>
  <c r="Q469" i="3"/>
  <c r="P469" i="3"/>
  <c r="N469" i="3"/>
  <c r="D469" i="3"/>
  <c r="T468" i="3"/>
  <c r="R468" i="3"/>
  <c r="Q468" i="3"/>
  <c r="P468" i="3"/>
  <c r="N468" i="3"/>
  <c r="D468" i="3"/>
  <c r="T467" i="3"/>
  <c r="R467" i="3"/>
  <c r="Q467" i="3"/>
  <c r="P467" i="3"/>
  <c r="N467" i="3"/>
  <c r="D467" i="3"/>
  <c r="T466" i="3"/>
  <c r="R466" i="3"/>
  <c r="Q466" i="3"/>
  <c r="P466" i="3"/>
  <c r="N466" i="3"/>
  <c r="D466" i="3"/>
  <c r="T465" i="3"/>
  <c r="R465" i="3"/>
  <c r="Q465" i="3"/>
  <c r="P465" i="3"/>
  <c r="N465" i="3"/>
  <c r="D465" i="3"/>
  <c r="T464" i="3"/>
  <c r="R464" i="3"/>
  <c r="Q464" i="3"/>
  <c r="P464" i="3"/>
  <c r="N464" i="3"/>
  <c r="D464" i="3"/>
  <c r="T463" i="3"/>
  <c r="R463" i="3"/>
  <c r="Q463" i="3"/>
  <c r="P463" i="3"/>
  <c r="N463" i="3"/>
  <c r="D463" i="3"/>
  <c r="T462" i="3"/>
  <c r="R462" i="3"/>
  <c r="Q462" i="3"/>
  <c r="P462" i="3"/>
  <c r="N462" i="3"/>
  <c r="D462" i="3"/>
  <c r="T461" i="3"/>
  <c r="R461" i="3"/>
  <c r="Q461" i="3"/>
  <c r="P461" i="3"/>
  <c r="N461" i="3"/>
  <c r="D461" i="3"/>
  <c r="T460" i="3"/>
  <c r="R460" i="3"/>
  <c r="Q460" i="3"/>
  <c r="P460" i="3"/>
  <c r="N460" i="3"/>
  <c r="D460" i="3"/>
  <c r="T459" i="3"/>
  <c r="R459" i="3"/>
  <c r="Q459" i="3"/>
  <c r="P459" i="3"/>
  <c r="N459" i="3"/>
  <c r="D459" i="3"/>
  <c r="T458" i="3"/>
  <c r="R458" i="3"/>
  <c r="Q458" i="3"/>
  <c r="P458" i="3"/>
  <c r="N458" i="3"/>
  <c r="D458" i="3"/>
  <c r="T457" i="3"/>
  <c r="R457" i="3"/>
  <c r="Q457" i="3"/>
  <c r="P457" i="3"/>
  <c r="N457" i="3"/>
  <c r="D457" i="3"/>
  <c r="T456" i="3"/>
  <c r="R456" i="3"/>
  <c r="Q456" i="3"/>
  <c r="P456" i="3"/>
  <c r="N456" i="3"/>
  <c r="D456" i="3"/>
  <c r="T455" i="3"/>
  <c r="R455" i="3"/>
  <c r="Q455" i="3"/>
  <c r="P455" i="3"/>
  <c r="N455" i="3"/>
  <c r="D455" i="3"/>
  <c r="T454" i="3"/>
  <c r="R454" i="3"/>
  <c r="Q454" i="3"/>
  <c r="P454" i="3"/>
  <c r="N454" i="3"/>
  <c r="D454" i="3"/>
  <c r="T453" i="3"/>
  <c r="R453" i="3"/>
  <c r="Q453" i="3"/>
  <c r="P453" i="3"/>
  <c r="N453" i="3"/>
  <c r="D453" i="3"/>
  <c r="T452" i="3"/>
  <c r="R452" i="3"/>
  <c r="Q452" i="3"/>
  <c r="P452" i="3"/>
  <c r="N452" i="3"/>
  <c r="D452" i="3"/>
  <c r="T451" i="3"/>
  <c r="R451" i="3"/>
  <c r="Q451" i="3"/>
  <c r="P451" i="3"/>
  <c r="N451" i="3"/>
  <c r="D451" i="3"/>
  <c r="T450" i="3"/>
  <c r="R450" i="3"/>
  <c r="Q450" i="3"/>
  <c r="P450" i="3"/>
  <c r="N450" i="3"/>
  <c r="D450" i="3"/>
  <c r="T449" i="3"/>
  <c r="R449" i="3"/>
  <c r="Q449" i="3"/>
  <c r="P449" i="3"/>
  <c r="N449" i="3"/>
  <c r="D449" i="3"/>
  <c r="T448" i="3"/>
  <c r="R448" i="3"/>
  <c r="Q448" i="3"/>
  <c r="P448" i="3"/>
  <c r="N448" i="3"/>
  <c r="D448" i="3"/>
  <c r="T447" i="3"/>
  <c r="R447" i="3"/>
  <c r="Q447" i="3"/>
  <c r="P447" i="3"/>
  <c r="N447" i="3"/>
  <c r="D447" i="3"/>
  <c r="T446" i="3"/>
  <c r="R446" i="3"/>
  <c r="Q446" i="3"/>
  <c r="P446" i="3"/>
  <c r="N446" i="3"/>
  <c r="D446" i="3"/>
  <c r="T445" i="3"/>
  <c r="R445" i="3"/>
  <c r="Q445" i="3"/>
  <c r="P445" i="3"/>
  <c r="N445" i="3"/>
  <c r="D445" i="3"/>
  <c r="T444" i="3"/>
  <c r="R444" i="3"/>
  <c r="Q444" i="3"/>
  <c r="P444" i="3"/>
  <c r="N444" i="3"/>
  <c r="D444" i="3"/>
  <c r="T443" i="3"/>
  <c r="R443" i="3"/>
  <c r="Q443" i="3"/>
  <c r="P443" i="3"/>
  <c r="N443" i="3"/>
  <c r="D443" i="3"/>
  <c r="T442" i="3"/>
  <c r="R442" i="3"/>
  <c r="Q442" i="3"/>
  <c r="P442" i="3"/>
  <c r="N442" i="3"/>
  <c r="D442" i="3"/>
  <c r="T441" i="3"/>
  <c r="R441" i="3"/>
  <c r="Q441" i="3"/>
  <c r="P441" i="3"/>
  <c r="N441" i="3"/>
  <c r="D441" i="3"/>
  <c r="T440" i="3"/>
  <c r="R440" i="3"/>
  <c r="Q440" i="3"/>
  <c r="P440" i="3"/>
  <c r="N440" i="3"/>
  <c r="D440" i="3"/>
  <c r="T439" i="3"/>
  <c r="R439" i="3"/>
  <c r="Q439" i="3"/>
  <c r="P439" i="3"/>
  <c r="N439" i="3"/>
  <c r="D439" i="3"/>
  <c r="T438" i="3"/>
  <c r="R438" i="3"/>
  <c r="Q438" i="3"/>
  <c r="P438" i="3"/>
  <c r="N438" i="3"/>
  <c r="D438" i="3"/>
  <c r="T437" i="3"/>
  <c r="R437" i="3"/>
  <c r="Q437" i="3"/>
  <c r="P437" i="3"/>
  <c r="N437" i="3"/>
  <c r="D437" i="3"/>
  <c r="T436" i="3"/>
  <c r="R436" i="3"/>
  <c r="Q436" i="3"/>
  <c r="P436" i="3"/>
  <c r="N436" i="3"/>
  <c r="D436" i="3"/>
  <c r="T435" i="3"/>
  <c r="R435" i="3"/>
  <c r="Q435" i="3"/>
  <c r="P435" i="3"/>
  <c r="N435" i="3"/>
  <c r="D435" i="3"/>
  <c r="T434" i="3"/>
  <c r="R434" i="3"/>
  <c r="Q434" i="3"/>
  <c r="P434" i="3"/>
  <c r="N434" i="3"/>
  <c r="D434" i="3"/>
  <c r="T433" i="3"/>
  <c r="R433" i="3"/>
  <c r="Q433" i="3"/>
  <c r="P433" i="3"/>
  <c r="N433" i="3"/>
  <c r="D433" i="3"/>
  <c r="T432" i="3"/>
  <c r="R432" i="3"/>
  <c r="Q432" i="3"/>
  <c r="P432" i="3"/>
  <c r="N432" i="3"/>
  <c r="D432" i="3"/>
  <c r="T431" i="3"/>
  <c r="R431" i="3"/>
  <c r="Q431" i="3"/>
  <c r="P431" i="3"/>
  <c r="N431" i="3"/>
  <c r="D431" i="3"/>
  <c r="T430" i="3"/>
  <c r="R430" i="3"/>
  <c r="Q430" i="3"/>
  <c r="P430" i="3"/>
  <c r="N430" i="3"/>
  <c r="D430" i="3"/>
  <c r="T429" i="3"/>
  <c r="R429" i="3"/>
  <c r="Q429" i="3"/>
  <c r="P429" i="3"/>
  <c r="N429" i="3"/>
  <c r="D429" i="3"/>
  <c r="T428" i="3"/>
  <c r="R428" i="3"/>
  <c r="Q428" i="3"/>
  <c r="P428" i="3"/>
  <c r="N428" i="3"/>
  <c r="D428" i="3"/>
  <c r="T427" i="3"/>
  <c r="R427" i="3"/>
  <c r="Q427" i="3"/>
  <c r="P427" i="3"/>
  <c r="N427" i="3"/>
  <c r="D427" i="3"/>
  <c r="T426" i="3"/>
  <c r="R426" i="3"/>
  <c r="Q426" i="3"/>
  <c r="P426" i="3"/>
  <c r="N426" i="3"/>
  <c r="D426" i="3"/>
  <c r="T425" i="3"/>
  <c r="R425" i="3"/>
  <c r="Q425" i="3"/>
  <c r="P425" i="3"/>
  <c r="N425" i="3"/>
  <c r="D425" i="3"/>
  <c r="T424" i="3"/>
  <c r="R424" i="3"/>
  <c r="Q424" i="3"/>
  <c r="P424" i="3"/>
  <c r="N424" i="3"/>
  <c r="D424" i="3"/>
  <c r="T423" i="3"/>
  <c r="R423" i="3"/>
  <c r="Q423" i="3"/>
  <c r="P423" i="3"/>
  <c r="N423" i="3"/>
  <c r="D423" i="3"/>
  <c r="T422" i="3"/>
  <c r="R422" i="3"/>
  <c r="Q422" i="3"/>
  <c r="P422" i="3"/>
  <c r="N422" i="3"/>
  <c r="D422" i="3"/>
  <c r="T421" i="3"/>
  <c r="R421" i="3"/>
  <c r="Q421" i="3"/>
  <c r="P421" i="3"/>
  <c r="N421" i="3"/>
  <c r="D421" i="3"/>
  <c r="T420" i="3"/>
  <c r="R420" i="3"/>
  <c r="Q420" i="3"/>
  <c r="P420" i="3"/>
  <c r="N420" i="3"/>
  <c r="D420" i="3"/>
  <c r="T419" i="3"/>
  <c r="R419" i="3"/>
  <c r="Q419" i="3"/>
  <c r="P419" i="3"/>
  <c r="N419" i="3"/>
  <c r="D419" i="3"/>
  <c r="T418" i="3"/>
  <c r="R418" i="3"/>
  <c r="Q418" i="3"/>
  <c r="P418" i="3"/>
  <c r="N418" i="3"/>
  <c r="D418" i="3"/>
  <c r="T417" i="3"/>
  <c r="R417" i="3"/>
  <c r="Q417" i="3"/>
  <c r="P417" i="3"/>
  <c r="N417" i="3"/>
  <c r="D417" i="3"/>
  <c r="T416" i="3"/>
  <c r="R416" i="3"/>
  <c r="Q416" i="3"/>
  <c r="P416" i="3"/>
  <c r="N416" i="3"/>
  <c r="D416" i="3"/>
  <c r="T415" i="3"/>
  <c r="R415" i="3"/>
  <c r="Q415" i="3"/>
  <c r="P415" i="3"/>
  <c r="N415" i="3"/>
  <c r="D415" i="3"/>
  <c r="T414" i="3"/>
  <c r="R414" i="3"/>
  <c r="Q414" i="3"/>
  <c r="P414" i="3"/>
  <c r="N414" i="3"/>
  <c r="D414" i="3"/>
  <c r="T413" i="3"/>
  <c r="R413" i="3"/>
  <c r="Q413" i="3"/>
  <c r="P413" i="3"/>
  <c r="N413" i="3"/>
  <c r="D413" i="3"/>
  <c r="T412" i="3"/>
  <c r="R412" i="3"/>
  <c r="Q412" i="3"/>
  <c r="P412" i="3"/>
  <c r="N412" i="3"/>
  <c r="D412" i="3"/>
  <c r="T411" i="3"/>
  <c r="R411" i="3"/>
  <c r="Q411" i="3"/>
  <c r="P411" i="3"/>
  <c r="N411" i="3"/>
  <c r="D411" i="3"/>
  <c r="T410" i="3"/>
  <c r="R410" i="3"/>
  <c r="Q410" i="3"/>
  <c r="P410" i="3"/>
  <c r="N410" i="3"/>
  <c r="D410" i="3"/>
  <c r="T409" i="3"/>
  <c r="R409" i="3"/>
  <c r="Q409" i="3"/>
  <c r="P409" i="3"/>
  <c r="N409" i="3"/>
  <c r="D409" i="3"/>
  <c r="T408" i="3"/>
  <c r="R408" i="3"/>
  <c r="Q408" i="3"/>
  <c r="P408" i="3"/>
  <c r="N408" i="3"/>
  <c r="D408" i="3"/>
  <c r="T407" i="3"/>
  <c r="R407" i="3"/>
  <c r="Q407" i="3"/>
  <c r="P407" i="3"/>
  <c r="N407" i="3"/>
  <c r="D407" i="3"/>
  <c r="T406" i="3"/>
  <c r="R406" i="3"/>
  <c r="Q406" i="3"/>
  <c r="P406" i="3"/>
  <c r="N406" i="3"/>
  <c r="D406" i="3"/>
  <c r="T405" i="3"/>
  <c r="R405" i="3"/>
  <c r="Q405" i="3"/>
  <c r="P405" i="3"/>
  <c r="N405" i="3"/>
  <c r="D405" i="3"/>
  <c r="T404" i="3"/>
  <c r="R404" i="3"/>
  <c r="Q404" i="3"/>
  <c r="P404" i="3"/>
  <c r="N404" i="3"/>
  <c r="D404" i="3"/>
  <c r="T403" i="3"/>
  <c r="R403" i="3"/>
  <c r="Q403" i="3"/>
  <c r="P403" i="3"/>
  <c r="N403" i="3"/>
  <c r="D403" i="3"/>
  <c r="T402" i="3"/>
  <c r="R402" i="3"/>
  <c r="Q402" i="3"/>
  <c r="P402" i="3"/>
  <c r="N402" i="3"/>
  <c r="D402" i="3"/>
  <c r="T401" i="3"/>
  <c r="R401" i="3"/>
  <c r="Q401" i="3"/>
  <c r="P401" i="3"/>
  <c r="N401" i="3"/>
  <c r="D401" i="3"/>
  <c r="T400" i="3"/>
  <c r="R400" i="3"/>
  <c r="Q400" i="3"/>
  <c r="P400" i="3"/>
  <c r="N400" i="3"/>
  <c r="D400" i="3"/>
  <c r="T399" i="3"/>
  <c r="R399" i="3"/>
  <c r="Q399" i="3"/>
  <c r="P399" i="3"/>
  <c r="N399" i="3"/>
  <c r="D399" i="3"/>
  <c r="T398" i="3"/>
  <c r="R398" i="3"/>
  <c r="Q398" i="3"/>
  <c r="P398" i="3"/>
  <c r="N398" i="3"/>
  <c r="D398" i="3"/>
  <c r="T397" i="3"/>
  <c r="R397" i="3"/>
  <c r="Q397" i="3"/>
  <c r="P397" i="3"/>
  <c r="N397" i="3"/>
  <c r="D397" i="3"/>
  <c r="T396" i="3"/>
  <c r="R396" i="3"/>
  <c r="Q396" i="3"/>
  <c r="P396" i="3"/>
  <c r="N396" i="3"/>
  <c r="D396" i="3"/>
  <c r="T395" i="3"/>
  <c r="R395" i="3"/>
  <c r="Q395" i="3"/>
  <c r="P395" i="3"/>
  <c r="N395" i="3"/>
  <c r="D395" i="3"/>
  <c r="T394" i="3"/>
  <c r="R394" i="3"/>
  <c r="Q394" i="3"/>
  <c r="P394" i="3"/>
  <c r="N394" i="3"/>
  <c r="D394" i="3"/>
  <c r="T393" i="3"/>
  <c r="R393" i="3"/>
  <c r="Q393" i="3"/>
  <c r="P393" i="3"/>
  <c r="N393" i="3"/>
  <c r="D393" i="3"/>
  <c r="T392" i="3"/>
  <c r="R392" i="3"/>
  <c r="Q392" i="3"/>
  <c r="P392" i="3"/>
  <c r="N392" i="3"/>
  <c r="D392" i="3"/>
  <c r="T391" i="3"/>
  <c r="R391" i="3"/>
  <c r="Q391" i="3"/>
  <c r="P391" i="3"/>
  <c r="N391" i="3"/>
  <c r="D391" i="3"/>
  <c r="T390" i="3"/>
  <c r="R390" i="3"/>
  <c r="Q390" i="3"/>
  <c r="P390" i="3"/>
  <c r="N390" i="3"/>
  <c r="D390" i="3"/>
  <c r="T389" i="3"/>
  <c r="R389" i="3"/>
  <c r="Q389" i="3"/>
  <c r="P389" i="3"/>
  <c r="N389" i="3"/>
  <c r="D389" i="3"/>
  <c r="T388" i="3"/>
  <c r="R388" i="3"/>
  <c r="Q388" i="3"/>
  <c r="P388" i="3"/>
  <c r="N388" i="3"/>
  <c r="D388" i="3"/>
  <c r="T387" i="3"/>
  <c r="R387" i="3"/>
  <c r="Q387" i="3"/>
  <c r="P387" i="3"/>
  <c r="N387" i="3"/>
  <c r="D387" i="3"/>
  <c r="T386" i="3"/>
  <c r="R386" i="3"/>
  <c r="Q386" i="3"/>
  <c r="P386" i="3"/>
  <c r="N386" i="3"/>
  <c r="D386" i="3"/>
  <c r="T385" i="3"/>
  <c r="R385" i="3"/>
  <c r="Q385" i="3"/>
  <c r="P385" i="3"/>
  <c r="N385" i="3"/>
  <c r="D385" i="3"/>
  <c r="T384" i="3"/>
  <c r="R384" i="3"/>
  <c r="Q384" i="3"/>
  <c r="P384" i="3"/>
  <c r="N384" i="3"/>
  <c r="D384" i="3"/>
  <c r="T383" i="3"/>
  <c r="R383" i="3"/>
  <c r="Q383" i="3"/>
  <c r="P383" i="3"/>
  <c r="N383" i="3"/>
  <c r="D383" i="3"/>
  <c r="T382" i="3"/>
  <c r="R382" i="3"/>
  <c r="Q382" i="3"/>
  <c r="P382" i="3"/>
  <c r="N382" i="3"/>
  <c r="D382" i="3"/>
  <c r="T381" i="3"/>
  <c r="R381" i="3"/>
  <c r="Q381" i="3"/>
  <c r="P381" i="3"/>
  <c r="N381" i="3"/>
  <c r="D381" i="3"/>
  <c r="T380" i="3"/>
  <c r="R380" i="3"/>
  <c r="Q380" i="3"/>
  <c r="P380" i="3"/>
  <c r="N380" i="3"/>
  <c r="D380" i="3"/>
  <c r="T379" i="3"/>
  <c r="R379" i="3"/>
  <c r="Q379" i="3"/>
  <c r="P379" i="3"/>
  <c r="N379" i="3"/>
  <c r="D379" i="3"/>
  <c r="T378" i="3"/>
  <c r="R378" i="3"/>
  <c r="Q378" i="3"/>
  <c r="P378" i="3"/>
  <c r="N378" i="3"/>
  <c r="D378" i="3"/>
  <c r="T377" i="3"/>
  <c r="R377" i="3"/>
  <c r="Q377" i="3"/>
  <c r="P377" i="3"/>
  <c r="N377" i="3"/>
  <c r="D377" i="3"/>
  <c r="T376" i="3"/>
  <c r="R376" i="3"/>
  <c r="Q376" i="3"/>
  <c r="P376" i="3"/>
  <c r="N376" i="3"/>
  <c r="D376" i="3"/>
  <c r="T375" i="3"/>
  <c r="R375" i="3"/>
  <c r="Q375" i="3"/>
  <c r="P375" i="3"/>
  <c r="N375" i="3"/>
  <c r="D375" i="3"/>
  <c r="T374" i="3"/>
  <c r="R374" i="3"/>
  <c r="Q374" i="3"/>
  <c r="P374" i="3"/>
  <c r="N374" i="3"/>
  <c r="D374" i="3"/>
  <c r="T373" i="3"/>
  <c r="R373" i="3"/>
  <c r="Q373" i="3"/>
  <c r="P373" i="3"/>
  <c r="N373" i="3"/>
  <c r="D373" i="3"/>
  <c r="T372" i="3"/>
  <c r="R372" i="3"/>
  <c r="Q372" i="3"/>
  <c r="P372" i="3"/>
  <c r="N372" i="3"/>
  <c r="D372" i="3"/>
  <c r="T371" i="3"/>
  <c r="R371" i="3"/>
  <c r="Q371" i="3"/>
  <c r="P371" i="3"/>
  <c r="N371" i="3"/>
  <c r="D371" i="3"/>
  <c r="T370" i="3"/>
  <c r="R370" i="3"/>
  <c r="Q370" i="3"/>
  <c r="P370" i="3"/>
  <c r="N370" i="3"/>
  <c r="D370" i="3"/>
  <c r="T369" i="3"/>
  <c r="R369" i="3"/>
  <c r="Q369" i="3"/>
  <c r="P369" i="3"/>
  <c r="N369" i="3"/>
  <c r="D369" i="3"/>
  <c r="T368" i="3"/>
  <c r="R368" i="3"/>
  <c r="Q368" i="3"/>
  <c r="P368" i="3"/>
  <c r="N368" i="3"/>
  <c r="D368" i="3"/>
  <c r="T367" i="3"/>
  <c r="R367" i="3"/>
  <c r="Q367" i="3"/>
  <c r="P367" i="3"/>
  <c r="N367" i="3"/>
  <c r="D367" i="3"/>
  <c r="T366" i="3"/>
  <c r="R366" i="3"/>
  <c r="Q366" i="3"/>
  <c r="P366" i="3"/>
  <c r="N366" i="3"/>
  <c r="D366" i="3"/>
  <c r="T365" i="3"/>
  <c r="R365" i="3"/>
  <c r="Q365" i="3"/>
  <c r="P365" i="3"/>
  <c r="N365" i="3"/>
  <c r="D365" i="3"/>
  <c r="T364" i="3"/>
  <c r="R364" i="3"/>
  <c r="Q364" i="3"/>
  <c r="P364" i="3"/>
  <c r="N364" i="3"/>
  <c r="D364" i="3"/>
  <c r="T363" i="3"/>
  <c r="R363" i="3"/>
  <c r="Q363" i="3"/>
  <c r="P363" i="3"/>
  <c r="N363" i="3"/>
  <c r="D363" i="3"/>
  <c r="T362" i="3"/>
  <c r="R362" i="3"/>
  <c r="Q362" i="3"/>
  <c r="P362" i="3"/>
  <c r="N362" i="3"/>
  <c r="D362" i="3"/>
  <c r="T361" i="3"/>
  <c r="R361" i="3"/>
  <c r="Q361" i="3"/>
  <c r="P361" i="3"/>
  <c r="N361" i="3"/>
  <c r="D361" i="3"/>
  <c r="T360" i="3"/>
  <c r="R360" i="3"/>
  <c r="Q360" i="3"/>
  <c r="P360" i="3"/>
  <c r="N360" i="3"/>
  <c r="D360" i="3"/>
  <c r="T359" i="3"/>
  <c r="R359" i="3"/>
  <c r="Q359" i="3"/>
  <c r="P359" i="3"/>
  <c r="N359" i="3"/>
  <c r="D359" i="3"/>
  <c r="T358" i="3"/>
  <c r="R358" i="3"/>
  <c r="Q358" i="3"/>
  <c r="P358" i="3"/>
  <c r="N358" i="3"/>
  <c r="D358" i="3"/>
  <c r="T357" i="3"/>
  <c r="R357" i="3"/>
  <c r="Q357" i="3"/>
  <c r="P357" i="3"/>
  <c r="N357" i="3"/>
  <c r="D357" i="3"/>
  <c r="T356" i="3"/>
  <c r="R356" i="3"/>
  <c r="Q356" i="3"/>
  <c r="P356" i="3"/>
  <c r="N356" i="3"/>
  <c r="D356" i="3"/>
  <c r="T355" i="3"/>
  <c r="R355" i="3"/>
  <c r="Q355" i="3"/>
  <c r="P355" i="3"/>
  <c r="N355" i="3"/>
  <c r="D355" i="3"/>
  <c r="T354" i="3"/>
  <c r="R354" i="3"/>
  <c r="Q354" i="3"/>
  <c r="P354" i="3"/>
  <c r="N354" i="3"/>
  <c r="D354" i="3"/>
  <c r="T353" i="3"/>
  <c r="R353" i="3"/>
  <c r="Q353" i="3"/>
  <c r="P353" i="3"/>
  <c r="N353" i="3"/>
  <c r="D353" i="3"/>
  <c r="T352" i="3"/>
  <c r="R352" i="3"/>
  <c r="Q352" i="3"/>
  <c r="P352" i="3"/>
  <c r="N352" i="3"/>
  <c r="D352" i="3"/>
  <c r="T351" i="3"/>
  <c r="R351" i="3"/>
  <c r="Q351" i="3"/>
  <c r="P351" i="3"/>
  <c r="N351" i="3"/>
  <c r="D351" i="3"/>
  <c r="T350" i="3"/>
  <c r="R350" i="3"/>
  <c r="Q350" i="3"/>
  <c r="P350" i="3"/>
  <c r="N350" i="3"/>
  <c r="D350" i="3"/>
  <c r="T349" i="3"/>
  <c r="R349" i="3"/>
  <c r="Q349" i="3"/>
  <c r="P349" i="3"/>
  <c r="N349" i="3"/>
  <c r="D349" i="3"/>
  <c r="T348" i="3"/>
  <c r="R348" i="3"/>
  <c r="Q348" i="3"/>
  <c r="P348" i="3"/>
  <c r="N348" i="3"/>
  <c r="D348" i="3"/>
  <c r="T347" i="3"/>
  <c r="R347" i="3"/>
  <c r="Q347" i="3"/>
  <c r="P347" i="3"/>
  <c r="N347" i="3"/>
  <c r="D347" i="3"/>
  <c r="T346" i="3"/>
  <c r="R346" i="3"/>
  <c r="Q346" i="3"/>
  <c r="P346" i="3"/>
  <c r="N346" i="3"/>
  <c r="D346" i="3"/>
  <c r="T345" i="3"/>
  <c r="R345" i="3"/>
  <c r="Q345" i="3"/>
  <c r="P345" i="3"/>
  <c r="N345" i="3"/>
  <c r="D345" i="3"/>
  <c r="T344" i="3"/>
  <c r="R344" i="3"/>
  <c r="Q344" i="3"/>
  <c r="P344" i="3"/>
  <c r="N344" i="3"/>
  <c r="D344" i="3"/>
  <c r="T343" i="3"/>
  <c r="R343" i="3"/>
  <c r="Q343" i="3"/>
  <c r="P343" i="3"/>
  <c r="N343" i="3"/>
  <c r="D343" i="3"/>
  <c r="T342" i="3"/>
  <c r="R342" i="3"/>
  <c r="Q342" i="3"/>
  <c r="P342" i="3"/>
  <c r="N342" i="3"/>
  <c r="D342" i="3"/>
  <c r="T341" i="3"/>
  <c r="R341" i="3"/>
  <c r="Q341" i="3"/>
  <c r="P341" i="3"/>
  <c r="N341" i="3"/>
  <c r="D341" i="3"/>
  <c r="T340" i="3"/>
  <c r="R340" i="3"/>
  <c r="Q340" i="3"/>
  <c r="P340" i="3"/>
  <c r="N340" i="3"/>
  <c r="D340" i="3"/>
  <c r="T339" i="3"/>
  <c r="R339" i="3"/>
  <c r="Q339" i="3"/>
  <c r="P339" i="3"/>
  <c r="N339" i="3"/>
  <c r="D339" i="3"/>
  <c r="T338" i="3"/>
  <c r="R338" i="3"/>
  <c r="Q338" i="3"/>
  <c r="P338" i="3"/>
  <c r="N338" i="3"/>
  <c r="D338" i="3"/>
  <c r="T337" i="3"/>
  <c r="R337" i="3"/>
  <c r="Q337" i="3"/>
  <c r="P337" i="3"/>
  <c r="N337" i="3"/>
  <c r="D337" i="3"/>
  <c r="T336" i="3"/>
  <c r="R336" i="3"/>
  <c r="Q336" i="3"/>
  <c r="P336" i="3"/>
  <c r="N336" i="3"/>
  <c r="D336" i="3"/>
  <c r="T335" i="3"/>
  <c r="R335" i="3"/>
  <c r="Q335" i="3"/>
  <c r="P335" i="3"/>
  <c r="N335" i="3"/>
  <c r="D335" i="3"/>
  <c r="T334" i="3"/>
  <c r="R334" i="3"/>
  <c r="Q334" i="3"/>
  <c r="P334" i="3"/>
  <c r="N334" i="3"/>
  <c r="D334" i="3"/>
  <c r="T333" i="3"/>
  <c r="R333" i="3"/>
  <c r="Q333" i="3"/>
  <c r="P333" i="3"/>
  <c r="N333" i="3"/>
  <c r="D333" i="3"/>
  <c r="T332" i="3"/>
  <c r="R332" i="3"/>
  <c r="Q332" i="3"/>
  <c r="P332" i="3"/>
  <c r="N332" i="3"/>
  <c r="D332" i="3"/>
  <c r="T331" i="3"/>
  <c r="R331" i="3"/>
  <c r="Q331" i="3"/>
  <c r="P331" i="3"/>
  <c r="N331" i="3"/>
  <c r="D331" i="3"/>
  <c r="T330" i="3"/>
  <c r="R330" i="3"/>
  <c r="Q330" i="3"/>
  <c r="P330" i="3"/>
  <c r="N330" i="3"/>
  <c r="D330" i="3"/>
  <c r="T329" i="3"/>
  <c r="R329" i="3"/>
  <c r="Q329" i="3"/>
  <c r="P329" i="3"/>
  <c r="N329" i="3"/>
  <c r="D329" i="3"/>
  <c r="T328" i="3"/>
  <c r="R328" i="3"/>
  <c r="Q328" i="3"/>
  <c r="P328" i="3"/>
  <c r="N328" i="3"/>
  <c r="D328" i="3"/>
  <c r="T327" i="3"/>
  <c r="R327" i="3"/>
  <c r="Q327" i="3"/>
  <c r="P327" i="3"/>
  <c r="N327" i="3"/>
  <c r="D327" i="3"/>
  <c r="T326" i="3"/>
  <c r="R326" i="3"/>
  <c r="Q326" i="3"/>
  <c r="P326" i="3"/>
  <c r="N326" i="3"/>
  <c r="D326" i="3"/>
  <c r="T325" i="3"/>
  <c r="R325" i="3"/>
  <c r="Q325" i="3"/>
  <c r="P325" i="3"/>
  <c r="N325" i="3"/>
  <c r="D325" i="3"/>
  <c r="T324" i="3"/>
  <c r="R324" i="3"/>
  <c r="Q324" i="3"/>
  <c r="P324" i="3"/>
  <c r="N324" i="3"/>
  <c r="D324" i="3"/>
  <c r="T323" i="3"/>
  <c r="R323" i="3"/>
  <c r="Q323" i="3"/>
  <c r="P323" i="3"/>
  <c r="N323" i="3"/>
  <c r="D323" i="3"/>
  <c r="T322" i="3"/>
  <c r="R322" i="3"/>
  <c r="Q322" i="3"/>
  <c r="P322" i="3"/>
  <c r="N322" i="3"/>
  <c r="D322" i="3"/>
  <c r="T321" i="3"/>
  <c r="R321" i="3"/>
  <c r="Q321" i="3"/>
  <c r="P321" i="3"/>
  <c r="N321" i="3"/>
  <c r="D321" i="3"/>
  <c r="T320" i="3"/>
  <c r="R320" i="3"/>
  <c r="Q320" i="3"/>
  <c r="P320" i="3"/>
  <c r="N320" i="3"/>
  <c r="D320" i="3"/>
  <c r="T319" i="3"/>
  <c r="R319" i="3"/>
  <c r="Q319" i="3"/>
  <c r="P319" i="3"/>
  <c r="N319" i="3"/>
  <c r="D319" i="3"/>
  <c r="T318" i="3"/>
  <c r="R318" i="3"/>
  <c r="Q318" i="3"/>
  <c r="P318" i="3"/>
  <c r="N318" i="3"/>
  <c r="D318" i="3"/>
  <c r="T317" i="3"/>
  <c r="R317" i="3"/>
  <c r="Q317" i="3"/>
  <c r="P317" i="3"/>
  <c r="N317" i="3"/>
  <c r="D317" i="3"/>
  <c r="T316" i="3"/>
  <c r="R316" i="3"/>
  <c r="Q316" i="3"/>
  <c r="P316" i="3"/>
  <c r="N316" i="3"/>
  <c r="D316" i="3"/>
  <c r="T315" i="3"/>
  <c r="R315" i="3"/>
  <c r="Q315" i="3"/>
  <c r="P315" i="3"/>
  <c r="N315" i="3"/>
  <c r="D315" i="3"/>
  <c r="T314" i="3"/>
  <c r="R314" i="3"/>
  <c r="Q314" i="3"/>
  <c r="P314" i="3"/>
  <c r="N314" i="3"/>
  <c r="D314" i="3"/>
  <c r="T313" i="3"/>
  <c r="R313" i="3"/>
  <c r="Q313" i="3"/>
  <c r="P313" i="3"/>
  <c r="N313" i="3"/>
  <c r="D313" i="3"/>
  <c r="T312" i="3"/>
  <c r="R312" i="3"/>
  <c r="Q312" i="3"/>
  <c r="P312" i="3"/>
  <c r="N312" i="3"/>
  <c r="D312" i="3"/>
  <c r="T311" i="3"/>
  <c r="R311" i="3"/>
  <c r="Q311" i="3"/>
  <c r="P311" i="3"/>
  <c r="N311" i="3"/>
  <c r="D311" i="3"/>
  <c r="T310" i="3"/>
  <c r="R310" i="3"/>
  <c r="Q310" i="3"/>
  <c r="P310" i="3"/>
  <c r="N310" i="3"/>
  <c r="D310" i="3"/>
  <c r="T309" i="3"/>
  <c r="R309" i="3"/>
  <c r="Q309" i="3"/>
  <c r="P309" i="3"/>
  <c r="N309" i="3"/>
  <c r="D309" i="3"/>
  <c r="T308" i="3"/>
  <c r="R308" i="3"/>
  <c r="Q308" i="3"/>
  <c r="P308" i="3"/>
  <c r="N308" i="3"/>
  <c r="D308" i="3"/>
  <c r="T307" i="3"/>
  <c r="R307" i="3"/>
  <c r="Q307" i="3"/>
  <c r="P307" i="3"/>
  <c r="N307" i="3"/>
  <c r="D307" i="3"/>
  <c r="T306" i="3"/>
  <c r="R306" i="3"/>
  <c r="Q306" i="3"/>
  <c r="P306" i="3"/>
  <c r="N306" i="3"/>
  <c r="D306" i="3"/>
  <c r="T305" i="3"/>
  <c r="R305" i="3"/>
  <c r="Q305" i="3"/>
  <c r="P305" i="3"/>
  <c r="N305" i="3"/>
  <c r="D305" i="3"/>
  <c r="T304" i="3"/>
  <c r="R304" i="3"/>
  <c r="Q304" i="3"/>
  <c r="P304" i="3"/>
  <c r="N304" i="3"/>
  <c r="D304" i="3"/>
  <c r="T303" i="3"/>
  <c r="R303" i="3"/>
  <c r="Q303" i="3"/>
  <c r="P303" i="3"/>
  <c r="N303" i="3"/>
  <c r="D303" i="3"/>
  <c r="T302" i="3"/>
  <c r="R302" i="3"/>
  <c r="Q302" i="3"/>
  <c r="P302" i="3"/>
  <c r="N302" i="3"/>
  <c r="D302" i="3"/>
  <c r="T301" i="3"/>
  <c r="R301" i="3"/>
  <c r="Q301" i="3"/>
  <c r="P301" i="3"/>
  <c r="N301" i="3"/>
  <c r="D301" i="3"/>
  <c r="T300" i="3"/>
  <c r="R300" i="3"/>
  <c r="Q300" i="3"/>
  <c r="P300" i="3"/>
  <c r="N300" i="3"/>
  <c r="D300" i="3"/>
  <c r="T299" i="3"/>
  <c r="R299" i="3"/>
  <c r="Q299" i="3"/>
  <c r="P299" i="3"/>
  <c r="N299" i="3"/>
  <c r="D299" i="3"/>
  <c r="T298" i="3"/>
  <c r="R298" i="3"/>
  <c r="Q298" i="3"/>
  <c r="P298" i="3"/>
  <c r="N298" i="3"/>
  <c r="D298" i="3"/>
  <c r="T297" i="3"/>
  <c r="R297" i="3"/>
  <c r="Q297" i="3"/>
  <c r="P297" i="3"/>
  <c r="N297" i="3"/>
  <c r="D297" i="3"/>
  <c r="T296" i="3"/>
  <c r="R296" i="3"/>
  <c r="Q296" i="3"/>
  <c r="P296" i="3"/>
  <c r="N296" i="3"/>
  <c r="D296" i="3"/>
  <c r="T295" i="3"/>
  <c r="R295" i="3"/>
  <c r="Q295" i="3"/>
  <c r="P295" i="3"/>
  <c r="N295" i="3"/>
  <c r="D295" i="3"/>
  <c r="T294" i="3"/>
  <c r="R294" i="3"/>
  <c r="Q294" i="3"/>
  <c r="P294" i="3"/>
  <c r="N294" i="3"/>
  <c r="D294" i="3"/>
  <c r="T293" i="3"/>
  <c r="R293" i="3"/>
  <c r="Q293" i="3"/>
  <c r="P293" i="3"/>
  <c r="N293" i="3"/>
  <c r="D293" i="3"/>
  <c r="T292" i="3"/>
  <c r="R292" i="3"/>
  <c r="Q292" i="3"/>
  <c r="P292" i="3"/>
  <c r="N292" i="3"/>
  <c r="D292" i="3"/>
  <c r="T291" i="3"/>
  <c r="R291" i="3"/>
  <c r="Q291" i="3"/>
  <c r="P291" i="3"/>
  <c r="N291" i="3"/>
  <c r="D291" i="3"/>
  <c r="T290" i="3"/>
  <c r="R290" i="3"/>
  <c r="Q290" i="3"/>
  <c r="P290" i="3"/>
  <c r="N290" i="3"/>
  <c r="D290" i="3"/>
  <c r="T289" i="3"/>
  <c r="R289" i="3"/>
  <c r="Q289" i="3"/>
  <c r="P289" i="3"/>
  <c r="N289" i="3"/>
  <c r="D289" i="3"/>
  <c r="T288" i="3"/>
  <c r="R288" i="3"/>
  <c r="Q288" i="3"/>
  <c r="P288" i="3"/>
  <c r="N288" i="3"/>
  <c r="D288" i="3"/>
  <c r="T287" i="3"/>
  <c r="R287" i="3"/>
  <c r="Q287" i="3"/>
  <c r="P287" i="3"/>
  <c r="N287" i="3"/>
  <c r="D287" i="3"/>
  <c r="T286" i="3"/>
  <c r="R286" i="3"/>
  <c r="Q286" i="3"/>
  <c r="P286" i="3"/>
  <c r="N286" i="3"/>
  <c r="D286" i="3"/>
  <c r="T285" i="3"/>
  <c r="R285" i="3"/>
  <c r="Q285" i="3"/>
  <c r="P285" i="3"/>
  <c r="N285" i="3"/>
  <c r="D285" i="3"/>
  <c r="T284" i="3"/>
  <c r="R284" i="3"/>
  <c r="Q284" i="3"/>
  <c r="P284" i="3"/>
  <c r="N284" i="3"/>
  <c r="D284" i="3"/>
  <c r="T283" i="3"/>
  <c r="R283" i="3"/>
  <c r="Q283" i="3"/>
  <c r="P283" i="3"/>
  <c r="N283" i="3"/>
  <c r="D283" i="3"/>
  <c r="T282" i="3"/>
  <c r="R282" i="3"/>
  <c r="Q282" i="3"/>
  <c r="P282" i="3"/>
  <c r="N282" i="3"/>
  <c r="D282" i="3"/>
  <c r="T281" i="3"/>
  <c r="R281" i="3"/>
  <c r="Q281" i="3"/>
  <c r="P281" i="3"/>
  <c r="N281" i="3"/>
  <c r="D281" i="3"/>
  <c r="T280" i="3"/>
  <c r="R280" i="3"/>
  <c r="Q280" i="3"/>
  <c r="P280" i="3"/>
  <c r="N280" i="3"/>
  <c r="D280" i="3"/>
  <c r="T279" i="3"/>
  <c r="R279" i="3"/>
  <c r="Q279" i="3"/>
  <c r="P279" i="3"/>
  <c r="N279" i="3"/>
  <c r="D279" i="3"/>
  <c r="T278" i="3"/>
  <c r="R278" i="3"/>
  <c r="Q278" i="3"/>
  <c r="P278" i="3"/>
  <c r="N278" i="3"/>
  <c r="D278" i="3"/>
  <c r="T277" i="3"/>
  <c r="R277" i="3"/>
  <c r="Q277" i="3"/>
  <c r="P277" i="3"/>
  <c r="N277" i="3"/>
  <c r="D277" i="3"/>
  <c r="T276" i="3"/>
  <c r="R276" i="3"/>
  <c r="Q276" i="3"/>
  <c r="P276" i="3"/>
  <c r="N276" i="3"/>
  <c r="D276" i="3"/>
  <c r="T275" i="3"/>
  <c r="R275" i="3"/>
  <c r="Q275" i="3"/>
  <c r="P275" i="3"/>
  <c r="N275" i="3"/>
  <c r="D275" i="3"/>
  <c r="T274" i="3"/>
  <c r="R274" i="3"/>
  <c r="Q274" i="3"/>
  <c r="P274" i="3"/>
  <c r="N274" i="3"/>
  <c r="D274" i="3"/>
  <c r="T273" i="3"/>
  <c r="R273" i="3"/>
  <c r="Q273" i="3"/>
  <c r="P273" i="3"/>
  <c r="N273" i="3"/>
  <c r="D273" i="3"/>
  <c r="T272" i="3"/>
  <c r="R272" i="3"/>
  <c r="Q272" i="3"/>
  <c r="P272" i="3"/>
  <c r="N272" i="3"/>
  <c r="D272" i="3"/>
  <c r="T271" i="3"/>
  <c r="R271" i="3"/>
  <c r="Q271" i="3"/>
  <c r="P271" i="3"/>
  <c r="N271" i="3"/>
  <c r="D271" i="3"/>
  <c r="T270" i="3"/>
  <c r="R270" i="3"/>
  <c r="Q270" i="3"/>
  <c r="P270" i="3"/>
  <c r="N270" i="3"/>
  <c r="D270" i="3"/>
  <c r="T269" i="3"/>
  <c r="R269" i="3"/>
  <c r="Q269" i="3"/>
  <c r="P269" i="3"/>
  <c r="N269" i="3"/>
  <c r="D269" i="3"/>
  <c r="T268" i="3"/>
  <c r="R268" i="3"/>
  <c r="Q268" i="3"/>
  <c r="P268" i="3"/>
  <c r="N268" i="3"/>
  <c r="D268" i="3"/>
  <c r="T267" i="3"/>
  <c r="R267" i="3"/>
  <c r="Q267" i="3"/>
  <c r="P267" i="3"/>
  <c r="N267" i="3"/>
  <c r="D267" i="3"/>
  <c r="T266" i="3"/>
  <c r="R266" i="3"/>
  <c r="Q266" i="3"/>
  <c r="P266" i="3"/>
  <c r="N266" i="3"/>
  <c r="D266" i="3"/>
  <c r="T265" i="3"/>
  <c r="R265" i="3"/>
  <c r="Q265" i="3"/>
  <c r="P265" i="3"/>
  <c r="N265" i="3"/>
  <c r="D265" i="3"/>
  <c r="T264" i="3"/>
  <c r="R264" i="3"/>
  <c r="Q264" i="3"/>
  <c r="P264" i="3"/>
  <c r="N264" i="3"/>
  <c r="D264" i="3"/>
  <c r="T263" i="3"/>
  <c r="R263" i="3"/>
  <c r="Q263" i="3"/>
  <c r="P263" i="3"/>
  <c r="N263" i="3"/>
  <c r="D263" i="3"/>
  <c r="T262" i="3"/>
  <c r="R262" i="3"/>
  <c r="Q262" i="3"/>
  <c r="P262" i="3"/>
  <c r="N262" i="3"/>
  <c r="D262" i="3"/>
  <c r="T261" i="3"/>
  <c r="R261" i="3"/>
  <c r="Q261" i="3"/>
  <c r="P261" i="3"/>
  <c r="N261" i="3"/>
  <c r="D261" i="3"/>
  <c r="T260" i="3"/>
  <c r="R260" i="3"/>
  <c r="Q260" i="3"/>
  <c r="P260" i="3"/>
  <c r="N260" i="3"/>
  <c r="D260" i="3"/>
  <c r="T259" i="3"/>
  <c r="R259" i="3"/>
  <c r="Q259" i="3"/>
  <c r="P259" i="3"/>
  <c r="N259" i="3"/>
  <c r="D259" i="3"/>
  <c r="T258" i="3"/>
  <c r="R258" i="3"/>
  <c r="Q258" i="3"/>
  <c r="P258" i="3"/>
  <c r="N258" i="3"/>
  <c r="D258" i="3"/>
  <c r="T257" i="3"/>
  <c r="R257" i="3"/>
  <c r="Q257" i="3"/>
  <c r="P257" i="3"/>
  <c r="N257" i="3"/>
  <c r="D257" i="3"/>
  <c r="T256" i="3"/>
  <c r="R256" i="3"/>
  <c r="Q256" i="3"/>
  <c r="P256" i="3"/>
  <c r="N256" i="3"/>
  <c r="D256" i="3"/>
  <c r="T255" i="3"/>
  <c r="R255" i="3"/>
  <c r="Q255" i="3"/>
  <c r="P255" i="3"/>
  <c r="N255" i="3"/>
  <c r="D255" i="3"/>
  <c r="T254" i="3"/>
  <c r="R254" i="3"/>
  <c r="Q254" i="3"/>
  <c r="P254" i="3"/>
  <c r="N254" i="3"/>
  <c r="D254" i="3"/>
  <c r="T253" i="3"/>
  <c r="R253" i="3"/>
  <c r="Q253" i="3"/>
  <c r="P253" i="3"/>
  <c r="N253" i="3"/>
  <c r="D253" i="3"/>
  <c r="T252" i="3"/>
  <c r="R252" i="3"/>
  <c r="Q252" i="3"/>
  <c r="P252" i="3"/>
  <c r="N252" i="3"/>
  <c r="D252" i="3"/>
  <c r="T251" i="3"/>
  <c r="R251" i="3"/>
  <c r="Q251" i="3"/>
  <c r="P251" i="3"/>
  <c r="N251" i="3"/>
  <c r="D251" i="3"/>
  <c r="T250" i="3"/>
  <c r="R250" i="3"/>
  <c r="Q250" i="3"/>
  <c r="P250" i="3"/>
  <c r="N250" i="3"/>
  <c r="D250" i="3"/>
  <c r="T249" i="3"/>
  <c r="R249" i="3"/>
  <c r="Q249" i="3"/>
  <c r="P249" i="3"/>
  <c r="N249" i="3"/>
  <c r="D249" i="3"/>
  <c r="T248" i="3"/>
  <c r="R248" i="3"/>
  <c r="Q248" i="3"/>
  <c r="P248" i="3"/>
  <c r="N248" i="3"/>
  <c r="D248" i="3"/>
  <c r="T247" i="3"/>
  <c r="R247" i="3"/>
  <c r="Q247" i="3"/>
  <c r="P247" i="3"/>
  <c r="N247" i="3"/>
  <c r="D247" i="3"/>
  <c r="T246" i="3"/>
  <c r="R246" i="3"/>
  <c r="Q246" i="3"/>
  <c r="P246" i="3"/>
  <c r="N246" i="3"/>
  <c r="D246" i="3"/>
  <c r="T245" i="3"/>
  <c r="R245" i="3"/>
  <c r="Q245" i="3"/>
  <c r="P245" i="3"/>
  <c r="N245" i="3"/>
  <c r="D245" i="3"/>
  <c r="T244" i="3"/>
  <c r="R244" i="3"/>
  <c r="Q244" i="3"/>
  <c r="P244" i="3"/>
  <c r="N244" i="3"/>
  <c r="D244" i="3"/>
  <c r="T243" i="3"/>
  <c r="R243" i="3"/>
  <c r="Q243" i="3"/>
  <c r="P243" i="3"/>
  <c r="N243" i="3"/>
  <c r="D243" i="3"/>
  <c r="T242" i="3"/>
  <c r="R242" i="3"/>
  <c r="Q242" i="3"/>
  <c r="P242" i="3"/>
  <c r="N242" i="3"/>
  <c r="D242" i="3"/>
  <c r="T241" i="3"/>
  <c r="R241" i="3"/>
  <c r="Q241" i="3"/>
  <c r="P241" i="3"/>
  <c r="N241" i="3"/>
  <c r="D241" i="3"/>
  <c r="T240" i="3"/>
  <c r="R240" i="3"/>
  <c r="Q240" i="3"/>
  <c r="P240" i="3"/>
  <c r="N240" i="3"/>
  <c r="D240" i="3"/>
  <c r="T239" i="3"/>
  <c r="R239" i="3"/>
  <c r="Q239" i="3"/>
  <c r="P239" i="3"/>
  <c r="N239" i="3"/>
  <c r="D239" i="3"/>
  <c r="T238" i="3"/>
  <c r="R238" i="3"/>
  <c r="Q238" i="3"/>
  <c r="P238" i="3"/>
  <c r="N238" i="3"/>
  <c r="D238" i="3"/>
  <c r="T237" i="3"/>
  <c r="R237" i="3"/>
  <c r="Q237" i="3"/>
  <c r="P237" i="3"/>
  <c r="N237" i="3"/>
  <c r="D237" i="3"/>
  <c r="T236" i="3"/>
  <c r="R236" i="3"/>
  <c r="Q236" i="3"/>
  <c r="P236" i="3"/>
  <c r="N236" i="3"/>
  <c r="D236" i="3"/>
  <c r="T235" i="3"/>
  <c r="R235" i="3"/>
  <c r="Q235" i="3"/>
  <c r="P235" i="3"/>
  <c r="N235" i="3"/>
  <c r="D235" i="3"/>
  <c r="T234" i="3"/>
  <c r="R234" i="3"/>
  <c r="Q234" i="3"/>
  <c r="P234" i="3"/>
  <c r="N234" i="3"/>
  <c r="D234" i="3"/>
  <c r="T233" i="3"/>
  <c r="R233" i="3"/>
  <c r="Q233" i="3"/>
  <c r="P233" i="3"/>
  <c r="N233" i="3"/>
  <c r="D233" i="3"/>
  <c r="T232" i="3"/>
  <c r="R232" i="3"/>
  <c r="Q232" i="3"/>
  <c r="P232" i="3"/>
  <c r="N232" i="3"/>
  <c r="D232" i="3"/>
  <c r="T231" i="3"/>
  <c r="R231" i="3"/>
  <c r="Q231" i="3"/>
  <c r="P231" i="3"/>
  <c r="N231" i="3"/>
  <c r="D231" i="3"/>
  <c r="T230" i="3"/>
  <c r="R230" i="3"/>
  <c r="Q230" i="3"/>
  <c r="P230" i="3"/>
  <c r="N230" i="3"/>
  <c r="D230" i="3"/>
  <c r="T229" i="3"/>
  <c r="R229" i="3"/>
  <c r="Q229" i="3"/>
  <c r="P229" i="3"/>
  <c r="N229" i="3"/>
  <c r="D229" i="3"/>
  <c r="T228" i="3"/>
  <c r="R228" i="3"/>
  <c r="Q228" i="3"/>
  <c r="P228" i="3"/>
  <c r="N228" i="3"/>
  <c r="D228" i="3"/>
  <c r="T227" i="3"/>
  <c r="R227" i="3"/>
  <c r="Q227" i="3"/>
  <c r="P227" i="3"/>
  <c r="N227" i="3"/>
  <c r="D227" i="3"/>
  <c r="T226" i="3"/>
  <c r="R226" i="3"/>
  <c r="Q226" i="3"/>
  <c r="P226" i="3"/>
  <c r="N226" i="3"/>
  <c r="D226" i="3"/>
  <c r="T225" i="3"/>
  <c r="R225" i="3"/>
  <c r="Q225" i="3"/>
  <c r="P225" i="3"/>
  <c r="N225" i="3"/>
  <c r="D225" i="3"/>
  <c r="T224" i="3"/>
  <c r="R224" i="3"/>
  <c r="Q224" i="3"/>
  <c r="P224" i="3"/>
  <c r="N224" i="3"/>
  <c r="D224" i="3"/>
  <c r="T223" i="3"/>
  <c r="R223" i="3"/>
  <c r="Q223" i="3"/>
  <c r="P223" i="3"/>
  <c r="N223" i="3"/>
  <c r="D223" i="3"/>
  <c r="T222" i="3"/>
  <c r="R222" i="3"/>
  <c r="Q222" i="3"/>
  <c r="P222" i="3"/>
  <c r="N222" i="3"/>
  <c r="D222" i="3"/>
  <c r="T221" i="3"/>
  <c r="R221" i="3"/>
  <c r="Q221" i="3"/>
  <c r="P221" i="3"/>
  <c r="N221" i="3"/>
  <c r="D221" i="3"/>
  <c r="T220" i="3"/>
  <c r="R220" i="3"/>
  <c r="Q220" i="3"/>
  <c r="P220" i="3"/>
  <c r="N220" i="3"/>
  <c r="D220" i="3"/>
  <c r="T219" i="3"/>
  <c r="R219" i="3"/>
  <c r="Q219" i="3"/>
  <c r="P219" i="3"/>
  <c r="N219" i="3"/>
  <c r="D219" i="3"/>
  <c r="T218" i="3"/>
  <c r="R218" i="3"/>
  <c r="Q218" i="3"/>
  <c r="P218" i="3"/>
  <c r="N218" i="3"/>
  <c r="D218" i="3"/>
  <c r="T217" i="3"/>
  <c r="R217" i="3"/>
  <c r="Q217" i="3"/>
  <c r="P217" i="3"/>
  <c r="N217" i="3"/>
  <c r="D217" i="3"/>
  <c r="T216" i="3"/>
  <c r="R216" i="3"/>
  <c r="Q216" i="3"/>
  <c r="P216" i="3"/>
  <c r="N216" i="3"/>
  <c r="D216" i="3"/>
  <c r="T215" i="3"/>
  <c r="R215" i="3"/>
  <c r="Q215" i="3"/>
  <c r="P215" i="3"/>
  <c r="N215" i="3"/>
  <c r="D215" i="3"/>
  <c r="T214" i="3"/>
  <c r="R214" i="3"/>
  <c r="Q214" i="3"/>
  <c r="P214" i="3"/>
  <c r="N214" i="3"/>
  <c r="D214" i="3"/>
  <c r="T213" i="3"/>
  <c r="R213" i="3"/>
  <c r="Q213" i="3"/>
  <c r="P213" i="3"/>
  <c r="N213" i="3"/>
  <c r="D213" i="3"/>
  <c r="T212" i="3"/>
  <c r="R212" i="3"/>
  <c r="Q212" i="3"/>
  <c r="P212" i="3"/>
  <c r="N212" i="3"/>
  <c r="D212" i="3"/>
  <c r="T211" i="3"/>
  <c r="R211" i="3"/>
  <c r="Q211" i="3"/>
  <c r="P211" i="3"/>
  <c r="N211" i="3"/>
  <c r="D211" i="3"/>
  <c r="T210" i="3"/>
  <c r="R210" i="3"/>
  <c r="Q210" i="3"/>
  <c r="P210" i="3"/>
  <c r="N210" i="3"/>
  <c r="D210" i="3"/>
  <c r="T209" i="3"/>
  <c r="R209" i="3"/>
  <c r="Q209" i="3"/>
  <c r="P209" i="3"/>
  <c r="N209" i="3"/>
  <c r="D209" i="3"/>
  <c r="T208" i="3"/>
  <c r="R208" i="3"/>
  <c r="Q208" i="3"/>
  <c r="P208" i="3"/>
  <c r="N208" i="3"/>
  <c r="D208" i="3"/>
  <c r="T207" i="3"/>
  <c r="R207" i="3"/>
  <c r="Q207" i="3"/>
  <c r="P207" i="3"/>
  <c r="N207" i="3"/>
  <c r="D207" i="3"/>
  <c r="T206" i="3"/>
  <c r="R206" i="3"/>
  <c r="Q206" i="3"/>
  <c r="P206" i="3"/>
  <c r="N206" i="3"/>
  <c r="D206" i="3"/>
  <c r="T205" i="3"/>
  <c r="R205" i="3"/>
  <c r="Q205" i="3"/>
  <c r="P205" i="3"/>
  <c r="N205" i="3"/>
  <c r="D205" i="3"/>
  <c r="T204" i="3"/>
  <c r="R204" i="3"/>
  <c r="Q204" i="3"/>
  <c r="P204" i="3"/>
  <c r="N204" i="3"/>
  <c r="D204" i="3"/>
  <c r="T203" i="3"/>
  <c r="R203" i="3"/>
  <c r="Q203" i="3"/>
  <c r="P203" i="3"/>
  <c r="N203" i="3"/>
  <c r="D203" i="3"/>
  <c r="T202" i="3"/>
  <c r="R202" i="3"/>
  <c r="Q202" i="3"/>
  <c r="P202" i="3"/>
  <c r="N202" i="3"/>
  <c r="D202" i="3"/>
  <c r="T201" i="3"/>
  <c r="R201" i="3"/>
  <c r="Q201" i="3"/>
  <c r="P201" i="3"/>
  <c r="N201" i="3"/>
  <c r="D201" i="3"/>
  <c r="T200" i="3"/>
  <c r="R200" i="3"/>
  <c r="Q200" i="3"/>
  <c r="P200" i="3"/>
  <c r="N200" i="3"/>
  <c r="D200" i="3"/>
  <c r="T199" i="3"/>
  <c r="R199" i="3"/>
  <c r="Q199" i="3"/>
  <c r="P199" i="3"/>
  <c r="N199" i="3"/>
  <c r="D199" i="3"/>
  <c r="T198" i="3"/>
  <c r="R198" i="3"/>
  <c r="Q198" i="3"/>
  <c r="P198" i="3"/>
  <c r="N198" i="3"/>
  <c r="D198" i="3"/>
  <c r="T197" i="3"/>
  <c r="R197" i="3"/>
  <c r="Q197" i="3"/>
  <c r="P197" i="3"/>
  <c r="N197" i="3"/>
  <c r="D197" i="3"/>
  <c r="T196" i="3"/>
  <c r="R196" i="3"/>
  <c r="Q196" i="3"/>
  <c r="P196" i="3"/>
  <c r="N196" i="3"/>
  <c r="D196" i="3"/>
  <c r="T195" i="3"/>
  <c r="R195" i="3"/>
  <c r="Q195" i="3"/>
  <c r="P195" i="3"/>
  <c r="N195" i="3"/>
  <c r="D195" i="3"/>
  <c r="T194" i="3"/>
  <c r="R194" i="3"/>
  <c r="Q194" i="3"/>
  <c r="P194" i="3"/>
  <c r="N194" i="3"/>
  <c r="D194" i="3"/>
  <c r="T193" i="3"/>
  <c r="R193" i="3"/>
  <c r="Q193" i="3"/>
  <c r="P193" i="3"/>
  <c r="N193" i="3"/>
  <c r="D193" i="3"/>
  <c r="T192" i="3"/>
  <c r="R192" i="3"/>
  <c r="Q192" i="3"/>
  <c r="P192" i="3"/>
  <c r="N192" i="3"/>
  <c r="D192" i="3"/>
  <c r="T191" i="3"/>
  <c r="R191" i="3"/>
  <c r="Q191" i="3"/>
  <c r="P191" i="3"/>
  <c r="N191" i="3"/>
  <c r="D191" i="3"/>
  <c r="T190" i="3"/>
  <c r="R190" i="3"/>
  <c r="Q190" i="3"/>
  <c r="P190" i="3"/>
  <c r="N190" i="3"/>
  <c r="D190" i="3"/>
  <c r="T189" i="3"/>
  <c r="R189" i="3"/>
  <c r="Q189" i="3"/>
  <c r="P189" i="3"/>
  <c r="N189" i="3"/>
  <c r="D189" i="3"/>
  <c r="T188" i="3"/>
  <c r="R188" i="3"/>
  <c r="Q188" i="3"/>
  <c r="P188" i="3"/>
  <c r="N188" i="3"/>
  <c r="D188" i="3"/>
  <c r="T187" i="3"/>
  <c r="R187" i="3"/>
  <c r="Q187" i="3"/>
  <c r="P187" i="3"/>
  <c r="N187" i="3"/>
  <c r="D187" i="3"/>
  <c r="T186" i="3"/>
  <c r="R186" i="3"/>
  <c r="Q186" i="3"/>
  <c r="P186" i="3"/>
  <c r="N186" i="3"/>
  <c r="D186" i="3"/>
  <c r="T185" i="3"/>
  <c r="R185" i="3"/>
  <c r="Q185" i="3"/>
  <c r="P185" i="3"/>
  <c r="N185" i="3"/>
  <c r="D185" i="3"/>
  <c r="T184" i="3"/>
  <c r="R184" i="3"/>
  <c r="Q184" i="3"/>
  <c r="P184" i="3"/>
  <c r="N184" i="3"/>
  <c r="D184" i="3"/>
  <c r="T183" i="3"/>
  <c r="R183" i="3"/>
  <c r="Q183" i="3"/>
  <c r="P183" i="3"/>
  <c r="N183" i="3"/>
  <c r="D183" i="3"/>
  <c r="T182" i="3"/>
  <c r="R182" i="3"/>
  <c r="Q182" i="3"/>
  <c r="P182" i="3"/>
  <c r="N182" i="3"/>
  <c r="D182" i="3"/>
  <c r="T181" i="3"/>
  <c r="R181" i="3"/>
  <c r="Q181" i="3"/>
  <c r="P181" i="3"/>
  <c r="N181" i="3"/>
  <c r="D181" i="3"/>
  <c r="T180" i="3"/>
  <c r="R180" i="3"/>
  <c r="Q180" i="3"/>
  <c r="P180" i="3"/>
  <c r="N180" i="3"/>
  <c r="D180" i="3"/>
  <c r="T179" i="3"/>
  <c r="R179" i="3"/>
  <c r="Q179" i="3"/>
  <c r="P179" i="3"/>
  <c r="N179" i="3"/>
  <c r="D179" i="3"/>
  <c r="T178" i="3"/>
  <c r="R178" i="3"/>
  <c r="Q178" i="3"/>
  <c r="P178" i="3"/>
  <c r="N178" i="3"/>
  <c r="D178" i="3"/>
  <c r="T177" i="3"/>
  <c r="R177" i="3"/>
  <c r="Q177" i="3"/>
  <c r="P177" i="3"/>
  <c r="N177" i="3"/>
  <c r="D177" i="3"/>
  <c r="T176" i="3"/>
  <c r="R176" i="3"/>
  <c r="Q176" i="3"/>
  <c r="P176" i="3"/>
  <c r="N176" i="3"/>
  <c r="D176" i="3"/>
  <c r="T175" i="3"/>
  <c r="R175" i="3"/>
  <c r="Q175" i="3"/>
  <c r="P175" i="3"/>
  <c r="N175" i="3"/>
  <c r="D175" i="3"/>
  <c r="T174" i="3"/>
  <c r="R174" i="3"/>
  <c r="Q174" i="3"/>
  <c r="P174" i="3"/>
  <c r="N174" i="3"/>
  <c r="D174" i="3"/>
  <c r="T173" i="3"/>
  <c r="R173" i="3"/>
  <c r="Q173" i="3"/>
  <c r="P173" i="3"/>
  <c r="N173" i="3"/>
  <c r="D173" i="3"/>
  <c r="T172" i="3"/>
  <c r="R172" i="3"/>
  <c r="Q172" i="3"/>
  <c r="P172" i="3"/>
  <c r="N172" i="3"/>
  <c r="D172" i="3"/>
  <c r="T171" i="3"/>
  <c r="R171" i="3"/>
  <c r="Q171" i="3"/>
  <c r="P171" i="3"/>
  <c r="N171" i="3"/>
  <c r="D171" i="3"/>
  <c r="T170" i="3"/>
  <c r="R170" i="3"/>
  <c r="Q170" i="3"/>
  <c r="P170" i="3"/>
  <c r="N170" i="3"/>
  <c r="D170" i="3"/>
  <c r="T169" i="3"/>
  <c r="R169" i="3"/>
  <c r="Q169" i="3"/>
  <c r="P169" i="3"/>
  <c r="N169" i="3"/>
  <c r="D169" i="3"/>
  <c r="T168" i="3"/>
  <c r="R168" i="3"/>
  <c r="Q168" i="3"/>
  <c r="P168" i="3"/>
  <c r="N168" i="3"/>
  <c r="D168" i="3"/>
  <c r="T167" i="3"/>
  <c r="R167" i="3"/>
  <c r="Q167" i="3"/>
  <c r="P167" i="3"/>
  <c r="N167" i="3"/>
  <c r="D167" i="3"/>
  <c r="T166" i="3"/>
  <c r="R166" i="3"/>
  <c r="Q166" i="3"/>
  <c r="P166" i="3"/>
  <c r="N166" i="3"/>
  <c r="D166" i="3"/>
  <c r="T165" i="3"/>
  <c r="R165" i="3"/>
  <c r="Q165" i="3"/>
  <c r="P165" i="3"/>
  <c r="N165" i="3"/>
  <c r="D165" i="3"/>
  <c r="T164" i="3"/>
  <c r="R164" i="3"/>
  <c r="Q164" i="3"/>
  <c r="P164" i="3"/>
  <c r="N164" i="3"/>
  <c r="D164" i="3"/>
  <c r="T163" i="3"/>
  <c r="R163" i="3"/>
  <c r="Q163" i="3"/>
  <c r="P163" i="3"/>
  <c r="N163" i="3"/>
  <c r="D163" i="3"/>
  <c r="T162" i="3"/>
  <c r="R162" i="3"/>
  <c r="Q162" i="3"/>
  <c r="P162" i="3"/>
  <c r="N162" i="3"/>
  <c r="D162" i="3"/>
  <c r="T161" i="3"/>
  <c r="R161" i="3"/>
  <c r="Q161" i="3"/>
  <c r="P161" i="3"/>
  <c r="N161" i="3"/>
  <c r="D161" i="3"/>
  <c r="T160" i="3"/>
  <c r="R160" i="3"/>
  <c r="Q160" i="3"/>
  <c r="P160" i="3"/>
  <c r="N160" i="3"/>
  <c r="D160" i="3"/>
  <c r="T159" i="3"/>
  <c r="R159" i="3"/>
  <c r="Q159" i="3"/>
  <c r="P159" i="3"/>
  <c r="N159" i="3"/>
  <c r="D159" i="3"/>
  <c r="T158" i="3"/>
  <c r="R158" i="3"/>
  <c r="Q158" i="3"/>
  <c r="P158" i="3"/>
  <c r="N158" i="3"/>
  <c r="D158" i="3"/>
  <c r="T157" i="3"/>
  <c r="R157" i="3"/>
  <c r="Q157" i="3"/>
  <c r="P157" i="3"/>
  <c r="N157" i="3"/>
  <c r="D157" i="3"/>
  <c r="T156" i="3"/>
  <c r="R156" i="3"/>
  <c r="Q156" i="3"/>
  <c r="P156" i="3"/>
  <c r="N156" i="3"/>
  <c r="D156" i="3"/>
  <c r="T155" i="3"/>
  <c r="R155" i="3"/>
  <c r="Q155" i="3"/>
  <c r="P155" i="3"/>
  <c r="N155" i="3"/>
  <c r="D155" i="3"/>
  <c r="T154" i="3"/>
  <c r="R154" i="3"/>
  <c r="Q154" i="3"/>
  <c r="P154" i="3"/>
  <c r="N154" i="3"/>
  <c r="D154" i="3"/>
  <c r="T153" i="3"/>
  <c r="R153" i="3"/>
  <c r="Q153" i="3"/>
  <c r="P153" i="3"/>
  <c r="N153" i="3"/>
  <c r="D153" i="3"/>
  <c r="T152" i="3"/>
  <c r="R152" i="3"/>
  <c r="Q152" i="3"/>
  <c r="P152" i="3"/>
  <c r="N152" i="3"/>
  <c r="D152" i="3"/>
  <c r="T151" i="3"/>
  <c r="R151" i="3"/>
  <c r="Q151" i="3"/>
  <c r="P151" i="3"/>
  <c r="N151" i="3"/>
  <c r="D151" i="3"/>
  <c r="T150" i="3"/>
  <c r="R150" i="3"/>
  <c r="Q150" i="3"/>
  <c r="P150" i="3"/>
  <c r="N150" i="3"/>
  <c r="D150" i="3"/>
  <c r="T149" i="3"/>
  <c r="R149" i="3"/>
  <c r="Q149" i="3"/>
  <c r="P149" i="3"/>
  <c r="N149" i="3"/>
  <c r="D149" i="3"/>
  <c r="T148" i="3"/>
  <c r="R148" i="3"/>
  <c r="Q148" i="3"/>
  <c r="P148" i="3"/>
  <c r="N148" i="3"/>
  <c r="D148" i="3"/>
  <c r="T147" i="3"/>
  <c r="R147" i="3"/>
  <c r="Q147" i="3"/>
  <c r="P147" i="3"/>
  <c r="N147" i="3"/>
  <c r="D147" i="3"/>
  <c r="T146" i="3"/>
  <c r="R146" i="3"/>
  <c r="Q146" i="3"/>
  <c r="P146" i="3"/>
  <c r="N146" i="3"/>
  <c r="D146" i="3"/>
  <c r="T145" i="3"/>
  <c r="R145" i="3"/>
  <c r="Q145" i="3"/>
  <c r="P145" i="3"/>
  <c r="N145" i="3"/>
  <c r="D145" i="3"/>
  <c r="T144" i="3"/>
  <c r="R144" i="3"/>
  <c r="Q144" i="3"/>
  <c r="P144" i="3"/>
  <c r="N144" i="3"/>
  <c r="D144" i="3"/>
  <c r="T143" i="3"/>
  <c r="R143" i="3"/>
  <c r="Q143" i="3"/>
  <c r="P143" i="3"/>
  <c r="N143" i="3"/>
  <c r="D143" i="3"/>
  <c r="T142" i="3"/>
  <c r="R142" i="3"/>
  <c r="Q142" i="3"/>
  <c r="P142" i="3"/>
  <c r="N142" i="3"/>
  <c r="D142" i="3"/>
  <c r="T141" i="3"/>
  <c r="R141" i="3"/>
  <c r="Q141" i="3"/>
  <c r="P141" i="3"/>
  <c r="N141" i="3"/>
  <c r="D141" i="3"/>
  <c r="T140" i="3"/>
  <c r="R140" i="3"/>
  <c r="Q140" i="3"/>
  <c r="P140" i="3"/>
  <c r="N140" i="3"/>
  <c r="D140" i="3"/>
  <c r="T139" i="3"/>
  <c r="R139" i="3"/>
  <c r="Q139" i="3"/>
  <c r="P139" i="3"/>
  <c r="N139" i="3"/>
  <c r="D139" i="3"/>
  <c r="T138" i="3"/>
  <c r="R138" i="3"/>
  <c r="Q138" i="3"/>
  <c r="P138" i="3"/>
  <c r="N138" i="3"/>
  <c r="D138" i="3"/>
  <c r="T137" i="3"/>
  <c r="R137" i="3"/>
  <c r="Q137" i="3"/>
  <c r="P137" i="3"/>
  <c r="N137" i="3"/>
  <c r="D137" i="3"/>
  <c r="T136" i="3"/>
  <c r="R136" i="3"/>
  <c r="Q136" i="3"/>
  <c r="P136" i="3"/>
  <c r="N136" i="3"/>
  <c r="D136" i="3"/>
  <c r="T135" i="3"/>
  <c r="R135" i="3"/>
  <c r="Q135" i="3"/>
  <c r="P135" i="3"/>
  <c r="N135" i="3"/>
  <c r="D135" i="3"/>
  <c r="T134" i="3"/>
  <c r="R134" i="3"/>
  <c r="Q134" i="3"/>
  <c r="P134" i="3"/>
  <c r="N134" i="3"/>
  <c r="D134" i="3"/>
  <c r="T133" i="3"/>
  <c r="R133" i="3"/>
  <c r="Q133" i="3"/>
  <c r="P133" i="3"/>
  <c r="N133" i="3"/>
  <c r="D133" i="3"/>
  <c r="T132" i="3"/>
  <c r="R132" i="3"/>
  <c r="Q132" i="3"/>
  <c r="P132" i="3"/>
  <c r="N132" i="3"/>
  <c r="D132" i="3"/>
  <c r="T131" i="3"/>
  <c r="R131" i="3"/>
  <c r="Q131" i="3"/>
  <c r="P131" i="3"/>
  <c r="N131" i="3"/>
  <c r="D131" i="3"/>
  <c r="T130" i="3"/>
  <c r="R130" i="3"/>
  <c r="Q130" i="3"/>
  <c r="P130" i="3"/>
  <c r="N130" i="3"/>
  <c r="D130" i="3"/>
  <c r="T129" i="3"/>
  <c r="R129" i="3"/>
  <c r="Q129" i="3"/>
  <c r="P129" i="3"/>
  <c r="N129" i="3"/>
  <c r="D129" i="3"/>
  <c r="T128" i="3"/>
  <c r="R128" i="3"/>
  <c r="Q128" i="3"/>
  <c r="P128" i="3"/>
  <c r="N128" i="3"/>
  <c r="D128" i="3"/>
  <c r="T127" i="3"/>
  <c r="R127" i="3"/>
  <c r="Q127" i="3"/>
  <c r="P127" i="3"/>
  <c r="N127" i="3"/>
  <c r="D127" i="3"/>
  <c r="T126" i="3"/>
  <c r="R126" i="3"/>
  <c r="Q126" i="3"/>
  <c r="P126" i="3"/>
  <c r="N126" i="3"/>
  <c r="D126" i="3"/>
  <c r="T125" i="3"/>
  <c r="R125" i="3"/>
  <c r="Q125" i="3"/>
  <c r="P125" i="3"/>
  <c r="N125" i="3"/>
  <c r="D125" i="3"/>
  <c r="T124" i="3"/>
  <c r="R124" i="3"/>
  <c r="Q124" i="3"/>
  <c r="P124" i="3"/>
  <c r="N124" i="3"/>
  <c r="D124" i="3"/>
  <c r="T123" i="3"/>
  <c r="R123" i="3"/>
  <c r="Q123" i="3"/>
  <c r="P123" i="3"/>
  <c r="N123" i="3"/>
  <c r="D123" i="3"/>
  <c r="T122" i="3"/>
  <c r="R122" i="3"/>
  <c r="Q122" i="3"/>
  <c r="P122" i="3"/>
  <c r="N122" i="3"/>
  <c r="D122" i="3"/>
  <c r="T121" i="3"/>
  <c r="R121" i="3"/>
  <c r="Q121" i="3"/>
  <c r="P121" i="3"/>
  <c r="N121" i="3"/>
  <c r="D121" i="3"/>
  <c r="T120" i="3"/>
  <c r="R120" i="3"/>
  <c r="Q120" i="3"/>
  <c r="P120" i="3"/>
  <c r="N120" i="3"/>
  <c r="D120" i="3"/>
  <c r="T119" i="3"/>
  <c r="R119" i="3"/>
  <c r="Q119" i="3"/>
  <c r="P119" i="3"/>
  <c r="N119" i="3"/>
  <c r="D119" i="3"/>
  <c r="T118" i="3"/>
  <c r="R118" i="3"/>
  <c r="Q118" i="3"/>
  <c r="P118" i="3"/>
  <c r="N118" i="3"/>
  <c r="D118" i="3"/>
  <c r="T117" i="3"/>
  <c r="R117" i="3"/>
  <c r="Q117" i="3"/>
  <c r="P117" i="3"/>
  <c r="N117" i="3"/>
  <c r="D117" i="3"/>
  <c r="T116" i="3"/>
  <c r="R116" i="3"/>
  <c r="Q116" i="3"/>
  <c r="P116" i="3"/>
  <c r="N116" i="3"/>
  <c r="D116" i="3"/>
  <c r="T115" i="3"/>
  <c r="R115" i="3"/>
  <c r="Q115" i="3"/>
  <c r="P115" i="3"/>
  <c r="N115" i="3"/>
  <c r="D115" i="3"/>
  <c r="T114" i="3"/>
  <c r="R114" i="3"/>
  <c r="Q114" i="3"/>
  <c r="P114" i="3"/>
  <c r="N114" i="3"/>
  <c r="D114" i="3"/>
  <c r="T113" i="3"/>
  <c r="R113" i="3"/>
  <c r="Q113" i="3"/>
  <c r="P113" i="3"/>
  <c r="N113" i="3"/>
  <c r="D113" i="3"/>
  <c r="T112" i="3"/>
  <c r="R112" i="3"/>
  <c r="Q112" i="3"/>
  <c r="P112" i="3"/>
  <c r="N112" i="3"/>
  <c r="D112" i="3"/>
  <c r="T111" i="3"/>
  <c r="R111" i="3"/>
  <c r="Q111" i="3"/>
  <c r="P111" i="3"/>
  <c r="N111" i="3"/>
  <c r="D111" i="3"/>
  <c r="T110" i="3"/>
  <c r="R110" i="3"/>
  <c r="Q110" i="3"/>
  <c r="P110" i="3"/>
  <c r="N110" i="3"/>
  <c r="D110" i="3"/>
  <c r="T109" i="3"/>
  <c r="R109" i="3"/>
  <c r="Q109" i="3"/>
  <c r="P109" i="3"/>
  <c r="N109" i="3"/>
  <c r="D109" i="3"/>
  <c r="T108" i="3"/>
  <c r="R108" i="3"/>
  <c r="Q108" i="3"/>
  <c r="P108" i="3"/>
  <c r="N108" i="3"/>
  <c r="D108" i="3"/>
  <c r="T107" i="3"/>
  <c r="R107" i="3"/>
  <c r="Q107" i="3"/>
  <c r="P107" i="3"/>
  <c r="N107" i="3"/>
  <c r="D107" i="3"/>
  <c r="T106" i="3"/>
  <c r="R106" i="3"/>
  <c r="Q106" i="3"/>
  <c r="P106" i="3"/>
  <c r="N106" i="3"/>
  <c r="D106" i="3"/>
  <c r="T105" i="3"/>
  <c r="R105" i="3"/>
  <c r="Q105" i="3"/>
  <c r="P105" i="3"/>
  <c r="N105" i="3"/>
  <c r="D105" i="3"/>
  <c r="T104" i="3"/>
  <c r="R104" i="3"/>
  <c r="Q104" i="3"/>
  <c r="P104" i="3"/>
  <c r="N104" i="3"/>
  <c r="D104" i="3"/>
  <c r="T103" i="3"/>
  <c r="R103" i="3"/>
  <c r="Q103" i="3"/>
  <c r="P103" i="3"/>
  <c r="N103" i="3"/>
  <c r="D103" i="3"/>
  <c r="T102" i="3"/>
  <c r="R102" i="3"/>
  <c r="Q102" i="3"/>
  <c r="P102" i="3"/>
  <c r="N102" i="3"/>
  <c r="D102" i="3"/>
  <c r="T101" i="3"/>
  <c r="R101" i="3"/>
  <c r="Q101" i="3"/>
  <c r="P101" i="3"/>
  <c r="N101" i="3"/>
  <c r="D101" i="3"/>
  <c r="T100" i="3"/>
  <c r="R100" i="3"/>
  <c r="Q100" i="3"/>
  <c r="P100" i="3"/>
  <c r="N100" i="3"/>
  <c r="D100" i="3"/>
  <c r="T99" i="3"/>
  <c r="R99" i="3"/>
  <c r="Q99" i="3"/>
  <c r="P99" i="3"/>
  <c r="N99" i="3"/>
  <c r="D99" i="3"/>
  <c r="T98" i="3"/>
  <c r="R98" i="3"/>
  <c r="Q98" i="3"/>
  <c r="P98" i="3"/>
  <c r="N98" i="3"/>
  <c r="D98" i="3"/>
  <c r="T97" i="3"/>
  <c r="R97" i="3"/>
  <c r="Q97" i="3"/>
  <c r="P97" i="3"/>
  <c r="N97" i="3"/>
  <c r="D97" i="3"/>
  <c r="T96" i="3"/>
  <c r="R96" i="3"/>
  <c r="Q96" i="3"/>
  <c r="P96" i="3"/>
  <c r="N96" i="3"/>
  <c r="D96" i="3"/>
  <c r="T95" i="3"/>
  <c r="R95" i="3"/>
  <c r="Q95" i="3"/>
  <c r="P95" i="3"/>
  <c r="N95" i="3"/>
  <c r="D95" i="3"/>
  <c r="T94" i="3"/>
  <c r="R94" i="3"/>
  <c r="Q94" i="3"/>
  <c r="P94" i="3"/>
  <c r="N94" i="3"/>
  <c r="D94" i="3"/>
  <c r="T93" i="3"/>
  <c r="R93" i="3"/>
  <c r="Q93" i="3"/>
  <c r="P93" i="3"/>
  <c r="N93" i="3"/>
  <c r="D93" i="3"/>
  <c r="T92" i="3"/>
  <c r="R92" i="3"/>
  <c r="Q92" i="3"/>
  <c r="P92" i="3"/>
  <c r="N92" i="3"/>
  <c r="D92" i="3"/>
  <c r="T91" i="3"/>
  <c r="R91" i="3"/>
  <c r="Q91" i="3"/>
  <c r="P91" i="3"/>
  <c r="N91" i="3"/>
  <c r="D91" i="3"/>
  <c r="T90" i="3"/>
  <c r="R90" i="3"/>
  <c r="Q90" i="3"/>
  <c r="P90" i="3"/>
  <c r="N90" i="3"/>
  <c r="D90" i="3"/>
  <c r="T89" i="3"/>
  <c r="R89" i="3"/>
  <c r="Q89" i="3"/>
  <c r="P89" i="3"/>
  <c r="N89" i="3"/>
  <c r="D89" i="3"/>
  <c r="T88" i="3"/>
  <c r="R88" i="3"/>
  <c r="Q88" i="3"/>
  <c r="P88" i="3"/>
  <c r="N88" i="3"/>
  <c r="D88" i="3"/>
  <c r="T87" i="3"/>
  <c r="R87" i="3"/>
  <c r="Q87" i="3"/>
  <c r="P87" i="3"/>
  <c r="N87" i="3"/>
  <c r="D87" i="3"/>
  <c r="T86" i="3"/>
  <c r="R86" i="3"/>
  <c r="Q86" i="3"/>
  <c r="P86" i="3"/>
  <c r="N86" i="3"/>
  <c r="D86" i="3"/>
  <c r="T85" i="3"/>
  <c r="R85" i="3"/>
  <c r="Q85" i="3"/>
  <c r="P85" i="3"/>
  <c r="N85" i="3"/>
  <c r="D85" i="3"/>
  <c r="T84" i="3"/>
  <c r="R84" i="3"/>
  <c r="Q84" i="3"/>
  <c r="P84" i="3"/>
  <c r="N84" i="3"/>
  <c r="D84" i="3"/>
  <c r="T83" i="3"/>
  <c r="R83" i="3"/>
  <c r="Q83" i="3"/>
  <c r="P83" i="3"/>
  <c r="N83" i="3"/>
  <c r="D83" i="3"/>
  <c r="T82" i="3"/>
  <c r="R82" i="3"/>
  <c r="Q82" i="3"/>
  <c r="P82" i="3"/>
  <c r="N82" i="3"/>
  <c r="D82" i="3"/>
  <c r="T81" i="3"/>
  <c r="R81" i="3"/>
  <c r="Q81" i="3"/>
  <c r="P81" i="3"/>
  <c r="N81" i="3"/>
  <c r="D81" i="3"/>
  <c r="T80" i="3"/>
  <c r="R80" i="3"/>
  <c r="Q80" i="3"/>
  <c r="P80" i="3"/>
  <c r="N80" i="3"/>
  <c r="D80" i="3"/>
  <c r="T79" i="3"/>
  <c r="R79" i="3"/>
  <c r="Q79" i="3"/>
  <c r="P79" i="3"/>
  <c r="N79" i="3"/>
  <c r="D79" i="3"/>
  <c r="T78" i="3"/>
  <c r="R78" i="3"/>
  <c r="Q78" i="3"/>
  <c r="P78" i="3"/>
  <c r="N78" i="3"/>
  <c r="D78" i="3"/>
  <c r="T77" i="3"/>
  <c r="R77" i="3"/>
  <c r="Q77" i="3"/>
  <c r="P77" i="3"/>
  <c r="N77" i="3"/>
  <c r="D77" i="3"/>
  <c r="T76" i="3"/>
  <c r="R76" i="3"/>
  <c r="Q76" i="3"/>
  <c r="P76" i="3"/>
  <c r="N76" i="3"/>
  <c r="D76" i="3"/>
  <c r="T75" i="3"/>
  <c r="R75" i="3"/>
  <c r="Q75" i="3"/>
  <c r="P75" i="3"/>
  <c r="N75" i="3"/>
  <c r="D75" i="3"/>
  <c r="T74" i="3"/>
  <c r="R74" i="3"/>
  <c r="Q74" i="3"/>
  <c r="P74" i="3"/>
  <c r="N74" i="3"/>
  <c r="D74" i="3"/>
  <c r="T73" i="3"/>
  <c r="R73" i="3"/>
  <c r="Q73" i="3"/>
  <c r="P73" i="3"/>
  <c r="N73" i="3"/>
  <c r="D73" i="3"/>
  <c r="T72" i="3"/>
  <c r="R72" i="3"/>
  <c r="Q72" i="3"/>
  <c r="P72" i="3"/>
  <c r="N72" i="3"/>
  <c r="D72" i="3"/>
  <c r="T71" i="3"/>
  <c r="R71" i="3"/>
  <c r="Q71" i="3"/>
  <c r="P71" i="3"/>
  <c r="N71" i="3"/>
  <c r="D71" i="3"/>
  <c r="T70" i="3"/>
  <c r="R70" i="3"/>
  <c r="Q70" i="3"/>
  <c r="P70" i="3"/>
  <c r="N70" i="3"/>
  <c r="D70" i="3"/>
  <c r="T69" i="3"/>
  <c r="R69" i="3"/>
  <c r="Q69" i="3"/>
  <c r="P69" i="3"/>
  <c r="N69" i="3"/>
  <c r="D69" i="3"/>
  <c r="T68" i="3"/>
  <c r="R68" i="3"/>
  <c r="Q68" i="3"/>
  <c r="P68" i="3"/>
  <c r="N68" i="3"/>
  <c r="D68" i="3"/>
  <c r="T67" i="3"/>
  <c r="R67" i="3"/>
  <c r="Q67" i="3"/>
  <c r="P67" i="3"/>
  <c r="N67" i="3"/>
  <c r="D67" i="3"/>
  <c r="T66" i="3"/>
  <c r="R66" i="3"/>
  <c r="Q66" i="3"/>
  <c r="P66" i="3"/>
  <c r="N66" i="3"/>
  <c r="D66" i="3"/>
  <c r="T65" i="3"/>
  <c r="R65" i="3"/>
  <c r="Q65" i="3"/>
  <c r="P65" i="3"/>
  <c r="N65" i="3"/>
  <c r="D65" i="3"/>
  <c r="T64" i="3"/>
  <c r="R64" i="3"/>
  <c r="Q64" i="3"/>
  <c r="P64" i="3"/>
  <c r="N64" i="3"/>
  <c r="D64" i="3"/>
  <c r="T63" i="3"/>
  <c r="R63" i="3"/>
  <c r="Q63" i="3"/>
  <c r="P63" i="3"/>
  <c r="N63" i="3"/>
  <c r="D63" i="3"/>
  <c r="T62" i="3"/>
  <c r="R62" i="3"/>
  <c r="Q62" i="3"/>
  <c r="P62" i="3"/>
  <c r="N62" i="3"/>
  <c r="D62" i="3"/>
  <c r="T61" i="3"/>
  <c r="R61" i="3"/>
  <c r="Q61" i="3"/>
  <c r="P61" i="3"/>
  <c r="N61" i="3"/>
  <c r="D61" i="3"/>
  <c r="T60" i="3"/>
  <c r="R60" i="3"/>
  <c r="Q60" i="3"/>
  <c r="P60" i="3"/>
  <c r="N60" i="3"/>
  <c r="D60" i="3"/>
  <c r="T59" i="3"/>
  <c r="R59" i="3"/>
  <c r="Q59" i="3"/>
  <c r="P59" i="3"/>
  <c r="N59" i="3"/>
  <c r="D59" i="3"/>
  <c r="T58" i="3"/>
  <c r="R58" i="3"/>
  <c r="Q58" i="3"/>
  <c r="P58" i="3"/>
  <c r="N58" i="3"/>
  <c r="D58" i="3"/>
  <c r="T57" i="3"/>
  <c r="R57" i="3"/>
  <c r="Q57" i="3"/>
  <c r="P57" i="3"/>
  <c r="N57" i="3"/>
  <c r="D57" i="3"/>
  <c r="T56" i="3"/>
  <c r="R56" i="3"/>
  <c r="Q56" i="3"/>
  <c r="P56" i="3"/>
  <c r="N56" i="3"/>
  <c r="D56" i="3"/>
  <c r="T55" i="3"/>
  <c r="R55" i="3"/>
  <c r="Q55" i="3"/>
  <c r="P55" i="3"/>
  <c r="N55" i="3"/>
  <c r="D55" i="3"/>
  <c r="T54" i="3"/>
  <c r="R54" i="3"/>
  <c r="Q54" i="3"/>
  <c r="P54" i="3"/>
  <c r="N54" i="3"/>
  <c r="D54" i="3"/>
  <c r="T53" i="3"/>
  <c r="R53" i="3"/>
  <c r="Q53" i="3"/>
  <c r="P53" i="3"/>
  <c r="N53" i="3"/>
  <c r="D53" i="3"/>
  <c r="T52" i="3"/>
  <c r="R52" i="3"/>
  <c r="Q52" i="3"/>
  <c r="P52" i="3"/>
  <c r="N52" i="3"/>
  <c r="D52" i="3"/>
  <c r="T51" i="3"/>
  <c r="R51" i="3"/>
  <c r="Q51" i="3"/>
  <c r="P51" i="3"/>
  <c r="N51" i="3"/>
  <c r="D51" i="3"/>
  <c r="T50" i="3"/>
  <c r="R50" i="3"/>
  <c r="Q50" i="3"/>
  <c r="P50" i="3"/>
  <c r="N50" i="3"/>
  <c r="D50" i="3"/>
  <c r="T49" i="3"/>
  <c r="R49" i="3"/>
  <c r="Q49" i="3"/>
  <c r="P49" i="3"/>
  <c r="N49" i="3"/>
  <c r="D49" i="3"/>
  <c r="T48" i="3"/>
  <c r="R48" i="3"/>
  <c r="Q48" i="3"/>
  <c r="P48" i="3"/>
  <c r="N48" i="3"/>
  <c r="D48" i="3"/>
  <c r="T47" i="3"/>
  <c r="R47" i="3"/>
  <c r="Q47" i="3"/>
  <c r="P47" i="3"/>
  <c r="N47" i="3"/>
  <c r="D47" i="3"/>
  <c r="T46" i="3"/>
  <c r="R46" i="3"/>
  <c r="Q46" i="3"/>
  <c r="P46" i="3"/>
  <c r="N46" i="3"/>
  <c r="D46" i="3"/>
  <c r="T45" i="3"/>
  <c r="R45" i="3"/>
  <c r="Q45" i="3"/>
  <c r="P45" i="3"/>
  <c r="N45" i="3"/>
  <c r="D45" i="3"/>
  <c r="T44" i="3"/>
  <c r="R44" i="3"/>
  <c r="Q44" i="3"/>
  <c r="P44" i="3"/>
  <c r="N44" i="3"/>
  <c r="D44" i="3"/>
  <c r="T43" i="3"/>
  <c r="R43" i="3"/>
  <c r="Q43" i="3"/>
  <c r="P43" i="3"/>
  <c r="N43" i="3"/>
  <c r="D43" i="3"/>
  <c r="T42" i="3"/>
  <c r="R42" i="3"/>
  <c r="Q42" i="3"/>
  <c r="P42" i="3"/>
  <c r="N42" i="3"/>
  <c r="D42" i="3"/>
  <c r="T41" i="3"/>
  <c r="R41" i="3"/>
  <c r="Q41" i="3"/>
  <c r="P41" i="3"/>
  <c r="N41" i="3"/>
  <c r="D41" i="3"/>
  <c r="T40" i="3"/>
  <c r="R40" i="3"/>
  <c r="Q40" i="3"/>
  <c r="P40" i="3"/>
  <c r="N40" i="3"/>
  <c r="D40" i="3"/>
  <c r="T39" i="3"/>
  <c r="R39" i="3"/>
  <c r="Q39" i="3"/>
  <c r="P39" i="3"/>
  <c r="N39" i="3"/>
  <c r="D39" i="3"/>
  <c r="T38" i="3"/>
  <c r="R38" i="3"/>
  <c r="Q38" i="3"/>
  <c r="P38" i="3"/>
  <c r="N38" i="3"/>
  <c r="D38" i="3"/>
  <c r="T37" i="3"/>
  <c r="R37" i="3"/>
  <c r="Q37" i="3"/>
  <c r="P37" i="3"/>
  <c r="N37" i="3"/>
  <c r="D37" i="3"/>
  <c r="T36" i="3"/>
  <c r="R36" i="3"/>
  <c r="Q36" i="3"/>
  <c r="P36" i="3"/>
  <c r="N36" i="3"/>
  <c r="D36" i="3"/>
  <c r="T35" i="3"/>
  <c r="R35" i="3"/>
  <c r="Q35" i="3"/>
  <c r="P35" i="3"/>
  <c r="N35" i="3"/>
  <c r="D35" i="3"/>
  <c r="T34" i="3"/>
  <c r="R34" i="3"/>
  <c r="Q34" i="3"/>
  <c r="P34" i="3"/>
  <c r="N34" i="3"/>
  <c r="D34" i="3"/>
  <c r="T33" i="3"/>
  <c r="R33" i="3"/>
  <c r="Q33" i="3"/>
  <c r="P33" i="3"/>
  <c r="N33" i="3"/>
  <c r="D33" i="3"/>
  <c r="T32" i="3"/>
  <c r="R32" i="3"/>
  <c r="Q32" i="3"/>
  <c r="P32" i="3"/>
  <c r="N32" i="3"/>
  <c r="D32" i="3"/>
  <c r="T31" i="3"/>
  <c r="R31" i="3"/>
  <c r="Q31" i="3"/>
  <c r="P31" i="3"/>
  <c r="N31" i="3"/>
  <c r="D31" i="3"/>
  <c r="T30" i="3"/>
  <c r="R30" i="3"/>
  <c r="Q30" i="3"/>
  <c r="P30" i="3"/>
  <c r="N30" i="3"/>
  <c r="D30" i="3"/>
  <c r="T29" i="3"/>
  <c r="R29" i="3"/>
  <c r="Q29" i="3"/>
  <c r="P29" i="3"/>
  <c r="N29" i="3"/>
  <c r="D29" i="3"/>
  <c r="T28" i="3"/>
  <c r="R28" i="3"/>
  <c r="Q28" i="3"/>
  <c r="P28" i="3"/>
  <c r="N28" i="3"/>
  <c r="D28" i="3"/>
  <c r="T27" i="3"/>
  <c r="R27" i="3"/>
  <c r="Q27" i="3"/>
  <c r="P27" i="3"/>
  <c r="N27" i="3"/>
  <c r="D27" i="3"/>
  <c r="T26" i="3"/>
  <c r="R26" i="3"/>
  <c r="Q26" i="3"/>
  <c r="P26" i="3"/>
  <c r="N26" i="3"/>
  <c r="D26" i="3"/>
  <c r="T25" i="3"/>
  <c r="R25" i="3"/>
  <c r="Q25" i="3"/>
  <c r="P25" i="3"/>
  <c r="N25" i="3"/>
  <c r="D25" i="3"/>
  <c r="T24" i="3"/>
  <c r="R24" i="3"/>
  <c r="Q24" i="3"/>
  <c r="P24" i="3"/>
  <c r="N24" i="3"/>
  <c r="D24" i="3"/>
  <c r="T23" i="3"/>
  <c r="R23" i="3"/>
  <c r="Q23" i="3"/>
  <c r="P23" i="3"/>
  <c r="N23" i="3"/>
  <c r="D23" i="3"/>
  <c r="T22" i="3"/>
  <c r="R22" i="3"/>
  <c r="Q22" i="3"/>
  <c r="P22" i="3"/>
  <c r="N22" i="3"/>
  <c r="D22" i="3"/>
  <c r="T21" i="3"/>
  <c r="R21" i="3"/>
  <c r="Q21" i="3"/>
  <c r="P21" i="3"/>
  <c r="N21" i="3"/>
  <c r="D21" i="3"/>
  <c r="T20" i="3"/>
  <c r="R20" i="3"/>
  <c r="Q20" i="3"/>
  <c r="P20" i="3"/>
  <c r="N20" i="3"/>
  <c r="D20" i="3"/>
  <c r="T19" i="3"/>
  <c r="R19" i="3"/>
  <c r="Q19" i="3"/>
  <c r="P19" i="3"/>
  <c r="N19" i="3"/>
  <c r="D19" i="3"/>
  <c r="T18" i="3"/>
  <c r="R18" i="3"/>
  <c r="Q18" i="3"/>
  <c r="P18" i="3"/>
  <c r="N18" i="3"/>
  <c r="D18" i="3"/>
  <c r="T17" i="3"/>
  <c r="R17" i="3"/>
  <c r="Q17" i="3"/>
  <c r="P17" i="3"/>
  <c r="N17" i="3"/>
  <c r="D17" i="3"/>
  <c r="T16" i="3"/>
  <c r="R16" i="3"/>
  <c r="Q16" i="3"/>
  <c r="P16" i="3"/>
  <c r="N16" i="3"/>
  <c r="D16" i="3"/>
  <c r="T15" i="3"/>
  <c r="R15" i="3"/>
  <c r="Q15" i="3"/>
  <c r="P15" i="3"/>
  <c r="N15" i="3"/>
  <c r="D15" i="3"/>
  <c r="T14" i="3"/>
  <c r="R14" i="3"/>
  <c r="Q14" i="3"/>
  <c r="P14" i="3"/>
  <c r="N14" i="3"/>
  <c r="D14" i="3"/>
  <c r="T13" i="3"/>
  <c r="R13" i="3"/>
  <c r="Q13" i="3"/>
  <c r="P13" i="3"/>
  <c r="N13" i="3"/>
  <c r="D13" i="3"/>
  <c r="T12" i="3"/>
  <c r="R12" i="3"/>
  <c r="Q12" i="3"/>
  <c r="P12" i="3"/>
  <c r="N12" i="3"/>
  <c r="D12" i="3"/>
  <c r="T11" i="3"/>
  <c r="R11" i="3"/>
  <c r="Q11" i="3"/>
  <c r="P11" i="3"/>
  <c r="N11" i="3"/>
  <c r="D11" i="3"/>
  <c r="T10" i="3"/>
  <c r="R10" i="3"/>
  <c r="Q10" i="3"/>
  <c r="P10" i="3"/>
  <c r="N10" i="3"/>
  <c r="D10" i="3"/>
  <c r="T9" i="3"/>
  <c r="R9" i="3"/>
  <c r="Q9" i="3"/>
  <c r="P9" i="3"/>
  <c r="N9" i="3"/>
  <c r="D9" i="3"/>
  <c r="T8" i="3"/>
  <c r="R8" i="3"/>
  <c r="Q8" i="3"/>
  <c r="P8" i="3"/>
  <c r="N8" i="3"/>
  <c r="D8" i="3"/>
  <c r="T7" i="3"/>
  <c r="R7" i="3"/>
  <c r="Q7" i="3"/>
  <c r="P7" i="3"/>
  <c r="N7" i="3"/>
  <c r="D7" i="3"/>
  <c r="T6" i="3"/>
  <c r="R6" i="3"/>
  <c r="Q6" i="3"/>
  <c r="P6" i="3"/>
  <c r="N6" i="3"/>
  <c r="D6" i="3"/>
  <c r="H42" i="1"/>
  <c r="G42" i="1"/>
  <c r="F42" i="1"/>
  <c r="D42" i="1"/>
  <c r="C42" i="1"/>
  <c r="B42" i="1"/>
  <c r="H41" i="1"/>
  <c r="G41" i="1"/>
  <c r="F41" i="1"/>
  <c r="D41" i="1"/>
  <c r="C41" i="1"/>
  <c r="B41" i="1"/>
  <c r="H40" i="1"/>
  <c r="G40" i="1"/>
  <c r="F40" i="1"/>
  <c r="D40" i="1"/>
  <c r="C40" i="1"/>
  <c r="B40" i="1"/>
  <c r="H39" i="1"/>
  <c r="G39" i="1"/>
  <c r="F39" i="1"/>
  <c r="D39" i="1"/>
  <c r="C39" i="1"/>
  <c r="B39" i="1"/>
  <c r="H38" i="1"/>
  <c r="G38" i="1"/>
  <c r="F38" i="1"/>
  <c r="D38" i="1"/>
  <c r="C38" i="1"/>
  <c r="B38" i="1"/>
  <c r="H37" i="1"/>
  <c r="G37" i="1"/>
  <c r="F37" i="1"/>
  <c r="D37" i="1"/>
  <c r="C37" i="1"/>
  <c r="B37" i="1"/>
  <c r="H36" i="1"/>
  <c r="G36" i="1"/>
  <c r="F36" i="1"/>
  <c r="D36" i="1"/>
  <c r="C36" i="1"/>
  <c r="B36" i="1"/>
  <c r="H35" i="1"/>
  <c r="G35" i="1"/>
  <c r="F35" i="1"/>
  <c r="D35" i="1"/>
  <c r="C35" i="1"/>
  <c r="B35" i="1"/>
  <c r="H34" i="1"/>
  <c r="G34" i="1"/>
  <c r="F34" i="1"/>
  <c r="D34" i="1"/>
  <c r="C34" i="1"/>
  <c r="B34" i="1"/>
  <c r="H33" i="1"/>
  <c r="G33" i="1"/>
  <c r="F33" i="1"/>
  <c r="D33" i="1"/>
  <c r="C33" i="1"/>
  <c r="B33" i="1"/>
  <c r="H32" i="1"/>
  <c r="G32" i="1"/>
  <c r="F32" i="1"/>
  <c r="D32" i="1"/>
  <c r="C32" i="1"/>
  <c r="B32" i="1"/>
  <c r="H31" i="1"/>
  <c r="G31" i="1"/>
  <c r="F31" i="1"/>
  <c r="D31" i="1"/>
  <c r="C31" i="1"/>
  <c r="B31" i="1"/>
  <c r="H30" i="1"/>
  <c r="G30" i="1"/>
  <c r="F30" i="1"/>
  <c r="D30" i="1"/>
  <c r="C30" i="1"/>
  <c r="B30" i="1"/>
  <c r="H29" i="1"/>
  <c r="G29" i="1"/>
  <c r="F29" i="1"/>
  <c r="D29" i="1"/>
  <c r="C29" i="1"/>
  <c r="B29" i="1"/>
  <c r="H28" i="1"/>
  <c r="G28" i="1"/>
  <c r="F28" i="1"/>
  <c r="D28" i="1"/>
  <c r="C28" i="1"/>
  <c r="B28" i="1"/>
  <c r="H27" i="1"/>
  <c r="G27" i="1"/>
  <c r="F27" i="1"/>
  <c r="D27" i="1"/>
  <c r="C27" i="1"/>
  <c r="B27" i="1"/>
  <c r="H26" i="1"/>
  <c r="G26" i="1"/>
  <c r="F26" i="1"/>
  <c r="D26" i="1"/>
  <c r="C26" i="1"/>
  <c r="B26" i="1"/>
  <c r="H25" i="1"/>
  <c r="G25" i="1"/>
  <c r="F25" i="1"/>
  <c r="D25" i="1"/>
  <c r="C25" i="1"/>
  <c r="B25" i="1"/>
  <c r="H24" i="1"/>
  <c r="G24" i="1"/>
  <c r="F24" i="1"/>
  <c r="D24" i="1"/>
  <c r="C24" i="1"/>
  <c r="B24" i="1"/>
  <c r="H23" i="1"/>
  <c r="G23" i="1"/>
  <c r="F23" i="1"/>
  <c r="D23" i="1"/>
  <c r="C23" i="1"/>
  <c r="B23" i="1"/>
  <c r="T608" i="2"/>
  <c r="S608" i="2"/>
  <c r="R608" i="2"/>
  <c r="Q608" i="2"/>
  <c r="P608" i="2"/>
  <c r="O608" i="2"/>
  <c r="N608" i="2"/>
  <c r="M608" i="2"/>
  <c r="U607" i="2"/>
  <c r="L607" i="2"/>
  <c r="I607" i="2"/>
  <c r="H607" i="2"/>
  <c r="G607" i="2"/>
  <c r="F607" i="2"/>
  <c r="D607" i="2"/>
  <c r="E607" i="2" s="1"/>
  <c r="C607" i="2"/>
  <c r="A607" i="2"/>
  <c r="U606" i="2"/>
  <c r="L606" i="2"/>
  <c r="I606" i="2"/>
  <c r="H606" i="2"/>
  <c r="G606" i="2"/>
  <c r="F606" i="2"/>
  <c r="D606" i="2"/>
  <c r="E606" i="2" s="1"/>
  <c r="C606" i="2"/>
  <c r="A606" i="2"/>
  <c r="U605" i="2"/>
  <c r="L605" i="2"/>
  <c r="I605" i="2"/>
  <c r="H605" i="2"/>
  <c r="G605" i="2"/>
  <c r="F605" i="2"/>
  <c r="D605" i="2"/>
  <c r="E605" i="2" s="1"/>
  <c r="C605" i="2"/>
  <c r="A605" i="2"/>
  <c r="U604" i="2"/>
  <c r="L604" i="2"/>
  <c r="I604" i="2"/>
  <c r="H604" i="2"/>
  <c r="G604" i="2"/>
  <c r="F604" i="2"/>
  <c r="D604" i="2"/>
  <c r="E604" i="2" s="1"/>
  <c r="C604" i="2"/>
  <c r="A604" i="2"/>
  <c r="U603" i="2"/>
  <c r="L603" i="2"/>
  <c r="I603" i="2"/>
  <c r="H603" i="2"/>
  <c r="G603" i="2"/>
  <c r="F603" i="2"/>
  <c r="D603" i="2"/>
  <c r="E603" i="2" s="1"/>
  <c r="C603" i="2"/>
  <c r="A603" i="2"/>
  <c r="U602" i="2"/>
  <c r="L602" i="2"/>
  <c r="I602" i="2"/>
  <c r="H602" i="2"/>
  <c r="G602" i="2"/>
  <c r="F602" i="2"/>
  <c r="D602" i="2"/>
  <c r="E602" i="2" s="1"/>
  <c r="C602" i="2"/>
  <c r="A602" i="2"/>
  <c r="U601" i="2"/>
  <c r="L601" i="2"/>
  <c r="I601" i="2"/>
  <c r="H601" i="2"/>
  <c r="G601" i="2"/>
  <c r="F601" i="2"/>
  <c r="D601" i="2"/>
  <c r="E601" i="2" s="1"/>
  <c r="C601" i="2"/>
  <c r="A601" i="2"/>
  <c r="U600" i="2"/>
  <c r="L600" i="2"/>
  <c r="I600" i="2"/>
  <c r="H600" i="2"/>
  <c r="G600" i="2"/>
  <c r="F600" i="2"/>
  <c r="D600" i="2"/>
  <c r="E600" i="2" s="1"/>
  <c r="C600" i="2"/>
  <c r="A600" i="2"/>
  <c r="U599" i="2"/>
  <c r="L599" i="2"/>
  <c r="I599" i="2"/>
  <c r="H599" i="2"/>
  <c r="G599" i="2"/>
  <c r="F599" i="2"/>
  <c r="D599" i="2"/>
  <c r="E599" i="2" s="1"/>
  <c r="C599" i="2"/>
  <c r="A599" i="2"/>
  <c r="U598" i="2"/>
  <c r="L598" i="2"/>
  <c r="I598" i="2"/>
  <c r="H598" i="2"/>
  <c r="G598" i="2"/>
  <c r="F598" i="2"/>
  <c r="D598" i="2"/>
  <c r="E598" i="2" s="1"/>
  <c r="C598" i="2"/>
  <c r="A598" i="2"/>
  <c r="U597" i="2"/>
  <c r="L597" i="2"/>
  <c r="I597" i="2"/>
  <c r="H597" i="2"/>
  <c r="G597" i="2"/>
  <c r="F597" i="2"/>
  <c r="D597" i="2"/>
  <c r="E597" i="2" s="1"/>
  <c r="C597" i="2"/>
  <c r="A597" i="2"/>
  <c r="U596" i="2"/>
  <c r="L596" i="2"/>
  <c r="I596" i="2"/>
  <c r="H596" i="2"/>
  <c r="G596" i="2"/>
  <c r="F596" i="2"/>
  <c r="D596" i="2"/>
  <c r="E596" i="2" s="1"/>
  <c r="C596" i="2"/>
  <c r="A596" i="2"/>
  <c r="U595" i="2"/>
  <c r="L595" i="2"/>
  <c r="I595" i="2"/>
  <c r="H595" i="2"/>
  <c r="G595" i="2"/>
  <c r="F595" i="2"/>
  <c r="D595" i="2"/>
  <c r="E595" i="2" s="1"/>
  <c r="C595" i="2"/>
  <c r="A595" i="2"/>
  <c r="U594" i="2"/>
  <c r="L594" i="2"/>
  <c r="I594" i="2"/>
  <c r="H594" i="2"/>
  <c r="G594" i="2"/>
  <c r="F594" i="2"/>
  <c r="D594" i="2"/>
  <c r="E594" i="2" s="1"/>
  <c r="C594" i="2"/>
  <c r="A594" i="2"/>
  <c r="U593" i="2"/>
  <c r="L593" i="2"/>
  <c r="I593" i="2"/>
  <c r="H593" i="2"/>
  <c r="G593" i="2"/>
  <c r="F593" i="2"/>
  <c r="D593" i="2"/>
  <c r="E593" i="2" s="1"/>
  <c r="C593" i="2"/>
  <c r="A593" i="2"/>
  <c r="U592" i="2"/>
  <c r="L592" i="2"/>
  <c r="I592" i="2"/>
  <c r="H592" i="2"/>
  <c r="G592" i="2"/>
  <c r="F592" i="2"/>
  <c r="D592" i="2"/>
  <c r="E592" i="2" s="1"/>
  <c r="C592" i="2"/>
  <c r="A592" i="2"/>
  <c r="U591" i="2"/>
  <c r="L591" i="2"/>
  <c r="I591" i="2"/>
  <c r="H591" i="2"/>
  <c r="G591" i="2"/>
  <c r="F591" i="2"/>
  <c r="D591" i="2"/>
  <c r="E591" i="2" s="1"/>
  <c r="C591" i="2"/>
  <c r="A591" i="2"/>
  <c r="U590" i="2"/>
  <c r="L590" i="2"/>
  <c r="I590" i="2"/>
  <c r="H590" i="2"/>
  <c r="G590" i="2"/>
  <c r="F590" i="2"/>
  <c r="D590" i="2"/>
  <c r="E590" i="2" s="1"/>
  <c r="C590" i="2"/>
  <c r="A590" i="2"/>
  <c r="U589" i="2"/>
  <c r="L589" i="2"/>
  <c r="I589" i="2"/>
  <c r="H589" i="2"/>
  <c r="G589" i="2"/>
  <c r="F589" i="2"/>
  <c r="D589" i="2"/>
  <c r="E589" i="2" s="1"/>
  <c r="C589" i="2"/>
  <c r="A589" i="2"/>
  <c r="U588" i="2"/>
  <c r="L588" i="2"/>
  <c r="I588" i="2"/>
  <c r="H588" i="2"/>
  <c r="G588" i="2"/>
  <c r="F588" i="2"/>
  <c r="D588" i="2"/>
  <c r="E588" i="2" s="1"/>
  <c r="C588" i="2"/>
  <c r="A588" i="2"/>
  <c r="U587" i="2"/>
  <c r="L587" i="2"/>
  <c r="I587" i="2"/>
  <c r="H587" i="2"/>
  <c r="G587" i="2"/>
  <c r="F587" i="2"/>
  <c r="D587" i="2"/>
  <c r="E587" i="2" s="1"/>
  <c r="C587" i="2"/>
  <c r="A587" i="2"/>
  <c r="U586" i="2"/>
  <c r="L586" i="2"/>
  <c r="I586" i="2"/>
  <c r="H586" i="2"/>
  <c r="G586" i="2"/>
  <c r="F586" i="2"/>
  <c r="D586" i="2"/>
  <c r="E586" i="2" s="1"/>
  <c r="C586" i="2"/>
  <c r="A586" i="2"/>
  <c r="U585" i="2"/>
  <c r="L585" i="2"/>
  <c r="I585" i="2"/>
  <c r="H585" i="2"/>
  <c r="G585" i="2"/>
  <c r="F585" i="2"/>
  <c r="D585" i="2"/>
  <c r="E585" i="2" s="1"/>
  <c r="C585" i="2"/>
  <c r="A585" i="2"/>
  <c r="U584" i="2"/>
  <c r="L584" i="2"/>
  <c r="I584" i="2"/>
  <c r="H584" i="2"/>
  <c r="G584" i="2"/>
  <c r="F584" i="2"/>
  <c r="D584" i="2"/>
  <c r="E584" i="2" s="1"/>
  <c r="C584" i="2"/>
  <c r="A584" i="2"/>
  <c r="U583" i="2"/>
  <c r="L583" i="2"/>
  <c r="I583" i="2"/>
  <c r="H583" i="2"/>
  <c r="G583" i="2"/>
  <c r="F583" i="2"/>
  <c r="D583" i="2"/>
  <c r="E583" i="2" s="1"/>
  <c r="C583" i="2"/>
  <c r="A583" i="2"/>
  <c r="U582" i="2"/>
  <c r="L582" i="2"/>
  <c r="I582" i="2"/>
  <c r="H582" i="2"/>
  <c r="G582" i="2"/>
  <c r="F582" i="2"/>
  <c r="D582" i="2"/>
  <c r="E582" i="2" s="1"/>
  <c r="C582" i="2"/>
  <c r="A582" i="2"/>
  <c r="U581" i="2"/>
  <c r="L581" i="2"/>
  <c r="I581" i="2"/>
  <c r="H581" i="2"/>
  <c r="G581" i="2"/>
  <c r="F581" i="2"/>
  <c r="D581" i="2"/>
  <c r="E581" i="2" s="1"/>
  <c r="C581" i="2"/>
  <c r="A581" i="2"/>
  <c r="U580" i="2"/>
  <c r="L580" i="2"/>
  <c r="I580" i="2"/>
  <c r="H580" i="2"/>
  <c r="G580" i="2"/>
  <c r="F580" i="2"/>
  <c r="D580" i="2"/>
  <c r="E580" i="2" s="1"/>
  <c r="C580" i="2"/>
  <c r="A580" i="2"/>
  <c r="U579" i="2"/>
  <c r="L579" i="2"/>
  <c r="I579" i="2"/>
  <c r="H579" i="2"/>
  <c r="G579" i="2"/>
  <c r="F579" i="2"/>
  <c r="D579" i="2"/>
  <c r="E579" i="2" s="1"/>
  <c r="C579" i="2"/>
  <c r="A579" i="2"/>
  <c r="U578" i="2"/>
  <c r="L578" i="2"/>
  <c r="I578" i="2"/>
  <c r="H578" i="2"/>
  <c r="G578" i="2"/>
  <c r="F578" i="2"/>
  <c r="D578" i="2"/>
  <c r="E578" i="2" s="1"/>
  <c r="C578" i="2"/>
  <c r="A578" i="2"/>
  <c r="U577" i="2"/>
  <c r="L577" i="2"/>
  <c r="I577" i="2"/>
  <c r="H577" i="2"/>
  <c r="G577" i="2"/>
  <c r="F577" i="2"/>
  <c r="D577" i="2"/>
  <c r="E577" i="2" s="1"/>
  <c r="C577" i="2"/>
  <c r="A577" i="2"/>
  <c r="U576" i="2"/>
  <c r="L576" i="2"/>
  <c r="I576" i="2"/>
  <c r="H576" i="2"/>
  <c r="G576" i="2"/>
  <c r="F576" i="2"/>
  <c r="D576" i="2"/>
  <c r="E576" i="2" s="1"/>
  <c r="C576" i="2"/>
  <c r="A576" i="2"/>
  <c r="U575" i="2"/>
  <c r="L575" i="2"/>
  <c r="I575" i="2"/>
  <c r="H575" i="2"/>
  <c r="G575" i="2"/>
  <c r="F575" i="2"/>
  <c r="D575" i="2"/>
  <c r="E575" i="2" s="1"/>
  <c r="C575" i="2"/>
  <c r="A575" i="2"/>
  <c r="U574" i="2"/>
  <c r="L574" i="2"/>
  <c r="I574" i="2"/>
  <c r="H574" i="2"/>
  <c r="G574" i="2"/>
  <c r="F574" i="2"/>
  <c r="D574" i="2"/>
  <c r="E574" i="2" s="1"/>
  <c r="C574" i="2"/>
  <c r="A574" i="2"/>
  <c r="U573" i="2"/>
  <c r="L573" i="2"/>
  <c r="I573" i="2"/>
  <c r="H573" i="2"/>
  <c r="G573" i="2"/>
  <c r="F573" i="2"/>
  <c r="D573" i="2"/>
  <c r="E573" i="2" s="1"/>
  <c r="C573" i="2"/>
  <c r="A573" i="2"/>
  <c r="U572" i="2"/>
  <c r="L572" i="2"/>
  <c r="I572" i="2"/>
  <c r="H572" i="2"/>
  <c r="G572" i="2"/>
  <c r="F572" i="2"/>
  <c r="D572" i="2"/>
  <c r="E572" i="2" s="1"/>
  <c r="C572" i="2"/>
  <c r="A572" i="2"/>
  <c r="U571" i="2"/>
  <c r="L571" i="2"/>
  <c r="J571" i="2"/>
  <c r="V571" i="2" s="1"/>
  <c r="I571" i="2"/>
  <c r="H571" i="2"/>
  <c r="G571" i="2"/>
  <c r="F571" i="2"/>
  <c r="D571" i="2"/>
  <c r="E571" i="2" s="1"/>
  <c r="C571" i="2"/>
  <c r="A571" i="2"/>
  <c r="U570" i="2"/>
  <c r="L570" i="2"/>
  <c r="I570" i="2"/>
  <c r="H570" i="2"/>
  <c r="G570" i="2"/>
  <c r="F570" i="2"/>
  <c r="D570" i="2"/>
  <c r="E570" i="2" s="1"/>
  <c r="C570" i="2"/>
  <c r="A570" i="2"/>
  <c r="U569" i="2"/>
  <c r="L569" i="2"/>
  <c r="I569" i="2"/>
  <c r="H569" i="2"/>
  <c r="G569" i="2"/>
  <c r="F569" i="2"/>
  <c r="D569" i="2"/>
  <c r="E569" i="2" s="1"/>
  <c r="C569" i="2"/>
  <c r="A569" i="2"/>
  <c r="U568" i="2"/>
  <c r="L568" i="2"/>
  <c r="I568" i="2"/>
  <c r="H568" i="2"/>
  <c r="G568" i="2"/>
  <c r="F568" i="2"/>
  <c r="D568" i="2"/>
  <c r="E568" i="2" s="1"/>
  <c r="C568" i="2"/>
  <c r="A568" i="2"/>
  <c r="U567" i="2"/>
  <c r="L567" i="2"/>
  <c r="I567" i="2"/>
  <c r="H567" i="2"/>
  <c r="G567" i="2"/>
  <c r="F567" i="2"/>
  <c r="D567" i="2"/>
  <c r="E567" i="2" s="1"/>
  <c r="C567" i="2"/>
  <c r="A567" i="2"/>
  <c r="U566" i="2"/>
  <c r="L566" i="2"/>
  <c r="I566" i="2"/>
  <c r="H566" i="2"/>
  <c r="G566" i="2"/>
  <c r="F566" i="2"/>
  <c r="D566" i="2"/>
  <c r="E566" i="2" s="1"/>
  <c r="C566" i="2"/>
  <c r="A566" i="2"/>
  <c r="U565" i="2"/>
  <c r="L565" i="2"/>
  <c r="I565" i="2"/>
  <c r="H565" i="2"/>
  <c r="G565" i="2"/>
  <c r="F565" i="2"/>
  <c r="D565" i="2"/>
  <c r="E565" i="2" s="1"/>
  <c r="C565" i="2"/>
  <c r="A565" i="2"/>
  <c r="U564" i="2"/>
  <c r="L564" i="2"/>
  <c r="I564" i="2"/>
  <c r="H564" i="2"/>
  <c r="G564" i="2"/>
  <c r="F564" i="2"/>
  <c r="D564" i="2"/>
  <c r="E564" i="2" s="1"/>
  <c r="C564" i="2"/>
  <c r="A564" i="2"/>
  <c r="U563" i="2"/>
  <c r="L563" i="2"/>
  <c r="I563" i="2"/>
  <c r="H563" i="2"/>
  <c r="G563" i="2"/>
  <c r="F563" i="2"/>
  <c r="D563" i="2"/>
  <c r="E563" i="2" s="1"/>
  <c r="C563" i="2"/>
  <c r="A563" i="2"/>
  <c r="U562" i="2"/>
  <c r="L562" i="2"/>
  <c r="I562" i="2"/>
  <c r="H562" i="2"/>
  <c r="G562" i="2"/>
  <c r="F562" i="2"/>
  <c r="D562" i="2"/>
  <c r="E562" i="2" s="1"/>
  <c r="C562" i="2"/>
  <c r="A562" i="2"/>
  <c r="U561" i="2"/>
  <c r="L561" i="2"/>
  <c r="I561" i="2"/>
  <c r="H561" i="2"/>
  <c r="G561" i="2"/>
  <c r="F561" i="2"/>
  <c r="D561" i="2"/>
  <c r="E561" i="2" s="1"/>
  <c r="C561" i="2"/>
  <c r="A561" i="2"/>
  <c r="U560" i="2"/>
  <c r="L560" i="2"/>
  <c r="I560" i="2"/>
  <c r="H560" i="2"/>
  <c r="G560" i="2"/>
  <c r="F560" i="2"/>
  <c r="D560" i="2"/>
  <c r="E560" i="2" s="1"/>
  <c r="C560" i="2"/>
  <c r="A560" i="2"/>
  <c r="U559" i="2"/>
  <c r="L559" i="2"/>
  <c r="I559" i="2"/>
  <c r="H559" i="2"/>
  <c r="G559" i="2"/>
  <c r="F559" i="2"/>
  <c r="D559" i="2"/>
  <c r="E559" i="2" s="1"/>
  <c r="C559" i="2"/>
  <c r="A559" i="2"/>
  <c r="U558" i="2"/>
  <c r="L558" i="2"/>
  <c r="I558" i="2"/>
  <c r="H558" i="2"/>
  <c r="G558" i="2"/>
  <c r="F558" i="2"/>
  <c r="D558" i="2"/>
  <c r="E558" i="2" s="1"/>
  <c r="C558" i="2"/>
  <c r="A558" i="2"/>
  <c r="U557" i="2"/>
  <c r="L557" i="2"/>
  <c r="I557" i="2"/>
  <c r="H557" i="2"/>
  <c r="G557" i="2"/>
  <c r="F557" i="2"/>
  <c r="D557" i="2"/>
  <c r="E557" i="2" s="1"/>
  <c r="C557" i="2"/>
  <c r="A557" i="2"/>
  <c r="U556" i="2"/>
  <c r="L556" i="2"/>
  <c r="I556" i="2"/>
  <c r="H556" i="2"/>
  <c r="G556" i="2"/>
  <c r="F556" i="2"/>
  <c r="D556" i="2"/>
  <c r="E556" i="2" s="1"/>
  <c r="C556" i="2"/>
  <c r="A556" i="2"/>
  <c r="U555" i="2"/>
  <c r="L555" i="2"/>
  <c r="I555" i="2"/>
  <c r="H555" i="2"/>
  <c r="G555" i="2"/>
  <c r="F555" i="2"/>
  <c r="D555" i="2"/>
  <c r="E555" i="2" s="1"/>
  <c r="C555" i="2"/>
  <c r="A555" i="2"/>
  <c r="U554" i="2"/>
  <c r="L554" i="2"/>
  <c r="I554" i="2"/>
  <c r="H554" i="2"/>
  <c r="G554" i="2"/>
  <c r="F554" i="2"/>
  <c r="D554" i="2"/>
  <c r="E554" i="2" s="1"/>
  <c r="C554" i="2"/>
  <c r="A554" i="2"/>
  <c r="U553" i="2"/>
  <c r="L553" i="2"/>
  <c r="I553" i="2"/>
  <c r="H553" i="2"/>
  <c r="G553" i="2"/>
  <c r="F553" i="2"/>
  <c r="D553" i="2"/>
  <c r="E553" i="2" s="1"/>
  <c r="C553" i="2"/>
  <c r="A553" i="2"/>
  <c r="U552" i="2"/>
  <c r="L552" i="2"/>
  <c r="I552" i="2"/>
  <c r="H552" i="2"/>
  <c r="G552" i="2"/>
  <c r="F552" i="2"/>
  <c r="D552" i="2"/>
  <c r="E552" i="2" s="1"/>
  <c r="C552" i="2"/>
  <c r="A552" i="2"/>
  <c r="U551" i="2"/>
  <c r="L551" i="2"/>
  <c r="I551" i="2"/>
  <c r="H551" i="2"/>
  <c r="G551" i="2"/>
  <c r="F551" i="2"/>
  <c r="D551" i="2"/>
  <c r="E551" i="2" s="1"/>
  <c r="C551" i="2"/>
  <c r="A551" i="2"/>
  <c r="U550" i="2"/>
  <c r="L550" i="2"/>
  <c r="I550" i="2"/>
  <c r="H550" i="2"/>
  <c r="G550" i="2"/>
  <c r="F550" i="2"/>
  <c r="D550" i="2"/>
  <c r="E550" i="2" s="1"/>
  <c r="C550" i="2"/>
  <c r="A550" i="2"/>
  <c r="U549" i="2"/>
  <c r="L549" i="2"/>
  <c r="I549" i="2"/>
  <c r="H549" i="2"/>
  <c r="G549" i="2"/>
  <c r="F549" i="2"/>
  <c r="D549" i="2"/>
  <c r="E549" i="2" s="1"/>
  <c r="C549" i="2"/>
  <c r="A549" i="2"/>
  <c r="U548" i="2"/>
  <c r="L548" i="2"/>
  <c r="I548" i="2"/>
  <c r="H548" i="2"/>
  <c r="G548" i="2"/>
  <c r="F548" i="2"/>
  <c r="D548" i="2"/>
  <c r="E548" i="2" s="1"/>
  <c r="C548" i="2"/>
  <c r="A548" i="2"/>
  <c r="U547" i="2"/>
  <c r="L547" i="2"/>
  <c r="I547" i="2"/>
  <c r="H547" i="2"/>
  <c r="G547" i="2"/>
  <c r="F547" i="2"/>
  <c r="D547" i="2"/>
  <c r="E547" i="2" s="1"/>
  <c r="C547" i="2"/>
  <c r="A547" i="2"/>
  <c r="U546" i="2"/>
  <c r="L546" i="2"/>
  <c r="I546" i="2"/>
  <c r="H546" i="2"/>
  <c r="G546" i="2"/>
  <c r="F546" i="2"/>
  <c r="D546" i="2"/>
  <c r="E546" i="2" s="1"/>
  <c r="C546" i="2"/>
  <c r="A546" i="2"/>
  <c r="U545" i="2"/>
  <c r="L545" i="2"/>
  <c r="I545" i="2"/>
  <c r="H545" i="2"/>
  <c r="G545" i="2"/>
  <c r="F545" i="2"/>
  <c r="D545" i="2"/>
  <c r="E545" i="2" s="1"/>
  <c r="C545" i="2"/>
  <c r="A545" i="2"/>
  <c r="U544" i="2"/>
  <c r="L544" i="2"/>
  <c r="I544" i="2"/>
  <c r="H544" i="2"/>
  <c r="G544" i="2"/>
  <c r="F544" i="2"/>
  <c r="D544" i="2"/>
  <c r="E544" i="2" s="1"/>
  <c r="C544" i="2"/>
  <c r="A544" i="2"/>
  <c r="U543" i="2"/>
  <c r="L543" i="2"/>
  <c r="I543" i="2"/>
  <c r="H543" i="2"/>
  <c r="G543" i="2"/>
  <c r="F543" i="2"/>
  <c r="D543" i="2"/>
  <c r="E543" i="2" s="1"/>
  <c r="C543" i="2"/>
  <c r="A543" i="2"/>
  <c r="U542" i="2"/>
  <c r="L542" i="2"/>
  <c r="I542" i="2"/>
  <c r="H542" i="2"/>
  <c r="G542" i="2"/>
  <c r="F542" i="2"/>
  <c r="D542" i="2"/>
  <c r="E542" i="2" s="1"/>
  <c r="C542" i="2"/>
  <c r="A542" i="2"/>
  <c r="U541" i="2"/>
  <c r="L541" i="2"/>
  <c r="I541" i="2"/>
  <c r="H541" i="2"/>
  <c r="G541" i="2"/>
  <c r="F541" i="2"/>
  <c r="D541" i="2"/>
  <c r="E541" i="2" s="1"/>
  <c r="C541" i="2"/>
  <c r="A541" i="2"/>
  <c r="U540" i="2"/>
  <c r="L540" i="2"/>
  <c r="I540" i="2"/>
  <c r="H540" i="2"/>
  <c r="G540" i="2"/>
  <c r="F540" i="2"/>
  <c r="D540" i="2"/>
  <c r="E540" i="2" s="1"/>
  <c r="C540" i="2"/>
  <c r="A540" i="2"/>
  <c r="U539" i="2"/>
  <c r="L539" i="2"/>
  <c r="I539" i="2"/>
  <c r="H539" i="2"/>
  <c r="G539" i="2"/>
  <c r="F539" i="2"/>
  <c r="D539" i="2"/>
  <c r="E539" i="2" s="1"/>
  <c r="C539" i="2"/>
  <c r="A539" i="2"/>
  <c r="U538" i="2"/>
  <c r="L538" i="2"/>
  <c r="I538" i="2"/>
  <c r="H538" i="2"/>
  <c r="G538" i="2"/>
  <c r="F538" i="2"/>
  <c r="D538" i="2"/>
  <c r="E538" i="2" s="1"/>
  <c r="C538" i="2"/>
  <c r="A538" i="2"/>
  <c r="U537" i="2"/>
  <c r="L537" i="2"/>
  <c r="I537" i="2"/>
  <c r="H537" i="2"/>
  <c r="G537" i="2"/>
  <c r="F537" i="2"/>
  <c r="D537" i="2"/>
  <c r="E537" i="2" s="1"/>
  <c r="C537" i="2"/>
  <c r="A537" i="2"/>
  <c r="U536" i="2"/>
  <c r="L536" i="2"/>
  <c r="I536" i="2"/>
  <c r="H536" i="2"/>
  <c r="G536" i="2"/>
  <c r="F536" i="2"/>
  <c r="D536" i="2"/>
  <c r="E536" i="2" s="1"/>
  <c r="C536" i="2"/>
  <c r="A536" i="2"/>
  <c r="U535" i="2"/>
  <c r="L535" i="2"/>
  <c r="I535" i="2"/>
  <c r="H535" i="2"/>
  <c r="G535" i="2"/>
  <c r="F535" i="2"/>
  <c r="D535" i="2"/>
  <c r="E535" i="2" s="1"/>
  <c r="C535" i="2"/>
  <c r="A535" i="2"/>
  <c r="U534" i="2"/>
  <c r="L534" i="2"/>
  <c r="I534" i="2"/>
  <c r="H534" i="2"/>
  <c r="G534" i="2"/>
  <c r="F534" i="2"/>
  <c r="D534" i="2"/>
  <c r="E534" i="2" s="1"/>
  <c r="C534" i="2"/>
  <c r="A534" i="2"/>
  <c r="U533" i="2"/>
  <c r="L533" i="2"/>
  <c r="I533" i="2"/>
  <c r="H533" i="2"/>
  <c r="G533" i="2"/>
  <c r="F533" i="2"/>
  <c r="D533" i="2"/>
  <c r="E533" i="2" s="1"/>
  <c r="C533" i="2"/>
  <c r="A533" i="2"/>
  <c r="U532" i="2"/>
  <c r="L532" i="2"/>
  <c r="I532" i="2"/>
  <c r="H532" i="2"/>
  <c r="G532" i="2"/>
  <c r="F532" i="2"/>
  <c r="D532" i="2"/>
  <c r="E532" i="2" s="1"/>
  <c r="C532" i="2"/>
  <c r="A532" i="2"/>
  <c r="U531" i="2"/>
  <c r="L531" i="2"/>
  <c r="I531" i="2"/>
  <c r="H531" i="2"/>
  <c r="G531" i="2"/>
  <c r="F531" i="2"/>
  <c r="D531" i="2"/>
  <c r="E531" i="2" s="1"/>
  <c r="C531" i="2"/>
  <c r="A531" i="2"/>
  <c r="U530" i="2"/>
  <c r="L530" i="2"/>
  <c r="I530" i="2"/>
  <c r="H530" i="2"/>
  <c r="G530" i="2"/>
  <c r="F530" i="2"/>
  <c r="D530" i="2"/>
  <c r="E530" i="2" s="1"/>
  <c r="C530" i="2"/>
  <c r="A530" i="2"/>
  <c r="U529" i="2"/>
  <c r="L529" i="2"/>
  <c r="I529" i="2"/>
  <c r="H529" i="2"/>
  <c r="G529" i="2"/>
  <c r="F529" i="2"/>
  <c r="D529" i="2"/>
  <c r="E529" i="2" s="1"/>
  <c r="C529" i="2"/>
  <c r="A529" i="2"/>
  <c r="U528" i="2"/>
  <c r="L528" i="2"/>
  <c r="I528" i="2"/>
  <c r="H528" i="2"/>
  <c r="G528" i="2"/>
  <c r="F528" i="2"/>
  <c r="D528" i="2"/>
  <c r="E528" i="2" s="1"/>
  <c r="C528" i="2"/>
  <c r="A528" i="2"/>
  <c r="U527" i="2"/>
  <c r="L527" i="2"/>
  <c r="I527" i="2"/>
  <c r="H527" i="2"/>
  <c r="G527" i="2"/>
  <c r="F527" i="2"/>
  <c r="D527" i="2"/>
  <c r="E527" i="2" s="1"/>
  <c r="C527" i="2"/>
  <c r="A527" i="2"/>
  <c r="U526" i="2"/>
  <c r="L526" i="2"/>
  <c r="I526" i="2"/>
  <c r="H526" i="2"/>
  <c r="G526" i="2"/>
  <c r="F526" i="2"/>
  <c r="D526" i="2"/>
  <c r="E526" i="2" s="1"/>
  <c r="C526" i="2"/>
  <c r="A526" i="2"/>
  <c r="U525" i="2"/>
  <c r="L525" i="2"/>
  <c r="I525" i="2"/>
  <c r="H525" i="2"/>
  <c r="G525" i="2"/>
  <c r="F525" i="2"/>
  <c r="D525" i="2"/>
  <c r="E525" i="2" s="1"/>
  <c r="C525" i="2"/>
  <c r="A525" i="2"/>
  <c r="U524" i="2"/>
  <c r="L524" i="2"/>
  <c r="I524" i="2"/>
  <c r="H524" i="2"/>
  <c r="G524" i="2"/>
  <c r="F524" i="2"/>
  <c r="D524" i="2"/>
  <c r="E524" i="2" s="1"/>
  <c r="C524" i="2"/>
  <c r="A524" i="2"/>
  <c r="U523" i="2"/>
  <c r="L523" i="2"/>
  <c r="I523" i="2"/>
  <c r="H523" i="2"/>
  <c r="G523" i="2"/>
  <c r="F523" i="2"/>
  <c r="D523" i="2"/>
  <c r="E523" i="2" s="1"/>
  <c r="C523" i="2"/>
  <c r="A523" i="2"/>
  <c r="U522" i="2"/>
  <c r="L522" i="2"/>
  <c r="I522" i="2"/>
  <c r="H522" i="2"/>
  <c r="G522" i="2"/>
  <c r="F522" i="2"/>
  <c r="D522" i="2"/>
  <c r="E522" i="2" s="1"/>
  <c r="C522" i="2"/>
  <c r="A522" i="2"/>
  <c r="U521" i="2"/>
  <c r="L521" i="2"/>
  <c r="I521" i="2"/>
  <c r="H521" i="2"/>
  <c r="G521" i="2"/>
  <c r="F521" i="2"/>
  <c r="D521" i="2"/>
  <c r="E521" i="2" s="1"/>
  <c r="C521" i="2"/>
  <c r="A521" i="2"/>
  <c r="U520" i="2"/>
  <c r="L520" i="2"/>
  <c r="I520" i="2"/>
  <c r="H520" i="2"/>
  <c r="G520" i="2"/>
  <c r="F520" i="2"/>
  <c r="D520" i="2"/>
  <c r="E520" i="2" s="1"/>
  <c r="C520" i="2"/>
  <c r="A520" i="2"/>
  <c r="U519" i="2"/>
  <c r="L519" i="2"/>
  <c r="I519" i="2"/>
  <c r="H519" i="2"/>
  <c r="G519" i="2"/>
  <c r="F519" i="2"/>
  <c r="D519" i="2"/>
  <c r="E519" i="2" s="1"/>
  <c r="C519" i="2"/>
  <c r="A519" i="2"/>
  <c r="U518" i="2"/>
  <c r="L518" i="2"/>
  <c r="I518" i="2"/>
  <c r="H518" i="2"/>
  <c r="G518" i="2"/>
  <c r="F518" i="2"/>
  <c r="D518" i="2"/>
  <c r="E518" i="2" s="1"/>
  <c r="C518" i="2"/>
  <c r="A518" i="2"/>
  <c r="U517" i="2"/>
  <c r="L517" i="2"/>
  <c r="I517" i="2"/>
  <c r="H517" i="2"/>
  <c r="G517" i="2"/>
  <c r="F517" i="2"/>
  <c r="D517" i="2"/>
  <c r="E517" i="2" s="1"/>
  <c r="C517" i="2"/>
  <c r="A517" i="2"/>
  <c r="U516" i="2"/>
  <c r="L516" i="2"/>
  <c r="I516" i="2"/>
  <c r="H516" i="2"/>
  <c r="G516" i="2"/>
  <c r="F516" i="2"/>
  <c r="D516" i="2"/>
  <c r="E516" i="2" s="1"/>
  <c r="C516" i="2"/>
  <c r="A516" i="2"/>
  <c r="U515" i="2"/>
  <c r="L515" i="2"/>
  <c r="I515" i="2"/>
  <c r="H515" i="2"/>
  <c r="G515" i="2"/>
  <c r="F515" i="2"/>
  <c r="D515" i="2"/>
  <c r="E515" i="2" s="1"/>
  <c r="C515" i="2"/>
  <c r="A515" i="2"/>
  <c r="U514" i="2"/>
  <c r="L514" i="2"/>
  <c r="I514" i="2"/>
  <c r="H514" i="2"/>
  <c r="G514" i="2"/>
  <c r="F514" i="2"/>
  <c r="D514" i="2"/>
  <c r="E514" i="2" s="1"/>
  <c r="C514" i="2"/>
  <c r="A514" i="2"/>
  <c r="U513" i="2"/>
  <c r="L513" i="2"/>
  <c r="I513" i="2"/>
  <c r="H513" i="2"/>
  <c r="G513" i="2"/>
  <c r="F513" i="2"/>
  <c r="D513" i="2"/>
  <c r="E513" i="2" s="1"/>
  <c r="C513" i="2"/>
  <c r="A513" i="2"/>
  <c r="U512" i="2"/>
  <c r="L512" i="2"/>
  <c r="I512" i="2"/>
  <c r="H512" i="2"/>
  <c r="G512" i="2"/>
  <c r="F512" i="2"/>
  <c r="D512" i="2"/>
  <c r="E512" i="2" s="1"/>
  <c r="C512" i="2"/>
  <c r="A512" i="2"/>
  <c r="U511" i="2"/>
  <c r="L511" i="2"/>
  <c r="I511" i="2"/>
  <c r="H511" i="2"/>
  <c r="G511" i="2"/>
  <c r="F511" i="2"/>
  <c r="D511" i="2"/>
  <c r="E511" i="2" s="1"/>
  <c r="C511" i="2"/>
  <c r="A511" i="2"/>
  <c r="U510" i="2"/>
  <c r="L510" i="2"/>
  <c r="I510" i="2"/>
  <c r="H510" i="2"/>
  <c r="G510" i="2"/>
  <c r="F510" i="2"/>
  <c r="D510" i="2"/>
  <c r="E510" i="2" s="1"/>
  <c r="C510" i="2"/>
  <c r="A510" i="2"/>
  <c r="U509" i="2"/>
  <c r="L509" i="2"/>
  <c r="I509" i="2"/>
  <c r="H509" i="2"/>
  <c r="G509" i="2"/>
  <c r="F509" i="2"/>
  <c r="D509" i="2"/>
  <c r="E509" i="2" s="1"/>
  <c r="C509" i="2"/>
  <c r="A509" i="2"/>
  <c r="U508" i="2"/>
  <c r="L508" i="2"/>
  <c r="I508" i="2"/>
  <c r="H508" i="2"/>
  <c r="G508" i="2"/>
  <c r="F508" i="2"/>
  <c r="D508" i="2"/>
  <c r="E508" i="2" s="1"/>
  <c r="C508" i="2"/>
  <c r="A508" i="2"/>
  <c r="U507" i="2"/>
  <c r="L507" i="2"/>
  <c r="I507" i="2"/>
  <c r="H507" i="2"/>
  <c r="G507" i="2"/>
  <c r="F507" i="2"/>
  <c r="D507" i="2"/>
  <c r="E507" i="2" s="1"/>
  <c r="C507" i="2"/>
  <c r="A507" i="2"/>
  <c r="U506" i="2"/>
  <c r="L506" i="2"/>
  <c r="I506" i="2"/>
  <c r="H506" i="2"/>
  <c r="G506" i="2"/>
  <c r="F506" i="2"/>
  <c r="D506" i="2"/>
  <c r="E506" i="2" s="1"/>
  <c r="C506" i="2"/>
  <c r="A506" i="2"/>
  <c r="U505" i="2"/>
  <c r="L505" i="2"/>
  <c r="I505" i="2"/>
  <c r="H505" i="2"/>
  <c r="G505" i="2"/>
  <c r="F505" i="2"/>
  <c r="D505" i="2"/>
  <c r="E505" i="2" s="1"/>
  <c r="C505" i="2"/>
  <c r="A505" i="2"/>
  <c r="U504" i="2"/>
  <c r="L504" i="2"/>
  <c r="I504" i="2"/>
  <c r="H504" i="2"/>
  <c r="G504" i="2"/>
  <c r="F504" i="2"/>
  <c r="D504" i="2"/>
  <c r="E504" i="2" s="1"/>
  <c r="C504" i="2"/>
  <c r="A504" i="2"/>
  <c r="U503" i="2"/>
  <c r="L503" i="2"/>
  <c r="I503" i="2"/>
  <c r="H503" i="2"/>
  <c r="G503" i="2"/>
  <c r="F503" i="2"/>
  <c r="D503" i="2"/>
  <c r="E503" i="2" s="1"/>
  <c r="C503" i="2"/>
  <c r="A503" i="2"/>
  <c r="U502" i="2"/>
  <c r="L502" i="2"/>
  <c r="I502" i="2"/>
  <c r="H502" i="2"/>
  <c r="G502" i="2"/>
  <c r="F502" i="2"/>
  <c r="D502" i="2"/>
  <c r="E502" i="2" s="1"/>
  <c r="C502" i="2"/>
  <c r="A502" i="2"/>
  <c r="U501" i="2"/>
  <c r="L501" i="2"/>
  <c r="I501" i="2"/>
  <c r="H501" i="2"/>
  <c r="G501" i="2"/>
  <c r="F501" i="2"/>
  <c r="D501" i="2"/>
  <c r="E501" i="2" s="1"/>
  <c r="C501" i="2"/>
  <c r="A501" i="2"/>
  <c r="U500" i="2"/>
  <c r="L500" i="2"/>
  <c r="I500" i="2"/>
  <c r="H500" i="2"/>
  <c r="G500" i="2"/>
  <c r="F500" i="2"/>
  <c r="D500" i="2"/>
  <c r="E500" i="2" s="1"/>
  <c r="C500" i="2"/>
  <c r="A500" i="2"/>
  <c r="U499" i="2"/>
  <c r="L499" i="2"/>
  <c r="I499" i="2"/>
  <c r="H499" i="2"/>
  <c r="G499" i="2"/>
  <c r="F499" i="2"/>
  <c r="D499" i="2"/>
  <c r="E499" i="2" s="1"/>
  <c r="C499" i="2"/>
  <c r="A499" i="2"/>
  <c r="U498" i="2"/>
  <c r="L498" i="2"/>
  <c r="I498" i="2"/>
  <c r="H498" i="2"/>
  <c r="G498" i="2"/>
  <c r="F498" i="2"/>
  <c r="D498" i="2"/>
  <c r="E498" i="2" s="1"/>
  <c r="C498" i="2"/>
  <c r="A498" i="2"/>
  <c r="U497" i="2"/>
  <c r="L497" i="2"/>
  <c r="I497" i="2"/>
  <c r="H497" i="2"/>
  <c r="G497" i="2"/>
  <c r="F497" i="2"/>
  <c r="D497" i="2"/>
  <c r="E497" i="2" s="1"/>
  <c r="C497" i="2"/>
  <c r="A497" i="2"/>
  <c r="U496" i="2"/>
  <c r="L496" i="2"/>
  <c r="I496" i="2"/>
  <c r="H496" i="2"/>
  <c r="G496" i="2"/>
  <c r="F496" i="2"/>
  <c r="D496" i="2"/>
  <c r="E496" i="2" s="1"/>
  <c r="C496" i="2"/>
  <c r="A496" i="2"/>
  <c r="U495" i="2"/>
  <c r="L495" i="2"/>
  <c r="I495" i="2"/>
  <c r="H495" i="2"/>
  <c r="G495" i="2"/>
  <c r="F495" i="2"/>
  <c r="D495" i="2"/>
  <c r="E495" i="2" s="1"/>
  <c r="C495" i="2"/>
  <c r="A495" i="2"/>
  <c r="U494" i="2"/>
  <c r="L494" i="2"/>
  <c r="I494" i="2"/>
  <c r="H494" i="2"/>
  <c r="G494" i="2"/>
  <c r="F494" i="2"/>
  <c r="D494" i="2"/>
  <c r="E494" i="2" s="1"/>
  <c r="C494" i="2"/>
  <c r="A494" i="2"/>
  <c r="U493" i="2"/>
  <c r="L493" i="2"/>
  <c r="I493" i="2"/>
  <c r="H493" i="2"/>
  <c r="G493" i="2"/>
  <c r="F493" i="2"/>
  <c r="D493" i="2"/>
  <c r="E493" i="2" s="1"/>
  <c r="C493" i="2"/>
  <c r="A493" i="2"/>
  <c r="U492" i="2"/>
  <c r="L492" i="2"/>
  <c r="I492" i="2"/>
  <c r="H492" i="2"/>
  <c r="G492" i="2"/>
  <c r="F492" i="2"/>
  <c r="D492" i="2"/>
  <c r="E492" i="2" s="1"/>
  <c r="C492" i="2"/>
  <c r="A492" i="2"/>
  <c r="U491" i="2"/>
  <c r="L491" i="2"/>
  <c r="I491" i="2"/>
  <c r="H491" i="2"/>
  <c r="G491" i="2"/>
  <c r="F491" i="2"/>
  <c r="D491" i="2"/>
  <c r="E491" i="2" s="1"/>
  <c r="C491" i="2"/>
  <c r="U490" i="2"/>
  <c r="L490" i="2"/>
  <c r="I490" i="2"/>
  <c r="H490" i="2"/>
  <c r="G490" i="2"/>
  <c r="F490" i="2"/>
  <c r="D490" i="2"/>
  <c r="E490" i="2" s="1"/>
  <c r="C490" i="2"/>
  <c r="U489" i="2"/>
  <c r="L489" i="2"/>
  <c r="I489" i="2"/>
  <c r="H489" i="2"/>
  <c r="G489" i="2"/>
  <c r="F489" i="2"/>
  <c r="F228" i="5" s="1"/>
  <c r="D489" i="2"/>
  <c r="E489" i="2" s="1"/>
  <c r="C489" i="2"/>
  <c r="U488" i="2"/>
  <c r="L488" i="2"/>
  <c r="I488" i="2"/>
  <c r="H488" i="2"/>
  <c r="G488" i="2"/>
  <c r="F488" i="2"/>
  <c r="F227" i="5" s="1"/>
  <c r="D488" i="2"/>
  <c r="E488" i="2" s="1"/>
  <c r="C488" i="2"/>
  <c r="U487" i="2"/>
  <c r="L487" i="2"/>
  <c r="I487" i="2"/>
  <c r="H487" i="2"/>
  <c r="G487" i="2"/>
  <c r="F487" i="2"/>
  <c r="D487" i="2"/>
  <c r="E487" i="2" s="1"/>
  <c r="C487" i="2"/>
  <c r="U486" i="2"/>
  <c r="L486" i="2"/>
  <c r="I486" i="2"/>
  <c r="H486" i="2"/>
  <c r="G486" i="2"/>
  <c r="F486" i="2"/>
  <c r="F226" i="5" s="1"/>
  <c r="D486" i="2"/>
  <c r="E486" i="2" s="1"/>
  <c r="C486" i="2"/>
  <c r="U485" i="2"/>
  <c r="L485" i="2"/>
  <c r="I485" i="2"/>
  <c r="H485" i="2"/>
  <c r="G485" i="2"/>
  <c r="F485" i="2"/>
  <c r="D485" i="2"/>
  <c r="E485" i="2" s="1"/>
  <c r="C485" i="2"/>
  <c r="U484" i="2"/>
  <c r="L484" i="2"/>
  <c r="I484" i="2"/>
  <c r="H484" i="2"/>
  <c r="G484" i="2"/>
  <c r="F484" i="2"/>
  <c r="D484" i="2"/>
  <c r="E484" i="2" s="1"/>
  <c r="C484" i="2"/>
  <c r="U483" i="2"/>
  <c r="L483" i="2"/>
  <c r="I483" i="2"/>
  <c r="H483" i="2"/>
  <c r="G483" i="2"/>
  <c r="F483" i="2"/>
  <c r="D483" i="2"/>
  <c r="E483" i="2" s="1"/>
  <c r="C483" i="2"/>
  <c r="U482" i="2"/>
  <c r="L482" i="2"/>
  <c r="I482" i="2"/>
  <c r="H482" i="2"/>
  <c r="G482" i="2"/>
  <c r="F482" i="2"/>
  <c r="D482" i="2"/>
  <c r="E482" i="2" s="1"/>
  <c r="C482" i="2"/>
  <c r="U481" i="2"/>
  <c r="L481" i="2"/>
  <c r="I481" i="2"/>
  <c r="H481" i="2"/>
  <c r="G481" i="2"/>
  <c r="F481" i="2"/>
  <c r="D481" i="2"/>
  <c r="E481" i="2" s="1"/>
  <c r="C481" i="2"/>
  <c r="U480" i="2"/>
  <c r="L480" i="2"/>
  <c r="I480" i="2"/>
  <c r="H480" i="2"/>
  <c r="G480" i="2"/>
  <c r="F480" i="2"/>
  <c r="D480" i="2"/>
  <c r="E480" i="2" s="1"/>
  <c r="C480" i="2"/>
  <c r="U479" i="2"/>
  <c r="L479" i="2"/>
  <c r="I479" i="2"/>
  <c r="H479" i="2"/>
  <c r="G479" i="2"/>
  <c r="F479" i="2"/>
  <c r="D479" i="2"/>
  <c r="E479" i="2" s="1"/>
  <c r="C479" i="2"/>
  <c r="U478" i="2"/>
  <c r="L478" i="2"/>
  <c r="I478" i="2"/>
  <c r="H478" i="2"/>
  <c r="G478" i="2"/>
  <c r="F478" i="2"/>
  <c r="D478" i="2"/>
  <c r="E478" i="2" s="1"/>
  <c r="C478" i="2"/>
  <c r="U477" i="2"/>
  <c r="L477" i="2"/>
  <c r="I477" i="2"/>
  <c r="H477" i="2"/>
  <c r="G477" i="2"/>
  <c r="F477" i="2"/>
  <c r="D477" i="2"/>
  <c r="E477" i="2" s="1"/>
  <c r="C477" i="2"/>
  <c r="U476" i="2"/>
  <c r="L476" i="2"/>
  <c r="I476" i="2"/>
  <c r="H476" i="2"/>
  <c r="G476" i="2"/>
  <c r="F476" i="2"/>
  <c r="D476" i="2"/>
  <c r="E476" i="2" s="1"/>
  <c r="C476" i="2"/>
  <c r="U475" i="2"/>
  <c r="L475" i="2"/>
  <c r="I475" i="2"/>
  <c r="H475" i="2"/>
  <c r="G475" i="2"/>
  <c r="F475" i="2"/>
  <c r="D475" i="2"/>
  <c r="E475" i="2" s="1"/>
  <c r="C475" i="2"/>
  <c r="U474" i="2"/>
  <c r="L474" i="2"/>
  <c r="I474" i="2"/>
  <c r="H474" i="2"/>
  <c r="G474" i="2"/>
  <c r="F474" i="2"/>
  <c r="D474" i="2"/>
  <c r="E474" i="2" s="1"/>
  <c r="C474" i="2"/>
  <c r="U473" i="2"/>
  <c r="L473" i="2"/>
  <c r="I473" i="2"/>
  <c r="H473" i="2"/>
  <c r="G473" i="2"/>
  <c r="F473" i="2"/>
  <c r="D473" i="2"/>
  <c r="E473" i="2" s="1"/>
  <c r="C473" i="2"/>
  <c r="U472" i="2"/>
  <c r="L472" i="2"/>
  <c r="I472" i="2"/>
  <c r="H472" i="2"/>
  <c r="G472" i="2"/>
  <c r="F472" i="2"/>
  <c r="D472" i="2"/>
  <c r="E472" i="2" s="1"/>
  <c r="C472" i="2"/>
  <c r="U471" i="2"/>
  <c r="L471" i="2"/>
  <c r="I471" i="2"/>
  <c r="H471" i="2"/>
  <c r="G471" i="2"/>
  <c r="F471" i="2"/>
  <c r="D471" i="2"/>
  <c r="E471" i="2" s="1"/>
  <c r="C471" i="2"/>
  <c r="U470" i="2"/>
  <c r="L470" i="2"/>
  <c r="I470" i="2"/>
  <c r="H470" i="2"/>
  <c r="G470" i="2"/>
  <c r="F470" i="2"/>
  <c r="D470" i="2"/>
  <c r="E470" i="2" s="1"/>
  <c r="C470" i="2"/>
  <c r="U469" i="2"/>
  <c r="L469" i="2"/>
  <c r="I469" i="2"/>
  <c r="H469" i="2"/>
  <c r="G469" i="2"/>
  <c r="F469" i="2"/>
  <c r="D469" i="2"/>
  <c r="E469" i="2" s="1"/>
  <c r="C469" i="2"/>
  <c r="U468" i="2"/>
  <c r="L468" i="2"/>
  <c r="I468" i="2"/>
  <c r="H468" i="2"/>
  <c r="G468" i="2"/>
  <c r="F468" i="2"/>
  <c r="D468" i="2"/>
  <c r="E468" i="2" s="1"/>
  <c r="C468" i="2"/>
  <c r="U467" i="2"/>
  <c r="L467" i="2"/>
  <c r="I467" i="2"/>
  <c r="H467" i="2"/>
  <c r="G467" i="2"/>
  <c r="F467" i="2"/>
  <c r="D467" i="2"/>
  <c r="E467" i="2" s="1"/>
  <c r="C467" i="2"/>
  <c r="U466" i="2"/>
  <c r="L466" i="2"/>
  <c r="I466" i="2"/>
  <c r="H466" i="2"/>
  <c r="G466" i="2"/>
  <c r="F466" i="2"/>
  <c r="F247" i="5" s="1"/>
  <c r="D466" i="2"/>
  <c r="E466" i="2" s="1"/>
  <c r="C466" i="2"/>
  <c r="U465" i="2"/>
  <c r="L465" i="2"/>
  <c r="I465" i="2"/>
  <c r="H465" i="2"/>
  <c r="G465" i="2"/>
  <c r="F465" i="2"/>
  <c r="F246" i="5" s="1"/>
  <c r="D465" i="2"/>
  <c r="E465" i="2" s="1"/>
  <c r="C465" i="2"/>
  <c r="U464" i="2"/>
  <c r="L464" i="2"/>
  <c r="I464" i="2"/>
  <c r="H464" i="2"/>
  <c r="G464" i="2"/>
  <c r="F464" i="2"/>
  <c r="F245" i="5" s="1"/>
  <c r="D464" i="2"/>
  <c r="E464" i="2" s="1"/>
  <c r="C464" i="2"/>
  <c r="U463" i="2"/>
  <c r="L463" i="2"/>
  <c r="I463" i="2"/>
  <c r="H463" i="2"/>
  <c r="G463" i="2"/>
  <c r="F463" i="2"/>
  <c r="F244" i="5" s="1"/>
  <c r="D463" i="2"/>
  <c r="E463" i="2" s="1"/>
  <c r="C463" i="2"/>
  <c r="U462" i="2"/>
  <c r="L462" i="2"/>
  <c r="I462" i="2"/>
  <c r="H462" i="2"/>
  <c r="G462" i="2"/>
  <c r="F462" i="2"/>
  <c r="D462" i="2"/>
  <c r="E462" i="2" s="1"/>
  <c r="C462" i="2"/>
  <c r="U461" i="2"/>
  <c r="L461" i="2"/>
  <c r="I461" i="2"/>
  <c r="H461" i="2"/>
  <c r="G461" i="2"/>
  <c r="F461" i="2"/>
  <c r="D461" i="2"/>
  <c r="E461" i="2" s="1"/>
  <c r="C461" i="2"/>
  <c r="U460" i="2"/>
  <c r="L460" i="2"/>
  <c r="I460" i="2"/>
  <c r="H460" i="2"/>
  <c r="G460" i="2"/>
  <c r="F460" i="2"/>
  <c r="D460" i="2"/>
  <c r="E460" i="2" s="1"/>
  <c r="C460" i="2"/>
  <c r="U459" i="2"/>
  <c r="L459" i="2"/>
  <c r="I459" i="2"/>
  <c r="H459" i="2"/>
  <c r="G459" i="2"/>
  <c r="F459" i="2"/>
  <c r="D459" i="2"/>
  <c r="E459" i="2" s="1"/>
  <c r="C459" i="2"/>
  <c r="U458" i="2"/>
  <c r="L458" i="2"/>
  <c r="I458" i="2"/>
  <c r="H458" i="2"/>
  <c r="G458" i="2"/>
  <c r="F458" i="2"/>
  <c r="D458" i="2"/>
  <c r="E458" i="2" s="1"/>
  <c r="C458" i="2"/>
  <c r="U457" i="2"/>
  <c r="L457" i="2"/>
  <c r="I457" i="2"/>
  <c r="H457" i="2"/>
  <c r="G457" i="2"/>
  <c r="F457" i="2"/>
  <c r="D457" i="2"/>
  <c r="E457" i="2" s="1"/>
  <c r="C457" i="2"/>
  <c r="U456" i="2"/>
  <c r="L456" i="2"/>
  <c r="I456" i="2"/>
  <c r="H456" i="2"/>
  <c r="G456" i="2"/>
  <c r="F456" i="2"/>
  <c r="F225" i="5" s="1"/>
  <c r="D456" i="2"/>
  <c r="E456" i="2" s="1"/>
  <c r="C456" i="2"/>
  <c r="U455" i="2"/>
  <c r="L455" i="2"/>
  <c r="I455" i="2"/>
  <c r="H455" i="2"/>
  <c r="G455" i="2"/>
  <c r="F455" i="2"/>
  <c r="F224" i="5" s="1"/>
  <c r="D455" i="2"/>
  <c r="E455" i="2" s="1"/>
  <c r="C455" i="2"/>
  <c r="U454" i="2"/>
  <c r="L454" i="2"/>
  <c r="I454" i="2"/>
  <c r="H454" i="2"/>
  <c r="G454" i="2"/>
  <c r="F454" i="2"/>
  <c r="D454" i="2"/>
  <c r="E454" i="2" s="1"/>
  <c r="C454" i="2"/>
  <c r="U453" i="2"/>
  <c r="L453" i="2"/>
  <c r="I453" i="2"/>
  <c r="H453" i="2"/>
  <c r="G453" i="2"/>
  <c r="F453" i="2"/>
  <c r="D453" i="2"/>
  <c r="E453" i="2" s="1"/>
  <c r="C453" i="2"/>
  <c r="U452" i="2"/>
  <c r="L452" i="2"/>
  <c r="I452" i="2"/>
  <c r="H452" i="2"/>
  <c r="G452" i="2"/>
  <c r="F452" i="2"/>
  <c r="F223" i="5" s="1"/>
  <c r="D452" i="2"/>
  <c r="E452" i="2" s="1"/>
  <c r="C452" i="2"/>
  <c r="U451" i="2"/>
  <c r="L451" i="2"/>
  <c r="I451" i="2"/>
  <c r="H451" i="2"/>
  <c r="G451" i="2"/>
  <c r="F451" i="2"/>
  <c r="F222" i="5" s="1"/>
  <c r="D451" i="2"/>
  <c r="E451" i="2" s="1"/>
  <c r="C451" i="2"/>
  <c r="U450" i="2"/>
  <c r="L450" i="2"/>
  <c r="I450" i="2"/>
  <c r="H450" i="2"/>
  <c r="G450" i="2"/>
  <c r="F450" i="2"/>
  <c r="F221" i="5" s="1"/>
  <c r="D450" i="2"/>
  <c r="E450" i="2" s="1"/>
  <c r="C450" i="2"/>
  <c r="U449" i="2"/>
  <c r="L449" i="2"/>
  <c r="I449" i="2"/>
  <c r="H449" i="2"/>
  <c r="G449" i="2"/>
  <c r="F449" i="2"/>
  <c r="F220" i="5" s="1"/>
  <c r="D449" i="2"/>
  <c r="E449" i="2" s="1"/>
  <c r="C449" i="2"/>
  <c r="U448" i="2"/>
  <c r="L448" i="2"/>
  <c r="I448" i="2"/>
  <c r="H448" i="2"/>
  <c r="G448" i="2"/>
  <c r="F448" i="2"/>
  <c r="F219" i="5" s="1"/>
  <c r="D448" i="2"/>
  <c r="E448" i="2" s="1"/>
  <c r="C448" i="2"/>
  <c r="U447" i="2"/>
  <c r="L447" i="2"/>
  <c r="I447" i="2"/>
  <c r="H447" i="2"/>
  <c r="G447" i="2"/>
  <c r="F447" i="2"/>
  <c r="F218" i="5" s="1"/>
  <c r="D447" i="2"/>
  <c r="E447" i="2" s="1"/>
  <c r="C447" i="2"/>
  <c r="U446" i="2"/>
  <c r="L446" i="2"/>
  <c r="I446" i="2"/>
  <c r="H446" i="2"/>
  <c r="G446" i="2"/>
  <c r="F446" i="2"/>
  <c r="D446" i="2"/>
  <c r="E446" i="2" s="1"/>
  <c r="C446" i="2"/>
  <c r="U445" i="2"/>
  <c r="L445" i="2"/>
  <c r="I445" i="2"/>
  <c r="H445" i="2"/>
  <c r="G445" i="2"/>
  <c r="F445" i="2"/>
  <c r="D445" i="2"/>
  <c r="E445" i="2" s="1"/>
  <c r="C445" i="2"/>
  <c r="U444" i="2"/>
  <c r="L444" i="2"/>
  <c r="I444" i="2"/>
  <c r="H444" i="2"/>
  <c r="G444" i="2"/>
  <c r="F444" i="2"/>
  <c r="D444" i="2"/>
  <c r="E444" i="2" s="1"/>
  <c r="C444" i="2"/>
  <c r="U443" i="2"/>
  <c r="L443" i="2"/>
  <c r="I443" i="2"/>
  <c r="H443" i="2"/>
  <c r="G443" i="2"/>
  <c r="F443" i="2"/>
  <c r="D443" i="2"/>
  <c r="E443" i="2" s="1"/>
  <c r="C443" i="2"/>
  <c r="U442" i="2"/>
  <c r="L442" i="2"/>
  <c r="I442" i="2"/>
  <c r="H442" i="2"/>
  <c r="G442" i="2"/>
  <c r="F442" i="2"/>
  <c r="D442" i="2"/>
  <c r="E442" i="2" s="1"/>
  <c r="C442" i="2"/>
  <c r="U441" i="2"/>
  <c r="L441" i="2"/>
  <c r="I441" i="2"/>
  <c r="H441" i="2"/>
  <c r="G441" i="2"/>
  <c r="F441" i="2"/>
  <c r="D441" i="2"/>
  <c r="E441" i="2" s="1"/>
  <c r="C441" i="2"/>
  <c r="U440" i="2"/>
  <c r="L440" i="2"/>
  <c r="I440" i="2"/>
  <c r="H440" i="2"/>
  <c r="G440" i="2"/>
  <c r="F440" i="2"/>
  <c r="F217" i="5" s="1"/>
  <c r="D440" i="2"/>
  <c r="E440" i="2" s="1"/>
  <c r="C440" i="2"/>
  <c r="U439" i="2"/>
  <c r="L439" i="2"/>
  <c r="I439" i="2"/>
  <c r="H439" i="2"/>
  <c r="G439" i="2"/>
  <c r="F439" i="2"/>
  <c r="F216" i="5" s="1"/>
  <c r="D439" i="2"/>
  <c r="E439" i="2" s="1"/>
  <c r="C439" i="2"/>
  <c r="U438" i="2"/>
  <c r="L438" i="2"/>
  <c r="I438" i="2"/>
  <c r="H438" i="2"/>
  <c r="G438" i="2"/>
  <c r="F438" i="2"/>
  <c r="F215" i="5" s="1"/>
  <c r="D438" i="2"/>
  <c r="E438" i="2" s="1"/>
  <c r="C438" i="2"/>
  <c r="U437" i="2"/>
  <c r="L437" i="2"/>
  <c r="I437" i="2"/>
  <c r="H437" i="2"/>
  <c r="G437" i="2"/>
  <c r="F437" i="2"/>
  <c r="F214" i="5" s="1"/>
  <c r="D437" i="2"/>
  <c r="E437" i="2" s="1"/>
  <c r="C437" i="2"/>
  <c r="U436" i="2"/>
  <c r="L436" i="2"/>
  <c r="I436" i="2"/>
  <c r="H436" i="2"/>
  <c r="G436" i="2"/>
  <c r="F436" i="2"/>
  <c r="D436" i="2"/>
  <c r="E436" i="2" s="1"/>
  <c r="C436" i="2"/>
  <c r="U435" i="2"/>
  <c r="L435" i="2"/>
  <c r="I435" i="2"/>
  <c r="H435" i="2"/>
  <c r="G435" i="2"/>
  <c r="F435" i="2"/>
  <c r="D435" i="2"/>
  <c r="E435" i="2" s="1"/>
  <c r="C435" i="2"/>
  <c r="U434" i="2"/>
  <c r="L434" i="2"/>
  <c r="I434" i="2"/>
  <c r="H434" i="2"/>
  <c r="G434" i="2"/>
  <c r="F434" i="2"/>
  <c r="D434" i="2"/>
  <c r="E434" i="2" s="1"/>
  <c r="C434" i="2"/>
  <c r="U433" i="2"/>
  <c r="L433" i="2"/>
  <c r="I433" i="2"/>
  <c r="H433" i="2"/>
  <c r="G433" i="2"/>
  <c r="F433" i="2"/>
  <c r="D433" i="2"/>
  <c r="E433" i="2" s="1"/>
  <c r="C433" i="2"/>
  <c r="U432" i="2"/>
  <c r="L432" i="2"/>
  <c r="I432" i="2"/>
  <c r="H432" i="2"/>
  <c r="G432" i="2"/>
  <c r="F432" i="2"/>
  <c r="F213" i="5" s="1"/>
  <c r="D432" i="2"/>
  <c r="E432" i="2" s="1"/>
  <c r="C432" i="2"/>
  <c r="U431" i="2"/>
  <c r="L431" i="2"/>
  <c r="I431" i="2"/>
  <c r="H431" i="2"/>
  <c r="G431" i="2"/>
  <c r="F431" i="2"/>
  <c r="F212" i="5" s="1"/>
  <c r="D431" i="2"/>
  <c r="E431" i="2" s="1"/>
  <c r="C431" i="2"/>
  <c r="U430" i="2"/>
  <c r="L430" i="2"/>
  <c r="I430" i="2"/>
  <c r="H430" i="2"/>
  <c r="G430" i="2"/>
  <c r="F430" i="2"/>
  <c r="D430" i="2"/>
  <c r="E430" i="2" s="1"/>
  <c r="C430" i="2"/>
  <c r="U429" i="2"/>
  <c r="L429" i="2"/>
  <c r="I429" i="2"/>
  <c r="H429" i="2"/>
  <c r="G429" i="2"/>
  <c r="F429" i="2"/>
  <c r="D429" i="2"/>
  <c r="E429" i="2" s="1"/>
  <c r="C429" i="2"/>
  <c r="U428" i="2"/>
  <c r="L428" i="2"/>
  <c r="I428" i="2"/>
  <c r="H428" i="2"/>
  <c r="G428" i="2"/>
  <c r="F428" i="2"/>
  <c r="D428" i="2"/>
  <c r="E428" i="2" s="1"/>
  <c r="C428" i="2"/>
  <c r="U427" i="2"/>
  <c r="L427" i="2"/>
  <c r="I427" i="2"/>
  <c r="H427" i="2"/>
  <c r="G427" i="2"/>
  <c r="F427" i="2"/>
  <c r="D427" i="2"/>
  <c r="E427" i="2" s="1"/>
  <c r="C427" i="2"/>
  <c r="U426" i="2"/>
  <c r="L426" i="2"/>
  <c r="I426" i="2"/>
  <c r="H426" i="2"/>
  <c r="G426" i="2"/>
  <c r="F426" i="2"/>
  <c r="D426" i="2"/>
  <c r="E426" i="2" s="1"/>
  <c r="C426" i="2"/>
  <c r="U425" i="2"/>
  <c r="L425" i="2"/>
  <c r="I425" i="2"/>
  <c r="H425" i="2"/>
  <c r="G425" i="2"/>
  <c r="F425" i="2"/>
  <c r="D425" i="2"/>
  <c r="E425" i="2" s="1"/>
  <c r="C425" i="2"/>
  <c r="U424" i="2"/>
  <c r="L424" i="2"/>
  <c r="I424" i="2"/>
  <c r="H424" i="2"/>
  <c r="G424" i="2"/>
  <c r="F424" i="2"/>
  <c r="D424" i="2"/>
  <c r="E424" i="2" s="1"/>
  <c r="C424" i="2"/>
  <c r="U423" i="2"/>
  <c r="L423" i="2"/>
  <c r="I423" i="2"/>
  <c r="H423" i="2"/>
  <c r="G423" i="2"/>
  <c r="F423" i="2"/>
  <c r="D423" i="2"/>
  <c r="E423" i="2" s="1"/>
  <c r="C423" i="2"/>
  <c r="U422" i="2"/>
  <c r="L422" i="2"/>
  <c r="I422" i="2"/>
  <c r="H422" i="2"/>
  <c r="G422" i="2"/>
  <c r="F422" i="2"/>
  <c r="D422" i="2"/>
  <c r="E422" i="2" s="1"/>
  <c r="C422" i="2"/>
  <c r="U421" i="2"/>
  <c r="L421" i="2"/>
  <c r="I421" i="2"/>
  <c r="H421" i="2"/>
  <c r="G421" i="2"/>
  <c r="F421" i="2"/>
  <c r="D421" i="2"/>
  <c r="E421" i="2" s="1"/>
  <c r="C421" i="2"/>
  <c r="U420" i="2"/>
  <c r="L420" i="2"/>
  <c r="I420" i="2"/>
  <c r="H420" i="2"/>
  <c r="G420" i="2"/>
  <c r="F420" i="2"/>
  <c r="D420" i="2"/>
  <c r="E420" i="2" s="1"/>
  <c r="C420" i="2"/>
  <c r="U419" i="2"/>
  <c r="L419" i="2"/>
  <c r="I419" i="2"/>
  <c r="H419" i="2"/>
  <c r="G419" i="2"/>
  <c r="F419" i="2"/>
  <c r="D419" i="2"/>
  <c r="E419" i="2" s="1"/>
  <c r="C419" i="2"/>
  <c r="U418" i="2"/>
  <c r="L418" i="2"/>
  <c r="I418" i="2"/>
  <c r="H418" i="2"/>
  <c r="G418" i="2"/>
  <c r="F418" i="2"/>
  <c r="D418" i="2"/>
  <c r="E418" i="2" s="1"/>
  <c r="C418" i="2"/>
  <c r="U417" i="2"/>
  <c r="L417" i="2"/>
  <c r="I417" i="2"/>
  <c r="H417" i="2"/>
  <c r="G417" i="2"/>
  <c r="F417" i="2"/>
  <c r="D417" i="2"/>
  <c r="E417" i="2" s="1"/>
  <c r="C417" i="2"/>
  <c r="U416" i="2"/>
  <c r="L416" i="2"/>
  <c r="I416" i="2"/>
  <c r="H416" i="2"/>
  <c r="G416" i="2"/>
  <c r="F416" i="2"/>
  <c r="D416" i="2"/>
  <c r="E416" i="2" s="1"/>
  <c r="C416" i="2"/>
  <c r="U415" i="2"/>
  <c r="L415" i="2"/>
  <c r="I415" i="2"/>
  <c r="H415" i="2"/>
  <c r="G415" i="2"/>
  <c r="F415" i="2"/>
  <c r="D415" i="2"/>
  <c r="E415" i="2" s="1"/>
  <c r="C415" i="2"/>
  <c r="U414" i="2"/>
  <c r="L414" i="2"/>
  <c r="I414" i="2"/>
  <c r="H414" i="2"/>
  <c r="G414" i="2"/>
  <c r="F414" i="2"/>
  <c r="D414" i="2"/>
  <c r="E414" i="2" s="1"/>
  <c r="C414" i="2"/>
  <c r="U413" i="2"/>
  <c r="L413" i="2"/>
  <c r="I413" i="2"/>
  <c r="H413" i="2"/>
  <c r="G413" i="2"/>
  <c r="F413" i="2"/>
  <c r="F211" i="5" s="1"/>
  <c r="D413" i="2"/>
  <c r="E413" i="2" s="1"/>
  <c r="C413" i="2"/>
  <c r="U412" i="2"/>
  <c r="L412" i="2"/>
  <c r="I412" i="2"/>
  <c r="H412" i="2"/>
  <c r="G412" i="2"/>
  <c r="F412" i="2"/>
  <c r="F210" i="5" s="1"/>
  <c r="D412" i="2"/>
  <c r="E412" i="2" s="1"/>
  <c r="C412" i="2"/>
  <c r="U411" i="2"/>
  <c r="L411" i="2"/>
  <c r="I411" i="2"/>
  <c r="H411" i="2"/>
  <c r="G411" i="2"/>
  <c r="F411" i="2"/>
  <c r="F209" i="5" s="1"/>
  <c r="D411" i="2"/>
  <c r="E411" i="2" s="1"/>
  <c r="C411" i="2"/>
  <c r="U410" i="2"/>
  <c r="L410" i="2"/>
  <c r="I410" i="2"/>
  <c r="H410" i="2"/>
  <c r="G410" i="2"/>
  <c r="F410" i="2"/>
  <c r="D410" i="2"/>
  <c r="E410" i="2" s="1"/>
  <c r="C410" i="2"/>
  <c r="U409" i="2"/>
  <c r="L409" i="2"/>
  <c r="I409" i="2"/>
  <c r="H409" i="2"/>
  <c r="G409" i="2"/>
  <c r="F409" i="2"/>
  <c r="F208" i="5" s="1"/>
  <c r="D409" i="2"/>
  <c r="E409" i="2" s="1"/>
  <c r="C409" i="2"/>
  <c r="U408" i="2"/>
  <c r="L408" i="2"/>
  <c r="I408" i="2"/>
  <c r="H408" i="2"/>
  <c r="G408" i="2"/>
  <c r="F408" i="2"/>
  <c r="F207" i="5" s="1"/>
  <c r="D408" i="2"/>
  <c r="E408" i="2" s="1"/>
  <c r="C408" i="2"/>
  <c r="U407" i="2"/>
  <c r="L407" i="2"/>
  <c r="I407" i="2"/>
  <c r="H407" i="2"/>
  <c r="G407" i="2"/>
  <c r="F407" i="2"/>
  <c r="F206" i="5" s="1"/>
  <c r="D407" i="2"/>
  <c r="E407" i="2" s="1"/>
  <c r="C407" i="2"/>
  <c r="U406" i="2"/>
  <c r="L406" i="2"/>
  <c r="I406" i="2"/>
  <c r="H406" i="2"/>
  <c r="G406" i="2"/>
  <c r="F406" i="2"/>
  <c r="F205" i="5" s="1"/>
  <c r="D406" i="2"/>
  <c r="E406" i="2" s="1"/>
  <c r="C406" i="2"/>
  <c r="U405" i="2"/>
  <c r="L405" i="2"/>
  <c r="I405" i="2"/>
  <c r="H405" i="2"/>
  <c r="G405" i="2"/>
  <c r="F405" i="2"/>
  <c r="D405" i="2"/>
  <c r="E405" i="2" s="1"/>
  <c r="C405" i="2"/>
  <c r="U404" i="2"/>
  <c r="L404" i="2"/>
  <c r="I404" i="2"/>
  <c r="H404" i="2"/>
  <c r="G404" i="2"/>
  <c r="F404" i="2"/>
  <c r="D404" i="2"/>
  <c r="E404" i="2" s="1"/>
  <c r="C404" i="2"/>
  <c r="U403" i="2"/>
  <c r="L403" i="2"/>
  <c r="I403" i="2"/>
  <c r="H403" i="2"/>
  <c r="G403" i="2"/>
  <c r="F403" i="2"/>
  <c r="D403" i="2"/>
  <c r="E403" i="2" s="1"/>
  <c r="C403" i="2"/>
  <c r="U402" i="2"/>
  <c r="L402" i="2"/>
  <c r="I402" i="2"/>
  <c r="H402" i="2"/>
  <c r="G402" i="2"/>
  <c r="F402" i="2"/>
  <c r="D402" i="2"/>
  <c r="E402" i="2" s="1"/>
  <c r="C402" i="2"/>
  <c r="U401" i="2"/>
  <c r="L401" i="2"/>
  <c r="I401" i="2"/>
  <c r="H401" i="2"/>
  <c r="G401" i="2"/>
  <c r="F401" i="2"/>
  <c r="D401" i="2"/>
  <c r="E401" i="2" s="1"/>
  <c r="C401" i="2"/>
  <c r="U400" i="2"/>
  <c r="L400" i="2"/>
  <c r="I400" i="2"/>
  <c r="H400" i="2"/>
  <c r="G400" i="2"/>
  <c r="F400" i="2"/>
  <c r="D400" i="2"/>
  <c r="E400" i="2" s="1"/>
  <c r="C400" i="2"/>
  <c r="U399" i="2"/>
  <c r="L399" i="2"/>
  <c r="I399" i="2"/>
  <c r="H399" i="2"/>
  <c r="G399" i="2"/>
  <c r="F399" i="2"/>
  <c r="D399" i="2"/>
  <c r="E399" i="2" s="1"/>
  <c r="C399" i="2"/>
  <c r="U398" i="2"/>
  <c r="L398" i="2"/>
  <c r="I398" i="2"/>
  <c r="H398" i="2"/>
  <c r="G398" i="2"/>
  <c r="F398" i="2"/>
  <c r="F204" i="5" s="1"/>
  <c r="D398" i="2"/>
  <c r="E398" i="2" s="1"/>
  <c r="C398" i="2"/>
  <c r="U397" i="2"/>
  <c r="L397" i="2"/>
  <c r="I397" i="2"/>
  <c r="H397" i="2"/>
  <c r="G397" i="2"/>
  <c r="F397" i="2"/>
  <c r="F203" i="5" s="1"/>
  <c r="D397" i="2"/>
  <c r="E397" i="2" s="1"/>
  <c r="C397" i="2"/>
  <c r="U396" i="2"/>
  <c r="L396" i="2"/>
  <c r="I396" i="2"/>
  <c r="H396" i="2"/>
  <c r="G396" i="2"/>
  <c r="F396" i="2"/>
  <c r="F202" i="5" s="1"/>
  <c r="D396" i="2"/>
  <c r="E396" i="2" s="1"/>
  <c r="C396" i="2"/>
  <c r="U395" i="2"/>
  <c r="L395" i="2"/>
  <c r="I395" i="2"/>
  <c r="H395" i="2"/>
  <c r="G395" i="2"/>
  <c r="F395" i="2"/>
  <c r="D395" i="2"/>
  <c r="E395" i="2" s="1"/>
  <c r="C395" i="2"/>
  <c r="U394" i="2"/>
  <c r="L394" i="2"/>
  <c r="I394" i="2"/>
  <c r="H394" i="2"/>
  <c r="G394" i="2"/>
  <c r="F394" i="2"/>
  <c r="D394" i="2"/>
  <c r="E394" i="2" s="1"/>
  <c r="C394" i="2"/>
  <c r="U393" i="2"/>
  <c r="L393" i="2"/>
  <c r="I393" i="2"/>
  <c r="H393" i="2"/>
  <c r="G393" i="2"/>
  <c r="F393" i="2"/>
  <c r="F201" i="5" s="1"/>
  <c r="D393" i="2"/>
  <c r="E393" i="2" s="1"/>
  <c r="C393" i="2"/>
  <c r="U392" i="2"/>
  <c r="L392" i="2"/>
  <c r="I392" i="2"/>
  <c r="H392" i="2"/>
  <c r="G392" i="2"/>
  <c r="F392" i="2"/>
  <c r="D392" i="2"/>
  <c r="E392" i="2" s="1"/>
  <c r="C392" i="2"/>
  <c r="U391" i="2"/>
  <c r="L391" i="2"/>
  <c r="I391" i="2"/>
  <c r="H391" i="2"/>
  <c r="G391" i="2"/>
  <c r="F391" i="2"/>
  <c r="D391" i="2"/>
  <c r="E391" i="2" s="1"/>
  <c r="C391" i="2"/>
  <c r="U390" i="2"/>
  <c r="L390" i="2"/>
  <c r="I390" i="2"/>
  <c r="H390" i="2"/>
  <c r="G390" i="2"/>
  <c r="F390" i="2"/>
  <c r="F200" i="5" s="1"/>
  <c r="D390" i="2"/>
  <c r="E390" i="2" s="1"/>
  <c r="C390" i="2"/>
  <c r="U389" i="2"/>
  <c r="L389" i="2"/>
  <c r="I389" i="2"/>
  <c r="H389" i="2"/>
  <c r="G389" i="2"/>
  <c r="F389" i="2"/>
  <c r="F199" i="5" s="1"/>
  <c r="D389" i="2"/>
  <c r="E389" i="2" s="1"/>
  <c r="C389" i="2"/>
  <c r="U388" i="2"/>
  <c r="L388" i="2"/>
  <c r="I388" i="2"/>
  <c r="H388" i="2"/>
  <c r="G388" i="2"/>
  <c r="F388" i="2"/>
  <c r="F198" i="5" s="1"/>
  <c r="D388" i="2"/>
  <c r="E388" i="2" s="1"/>
  <c r="C388" i="2"/>
  <c r="U387" i="2"/>
  <c r="L387" i="2"/>
  <c r="I387" i="2"/>
  <c r="H387" i="2"/>
  <c r="G387" i="2"/>
  <c r="F387" i="2"/>
  <c r="F197" i="5" s="1"/>
  <c r="D387" i="2"/>
  <c r="E387" i="2" s="1"/>
  <c r="C387" i="2"/>
  <c r="U386" i="2"/>
  <c r="L386" i="2"/>
  <c r="I386" i="2"/>
  <c r="H386" i="2"/>
  <c r="G386" i="2"/>
  <c r="F386" i="2"/>
  <c r="F196" i="5" s="1"/>
  <c r="D386" i="2"/>
  <c r="E386" i="2" s="1"/>
  <c r="C386" i="2"/>
  <c r="U385" i="2"/>
  <c r="L385" i="2"/>
  <c r="I385" i="2"/>
  <c r="H385" i="2"/>
  <c r="G385" i="2"/>
  <c r="F385" i="2"/>
  <c r="F195" i="5" s="1"/>
  <c r="D385" i="2"/>
  <c r="E385" i="2" s="1"/>
  <c r="C385" i="2"/>
  <c r="U384" i="2"/>
  <c r="L384" i="2"/>
  <c r="I384" i="2"/>
  <c r="H384" i="2"/>
  <c r="G384" i="2"/>
  <c r="F384" i="2"/>
  <c r="F194" i="5" s="1"/>
  <c r="D384" i="2"/>
  <c r="E384" i="2" s="1"/>
  <c r="C384" i="2"/>
  <c r="U383" i="2"/>
  <c r="L383" i="2"/>
  <c r="I383" i="2"/>
  <c r="H383" i="2"/>
  <c r="G383" i="2"/>
  <c r="F383" i="2"/>
  <c r="D383" i="2"/>
  <c r="E383" i="2" s="1"/>
  <c r="C383" i="2"/>
  <c r="U382" i="2"/>
  <c r="L382" i="2"/>
  <c r="I382" i="2"/>
  <c r="H382" i="2"/>
  <c r="G382" i="2"/>
  <c r="F382" i="2"/>
  <c r="D382" i="2"/>
  <c r="E382" i="2" s="1"/>
  <c r="C382" i="2"/>
  <c r="U381" i="2"/>
  <c r="L381" i="2"/>
  <c r="I381" i="2"/>
  <c r="H381" i="2"/>
  <c r="G381" i="2"/>
  <c r="F381" i="2"/>
  <c r="D381" i="2"/>
  <c r="E381" i="2" s="1"/>
  <c r="C381" i="2"/>
  <c r="U380" i="2"/>
  <c r="L380" i="2"/>
  <c r="I380" i="2"/>
  <c r="H380" i="2"/>
  <c r="G380" i="2"/>
  <c r="F380" i="2"/>
  <c r="D380" i="2"/>
  <c r="E380" i="2" s="1"/>
  <c r="C380" i="2"/>
  <c r="U379" i="2"/>
  <c r="L379" i="2"/>
  <c r="I379" i="2"/>
  <c r="H379" i="2"/>
  <c r="G379" i="2"/>
  <c r="F379" i="2"/>
  <c r="D379" i="2"/>
  <c r="E379" i="2" s="1"/>
  <c r="C379" i="2"/>
  <c r="U378" i="2"/>
  <c r="L378" i="2"/>
  <c r="I378" i="2"/>
  <c r="H378" i="2"/>
  <c r="G378" i="2"/>
  <c r="F378" i="2"/>
  <c r="D378" i="2"/>
  <c r="E378" i="2" s="1"/>
  <c r="C378" i="2"/>
  <c r="U377" i="2"/>
  <c r="L377" i="2"/>
  <c r="I377" i="2"/>
  <c r="H377" i="2"/>
  <c r="G377" i="2"/>
  <c r="F377" i="2"/>
  <c r="F193" i="5" s="1"/>
  <c r="D377" i="2"/>
  <c r="E377" i="2" s="1"/>
  <c r="C377" i="2"/>
  <c r="U376" i="2"/>
  <c r="L376" i="2"/>
  <c r="I376" i="2"/>
  <c r="H376" i="2"/>
  <c r="G376" i="2"/>
  <c r="F376" i="2"/>
  <c r="F192" i="5" s="1"/>
  <c r="D376" i="2"/>
  <c r="E376" i="2" s="1"/>
  <c r="C376" i="2"/>
  <c r="U375" i="2"/>
  <c r="L375" i="2"/>
  <c r="I375" i="2"/>
  <c r="H375" i="2"/>
  <c r="G375" i="2"/>
  <c r="F375" i="2"/>
  <c r="D375" i="2"/>
  <c r="E375" i="2" s="1"/>
  <c r="C375" i="2"/>
  <c r="U374" i="2"/>
  <c r="L374" i="2"/>
  <c r="I374" i="2"/>
  <c r="H374" i="2"/>
  <c r="G374" i="2"/>
  <c r="F374" i="2"/>
  <c r="D374" i="2"/>
  <c r="E374" i="2" s="1"/>
  <c r="C374" i="2"/>
  <c r="U373" i="2"/>
  <c r="L373" i="2"/>
  <c r="I373" i="2"/>
  <c r="H373" i="2"/>
  <c r="G373" i="2"/>
  <c r="F373" i="2"/>
  <c r="D373" i="2"/>
  <c r="E373" i="2" s="1"/>
  <c r="C373" i="2"/>
  <c r="U372" i="2"/>
  <c r="L372" i="2"/>
  <c r="I372" i="2"/>
  <c r="H372" i="2"/>
  <c r="G372" i="2"/>
  <c r="F372" i="2"/>
  <c r="F191" i="5" s="1"/>
  <c r="D372" i="2"/>
  <c r="E372" i="2" s="1"/>
  <c r="C372" i="2"/>
  <c r="U371" i="2"/>
  <c r="L371" i="2"/>
  <c r="I371" i="2"/>
  <c r="H371" i="2"/>
  <c r="G371" i="2"/>
  <c r="F371" i="2"/>
  <c r="F190" i="5" s="1"/>
  <c r="D371" i="2"/>
  <c r="E371" i="2" s="1"/>
  <c r="C371" i="2"/>
  <c r="U370" i="2"/>
  <c r="L370" i="2"/>
  <c r="I370" i="2"/>
  <c r="H370" i="2"/>
  <c r="G370" i="2"/>
  <c r="F370" i="2"/>
  <c r="D370" i="2"/>
  <c r="E370" i="2" s="1"/>
  <c r="C370" i="2"/>
  <c r="U369" i="2"/>
  <c r="L369" i="2"/>
  <c r="I369" i="2"/>
  <c r="H369" i="2"/>
  <c r="G369" i="2"/>
  <c r="F369" i="2"/>
  <c r="D369" i="2"/>
  <c r="E369" i="2" s="1"/>
  <c r="C369" i="2"/>
  <c r="U368" i="2"/>
  <c r="L368" i="2"/>
  <c r="I368" i="2"/>
  <c r="H368" i="2"/>
  <c r="G368" i="2"/>
  <c r="F368" i="2"/>
  <c r="D368" i="2"/>
  <c r="E368" i="2" s="1"/>
  <c r="C368" i="2"/>
  <c r="U367" i="2"/>
  <c r="L367" i="2"/>
  <c r="I367" i="2"/>
  <c r="H367" i="2"/>
  <c r="G367" i="2"/>
  <c r="F367" i="2"/>
  <c r="D367" i="2"/>
  <c r="E367" i="2" s="1"/>
  <c r="C367" i="2"/>
  <c r="U366" i="2"/>
  <c r="L366" i="2"/>
  <c r="I366" i="2"/>
  <c r="H366" i="2"/>
  <c r="G366" i="2"/>
  <c r="F366" i="2"/>
  <c r="D366" i="2"/>
  <c r="E366" i="2" s="1"/>
  <c r="C366" i="2"/>
  <c r="U365" i="2"/>
  <c r="L365" i="2"/>
  <c r="I365" i="2"/>
  <c r="H365" i="2"/>
  <c r="G365" i="2"/>
  <c r="F365" i="2"/>
  <c r="D365" i="2"/>
  <c r="E365" i="2" s="1"/>
  <c r="C365" i="2"/>
  <c r="U364" i="2"/>
  <c r="L364" i="2"/>
  <c r="I364" i="2"/>
  <c r="H364" i="2"/>
  <c r="G364" i="2"/>
  <c r="F364" i="2"/>
  <c r="F189" i="5" s="1"/>
  <c r="D364" i="2"/>
  <c r="E364" i="2" s="1"/>
  <c r="C364" i="2"/>
  <c r="U363" i="2"/>
  <c r="L363" i="2"/>
  <c r="I363" i="2"/>
  <c r="H363" i="2"/>
  <c r="G363" i="2"/>
  <c r="F363" i="2"/>
  <c r="F188" i="5" s="1"/>
  <c r="D363" i="2"/>
  <c r="E363" i="2" s="1"/>
  <c r="C363" i="2"/>
  <c r="U362" i="2"/>
  <c r="L362" i="2"/>
  <c r="I362" i="2"/>
  <c r="H362" i="2"/>
  <c r="G362" i="2"/>
  <c r="F362" i="2"/>
  <c r="F187" i="5" s="1"/>
  <c r="D362" i="2"/>
  <c r="E362" i="2" s="1"/>
  <c r="C362" i="2"/>
  <c r="U361" i="2"/>
  <c r="L361" i="2"/>
  <c r="I361" i="2"/>
  <c r="H361" i="2"/>
  <c r="G361" i="2"/>
  <c r="F361" i="2"/>
  <c r="D361" i="2"/>
  <c r="E361" i="2" s="1"/>
  <c r="C361" i="2"/>
  <c r="U360" i="2"/>
  <c r="L360" i="2"/>
  <c r="I360" i="2"/>
  <c r="H360" i="2"/>
  <c r="G360" i="2"/>
  <c r="F360" i="2"/>
  <c r="D360" i="2"/>
  <c r="E360" i="2" s="1"/>
  <c r="C360" i="2"/>
  <c r="U359" i="2"/>
  <c r="L359" i="2"/>
  <c r="I359" i="2"/>
  <c r="H359" i="2"/>
  <c r="G359" i="2"/>
  <c r="F359" i="2"/>
  <c r="F186" i="5" s="1"/>
  <c r="D359" i="2"/>
  <c r="E359" i="2" s="1"/>
  <c r="C359" i="2"/>
  <c r="U358" i="2"/>
  <c r="L358" i="2"/>
  <c r="I358" i="2"/>
  <c r="H358" i="2"/>
  <c r="G358" i="2"/>
  <c r="F358" i="2"/>
  <c r="F185" i="5" s="1"/>
  <c r="D358" i="2"/>
  <c r="E358" i="2" s="1"/>
  <c r="C358" i="2"/>
  <c r="U357" i="2"/>
  <c r="L357" i="2"/>
  <c r="I357" i="2"/>
  <c r="H357" i="2"/>
  <c r="G357" i="2"/>
  <c r="F357" i="2"/>
  <c r="F184" i="5" s="1"/>
  <c r="D357" i="2"/>
  <c r="E357" i="2" s="1"/>
  <c r="C357" i="2"/>
  <c r="U356" i="2"/>
  <c r="L356" i="2"/>
  <c r="I356" i="2"/>
  <c r="H356" i="2"/>
  <c r="G356" i="2"/>
  <c r="F356" i="2"/>
  <c r="F183" i="5" s="1"/>
  <c r="D356" i="2"/>
  <c r="E356" i="2" s="1"/>
  <c r="C356" i="2"/>
  <c r="U355" i="2"/>
  <c r="L355" i="2"/>
  <c r="I355" i="2"/>
  <c r="H355" i="2"/>
  <c r="G355" i="2"/>
  <c r="F355" i="2"/>
  <c r="F182" i="5" s="1"/>
  <c r="D355" i="2"/>
  <c r="E355" i="2" s="1"/>
  <c r="C355" i="2"/>
  <c r="U354" i="2"/>
  <c r="L354" i="2"/>
  <c r="I354" i="2"/>
  <c r="H354" i="2"/>
  <c r="G354" i="2"/>
  <c r="F354" i="2"/>
  <c r="F181" i="5" s="1"/>
  <c r="D354" i="2"/>
  <c r="E354" i="2" s="1"/>
  <c r="C354" i="2"/>
  <c r="U353" i="2"/>
  <c r="L353" i="2"/>
  <c r="I353" i="2"/>
  <c r="H353" i="2"/>
  <c r="G353" i="2"/>
  <c r="F353" i="2"/>
  <c r="F180" i="5" s="1"/>
  <c r="D353" i="2"/>
  <c r="E353" i="2" s="1"/>
  <c r="C353" i="2"/>
  <c r="U352" i="2"/>
  <c r="L352" i="2"/>
  <c r="I352" i="2"/>
  <c r="H352" i="2"/>
  <c r="G352" i="2"/>
  <c r="F352" i="2"/>
  <c r="F179" i="5" s="1"/>
  <c r="D352" i="2"/>
  <c r="E352" i="2" s="1"/>
  <c r="C352" i="2"/>
  <c r="U351" i="2"/>
  <c r="L351" i="2"/>
  <c r="I351" i="2"/>
  <c r="H351" i="2"/>
  <c r="G351" i="2"/>
  <c r="F351" i="2"/>
  <c r="F178" i="5" s="1"/>
  <c r="D351" i="2"/>
  <c r="E351" i="2" s="1"/>
  <c r="C351" i="2"/>
  <c r="U350" i="2"/>
  <c r="L350" i="2"/>
  <c r="I350" i="2"/>
  <c r="H350" i="2"/>
  <c r="G350" i="2"/>
  <c r="F350" i="2"/>
  <c r="D350" i="2"/>
  <c r="E350" i="2" s="1"/>
  <c r="C350" i="2"/>
  <c r="U349" i="2"/>
  <c r="L349" i="2"/>
  <c r="I349" i="2"/>
  <c r="H349" i="2"/>
  <c r="G349" i="2"/>
  <c r="F349" i="2"/>
  <c r="D349" i="2"/>
  <c r="E349" i="2" s="1"/>
  <c r="C349" i="2"/>
  <c r="U348" i="2"/>
  <c r="L348" i="2"/>
  <c r="I348" i="2"/>
  <c r="H348" i="2"/>
  <c r="G348" i="2"/>
  <c r="F348" i="2"/>
  <c r="D348" i="2"/>
  <c r="E348" i="2" s="1"/>
  <c r="C348" i="2"/>
  <c r="U347" i="2"/>
  <c r="L347" i="2"/>
  <c r="I347" i="2"/>
  <c r="H347" i="2"/>
  <c r="G347" i="2"/>
  <c r="F347" i="2"/>
  <c r="F177" i="5" s="1"/>
  <c r="D347" i="2"/>
  <c r="E347" i="2" s="1"/>
  <c r="C347" i="2"/>
  <c r="U346" i="2"/>
  <c r="L346" i="2"/>
  <c r="I346" i="2"/>
  <c r="H346" i="2"/>
  <c r="G346" i="2"/>
  <c r="F346" i="2"/>
  <c r="F176" i="5" s="1"/>
  <c r="D346" i="2"/>
  <c r="E346" i="2" s="1"/>
  <c r="C346" i="2"/>
  <c r="U345" i="2"/>
  <c r="L345" i="2"/>
  <c r="I345" i="2"/>
  <c r="H345" i="2"/>
  <c r="G345" i="2"/>
  <c r="F345" i="2"/>
  <c r="F175" i="5" s="1"/>
  <c r="D345" i="2"/>
  <c r="E345" i="2" s="1"/>
  <c r="C345" i="2"/>
  <c r="U344" i="2"/>
  <c r="L344" i="2"/>
  <c r="I344" i="2"/>
  <c r="H344" i="2"/>
  <c r="G344" i="2"/>
  <c r="F344" i="2"/>
  <c r="F174" i="5" s="1"/>
  <c r="D344" i="2"/>
  <c r="E344" i="2" s="1"/>
  <c r="C344" i="2"/>
  <c r="U343" i="2"/>
  <c r="L343" i="2"/>
  <c r="I343" i="2"/>
  <c r="H343" i="2"/>
  <c r="G343" i="2"/>
  <c r="F343" i="2"/>
  <c r="F173" i="5" s="1"/>
  <c r="D343" i="2"/>
  <c r="E343" i="2" s="1"/>
  <c r="C343" i="2"/>
  <c r="U342" i="2"/>
  <c r="L342" i="2"/>
  <c r="I342" i="2"/>
  <c r="H342" i="2"/>
  <c r="G342" i="2"/>
  <c r="F342" i="2"/>
  <c r="F172" i="5" s="1"/>
  <c r="D342" i="2"/>
  <c r="E342" i="2" s="1"/>
  <c r="C342" i="2"/>
  <c r="U341" i="2"/>
  <c r="L341" i="2"/>
  <c r="I341" i="2"/>
  <c r="H341" i="2"/>
  <c r="G341" i="2"/>
  <c r="F341" i="2"/>
  <c r="F171" i="5" s="1"/>
  <c r="D341" i="2"/>
  <c r="E341" i="2" s="1"/>
  <c r="C341" i="2"/>
  <c r="U340" i="2"/>
  <c r="L340" i="2"/>
  <c r="I340" i="2"/>
  <c r="H340" i="2"/>
  <c r="G340" i="2"/>
  <c r="F340" i="2"/>
  <c r="F170" i="5" s="1"/>
  <c r="D340" i="2"/>
  <c r="E340" i="2" s="1"/>
  <c r="C340" i="2"/>
  <c r="U339" i="2"/>
  <c r="L339" i="2"/>
  <c r="I339" i="2"/>
  <c r="H339" i="2"/>
  <c r="G339" i="2"/>
  <c r="F339" i="2"/>
  <c r="F169" i="5" s="1"/>
  <c r="D339" i="2"/>
  <c r="E339" i="2" s="1"/>
  <c r="C339" i="2"/>
  <c r="U338" i="2"/>
  <c r="L338" i="2"/>
  <c r="I338" i="2"/>
  <c r="H338" i="2"/>
  <c r="G338" i="2"/>
  <c r="F338" i="2"/>
  <c r="F168" i="5" s="1"/>
  <c r="D338" i="2"/>
  <c r="E338" i="2" s="1"/>
  <c r="C338" i="2"/>
  <c r="U337" i="2"/>
  <c r="L337" i="2"/>
  <c r="I337" i="2"/>
  <c r="H337" i="2"/>
  <c r="G337" i="2"/>
  <c r="F337" i="2"/>
  <c r="F167" i="5" s="1"/>
  <c r="D337" i="2"/>
  <c r="E337" i="2" s="1"/>
  <c r="C337" i="2"/>
  <c r="V336" i="2"/>
  <c r="U336" i="2"/>
  <c r="L336" i="2"/>
  <c r="I336" i="2"/>
  <c r="K336" i="2" s="1"/>
  <c r="H336" i="2"/>
  <c r="G336" i="2"/>
  <c r="F336" i="2"/>
  <c r="F166" i="5" s="1"/>
  <c r="D336" i="2"/>
  <c r="E336" i="2" s="1"/>
  <c r="C336" i="2"/>
  <c r="U335" i="2"/>
  <c r="L335" i="2"/>
  <c r="I335" i="2"/>
  <c r="H335" i="2"/>
  <c r="G335" i="2"/>
  <c r="F335" i="2"/>
  <c r="F165" i="5" s="1"/>
  <c r="D335" i="2"/>
  <c r="E335" i="2" s="1"/>
  <c r="C335" i="2"/>
  <c r="U334" i="2"/>
  <c r="L334" i="2"/>
  <c r="I334" i="2"/>
  <c r="H334" i="2"/>
  <c r="G334" i="2"/>
  <c r="F334" i="2"/>
  <c r="F164" i="5" s="1"/>
  <c r="D334" i="2"/>
  <c r="E334" i="2" s="1"/>
  <c r="C334" i="2"/>
  <c r="U333" i="2"/>
  <c r="L333" i="2"/>
  <c r="I333" i="2"/>
  <c r="H333" i="2"/>
  <c r="G333" i="2"/>
  <c r="F333" i="2"/>
  <c r="F163" i="5" s="1"/>
  <c r="D333" i="2"/>
  <c r="E333" i="2" s="1"/>
  <c r="C333" i="2"/>
  <c r="U332" i="2"/>
  <c r="L332" i="2"/>
  <c r="I332" i="2"/>
  <c r="H332" i="2"/>
  <c r="G332" i="2"/>
  <c r="F332" i="2"/>
  <c r="D332" i="2"/>
  <c r="E332" i="2" s="1"/>
  <c r="C332" i="2"/>
  <c r="U331" i="2"/>
  <c r="L331" i="2"/>
  <c r="I331" i="2"/>
  <c r="H331" i="2"/>
  <c r="G331" i="2"/>
  <c r="F331" i="2"/>
  <c r="D331" i="2"/>
  <c r="E331" i="2" s="1"/>
  <c r="C331" i="2"/>
  <c r="U330" i="2"/>
  <c r="L330" i="2"/>
  <c r="I330" i="2"/>
  <c r="H330" i="2"/>
  <c r="G330" i="2"/>
  <c r="F330" i="2"/>
  <c r="F162" i="5" s="1"/>
  <c r="D330" i="2"/>
  <c r="E330" i="2" s="1"/>
  <c r="C330" i="2"/>
  <c r="U329" i="2"/>
  <c r="L329" i="2"/>
  <c r="I329" i="2"/>
  <c r="H329" i="2"/>
  <c r="G329" i="2"/>
  <c r="F329" i="2"/>
  <c r="F161" i="5" s="1"/>
  <c r="D329" i="2"/>
  <c r="E329" i="2" s="1"/>
  <c r="C329" i="2"/>
  <c r="U328" i="2"/>
  <c r="L328" i="2"/>
  <c r="I328" i="2"/>
  <c r="H328" i="2"/>
  <c r="G328" i="2"/>
  <c r="F328" i="2"/>
  <c r="F160" i="5" s="1"/>
  <c r="D328" i="2"/>
  <c r="E328" i="2" s="1"/>
  <c r="C328" i="2"/>
  <c r="U327" i="2"/>
  <c r="L327" i="2"/>
  <c r="I327" i="2"/>
  <c r="H327" i="2"/>
  <c r="G327" i="2"/>
  <c r="F327" i="2"/>
  <c r="F159" i="5" s="1"/>
  <c r="D327" i="2"/>
  <c r="E327" i="2" s="1"/>
  <c r="C327" i="2"/>
  <c r="U326" i="2"/>
  <c r="L326" i="2"/>
  <c r="I326" i="2"/>
  <c r="H326" i="2"/>
  <c r="G326" i="2"/>
  <c r="F326" i="2"/>
  <c r="F158" i="5" s="1"/>
  <c r="D326" i="2"/>
  <c r="E326" i="2" s="1"/>
  <c r="C326" i="2"/>
  <c r="U325" i="2"/>
  <c r="L325" i="2"/>
  <c r="I325" i="2"/>
  <c r="H325" i="2"/>
  <c r="G325" i="2"/>
  <c r="F325" i="2"/>
  <c r="F157" i="5" s="1"/>
  <c r="D325" i="2"/>
  <c r="E325" i="2" s="1"/>
  <c r="C325" i="2"/>
  <c r="U324" i="2"/>
  <c r="L324" i="2"/>
  <c r="I324" i="2"/>
  <c r="H324" i="2"/>
  <c r="G324" i="2"/>
  <c r="F324" i="2"/>
  <c r="F156" i="5" s="1"/>
  <c r="D324" i="2"/>
  <c r="E324" i="2" s="1"/>
  <c r="C324" i="2"/>
  <c r="U323" i="2"/>
  <c r="L323" i="2"/>
  <c r="I323" i="2"/>
  <c r="H323" i="2"/>
  <c r="G323" i="2"/>
  <c r="F323" i="2"/>
  <c r="F155" i="5" s="1"/>
  <c r="D323" i="2"/>
  <c r="E323" i="2" s="1"/>
  <c r="C323" i="2"/>
  <c r="U322" i="2"/>
  <c r="L322" i="2"/>
  <c r="I322" i="2"/>
  <c r="H322" i="2"/>
  <c r="G322" i="2"/>
  <c r="F322" i="2"/>
  <c r="F154" i="5" s="1"/>
  <c r="D322" i="2"/>
  <c r="E322" i="2" s="1"/>
  <c r="C322" i="2"/>
  <c r="U321" i="2"/>
  <c r="L321" i="2"/>
  <c r="I321" i="2"/>
  <c r="H321" i="2"/>
  <c r="G321" i="2"/>
  <c r="F321" i="2"/>
  <c r="F153" i="5" s="1"/>
  <c r="D321" i="2"/>
  <c r="E321" i="2" s="1"/>
  <c r="C321" i="2"/>
  <c r="U320" i="2"/>
  <c r="L320" i="2"/>
  <c r="I320" i="2"/>
  <c r="H320" i="2"/>
  <c r="G320" i="2"/>
  <c r="F320" i="2"/>
  <c r="F152" i="5" s="1"/>
  <c r="D320" i="2"/>
  <c r="E320" i="2" s="1"/>
  <c r="C320" i="2"/>
  <c r="U319" i="2"/>
  <c r="L319" i="2"/>
  <c r="I319" i="2"/>
  <c r="H319" i="2"/>
  <c r="G319" i="2"/>
  <c r="F319" i="2"/>
  <c r="F151" i="5" s="1"/>
  <c r="D319" i="2"/>
  <c r="E319" i="2" s="1"/>
  <c r="C319" i="2"/>
  <c r="U318" i="2"/>
  <c r="L318" i="2"/>
  <c r="I318" i="2"/>
  <c r="H318" i="2"/>
  <c r="G318" i="2"/>
  <c r="F318" i="2"/>
  <c r="D318" i="2"/>
  <c r="E318" i="2" s="1"/>
  <c r="C318" i="2"/>
  <c r="U317" i="2"/>
  <c r="L317" i="2"/>
  <c r="I317" i="2"/>
  <c r="H317" i="2"/>
  <c r="G317" i="2"/>
  <c r="F317" i="2"/>
  <c r="F150" i="5" s="1"/>
  <c r="D317" i="2"/>
  <c r="E317" i="2" s="1"/>
  <c r="C317" i="2"/>
  <c r="U316" i="2"/>
  <c r="L316" i="2"/>
  <c r="I316" i="2"/>
  <c r="H316" i="2"/>
  <c r="G316" i="2"/>
  <c r="F316" i="2"/>
  <c r="D316" i="2"/>
  <c r="E316" i="2" s="1"/>
  <c r="C316" i="2"/>
  <c r="U315" i="2"/>
  <c r="L315" i="2"/>
  <c r="I315" i="2"/>
  <c r="H315" i="2"/>
  <c r="G315" i="2"/>
  <c r="F315" i="2"/>
  <c r="F149" i="5" s="1"/>
  <c r="D315" i="2"/>
  <c r="E315" i="2" s="1"/>
  <c r="C315" i="2"/>
  <c r="U314" i="2"/>
  <c r="L314" i="2"/>
  <c r="I314" i="2"/>
  <c r="H314" i="2"/>
  <c r="G314" i="2"/>
  <c r="F314" i="2"/>
  <c r="D314" i="2"/>
  <c r="E314" i="2" s="1"/>
  <c r="C314" i="2"/>
  <c r="U313" i="2"/>
  <c r="L313" i="2"/>
  <c r="I313" i="2"/>
  <c r="H313" i="2"/>
  <c r="G313" i="2"/>
  <c r="F313" i="2"/>
  <c r="D313" i="2"/>
  <c r="E313" i="2" s="1"/>
  <c r="C313" i="2"/>
  <c r="U312" i="2"/>
  <c r="L312" i="2"/>
  <c r="I312" i="2"/>
  <c r="H312" i="2"/>
  <c r="G312" i="2"/>
  <c r="F312" i="2"/>
  <c r="D312" i="2"/>
  <c r="E312" i="2" s="1"/>
  <c r="C312" i="2"/>
  <c r="U311" i="2"/>
  <c r="L311" i="2"/>
  <c r="I311" i="2"/>
  <c r="H311" i="2"/>
  <c r="G311" i="2"/>
  <c r="F311" i="2"/>
  <c r="D311" i="2"/>
  <c r="E311" i="2" s="1"/>
  <c r="C311" i="2"/>
  <c r="U310" i="2"/>
  <c r="L310" i="2"/>
  <c r="I310" i="2"/>
  <c r="H310" i="2"/>
  <c r="G310" i="2"/>
  <c r="F310" i="2"/>
  <c r="D310" i="2"/>
  <c r="E310" i="2" s="1"/>
  <c r="C310" i="2"/>
  <c r="U309" i="2"/>
  <c r="L309" i="2"/>
  <c r="I309" i="2"/>
  <c r="H309" i="2"/>
  <c r="G309" i="2"/>
  <c r="F309" i="2"/>
  <c r="D309" i="2"/>
  <c r="E309" i="2" s="1"/>
  <c r="C309" i="2"/>
  <c r="U308" i="2"/>
  <c r="L308" i="2"/>
  <c r="I308" i="2"/>
  <c r="H308" i="2"/>
  <c r="G308" i="2"/>
  <c r="F308" i="2"/>
  <c r="D308" i="2"/>
  <c r="E308" i="2" s="1"/>
  <c r="C308" i="2"/>
  <c r="U307" i="2"/>
  <c r="L307" i="2"/>
  <c r="I307" i="2"/>
  <c r="H307" i="2"/>
  <c r="G307" i="2"/>
  <c r="F307" i="2"/>
  <c r="D307" i="2"/>
  <c r="E307" i="2" s="1"/>
  <c r="C307" i="2"/>
  <c r="U306" i="2"/>
  <c r="L306" i="2"/>
  <c r="I306" i="2"/>
  <c r="H306" i="2"/>
  <c r="G306" i="2"/>
  <c r="F306" i="2"/>
  <c r="D306" i="2"/>
  <c r="E306" i="2" s="1"/>
  <c r="C306" i="2"/>
  <c r="U305" i="2"/>
  <c r="L305" i="2"/>
  <c r="I305" i="2"/>
  <c r="H305" i="2"/>
  <c r="G305" i="2"/>
  <c r="F305" i="2"/>
  <c r="D305" i="2"/>
  <c r="E305" i="2" s="1"/>
  <c r="C305" i="2"/>
  <c r="U304" i="2"/>
  <c r="L304" i="2"/>
  <c r="I304" i="2"/>
  <c r="H304" i="2"/>
  <c r="G304" i="2"/>
  <c r="F304" i="2"/>
  <c r="F148" i="5" s="1"/>
  <c r="D304" i="2"/>
  <c r="E304" i="2" s="1"/>
  <c r="C304" i="2"/>
  <c r="U303" i="2"/>
  <c r="L303" i="2"/>
  <c r="I303" i="2"/>
  <c r="H303" i="2"/>
  <c r="G303" i="2"/>
  <c r="F303" i="2"/>
  <c r="D303" i="2"/>
  <c r="E303" i="2" s="1"/>
  <c r="C303" i="2"/>
  <c r="U302" i="2"/>
  <c r="L302" i="2"/>
  <c r="I302" i="2"/>
  <c r="H302" i="2"/>
  <c r="G302" i="2"/>
  <c r="F302" i="2"/>
  <c r="D302" i="2"/>
  <c r="E302" i="2" s="1"/>
  <c r="C302" i="2"/>
  <c r="U301" i="2"/>
  <c r="L301" i="2"/>
  <c r="I301" i="2"/>
  <c r="H301" i="2"/>
  <c r="G301" i="2"/>
  <c r="F301" i="2"/>
  <c r="D301" i="2"/>
  <c r="E301" i="2" s="1"/>
  <c r="C301" i="2"/>
  <c r="U300" i="2"/>
  <c r="L300" i="2"/>
  <c r="I300" i="2"/>
  <c r="H300" i="2"/>
  <c r="G300" i="2"/>
  <c r="F300" i="2"/>
  <c r="D300" i="2"/>
  <c r="E300" i="2" s="1"/>
  <c r="C300" i="2"/>
  <c r="U299" i="2"/>
  <c r="L299" i="2"/>
  <c r="I299" i="2"/>
  <c r="H299" i="2"/>
  <c r="G299" i="2"/>
  <c r="F299" i="2"/>
  <c r="D299" i="2"/>
  <c r="E299" i="2" s="1"/>
  <c r="C299" i="2"/>
  <c r="U298" i="2"/>
  <c r="L298" i="2"/>
  <c r="I298" i="2"/>
  <c r="H298" i="2"/>
  <c r="G298" i="2"/>
  <c r="F298" i="2"/>
  <c r="D298" i="2"/>
  <c r="E298" i="2" s="1"/>
  <c r="C298" i="2"/>
  <c r="U297" i="2"/>
  <c r="L297" i="2"/>
  <c r="I297" i="2"/>
  <c r="H297" i="2"/>
  <c r="G297" i="2"/>
  <c r="F297" i="2"/>
  <c r="D297" i="2"/>
  <c r="E297" i="2" s="1"/>
  <c r="C297" i="2"/>
  <c r="U296" i="2"/>
  <c r="L296" i="2"/>
  <c r="I296" i="2"/>
  <c r="H296" i="2"/>
  <c r="G296" i="2"/>
  <c r="F296" i="2"/>
  <c r="D296" i="2"/>
  <c r="E296" i="2" s="1"/>
  <c r="C296" i="2"/>
  <c r="U295" i="2"/>
  <c r="L295" i="2"/>
  <c r="I295" i="2"/>
  <c r="H295" i="2"/>
  <c r="G295" i="2"/>
  <c r="F295" i="2"/>
  <c r="D295" i="2"/>
  <c r="E295" i="2" s="1"/>
  <c r="C295" i="2"/>
  <c r="U294" i="2"/>
  <c r="L294" i="2"/>
  <c r="I294" i="2"/>
  <c r="H294" i="2"/>
  <c r="G294" i="2"/>
  <c r="F294" i="2"/>
  <c r="F147" i="5" s="1"/>
  <c r="D294" i="2"/>
  <c r="E294" i="2" s="1"/>
  <c r="C294" i="2"/>
  <c r="U293" i="2"/>
  <c r="L293" i="2"/>
  <c r="I293" i="2"/>
  <c r="H293" i="2"/>
  <c r="G293" i="2"/>
  <c r="F293" i="2"/>
  <c r="F146" i="5" s="1"/>
  <c r="D293" i="2"/>
  <c r="E293" i="2" s="1"/>
  <c r="C293" i="2"/>
  <c r="U292" i="2"/>
  <c r="L292" i="2"/>
  <c r="I292" i="2"/>
  <c r="H292" i="2"/>
  <c r="G292" i="2"/>
  <c r="F292" i="2"/>
  <c r="F145" i="5" s="1"/>
  <c r="D292" i="2"/>
  <c r="E292" i="2" s="1"/>
  <c r="C292" i="2"/>
  <c r="U291" i="2"/>
  <c r="L291" i="2"/>
  <c r="I291" i="2"/>
  <c r="H291" i="2"/>
  <c r="G291" i="2"/>
  <c r="F291" i="2"/>
  <c r="F144" i="5" s="1"/>
  <c r="D291" i="2"/>
  <c r="E291" i="2" s="1"/>
  <c r="C291" i="2"/>
  <c r="U290" i="2"/>
  <c r="L290" i="2"/>
  <c r="I290" i="2"/>
  <c r="H290" i="2"/>
  <c r="G290" i="2"/>
  <c r="F290" i="2"/>
  <c r="D290" i="2"/>
  <c r="E290" i="2" s="1"/>
  <c r="C290" i="2"/>
  <c r="U289" i="2"/>
  <c r="L289" i="2"/>
  <c r="I289" i="2"/>
  <c r="H289" i="2"/>
  <c r="G289" i="2"/>
  <c r="F289" i="2"/>
  <c r="D289" i="2"/>
  <c r="E289" i="2" s="1"/>
  <c r="C289" i="2"/>
  <c r="U288" i="2"/>
  <c r="L288" i="2"/>
  <c r="I288" i="2"/>
  <c r="H288" i="2"/>
  <c r="G288" i="2"/>
  <c r="F288" i="2"/>
  <c r="D288" i="2"/>
  <c r="E288" i="2" s="1"/>
  <c r="C288" i="2"/>
  <c r="U287" i="2"/>
  <c r="L287" i="2"/>
  <c r="I287" i="2"/>
  <c r="H287" i="2"/>
  <c r="G287" i="2"/>
  <c r="F287" i="2"/>
  <c r="D287" i="2"/>
  <c r="E287" i="2" s="1"/>
  <c r="C287" i="2"/>
  <c r="U286" i="2"/>
  <c r="L286" i="2"/>
  <c r="I286" i="2"/>
  <c r="H286" i="2"/>
  <c r="G286" i="2"/>
  <c r="F286" i="2"/>
  <c r="D286" i="2"/>
  <c r="E286" i="2" s="1"/>
  <c r="C286" i="2"/>
  <c r="U285" i="2"/>
  <c r="L285" i="2"/>
  <c r="I285" i="2"/>
  <c r="H285" i="2"/>
  <c r="G285" i="2"/>
  <c r="F285" i="2"/>
  <c r="D285" i="2"/>
  <c r="E285" i="2" s="1"/>
  <c r="C285" i="2"/>
  <c r="U284" i="2"/>
  <c r="L284" i="2"/>
  <c r="I284" i="2"/>
  <c r="H284" i="2"/>
  <c r="G284" i="2"/>
  <c r="F284" i="2"/>
  <c r="D284" i="2"/>
  <c r="E284" i="2" s="1"/>
  <c r="C284" i="2"/>
  <c r="U283" i="2"/>
  <c r="L283" i="2"/>
  <c r="I283" i="2"/>
  <c r="H283" i="2"/>
  <c r="G283" i="2"/>
  <c r="F283" i="2"/>
  <c r="D283" i="2"/>
  <c r="E283" i="2" s="1"/>
  <c r="C283" i="2"/>
  <c r="U282" i="2"/>
  <c r="L282" i="2"/>
  <c r="I282" i="2"/>
  <c r="H282" i="2"/>
  <c r="G282" i="2"/>
  <c r="F282" i="2"/>
  <c r="D282" i="2"/>
  <c r="E282" i="2" s="1"/>
  <c r="C282" i="2"/>
  <c r="U281" i="2"/>
  <c r="L281" i="2"/>
  <c r="I281" i="2"/>
  <c r="H281" i="2"/>
  <c r="G281" i="2"/>
  <c r="F281" i="2"/>
  <c r="D281" i="2"/>
  <c r="E281" i="2" s="1"/>
  <c r="C281" i="2"/>
  <c r="U280" i="2"/>
  <c r="L280" i="2"/>
  <c r="I280" i="2"/>
  <c r="H280" i="2"/>
  <c r="G280" i="2"/>
  <c r="F280" i="2"/>
  <c r="D280" i="2"/>
  <c r="E280" i="2" s="1"/>
  <c r="C280" i="2"/>
  <c r="U279" i="2"/>
  <c r="L279" i="2"/>
  <c r="I279" i="2"/>
  <c r="H279" i="2"/>
  <c r="G279" i="2"/>
  <c r="F279" i="2"/>
  <c r="D279" i="2"/>
  <c r="E279" i="2" s="1"/>
  <c r="C279" i="2"/>
  <c r="U278" i="2"/>
  <c r="L278" i="2"/>
  <c r="I278" i="2"/>
  <c r="H278" i="2"/>
  <c r="G278" i="2"/>
  <c r="F278" i="2"/>
  <c r="D278" i="2"/>
  <c r="E278" i="2" s="1"/>
  <c r="C278" i="2"/>
  <c r="U277" i="2"/>
  <c r="L277" i="2"/>
  <c r="I277" i="2"/>
  <c r="H277" i="2"/>
  <c r="G277" i="2"/>
  <c r="F277" i="2"/>
  <c r="D277" i="2"/>
  <c r="E277" i="2" s="1"/>
  <c r="C277" i="2"/>
  <c r="U276" i="2"/>
  <c r="L276" i="2"/>
  <c r="I276" i="2"/>
  <c r="H276" i="2"/>
  <c r="G276" i="2"/>
  <c r="F276" i="2"/>
  <c r="D276" i="2"/>
  <c r="E276" i="2" s="1"/>
  <c r="C276" i="2"/>
  <c r="U275" i="2"/>
  <c r="L275" i="2"/>
  <c r="I275" i="2"/>
  <c r="H275" i="2"/>
  <c r="G275" i="2"/>
  <c r="F275" i="2"/>
  <c r="D275" i="2"/>
  <c r="E275" i="2" s="1"/>
  <c r="C275" i="2"/>
  <c r="U274" i="2"/>
  <c r="L274" i="2"/>
  <c r="I274" i="2"/>
  <c r="H274" i="2"/>
  <c r="G274" i="2"/>
  <c r="F274" i="2"/>
  <c r="D274" i="2"/>
  <c r="E274" i="2" s="1"/>
  <c r="C274" i="2"/>
  <c r="U273" i="2"/>
  <c r="L273" i="2"/>
  <c r="I273" i="2"/>
  <c r="H273" i="2"/>
  <c r="G273" i="2"/>
  <c r="F273" i="2"/>
  <c r="D273" i="2"/>
  <c r="E273" i="2" s="1"/>
  <c r="C273" i="2"/>
  <c r="U272" i="2"/>
  <c r="L272" i="2"/>
  <c r="I272" i="2"/>
  <c r="H272" i="2"/>
  <c r="G272" i="2"/>
  <c r="F272" i="2"/>
  <c r="D272" i="2"/>
  <c r="E272" i="2" s="1"/>
  <c r="C272" i="2"/>
  <c r="U271" i="2"/>
  <c r="L271" i="2"/>
  <c r="I271" i="2"/>
  <c r="H271" i="2"/>
  <c r="G271" i="2"/>
  <c r="F271" i="2"/>
  <c r="D271" i="2"/>
  <c r="E271" i="2" s="1"/>
  <c r="C271" i="2"/>
  <c r="U270" i="2"/>
  <c r="L270" i="2"/>
  <c r="I270" i="2"/>
  <c r="H270" i="2"/>
  <c r="G270" i="2"/>
  <c r="F270" i="2"/>
  <c r="D270" i="2"/>
  <c r="E270" i="2" s="1"/>
  <c r="C270" i="2"/>
  <c r="U269" i="2"/>
  <c r="L269" i="2"/>
  <c r="I269" i="2"/>
  <c r="H269" i="2"/>
  <c r="G269" i="2"/>
  <c r="F269" i="2"/>
  <c r="D269" i="2"/>
  <c r="E269" i="2" s="1"/>
  <c r="C269" i="2"/>
  <c r="U268" i="2"/>
  <c r="L268" i="2"/>
  <c r="I268" i="2"/>
  <c r="H268" i="2"/>
  <c r="G268" i="2"/>
  <c r="F268" i="2"/>
  <c r="D268" i="2"/>
  <c r="E268" i="2" s="1"/>
  <c r="C268" i="2"/>
  <c r="U267" i="2"/>
  <c r="L267" i="2"/>
  <c r="I267" i="2"/>
  <c r="H267" i="2"/>
  <c r="G267" i="2"/>
  <c r="F267" i="2"/>
  <c r="D267" i="2"/>
  <c r="E267" i="2" s="1"/>
  <c r="C267" i="2"/>
  <c r="U266" i="2"/>
  <c r="L266" i="2"/>
  <c r="I266" i="2"/>
  <c r="H266" i="2"/>
  <c r="G266" i="2"/>
  <c r="F266" i="2"/>
  <c r="D266" i="2"/>
  <c r="E266" i="2" s="1"/>
  <c r="C266" i="2"/>
  <c r="U265" i="2"/>
  <c r="L265" i="2"/>
  <c r="I265" i="2"/>
  <c r="H265" i="2"/>
  <c r="G265" i="2"/>
  <c r="F265" i="2"/>
  <c r="D265" i="2"/>
  <c r="E265" i="2" s="1"/>
  <c r="C265" i="2"/>
  <c r="U264" i="2"/>
  <c r="L264" i="2"/>
  <c r="I264" i="2"/>
  <c r="H264" i="2"/>
  <c r="G264" i="2"/>
  <c r="F264" i="2"/>
  <c r="D264" i="2"/>
  <c r="E264" i="2" s="1"/>
  <c r="C264" i="2"/>
  <c r="U263" i="2"/>
  <c r="L263" i="2"/>
  <c r="I263" i="2"/>
  <c r="H263" i="2"/>
  <c r="G263" i="2"/>
  <c r="F263" i="2"/>
  <c r="D263" i="2"/>
  <c r="E263" i="2" s="1"/>
  <c r="C263" i="2"/>
  <c r="U262" i="2"/>
  <c r="L262" i="2"/>
  <c r="I262" i="2"/>
  <c r="H262" i="2"/>
  <c r="G262" i="2"/>
  <c r="F262" i="2"/>
  <c r="D262" i="2"/>
  <c r="E262" i="2" s="1"/>
  <c r="C262" i="2"/>
  <c r="U261" i="2"/>
  <c r="L261" i="2"/>
  <c r="I261" i="2"/>
  <c r="H261" i="2"/>
  <c r="G261" i="2"/>
  <c r="F261" i="2"/>
  <c r="D261" i="2"/>
  <c r="E261" i="2" s="1"/>
  <c r="C261" i="2"/>
  <c r="U260" i="2"/>
  <c r="L260" i="2"/>
  <c r="I260" i="2"/>
  <c r="H260" i="2"/>
  <c r="G260" i="2"/>
  <c r="F260" i="2"/>
  <c r="D260" i="2"/>
  <c r="E260" i="2" s="1"/>
  <c r="C260" i="2"/>
  <c r="U259" i="2"/>
  <c r="L259" i="2"/>
  <c r="I259" i="2"/>
  <c r="H259" i="2"/>
  <c r="G259" i="2"/>
  <c r="F259" i="2"/>
  <c r="D259" i="2"/>
  <c r="E259" i="2" s="1"/>
  <c r="C259" i="2"/>
  <c r="U258" i="2"/>
  <c r="L258" i="2"/>
  <c r="I258" i="2"/>
  <c r="H258" i="2"/>
  <c r="G258" i="2"/>
  <c r="F258" i="2"/>
  <c r="D258" i="2"/>
  <c r="E258" i="2" s="1"/>
  <c r="C258" i="2"/>
  <c r="U257" i="2"/>
  <c r="L257" i="2"/>
  <c r="I257" i="2"/>
  <c r="H257" i="2"/>
  <c r="G257" i="2"/>
  <c r="F257" i="2"/>
  <c r="D257" i="2"/>
  <c r="E257" i="2" s="1"/>
  <c r="C257" i="2"/>
  <c r="U256" i="2"/>
  <c r="L256" i="2"/>
  <c r="I256" i="2"/>
  <c r="H256" i="2"/>
  <c r="G256" i="2"/>
  <c r="F256" i="2"/>
  <c r="D256" i="2"/>
  <c r="E256" i="2" s="1"/>
  <c r="C256" i="2"/>
  <c r="U255" i="2"/>
  <c r="L255" i="2"/>
  <c r="I255" i="2"/>
  <c r="H255" i="2"/>
  <c r="G255" i="2"/>
  <c r="F255" i="2"/>
  <c r="D255" i="2"/>
  <c r="E255" i="2" s="1"/>
  <c r="C255" i="2"/>
  <c r="U254" i="2"/>
  <c r="L254" i="2"/>
  <c r="I254" i="2"/>
  <c r="H254" i="2"/>
  <c r="G254" i="2"/>
  <c r="F254" i="2"/>
  <c r="F143" i="5" s="1"/>
  <c r="D254" i="2"/>
  <c r="E254" i="2" s="1"/>
  <c r="C254" i="2"/>
  <c r="U253" i="2"/>
  <c r="L253" i="2"/>
  <c r="I253" i="2"/>
  <c r="H253" i="2"/>
  <c r="G253" i="2"/>
  <c r="F253" i="2"/>
  <c r="D253" i="2"/>
  <c r="E253" i="2" s="1"/>
  <c r="C253" i="2"/>
  <c r="U252" i="2"/>
  <c r="L252" i="2"/>
  <c r="I252" i="2"/>
  <c r="H252" i="2"/>
  <c r="G252" i="2"/>
  <c r="F252" i="2"/>
  <c r="D252" i="2"/>
  <c r="E252" i="2" s="1"/>
  <c r="C252" i="2"/>
  <c r="U251" i="2"/>
  <c r="L251" i="2"/>
  <c r="I251" i="2"/>
  <c r="H251" i="2"/>
  <c r="G251" i="2"/>
  <c r="F251" i="2"/>
  <c r="F142" i="5" s="1"/>
  <c r="D251" i="2"/>
  <c r="E251" i="2" s="1"/>
  <c r="C251" i="2"/>
  <c r="U250" i="2"/>
  <c r="L250" i="2"/>
  <c r="I250" i="2"/>
  <c r="H250" i="2"/>
  <c r="G250" i="2"/>
  <c r="F250" i="2"/>
  <c r="F243" i="5" s="1"/>
  <c r="D250" i="2"/>
  <c r="E250" i="2" s="1"/>
  <c r="C250" i="2"/>
  <c r="U249" i="2"/>
  <c r="L249" i="2"/>
  <c r="I249" i="2"/>
  <c r="H249" i="2"/>
  <c r="G249" i="2"/>
  <c r="F249" i="2"/>
  <c r="F242" i="5" s="1"/>
  <c r="D249" i="2"/>
  <c r="E249" i="2" s="1"/>
  <c r="C249" i="2"/>
  <c r="U248" i="2"/>
  <c r="L248" i="2"/>
  <c r="I248" i="2"/>
  <c r="H248" i="2"/>
  <c r="G248" i="2"/>
  <c r="F248" i="2"/>
  <c r="F241" i="5" s="1"/>
  <c r="D248" i="2"/>
  <c r="E248" i="2" s="1"/>
  <c r="C248" i="2"/>
  <c r="U247" i="2"/>
  <c r="L247" i="2"/>
  <c r="I247" i="2"/>
  <c r="H247" i="2"/>
  <c r="G247" i="2"/>
  <c r="F247" i="2"/>
  <c r="F240" i="5" s="1"/>
  <c r="D247" i="2"/>
  <c r="E247" i="2" s="1"/>
  <c r="C247" i="2"/>
  <c r="U246" i="2"/>
  <c r="L246" i="2"/>
  <c r="I246" i="2"/>
  <c r="H246" i="2"/>
  <c r="G246" i="2"/>
  <c r="F246" i="2"/>
  <c r="D246" i="2"/>
  <c r="E246" i="2" s="1"/>
  <c r="C246" i="2"/>
  <c r="U245" i="2"/>
  <c r="L245" i="2"/>
  <c r="I245" i="2"/>
  <c r="H245" i="2"/>
  <c r="G245" i="2"/>
  <c r="F245" i="2"/>
  <c r="F140" i="5" s="1"/>
  <c r="D245" i="2"/>
  <c r="E245" i="2" s="1"/>
  <c r="C245" i="2"/>
  <c r="U244" i="2"/>
  <c r="L244" i="2"/>
  <c r="I244" i="2"/>
  <c r="H244" i="2"/>
  <c r="G244" i="2"/>
  <c r="F244" i="2"/>
  <c r="D244" i="2"/>
  <c r="E244" i="2" s="1"/>
  <c r="C244" i="2"/>
  <c r="U243" i="2"/>
  <c r="L243" i="2"/>
  <c r="I243" i="2"/>
  <c r="H243" i="2"/>
  <c r="G243" i="2"/>
  <c r="F243" i="2"/>
  <c r="D243" i="2"/>
  <c r="E243" i="2" s="1"/>
  <c r="C243" i="2"/>
  <c r="U242" i="2"/>
  <c r="L242" i="2"/>
  <c r="I242" i="2"/>
  <c r="H242" i="2"/>
  <c r="G242" i="2"/>
  <c r="F242" i="2"/>
  <c r="D242" i="2"/>
  <c r="E242" i="2" s="1"/>
  <c r="C242" i="2"/>
  <c r="U241" i="2"/>
  <c r="L241" i="2"/>
  <c r="I241" i="2"/>
  <c r="H241" i="2"/>
  <c r="G241" i="2"/>
  <c r="F241" i="2"/>
  <c r="D241" i="2"/>
  <c r="E241" i="2" s="1"/>
  <c r="C241" i="2"/>
  <c r="U240" i="2"/>
  <c r="L240" i="2"/>
  <c r="I240" i="2"/>
  <c r="H240" i="2"/>
  <c r="G240" i="2"/>
  <c r="F240" i="2"/>
  <c r="F239" i="5" s="1"/>
  <c r="D240" i="2"/>
  <c r="E240" i="2" s="1"/>
  <c r="C240" i="2"/>
  <c r="U239" i="2"/>
  <c r="L239" i="2"/>
  <c r="I239" i="2"/>
  <c r="H239" i="2"/>
  <c r="G239" i="2"/>
  <c r="F239" i="2"/>
  <c r="F238" i="5" s="1"/>
  <c r="D239" i="2"/>
  <c r="E239" i="2" s="1"/>
  <c r="C239" i="2"/>
  <c r="U238" i="2"/>
  <c r="L238" i="2"/>
  <c r="I238" i="2"/>
  <c r="H238" i="2"/>
  <c r="G238" i="2"/>
  <c r="F238" i="2"/>
  <c r="F237" i="5" s="1"/>
  <c r="D238" i="2"/>
  <c r="E238" i="2" s="1"/>
  <c r="C238" i="2"/>
  <c r="U237" i="2"/>
  <c r="L237" i="2"/>
  <c r="I237" i="2"/>
  <c r="H237" i="2"/>
  <c r="G237" i="2"/>
  <c r="F237" i="2"/>
  <c r="F236" i="5" s="1"/>
  <c r="D237" i="2"/>
  <c r="E237" i="2" s="1"/>
  <c r="C237" i="2"/>
  <c r="U236" i="2"/>
  <c r="L236" i="2"/>
  <c r="I236" i="2"/>
  <c r="H236" i="2"/>
  <c r="G236" i="2"/>
  <c r="F236" i="2"/>
  <c r="F235" i="5" s="1"/>
  <c r="D236" i="2"/>
  <c r="E236" i="2" s="1"/>
  <c r="C236" i="2"/>
  <c r="U235" i="2"/>
  <c r="L235" i="2"/>
  <c r="I235" i="2"/>
  <c r="H235" i="2"/>
  <c r="G235" i="2"/>
  <c r="F235" i="2"/>
  <c r="F234" i="5" s="1"/>
  <c r="D235" i="2"/>
  <c r="E235" i="2" s="1"/>
  <c r="C235" i="2"/>
  <c r="U234" i="2"/>
  <c r="L234" i="2"/>
  <c r="I234" i="2"/>
  <c r="H234" i="2"/>
  <c r="G234" i="2"/>
  <c r="F234" i="2"/>
  <c r="D234" i="2"/>
  <c r="E234" i="2" s="1"/>
  <c r="C234" i="2"/>
  <c r="U233" i="2"/>
  <c r="L233" i="2"/>
  <c r="I233" i="2"/>
  <c r="H233" i="2"/>
  <c r="G233" i="2"/>
  <c r="F233" i="2"/>
  <c r="D233" i="2"/>
  <c r="E233" i="2" s="1"/>
  <c r="C233" i="2"/>
  <c r="U232" i="2"/>
  <c r="L232" i="2"/>
  <c r="I232" i="2"/>
  <c r="H232" i="2"/>
  <c r="G232" i="2"/>
  <c r="F232" i="2"/>
  <c r="D232" i="2"/>
  <c r="E232" i="2" s="1"/>
  <c r="C232" i="2"/>
  <c r="U231" i="2"/>
  <c r="L231" i="2"/>
  <c r="I231" i="2"/>
  <c r="H231" i="2"/>
  <c r="G231" i="2"/>
  <c r="F231" i="2"/>
  <c r="D231" i="2"/>
  <c r="E231" i="2" s="1"/>
  <c r="C231" i="2"/>
  <c r="U230" i="2"/>
  <c r="L230" i="2"/>
  <c r="I230" i="2"/>
  <c r="H230" i="2"/>
  <c r="G230" i="2"/>
  <c r="F230" i="2"/>
  <c r="D230" i="2"/>
  <c r="E230" i="2" s="1"/>
  <c r="C230" i="2"/>
  <c r="U229" i="2"/>
  <c r="L229" i="2"/>
  <c r="I229" i="2"/>
  <c r="H229" i="2"/>
  <c r="G229" i="2"/>
  <c r="F229" i="2"/>
  <c r="D229" i="2"/>
  <c r="E229" i="2" s="1"/>
  <c r="C229" i="2"/>
  <c r="U228" i="2"/>
  <c r="L228" i="2"/>
  <c r="I228" i="2"/>
  <c r="H228" i="2"/>
  <c r="G228" i="2"/>
  <c r="F228" i="2"/>
  <c r="D228" i="2"/>
  <c r="E228" i="2" s="1"/>
  <c r="C228" i="2"/>
  <c r="U227" i="2"/>
  <c r="L227" i="2"/>
  <c r="I227" i="2"/>
  <c r="H227" i="2"/>
  <c r="G227" i="2"/>
  <c r="F227" i="2"/>
  <c r="D227" i="2"/>
  <c r="E227" i="2" s="1"/>
  <c r="C227" i="2"/>
  <c r="U226" i="2"/>
  <c r="L226" i="2"/>
  <c r="I226" i="2"/>
  <c r="H226" i="2"/>
  <c r="G226" i="2"/>
  <c r="F226" i="2"/>
  <c r="D226" i="2"/>
  <c r="E226" i="2" s="1"/>
  <c r="C226" i="2"/>
  <c r="U225" i="2"/>
  <c r="L225" i="2"/>
  <c r="I225" i="2"/>
  <c r="H225" i="2"/>
  <c r="G225" i="2"/>
  <c r="F225" i="2"/>
  <c r="D225" i="2"/>
  <c r="E225" i="2" s="1"/>
  <c r="C225" i="2"/>
  <c r="U224" i="2"/>
  <c r="L224" i="2"/>
  <c r="I224" i="2"/>
  <c r="H224" i="2"/>
  <c r="G224" i="2"/>
  <c r="F224" i="2"/>
  <c r="F233" i="5" s="1"/>
  <c r="D224" i="2"/>
  <c r="E224" i="2" s="1"/>
  <c r="C224" i="2"/>
  <c r="U223" i="2"/>
  <c r="L223" i="2"/>
  <c r="I223" i="2"/>
  <c r="H223" i="2"/>
  <c r="G223" i="2"/>
  <c r="F223" i="2"/>
  <c r="D223" i="2"/>
  <c r="E223" i="2" s="1"/>
  <c r="C223" i="2"/>
  <c r="U222" i="2"/>
  <c r="L222" i="2"/>
  <c r="I222" i="2"/>
  <c r="H222" i="2"/>
  <c r="G222" i="2"/>
  <c r="F222" i="2"/>
  <c r="D222" i="2"/>
  <c r="E222" i="2" s="1"/>
  <c r="C222" i="2"/>
  <c r="U221" i="2"/>
  <c r="L221" i="2"/>
  <c r="I221" i="2"/>
  <c r="H221" i="2"/>
  <c r="G221" i="2"/>
  <c r="F221" i="2"/>
  <c r="F230" i="5" s="1"/>
  <c r="D221" i="2"/>
  <c r="E221" i="2" s="1"/>
  <c r="C221" i="2"/>
  <c r="U220" i="2"/>
  <c r="L220" i="2"/>
  <c r="I220" i="2"/>
  <c r="H220" i="2"/>
  <c r="G220" i="2"/>
  <c r="F220" i="2"/>
  <c r="F229" i="5" s="1"/>
  <c r="D220" i="2"/>
  <c r="E220" i="2" s="1"/>
  <c r="C220" i="2"/>
  <c r="U219" i="2"/>
  <c r="L219" i="2"/>
  <c r="I219" i="2"/>
  <c r="H219" i="2"/>
  <c r="G219" i="2"/>
  <c r="F219" i="2"/>
  <c r="F139" i="5" s="1"/>
  <c r="D219" i="2"/>
  <c r="E219" i="2" s="1"/>
  <c r="C219" i="2"/>
  <c r="U218" i="2"/>
  <c r="L218" i="2"/>
  <c r="I218" i="2"/>
  <c r="H218" i="2"/>
  <c r="G218" i="2"/>
  <c r="F218" i="2"/>
  <c r="F138" i="5" s="1"/>
  <c r="D218" i="2"/>
  <c r="E218" i="2" s="1"/>
  <c r="C218" i="2"/>
  <c r="U217" i="2"/>
  <c r="L217" i="2"/>
  <c r="I217" i="2"/>
  <c r="H217" i="2"/>
  <c r="G217" i="2"/>
  <c r="F217" i="2"/>
  <c r="F137" i="5" s="1"/>
  <c r="D217" i="2"/>
  <c r="E217" i="2" s="1"/>
  <c r="C217" i="2"/>
  <c r="U216" i="2"/>
  <c r="L216" i="2"/>
  <c r="I216" i="2"/>
  <c r="H216" i="2"/>
  <c r="G216" i="2"/>
  <c r="F216" i="2"/>
  <c r="F136" i="5" s="1"/>
  <c r="D216" i="2"/>
  <c r="E216" i="2" s="1"/>
  <c r="C216" i="2"/>
  <c r="U215" i="2"/>
  <c r="L215" i="2"/>
  <c r="I215" i="2"/>
  <c r="H215" i="2"/>
  <c r="G215" i="2"/>
  <c r="F215" i="2"/>
  <c r="F135" i="5" s="1"/>
  <c r="D215" i="2"/>
  <c r="E215" i="2" s="1"/>
  <c r="C215" i="2"/>
  <c r="U214" i="2"/>
  <c r="L214" i="2"/>
  <c r="I214" i="2"/>
  <c r="H214" i="2"/>
  <c r="G214" i="2"/>
  <c r="F214" i="2"/>
  <c r="F134" i="5" s="1"/>
  <c r="D214" i="2"/>
  <c r="E214" i="2" s="1"/>
  <c r="C214" i="2"/>
  <c r="U213" i="2"/>
  <c r="L213" i="2"/>
  <c r="I213" i="2"/>
  <c r="H213" i="2"/>
  <c r="G213" i="2"/>
  <c r="F213" i="2"/>
  <c r="F133" i="5" s="1"/>
  <c r="D213" i="2"/>
  <c r="E213" i="2" s="1"/>
  <c r="C213" i="2"/>
  <c r="U212" i="2"/>
  <c r="L212" i="2"/>
  <c r="I212" i="2"/>
  <c r="H212" i="2"/>
  <c r="G212" i="2"/>
  <c r="F212" i="2"/>
  <c r="F132" i="5" s="1"/>
  <c r="D212" i="2"/>
  <c r="E212" i="2" s="1"/>
  <c r="C212" i="2"/>
  <c r="U211" i="2"/>
  <c r="L211" i="2"/>
  <c r="I211" i="2"/>
  <c r="H211" i="2"/>
  <c r="G211" i="2"/>
  <c r="F211" i="2"/>
  <c r="F131" i="5" s="1"/>
  <c r="D211" i="2"/>
  <c r="E211" i="2" s="1"/>
  <c r="C211" i="2"/>
  <c r="U210" i="2"/>
  <c r="L210" i="2"/>
  <c r="I210" i="2"/>
  <c r="H210" i="2"/>
  <c r="G210" i="2"/>
  <c r="F210" i="2"/>
  <c r="F130" i="5" s="1"/>
  <c r="D210" i="2"/>
  <c r="E210" i="2" s="1"/>
  <c r="C210" i="2"/>
  <c r="U209" i="2"/>
  <c r="L209" i="2"/>
  <c r="I209" i="2"/>
  <c r="H209" i="2"/>
  <c r="G209" i="2"/>
  <c r="F209" i="2"/>
  <c r="F129" i="5" s="1"/>
  <c r="D209" i="2"/>
  <c r="E209" i="2" s="1"/>
  <c r="C209" i="2"/>
  <c r="U208" i="2"/>
  <c r="L208" i="2"/>
  <c r="I208" i="2"/>
  <c r="H208" i="2"/>
  <c r="G208" i="2"/>
  <c r="F208" i="2"/>
  <c r="F128" i="5" s="1"/>
  <c r="D208" i="2"/>
  <c r="E208" i="2" s="1"/>
  <c r="C208" i="2"/>
  <c r="U207" i="2"/>
  <c r="L207" i="2"/>
  <c r="I207" i="2"/>
  <c r="H207" i="2"/>
  <c r="G207" i="2"/>
  <c r="F207" i="2"/>
  <c r="F127" i="5" s="1"/>
  <c r="D207" i="2"/>
  <c r="E207" i="2" s="1"/>
  <c r="C207" i="2"/>
  <c r="U206" i="2"/>
  <c r="L206" i="2"/>
  <c r="I206" i="2"/>
  <c r="H206" i="2"/>
  <c r="G206" i="2"/>
  <c r="F206" i="2"/>
  <c r="D206" i="2"/>
  <c r="E206" i="2" s="1"/>
  <c r="C206" i="2"/>
  <c r="U205" i="2"/>
  <c r="L205" i="2"/>
  <c r="I205" i="2"/>
  <c r="H205" i="2"/>
  <c r="G205" i="2"/>
  <c r="F205" i="2"/>
  <c r="F126" i="5" s="1"/>
  <c r="D205" i="2"/>
  <c r="E205" i="2" s="1"/>
  <c r="C205" i="2"/>
  <c r="U204" i="2"/>
  <c r="L204" i="2"/>
  <c r="I204" i="2"/>
  <c r="H204" i="2"/>
  <c r="G204" i="2"/>
  <c r="F204" i="2"/>
  <c r="F125" i="5" s="1"/>
  <c r="D204" i="2"/>
  <c r="E204" i="2" s="1"/>
  <c r="C204" i="2"/>
  <c r="U203" i="2"/>
  <c r="L203" i="2"/>
  <c r="I203" i="2"/>
  <c r="H203" i="2"/>
  <c r="G203" i="2"/>
  <c r="F203" i="2"/>
  <c r="F124" i="5" s="1"/>
  <c r="D203" i="2"/>
  <c r="E203" i="2" s="1"/>
  <c r="C203" i="2"/>
  <c r="U202" i="2"/>
  <c r="L202" i="2"/>
  <c r="I202" i="2"/>
  <c r="H202" i="2"/>
  <c r="G202" i="2"/>
  <c r="F202" i="2"/>
  <c r="F123" i="5" s="1"/>
  <c r="D202" i="2"/>
  <c r="E202" i="2" s="1"/>
  <c r="C202" i="2"/>
  <c r="U201" i="2"/>
  <c r="L201" i="2"/>
  <c r="I201" i="2"/>
  <c r="H201" i="2"/>
  <c r="G201" i="2"/>
  <c r="F201" i="2"/>
  <c r="F122" i="5" s="1"/>
  <c r="D201" i="2"/>
  <c r="E201" i="2" s="1"/>
  <c r="C201" i="2"/>
  <c r="U200" i="2"/>
  <c r="L200" i="2"/>
  <c r="I200" i="2"/>
  <c r="H200" i="2"/>
  <c r="G200" i="2"/>
  <c r="F200" i="2"/>
  <c r="F121" i="5" s="1"/>
  <c r="D200" i="2"/>
  <c r="E200" i="2" s="1"/>
  <c r="C200" i="2"/>
  <c r="U199" i="2"/>
  <c r="L199" i="2"/>
  <c r="I199" i="2"/>
  <c r="H199" i="2"/>
  <c r="G199" i="2"/>
  <c r="F199" i="2"/>
  <c r="F120" i="5" s="1"/>
  <c r="D199" i="2"/>
  <c r="E199" i="2" s="1"/>
  <c r="C199" i="2"/>
  <c r="U198" i="2"/>
  <c r="L198" i="2"/>
  <c r="I198" i="2"/>
  <c r="H198" i="2"/>
  <c r="G198" i="2"/>
  <c r="F198" i="2"/>
  <c r="D198" i="2"/>
  <c r="E198" i="2" s="1"/>
  <c r="C198" i="2"/>
  <c r="U197" i="2"/>
  <c r="L197" i="2"/>
  <c r="I197" i="2"/>
  <c r="H197" i="2"/>
  <c r="G197" i="2"/>
  <c r="F197" i="2"/>
  <c r="F119" i="5" s="1"/>
  <c r="D197" i="2"/>
  <c r="E197" i="2" s="1"/>
  <c r="C197" i="2"/>
  <c r="U196" i="2"/>
  <c r="L196" i="2"/>
  <c r="I196" i="2"/>
  <c r="H196" i="2"/>
  <c r="G196" i="2"/>
  <c r="F196" i="2"/>
  <c r="D196" i="2"/>
  <c r="E196" i="2" s="1"/>
  <c r="C196" i="2"/>
  <c r="U195" i="2"/>
  <c r="L195" i="2"/>
  <c r="I195" i="2"/>
  <c r="H195" i="2"/>
  <c r="G195" i="2"/>
  <c r="F195" i="2"/>
  <c r="F118" i="5" s="1"/>
  <c r="D195" i="2"/>
  <c r="E195" i="2" s="1"/>
  <c r="C195" i="2"/>
  <c r="U194" i="2"/>
  <c r="L194" i="2"/>
  <c r="I194" i="2"/>
  <c r="H194" i="2"/>
  <c r="G194" i="2"/>
  <c r="F194" i="2"/>
  <c r="D194" i="2"/>
  <c r="E194" i="2" s="1"/>
  <c r="C194" i="2"/>
  <c r="U193" i="2"/>
  <c r="L193" i="2"/>
  <c r="I193" i="2"/>
  <c r="H193" i="2"/>
  <c r="G193" i="2"/>
  <c r="F193" i="2"/>
  <c r="D193" i="2"/>
  <c r="E193" i="2" s="1"/>
  <c r="C193" i="2"/>
  <c r="U192" i="2"/>
  <c r="L192" i="2"/>
  <c r="I192" i="2"/>
  <c r="H192" i="2"/>
  <c r="G192" i="2"/>
  <c r="F192" i="2"/>
  <c r="D192" i="2"/>
  <c r="E192" i="2" s="1"/>
  <c r="C192" i="2"/>
  <c r="U191" i="2"/>
  <c r="L191" i="2"/>
  <c r="I191" i="2"/>
  <c r="H191" i="2"/>
  <c r="G191" i="2"/>
  <c r="F191" i="2"/>
  <c r="D191" i="2"/>
  <c r="E191" i="2" s="1"/>
  <c r="C191" i="2"/>
  <c r="U190" i="2"/>
  <c r="L190" i="2"/>
  <c r="I190" i="2"/>
  <c r="H190" i="2"/>
  <c r="G190" i="2"/>
  <c r="F190" i="2"/>
  <c r="F117" i="5" s="1"/>
  <c r="D190" i="2"/>
  <c r="E190" i="2" s="1"/>
  <c r="C190" i="2"/>
  <c r="U189" i="2"/>
  <c r="L189" i="2"/>
  <c r="I189" i="2"/>
  <c r="H189" i="2"/>
  <c r="G189" i="2"/>
  <c r="F189" i="2"/>
  <c r="D189" i="2"/>
  <c r="E189" i="2" s="1"/>
  <c r="C189" i="2"/>
  <c r="U188" i="2"/>
  <c r="L188" i="2"/>
  <c r="I188" i="2"/>
  <c r="H188" i="2"/>
  <c r="G188" i="2"/>
  <c r="F188" i="2"/>
  <c r="D188" i="2"/>
  <c r="E188" i="2" s="1"/>
  <c r="C188" i="2"/>
  <c r="U187" i="2"/>
  <c r="L187" i="2"/>
  <c r="I187" i="2"/>
  <c r="H187" i="2"/>
  <c r="G187" i="2"/>
  <c r="F187" i="2"/>
  <c r="D187" i="2"/>
  <c r="E187" i="2" s="1"/>
  <c r="C187" i="2"/>
  <c r="U186" i="2"/>
  <c r="L186" i="2"/>
  <c r="I186" i="2"/>
  <c r="H186" i="2"/>
  <c r="G186" i="2"/>
  <c r="F186" i="2"/>
  <c r="D186" i="2"/>
  <c r="E186" i="2" s="1"/>
  <c r="C186" i="2"/>
  <c r="U185" i="2"/>
  <c r="L185" i="2"/>
  <c r="I185" i="2"/>
  <c r="H185" i="2"/>
  <c r="G185" i="2"/>
  <c r="F185" i="2"/>
  <c r="D185" i="2"/>
  <c r="E185" i="2" s="1"/>
  <c r="C185" i="2"/>
  <c r="U184" i="2"/>
  <c r="L184" i="2"/>
  <c r="I184" i="2"/>
  <c r="H184" i="2"/>
  <c r="G184" i="2"/>
  <c r="F184" i="2"/>
  <c r="D184" i="2"/>
  <c r="E184" i="2" s="1"/>
  <c r="C184" i="2"/>
  <c r="U183" i="2"/>
  <c r="L183" i="2"/>
  <c r="I183" i="2"/>
  <c r="H183" i="2"/>
  <c r="G183" i="2"/>
  <c r="F183" i="2"/>
  <c r="D183" i="2"/>
  <c r="E183" i="2" s="1"/>
  <c r="C183" i="2"/>
  <c r="U182" i="2"/>
  <c r="L182" i="2"/>
  <c r="I182" i="2"/>
  <c r="H182" i="2"/>
  <c r="G182" i="2"/>
  <c r="F182" i="2"/>
  <c r="D182" i="2"/>
  <c r="E182" i="2" s="1"/>
  <c r="C182" i="2"/>
  <c r="U181" i="2"/>
  <c r="L181" i="2"/>
  <c r="I181" i="2"/>
  <c r="H181" i="2"/>
  <c r="G181" i="2"/>
  <c r="F181" i="2"/>
  <c r="D181" i="2"/>
  <c r="E181" i="2" s="1"/>
  <c r="C181" i="2"/>
  <c r="U180" i="2"/>
  <c r="L180" i="2"/>
  <c r="I180" i="2"/>
  <c r="H180" i="2"/>
  <c r="G180" i="2"/>
  <c r="F180" i="2"/>
  <c r="F116" i="5" s="1"/>
  <c r="D180" i="2"/>
  <c r="E180" i="2" s="1"/>
  <c r="C180" i="2"/>
  <c r="U179" i="2"/>
  <c r="L179" i="2"/>
  <c r="I179" i="2"/>
  <c r="H179" i="2"/>
  <c r="G179" i="2"/>
  <c r="F179" i="2"/>
  <c r="F115" i="5" s="1"/>
  <c r="D179" i="2"/>
  <c r="E179" i="2" s="1"/>
  <c r="C179" i="2"/>
  <c r="U178" i="2"/>
  <c r="L178" i="2"/>
  <c r="I178" i="2"/>
  <c r="H178" i="2"/>
  <c r="G178" i="2"/>
  <c r="F178" i="2"/>
  <c r="F114" i="5" s="1"/>
  <c r="D178" i="2"/>
  <c r="E178" i="2" s="1"/>
  <c r="C178" i="2"/>
  <c r="U177" i="2"/>
  <c r="L177" i="2"/>
  <c r="I177" i="2"/>
  <c r="H177" i="2"/>
  <c r="G177" i="2"/>
  <c r="F177" i="2"/>
  <c r="F113" i="5" s="1"/>
  <c r="D177" i="2"/>
  <c r="E177" i="2" s="1"/>
  <c r="C177" i="2"/>
  <c r="U176" i="2"/>
  <c r="L176" i="2"/>
  <c r="I176" i="2"/>
  <c r="H176" i="2"/>
  <c r="G176" i="2"/>
  <c r="F176" i="2"/>
  <c r="F112" i="5" s="1"/>
  <c r="D176" i="2"/>
  <c r="E176" i="2" s="1"/>
  <c r="C176" i="2"/>
  <c r="U175" i="2"/>
  <c r="L175" i="2"/>
  <c r="I175" i="2"/>
  <c r="H175" i="2"/>
  <c r="G175" i="2"/>
  <c r="F175" i="2"/>
  <c r="F111" i="5" s="1"/>
  <c r="D175" i="2"/>
  <c r="E175" i="2" s="1"/>
  <c r="C175" i="2"/>
  <c r="U174" i="2"/>
  <c r="L174" i="2"/>
  <c r="I174" i="2"/>
  <c r="H174" i="2"/>
  <c r="G174" i="2"/>
  <c r="F174" i="2"/>
  <c r="F110" i="5" s="1"/>
  <c r="D174" i="2"/>
  <c r="E174" i="2" s="1"/>
  <c r="C174" i="2"/>
  <c r="U173" i="2"/>
  <c r="L173" i="2"/>
  <c r="I173" i="2"/>
  <c r="H173" i="2"/>
  <c r="G173" i="2"/>
  <c r="F173" i="2"/>
  <c r="F109" i="5" s="1"/>
  <c r="D173" i="2"/>
  <c r="E173" i="2" s="1"/>
  <c r="C173" i="2"/>
  <c r="U172" i="2"/>
  <c r="L172" i="2"/>
  <c r="I172" i="2"/>
  <c r="H172" i="2"/>
  <c r="G172" i="2"/>
  <c r="F172" i="2"/>
  <c r="F108" i="5" s="1"/>
  <c r="D172" i="2"/>
  <c r="E172" i="2" s="1"/>
  <c r="C172" i="2"/>
  <c r="U171" i="2"/>
  <c r="L171" i="2"/>
  <c r="I171" i="2"/>
  <c r="H171" i="2"/>
  <c r="G171" i="2"/>
  <c r="F171" i="2"/>
  <c r="F107" i="5" s="1"/>
  <c r="D171" i="2"/>
  <c r="E171" i="2" s="1"/>
  <c r="C171" i="2"/>
  <c r="U170" i="2"/>
  <c r="L170" i="2"/>
  <c r="I170" i="2"/>
  <c r="H170" i="2"/>
  <c r="G170" i="2"/>
  <c r="F170" i="2"/>
  <c r="F106" i="5" s="1"/>
  <c r="D170" i="2"/>
  <c r="E170" i="2" s="1"/>
  <c r="C170" i="2"/>
  <c r="U169" i="2"/>
  <c r="L169" i="2"/>
  <c r="I169" i="2"/>
  <c r="H169" i="2"/>
  <c r="G169" i="2"/>
  <c r="F169" i="2"/>
  <c r="F105" i="5" s="1"/>
  <c r="D169" i="2"/>
  <c r="E169" i="2" s="1"/>
  <c r="C169" i="2"/>
  <c r="U168" i="2"/>
  <c r="L168" i="2"/>
  <c r="I168" i="2"/>
  <c r="H168" i="2"/>
  <c r="G168" i="2"/>
  <c r="F168" i="2"/>
  <c r="F104" i="5" s="1"/>
  <c r="D168" i="2"/>
  <c r="E168" i="2" s="1"/>
  <c r="C168" i="2"/>
  <c r="U167" i="2"/>
  <c r="L167" i="2"/>
  <c r="I167" i="2"/>
  <c r="H167" i="2"/>
  <c r="G167" i="2"/>
  <c r="F167" i="2"/>
  <c r="F103" i="5" s="1"/>
  <c r="D167" i="2"/>
  <c r="E167" i="2" s="1"/>
  <c r="C167" i="2"/>
  <c r="U166" i="2"/>
  <c r="L166" i="2"/>
  <c r="I166" i="2"/>
  <c r="H166" i="2"/>
  <c r="G166" i="2"/>
  <c r="F166" i="2"/>
  <c r="F102" i="5" s="1"/>
  <c r="D166" i="2"/>
  <c r="E166" i="2" s="1"/>
  <c r="C166" i="2"/>
  <c r="U165" i="2"/>
  <c r="L165" i="2"/>
  <c r="I165" i="2"/>
  <c r="H165" i="2"/>
  <c r="G165" i="2"/>
  <c r="F165" i="2"/>
  <c r="F101" i="5" s="1"/>
  <c r="D165" i="2"/>
  <c r="E165" i="2" s="1"/>
  <c r="C165" i="2"/>
  <c r="U164" i="2"/>
  <c r="L164" i="2"/>
  <c r="I164" i="2"/>
  <c r="H164" i="2"/>
  <c r="G164" i="2"/>
  <c r="F164" i="2"/>
  <c r="F100" i="5" s="1"/>
  <c r="D164" i="2"/>
  <c r="E164" i="2" s="1"/>
  <c r="C164" i="2"/>
  <c r="U163" i="2"/>
  <c r="L163" i="2"/>
  <c r="I163" i="2"/>
  <c r="H163" i="2"/>
  <c r="G163" i="2"/>
  <c r="F163" i="2"/>
  <c r="F99" i="5" s="1"/>
  <c r="D163" i="2"/>
  <c r="E163" i="2" s="1"/>
  <c r="C163" i="2"/>
  <c r="U162" i="2"/>
  <c r="L162" i="2"/>
  <c r="I162" i="2"/>
  <c r="H162" i="2"/>
  <c r="G162" i="2"/>
  <c r="F162" i="2"/>
  <c r="F98" i="5" s="1"/>
  <c r="D162" i="2"/>
  <c r="E162" i="2" s="1"/>
  <c r="C162" i="2"/>
  <c r="U161" i="2"/>
  <c r="L161" i="2"/>
  <c r="I161" i="2"/>
  <c r="H161" i="2"/>
  <c r="G161" i="2"/>
  <c r="F161" i="2"/>
  <c r="F97" i="5" s="1"/>
  <c r="D161" i="2"/>
  <c r="E161" i="2" s="1"/>
  <c r="C161" i="2"/>
  <c r="U160" i="2"/>
  <c r="L160" i="2"/>
  <c r="I160" i="2"/>
  <c r="H160" i="2"/>
  <c r="G160" i="2"/>
  <c r="F160" i="2"/>
  <c r="F96" i="5" s="1"/>
  <c r="D160" i="2"/>
  <c r="E160" i="2" s="1"/>
  <c r="C160" i="2"/>
  <c r="U159" i="2"/>
  <c r="L159" i="2"/>
  <c r="I159" i="2"/>
  <c r="H159" i="2"/>
  <c r="G159" i="2"/>
  <c r="F159" i="2"/>
  <c r="F95" i="5" s="1"/>
  <c r="D159" i="2"/>
  <c r="E159" i="2" s="1"/>
  <c r="C159" i="2"/>
  <c r="U158" i="2"/>
  <c r="L158" i="2"/>
  <c r="I158" i="2"/>
  <c r="H158" i="2"/>
  <c r="G158" i="2"/>
  <c r="F158" i="2"/>
  <c r="F94" i="5" s="1"/>
  <c r="D158" i="2"/>
  <c r="E158" i="2" s="1"/>
  <c r="C158" i="2"/>
  <c r="U157" i="2"/>
  <c r="L157" i="2"/>
  <c r="I157" i="2"/>
  <c r="H157" i="2"/>
  <c r="G157" i="2"/>
  <c r="F157" i="2"/>
  <c r="F93" i="5" s="1"/>
  <c r="D157" i="2"/>
  <c r="E157" i="2" s="1"/>
  <c r="C157" i="2"/>
  <c r="U156" i="2"/>
  <c r="L156" i="2"/>
  <c r="I156" i="2"/>
  <c r="H156" i="2"/>
  <c r="G156" i="2"/>
  <c r="F156" i="2"/>
  <c r="F92" i="5" s="1"/>
  <c r="D156" i="2"/>
  <c r="E156" i="2" s="1"/>
  <c r="C156" i="2"/>
  <c r="U155" i="2"/>
  <c r="L155" i="2"/>
  <c r="I155" i="2"/>
  <c r="H155" i="2"/>
  <c r="G155" i="2"/>
  <c r="F155" i="2"/>
  <c r="F91" i="5" s="1"/>
  <c r="D155" i="2"/>
  <c r="E155" i="2" s="1"/>
  <c r="C155" i="2"/>
  <c r="U154" i="2"/>
  <c r="L154" i="2"/>
  <c r="I154" i="2"/>
  <c r="H154" i="2"/>
  <c r="G154" i="2"/>
  <c r="F154" i="2"/>
  <c r="F90" i="5" s="1"/>
  <c r="D154" i="2"/>
  <c r="E154" i="2" s="1"/>
  <c r="C154" i="2"/>
  <c r="U153" i="2"/>
  <c r="L153" i="2"/>
  <c r="I153" i="2"/>
  <c r="H153" i="2"/>
  <c r="G153" i="2"/>
  <c r="F153" i="2"/>
  <c r="F89" i="5" s="1"/>
  <c r="D153" i="2"/>
  <c r="E153" i="2" s="1"/>
  <c r="C153" i="2"/>
  <c r="U152" i="2"/>
  <c r="L152" i="2"/>
  <c r="I152" i="2"/>
  <c r="H152" i="2"/>
  <c r="G152" i="2"/>
  <c r="F152" i="2"/>
  <c r="F88" i="5" s="1"/>
  <c r="D152" i="2"/>
  <c r="E152" i="2" s="1"/>
  <c r="C152" i="2"/>
  <c r="U151" i="2"/>
  <c r="L151" i="2"/>
  <c r="I151" i="2"/>
  <c r="H151" i="2"/>
  <c r="G151" i="2"/>
  <c r="F151" i="2"/>
  <c r="F87" i="5" s="1"/>
  <c r="D151" i="2"/>
  <c r="E151" i="2" s="1"/>
  <c r="C151" i="2"/>
  <c r="U150" i="2"/>
  <c r="L150" i="2"/>
  <c r="I150" i="2"/>
  <c r="H150" i="2"/>
  <c r="G150" i="2"/>
  <c r="F150" i="2"/>
  <c r="F86" i="5" s="1"/>
  <c r="D150" i="2"/>
  <c r="E150" i="2" s="1"/>
  <c r="C150" i="2"/>
  <c r="U149" i="2"/>
  <c r="L149" i="2"/>
  <c r="I149" i="2"/>
  <c r="H149" i="2"/>
  <c r="G149" i="2"/>
  <c r="F149" i="2"/>
  <c r="F85" i="5" s="1"/>
  <c r="D149" i="2"/>
  <c r="E149" i="2" s="1"/>
  <c r="C149" i="2"/>
  <c r="U148" i="2"/>
  <c r="L148" i="2"/>
  <c r="I148" i="2"/>
  <c r="H148" i="2"/>
  <c r="G148" i="2"/>
  <c r="F148" i="2"/>
  <c r="F84" i="5" s="1"/>
  <c r="D148" i="2"/>
  <c r="E148" i="2" s="1"/>
  <c r="C148" i="2"/>
  <c r="U147" i="2"/>
  <c r="L147" i="2"/>
  <c r="I147" i="2"/>
  <c r="H147" i="2"/>
  <c r="G147" i="2"/>
  <c r="F147" i="2"/>
  <c r="F83" i="5" s="1"/>
  <c r="D147" i="2"/>
  <c r="E147" i="2" s="1"/>
  <c r="C147" i="2"/>
  <c r="U146" i="2"/>
  <c r="L146" i="2"/>
  <c r="I146" i="2"/>
  <c r="H146" i="2"/>
  <c r="G146" i="2"/>
  <c r="F146" i="2"/>
  <c r="F82" i="5" s="1"/>
  <c r="D146" i="2"/>
  <c r="E146" i="2" s="1"/>
  <c r="C146" i="2"/>
  <c r="U145" i="2"/>
  <c r="L145" i="2"/>
  <c r="I145" i="2"/>
  <c r="H145" i="2"/>
  <c r="G145" i="2"/>
  <c r="F145" i="2"/>
  <c r="F81" i="5" s="1"/>
  <c r="D145" i="2"/>
  <c r="E145" i="2" s="1"/>
  <c r="C145" i="2"/>
  <c r="U144" i="2"/>
  <c r="L144" i="2"/>
  <c r="I144" i="2"/>
  <c r="H144" i="2"/>
  <c r="G144" i="2"/>
  <c r="F144" i="2"/>
  <c r="F80" i="5" s="1"/>
  <c r="D144" i="2"/>
  <c r="E144" i="2" s="1"/>
  <c r="C144" i="2"/>
  <c r="U143" i="2"/>
  <c r="L143" i="2"/>
  <c r="I143" i="2"/>
  <c r="H143" i="2"/>
  <c r="G143" i="2"/>
  <c r="F143" i="2"/>
  <c r="D143" i="2"/>
  <c r="E143" i="2" s="1"/>
  <c r="C143" i="2"/>
  <c r="U142" i="2"/>
  <c r="L142" i="2"/>
  <c r="I142" i="2"/>
  <c r="H142" i="2"/>
  <c r="G142" i="2"/>
  <c r="F142" i="2"/>
  <c r="D142" i="2"/>
  <c r="E142" i="2" s="1"/>
  <c r="C142" i="2"/>
  <c r="U141" i="2"/>
  <c r="L141" i="2"/>
  <c r="I141" i="2"/>
  <c r="H141" i="2"/>
  <c r="G141" i="2"/>
  <c r="F141" i="2"/>
  <c r="D141" i="2"/>
  <c r="E141" i="2" s="1"/>
  <c r="C141" i="2"/>
  <c r="U140" i="2"/>
  <c r="L140" i="2"/>
  <c r="I140" i="2"/>
  <c r="H140" i="2"/>
  <c r="G140" i="2"/>
  <c r="F140" i="2"/>
  <c r="D140" i="2"/>
  <c r="E140" i="2" s="1"/>
  <c r="C140" i="2"/>
  <c r="U139" i="2"/>
  <c r="L139" i="2"/>
  <c r="I139" i="2"/>
  <c r="H139" i="2"/>
  <c r="G139" i="2"/>
  <c r="F139" i="2"/>
  <c r="D139" i="2"/>
  <c r="E139" i="2" s="1"/>
  <c r="C139" i="2"/>
  <c r="U138" i="2"/>
  <c r="L138" i="2"/>
  <c r="I138" i="2"/>
  <c r="H138" i="2"/>
  <c r="G138" i="2"/>
  <c r="F138" i="2"/>
  <c r="F79" i="5" s="1"/>
  <c r="D138" i="2"/>
  <c r="E138" i="2" s="1"/>
  <c r="C138" i="2"/>
  <c r="U137" i="2"/>
  <c r="L137" i="2"/>
  <c r="I137" i="2"/>
  <c r="H137" i="2"/>
  <c r="G137" i="2"/>
  <c r="F137" i="2"/>
  <c r="F78" i="5" s="1"/>
  <c r="D137" i="2"/>
  <c r="E137" i="2" s="1"/>
  <c r="C137" i="2"/>
  <c r="U136" i="2"/>
  <c r="L136" i="2"/>
  <c r="I136" i="2"/>
  <c r="H136" i="2"/>
  <c r="G136" i="2"/>
  <c r="F136" i="2"/>
  <c r="F77" i="5" s="1"/>
  <c r="D136" i="2"/>
  <c r="E136" i="2" s="1"/>
  <c r="C136" i="2"/>
  <c r="U135" i="2"/>
  <c r="L135" i="2"/>
  <c r="I135" i="2"/>
  <c r="H135" i="2"/>
  <c r="G135" i="2"/>
  <c r="F135" i="2"/>
  <c r="F76" i="5" s="1"/>
  <c r="D135" i="2"/>
  <c r="E135" i="2" s="1"/>
  <c r="C135" i="2"/>
  <c r="U134" i="2"/>
  <c r="L134" i="2"/>
  <c r="I134" i="2"/>
  <c r="H134" i="2"/>
  <c r="G134" i="2"/>
  <c r="F134" i="2"/>
  <c r="F75" i="5" s="1"/>
  <c r="D134" i="2"/>
  <c r="E134" i="2" s="1"/>
  <c r="C134" i="2"/>
  <c r="U133" i="2"/>
  <c r="L133" i="2"/>
  <c r="I133" i="2"/>
  <c r="H133" i="2"/>
  <c r="G133" i="2"/>
  <c r="F133" i="2"/>
  <c r="F74" i="5" s="1"/>
  <c r="D133" i="2"/>
  <c r="E133" i="2" s="1"/>
  <c r="C133" i="2"/>
  <c r="U132" i="2"/>
  <c r="L132" i="2"/>
  <c r="I132" i="2"/>
  <c r="H132" i="2"/>
  <c r="G132" i="2"/>
  <c r="F132" i="2"/>
  <c r="F73" i="5" s="1"/>
  <c r="D132" i="2"/>
  <c r="E132" i="2" s="1"/>
  <c r="C132" i="2"/>
  <c r="U131" i="2"/>
  <c r="L131" i="2"/>
  <c r="I131" i="2"/>
  <c r="H131" i="2"/>
  <c r="G131" i="2"/>
  <c r="F131" i="2"/>
  <c r="F72" i="5" s="1"/>
  <c r="D131" i="2"/>
  <c r="E131" i="2" s="1"/>
  <c r="C131" i="2"/>
  <c r="U130" i="2"/>
  <c r="L130" i="2"/>
  <c r="I130" i="2"/>
  <c r="H130" i="2"/>
  <c r="G130" i="2"/>
  <c r="F130" i="2"/>
  <c r="F71" i="5" s="1"/>
  <c r="D130" i="2"/>
  <c r="E130" i="2" s="1"/>
  <c r="C130" i="2"/>
  <c r="U129" i="2"/>
  <c r="L129" i="2"/>
  <c r="I129" i="2"/>
  <c r="H129" i="2"/>
  <c r="G129" i="2"/>
  <c r="F129" i="2"/>
  <c r="F70" i="5" s="1"/>
  <c r="D129" i="2"/>
  <c r="E129" i="2" s="1"/>
  <c r="C129" i="2"/>
  <c r="U128" i="2"/>
  <c r="L128" i="2"/>
  <c r="I128" i="2"/>
  <c r="H128" i="2"/>
  <c r="G128" i="2"/>
  <c r="F128" i="2"/>
  <c r="F69" i="5" s="1"/>
  <c r="D128" i="2"/>
  <c r="E128" i="2" s="1"/>
  <c r="C128" i="2"/>
  <c r="U127" i="2"/>
  <c r="L127" i="2"/>
  <c r="I127" i="2"/>
  <c r="H127" i="2"/>
  <c r="G127" i="2"/>
  <c r="F127" i="2"/>
  <c r="F68" i="5" s="1"/>
  <c r="D127" i="2"/>
  <c r="E127" i="2" s="1"/>
  <c r="C127" i="2"/>
  <c r="U126" i="2"/>
  <c r="L126" i="2"/>
  <c r="I126" i="2"/>
  <c r="H126" i="2"/>
  <c r="G126" i="2"/>
  <c r="F126" i="2"/>
  <c r="F67" i="5" s="1"/>
  <c r="D126" i="2"/>
  <c r="E126" i="2" s="1"/>
  <c r="C126" i="2"/>
  <c r="U125" i="2"/>
  <c r="L125" i="2"/>
  <c r="I125" i="2"/>
  <c r="H125" i="2"/>
  <c r="G125" i="2"/>
  <c r="F125" i="2"/>
  <c r="F66" i="5" s="1"/>
  <c r="D125" i="2"/>
  <c r="E125" i="2" s="1"/>
  <c r="C125" i="2"/>
  <c r="U124" i="2"/>
  <c r="L124" i="2"/>
  <c r="I124" i="2"/>
  <c r="H124" i="2"/>
  <c r="G124" i="2"/>
  <c r="F124" i="2"/>
  <c r="F65" i="5" s="1"/>
  <c r="D124" i="2"/>
  <c r="E124" i="2" s="1"/>
  <c r="C124" i="2"/>
  <c r="U123" i="2"/>
  <c r="L123" i="2"/>
  <c r="I123" i="2"/>
  <c r="H123" i="2"/>
  <c r="G123" i="2"/>
  <c r="F123" i="2"/>
  <c r="F64" i="5" s="1"/>
  <c r="D123" i="2"/>
  <c r="E123" i="2" s="1"/>
  <c r="C123" i="2"/>
  <c r="U122" i="2"/>
  <c r="L122" i="2"/>
  <c r="I122" i="2"/>
  <c r="H122" i="2"/>
  <c r="G122" i="2"/>
  <c r="F122" i="2"/>
  <c r="F63" i="5" s="1"/>
  <c r="D122" i="2"/>
  <c r="E122" i="2" s="1"/>
  <c r="C122" i="2"/>
  <c r="U121" i="2"/>
  <c r="L121" i="2"/>
  <c r="I121" i="2"/>
  <c r="H121" i="2"/>
  <c r="G121" i="2"/>
  <c r="F121" i="2"/>
  <c r="F62" i="5" s="1"/>
  <c r="D121" i="2"/>
  <c r="E121" i="2" s="1"/>
  <c r="C121" i="2"/>
  <c r="U120" i="2"/>
  <c r="L120" i="2"/>
  <c r="I120" i="2"/>
  <c r="H120" i="2"/>
  <c r="G120" i="2"/>
  <c r="F120" i="2"/>
  <c r="F61" i="5" s="1"/>
  <c r="D120" i="2"/>
  <c r="E120" i="2" s="1"/>
  <c r="C120" i="2"/>
  <c r="U119" i="2"/>
  <c r="L119" i="2"/>
  <c r="I119" i="2"/>
  <c r="H119" i="2"/>
  <c r="G119" i="2"/>
  <c r="F119" i="2"/>
  <c r="F60" i="5" s="1"/>
  <c r="D119" i="2"/>
  <c r="E119" i="2" s="1"/>
  <c r="C119" i="2"/>
  <c r="U118" i="2"/>
  <c r="L118" i="2"/>
  <c r="I118" i="2"/>
  <c r="H118" i="2"/>
  <c r="G118" i="2"/>
  <c r="F118" i="2"/>
  <c r="F59" i="5" s="1"/>
  <c r="D118" i="2"/>
  <c r="E118" i="2" s="1"/>
  <c r="C118" i="2"/>
  <c r="U117" i="2"/>
  <c r="L117" i="2"/>
  <c r="I117" i="2"/>
  <c r="H117" i="2"/>
  <c r="G117" i="2"/>
  <c r="F117" i="2"/>
  <c r="F58" i="5" s="1"/>
  <c r="D117" i="2"/>
  <c r="E117" i="2" s="1"/>
  <c r="C117" i="2"/>
  <c r="U116" i="2"/>
  <c r="L116" i="2"/>
  <c r="I116" i="2"/>
  <c r="H116" i="2"/>
  <c r="G116" i="2"/>
  <c r="F116" i="2"/>
  <c r="F57" i="5" s="1"/>
  <c r="D116" i="2"/>
  <c r="E116" i="2" s="1"/>
  <c r="C116" i="2"/>
  <c r="U115" i="2"/>
  <c r="L115" i="2"/>
  <c r="I115" i="2"/>
  <c r="H115" i="2"/>
  <c r="G115" i="2"/>
  <c r="F115" i="2"/>
  <c r="F56" i="5" s="1"/>
  <c r="D115" i="2"/>
  <c r="E115" i="2" s="1"/>
  <c r="C115" i="2"/>
  <c r="U114" i="2"/>
  <c r="L114" i="2"/>
  <c r="I114" i="2"/>
  <c r="H114" i="2"/>
  <c r="G114" i="2"/>
  <c r="F114" i="2"/>
  <c r="F55" i="5" s="1"/>
  <c r="D114" i="2"/>
  <c r="E114" i="2" s="1"/>
  <c r="C114" i="2"/>
  <c r="U113" i="2"/>
  <c r="L113" i="2"/>
  <c r="I113" i="2"/>
  <c r="H113" i="2"/>
  <c r="G113" i="2"/>
  <c r="F113" i="2"/>
  <c r="F54" i="5" s="1"/>
  <c r="D113" i="2"/>
  <c r="E113" i="2" s="1"/>
  <c r="C113" i="2"/>
  <c r="U112" i="2"/>
  <c r="L112" i="2"/>
  <c r="I112" i="2"/>
  <c r="H112" i="2"/>
  <c r="G112" i="2"/>
  <c r="F112" i="2"/>
  <c r="F53" i="5" s="1"/>
  <c r="D112" i="2"/>
  <c r="E112" i="2" s="1"/>
  <c r="C112" i="2"/>
  <c r="U111" i="2"/>
  <c r="L111" i="2"/>
  <c r="I111" i="2"/>
  <c r="H111" i="2"/>
  <c r="G111" i="2"/>
  <c r="F111" i="2"/>
  <c r="F52" i="5" s="1"/>
  <c r="D111" i="2"/>
  <c r="E111" i="2" s="1"/>
  <c r="C111" i="2"/>
  <c r="U110" i="2"/>
  <c r="L110" i="2"/>
  <c r="I110" i="2"/>
  <c r="H110" i="2"/>
  <c r="G110" i="2"/>
  <c r="F110" i="2"/>
  <c r="F51" i="5" s="1"/>
  <c r="D110" i="2"/>
  <c r="E110" i="2" s="1"/>
  <c r="C110" i="2"/>
  <c r="U109" i="2"/>
  <c r="L109" i="2"/>
  <c r="I109" i="2"/>
  <c r="H109" i="2"/>
  <c r="G109" i="2"/>
  <c r="F109" i="2"/>
  <c r="F50" i="5" s="1"/>
  <c r="D109" i="2"/>
  <c r="E109" i="2" s="1"/>
  <c r="C109" i="2"/>
  <c r="U108" i="2"/>
  <c r="L108" i="2"/>
  <c r="I108" i="2"/>
  <c r="H108" i="2"/>
  <c r="G108" i="2"/>
  <c r="F108" i="2"/>
  <c r="F49" i="5" s="1"/>
  <c r="D108" i="2"/>
  <c r="E108" i="2" s="1"/>
  <c r="C108" i="2"/>
  <c r="U107" i="2"/>
  <c r="L107" i="2"/>
  <c r="I107" i="2"/>
  <c r="H107" i="2"/>
  <c r="G107" i="2"/>
  <c r="F107" i="2"/>
  <c r="F48" i="5" s="1"/>
  <c r="D107" i="2"/>
  <c r="E107" i="2" s="1"/>
  <c r="C107" i="2"/>
  <c r="U106" i="2"/>
  <c r="L106" i="2"/>
  <c r="I106" i="2"/>
  <c r="H106" i="2"/>
  <c r="G106" i="2"/>
  <c r="F106" i="2"/>
  <c r="F47" i="5" s="1"/>
  <c r="D106" i="2"/>
  <c r="E106" i="2" s="1"/>
  <c r="C106" i="2"/>
  <c r="U105" i="2"/>
  <c r="L105" i="2"/>
  <c r="I105" i="2"/>
  <c r="H105" i="2"/>
  <c r="G105" i="2"/>
  <c r="F105" i="2"/>
  <c r="F46" i="5" s="1"/>
  <c r="D105" i="2"/>
  <c r="E105" i="2" s="1"/>
  <c r="C105" i="2"/>
  <c r="U104" i="2"/>
  <c r="L104" i="2"/>
  <c r="I104" i="2"/>
  <c r="H104" i="2"/>
  <c r="G104" i="2"/>
  <c r="F104" i="2"/>
  <c r="F45" i="5" s="1"/>
  <c r="D104" i="2"/>
  <c r="E104" i="2" s="1"/>
  <c r="C104" i="2"/>
  <c r="U103" i="2"/>
  <c r="L103" i="2"/>
  <c r="I103" i="2"/>
  <c r="H103" i="2"/>
  <c r="G103" i="2"/>
  <c r="F103" i="2"/>
  <c r="D103" i="2"/>
  <c r="E103" i="2" s="1"/>
  <c r="C103" i="2"/>
  <c r="U102" i="2"/>
  <c r="L102" i="2"/>
  <c r="I102" i="2"/>
  <c r="H102" i="2"/>
  <c r="G102" i="2"/>
  <c r="F102" i="2"/>
  <c r="D102" i="2"/>
  <c r="E102" i="2" s="1"/>
  <c r="C102" i="2"/>
  <c r="U101" i="2"/>
  <c r="L101" i="2"/>
  <c r="I101" i="2"/>
  <c r="H101" i="2"/>
  <c r="G101" i="2"/>
  <c r="F101" i="2"/>
  <c r="D101" i="2"/>
  <c r="E101" i="2" s="1"/>
  <c r="C101" i="2"/>
  <c r="U100" i="2"/>
  <c r="L100" i="2"/>
  <c r="I100" i="2"/>
  <c r="H100" i="2"/>
  <c r="G100" i="2"/>
  <c r="F100" i="2"/>
  <c r="D100" i="2"/>
  <c r="E100" i="2" s="1"/>
  <c r="C100" i="2"/>
  <c r="U99" i="2"/>
  <c r="L99" i="2"/>
  <c r="I99" i="2"/>
  <c r="H99" i="2"/>
  <c r="G99" i="2"/>
  <c r="F99" i="2"/>
  <c r="D99" i="2"/>
  <c r="E99" i="2" s="1"/>
  <c r="C99" i="2"/>
  <c r="U98" i="2"/>
  <c r="L98" i="2"/>
  <c r="I98" i="2"/>
  <c r="H98" i="2"/>
  <c r="G98" i="2"/>
  <c r="F98" i="2"/>
  <c r="D98" i="2"/>
  <c r="E98" i="2" s="1"/>
  <c r="C98" i="2"/>
  <c r="U97" i="2"/>
  <c r="L97" i="2"/>
  <c r="I97" i="2"/>
  <c r="H97" i="2"/>
  <c r="G97" i="2"/>
  <c r="F97" i="2"/>
  <c r="F44" i="5" s="1"/>
  <c r="D97" i="2"/>
  <c r="E97" i="2" s="1"/>
  <c r="C97" i="2"/>
  <c r="U96" i="2"/>
  <c r="L96" i="2"/>
  <c r="I96" i="2"/>
  <c r="H96" i="2"/>
  <c r="G96" i="2"/>
  <c r="F96" i="2"/>
  <c r="F43" i="5" s="1"/>
  <c r="D96" i="2"/>
  <c r="E96" i="2" s="1"/>
  <c r="C96" i="2"/>
  <c r="U95" i="2"/>
  <c r="L95" i="2"/>
  <c r="I95" i="2"/>
  <c r="H95" i="2"/>
  <c r="G95" i="2"/>
  <c r="F95" i="2"/>
  <c r="F42" i="5" s="1"/>
  <c r="D95" i="2"/>
  <c r="E95" i="2" s="1"/>
  <c r="C95" i="2"/>
  <c r="U94" i="2"/>
  <c r="L94" i="2"/>
  <c r="I94" i="2"/>
  <c r="H94" i="2"/>
  <c r="G94" i="2"/>
  <c r="F94" i="2"/>
  <c r="F41" i="5" s="1"/>
  <c r="D94" i="2"/>
  <c r="E94" i="2" s="1"/>
  <c r="C94" i="2"/>
  <c r="U93" i="2"/>
  <c r="L93" i="2"/>
  <c r="I93" i="2"/>
  <c r="H93" i="2"/>
  <c r="G93" i="2"/>
  <c r="F93" i="2"/>
  <c r="F40" i="5" s="1"/>
  <c r="D93" i="2"/>
  <c r="E93" i="2" s="1"/>
  <c r="C93" i="2"/>
  <c r="U92" i="2"/>
  <c r="L92" i="2"/>
  <c r="I92" i="2"/>
  <c r="H92" i="2"/>
  <c r="G92" i="2"/>
  <c r="F92" i="2"/>
  <c r="F39" i="5" s="1"/>
  <c r="D92" i="2"/>
  <c r="E92" i="2" s="1"/>
  <c r="C92" i="2"/>
  <c r="U91" i="2"/>
  <c r="L91" i="2"/>
  <c r="I91" i="2"/>
  <c r="H91" i="2"/>
  <c r="G91" i="2"/>
  <c r="F91" i="2"/>
  <c r="F38" i="5" s="1"/>
  <c r="D91" i="2"/>
  <c r="E91" i="2" s="1"/>
  <c r="C91" i="2"/>
  <c r="U90" i="2"/>
  <c r="L90" i="2"/>
  <c r="I90" i="2"/>
  <c r="H90" i="2"/>
  <c r="G90" i="2"/>
  <c r="F90" i="2"/>
  <c r="F37" i="5" s="1"/>
  <c r="D90" i="2"/>
  <c r="E90" i="2" s="1"/>
  <c r="C90" i="2"/>
  <c r="U89" i="2"/>
  <c r="L89" i="2"/>
  <c r="I89" i="2"/>
  <c r="H89" i="2"/>
  <c r="G89" i="2"/>
  <c r="F89" i="2"/>
  <c r="D89" i="2"/>
  <c r="E89" i="2" s="1"/>
  <c r="C89" i="2"/>
  <c r="U88" i="2"/>
  <c r="L88" i="2"/>
  <c r="I88" i="2"/>
  <c r="H88" i="2"/>
  <c r="G88" i="2"/>
  <c r="F88" i="2"/>
  <c r="D88" i="2"/>
  <c r="E88" i="2" s="1"/>
  <c r="C88" i="2"/>
  <c r="U87" i="2"/>
  <c r="L87" i="2"/>
  <c r="I87" i="2"/>
  <c r="H87" i="2"/>
  <c r="G87" i="2"/>
  <c r="F87" i="2"/>
  <c r="D87" i="2"/>
  <c r="E87" i="2" s="1"/>
  <c r="C87" i="2"/>
  <c r="U86" i="2"/>
  <c r="L86" i="2"/>
  <c r="I86" i="2"/>
  <c r="H86" i="2"/>
  <c r="G86" i="2"/>
  <c r="F86" i="2"/>
  <c r="F36" i="5" s="1"/>
  <c r="D86" i="2"/>
  <c r="E86" i="2" s="1"/>
  <c r="C86" i="2"/>
  <c r="U85" i="2"/>
  <c r="L85" i="2"/>
  <c r="I85" i="2"/>
  <c r="H85" i="2"/>
  <c r="G85" i="2"/>
  <c r="F85" i="2"/>
  <c r="F35" i="5" s="1"/>
  <c r="D85" i="2"/>
  <c r="E85" i="2" s="1"/>
  <c r="C85" i="2"/>
  <c r="U84" i="2"/>
  <c r="L84" i="2"/>
  <c r="I84" i="2"/>
  <c r="H84" i="2"/>
  <c r="G84" i="2"/>
  <c r="F84" i="2"/>
  <c r="F34" i="5" s="1"/>
  <c r="D84" i="2"/>
  <c r="E84" i="2" s="1"/>
  <c r="C84" i="2"/>
  <c r="U83" i="2"/>
  <c r="L83" i="2"/>
  <c r="I83" i="2"/>
  <c r="H83" i="2"/>
  <c r="G83" i="2"/>
  <c r="F83" i="2"/>
  <c r="F33" i="5" s="1"/>
  <c r="D83" i="2"/>
  <c r="E83" i="2" s="1"/>
  <c r="C83" i="2"/>
  <c r="U82" i="2"/>
  <c r="L82" i="2"/>
  <c r="I82" i="2"/>
  <c r="H82" i="2"/>
  <c r="G82" i="2"/>
  <c r="F82" i="2"/>
  <c r="F32" i="5" s="1"/>
  <c r="D82" i="2"/>
  <c r="E82" i="2" s="1"/>
  <c r="C82" i="2"/>
  <c r="U81" i="2"/>
  <c r="L81" i="2"/>
  <c r="I81" i="2"/>
  <c r="H81" i="2"/>
  <c r="G81" i="2"/>
  <c r="F81" i="2"/>
  <c r="F31" i="5" s="1"/>
  <c r="D81" i="2"/>
  <c r="E81" i="2" s="1"/>
  <c r="C81" i="2"/>
  <c r="U80" i="2"/>
  <c r="L80" i="2"/>
  <c r="I80" i="2"/>
  <c r="H80" i="2"/>
  <c r="G80" i="2"/>
  <c r="F80" i="2"/>
  <c r="F30" i="5" s="1"/>
  <c r="D80" i="2"/>
  <c r="E80" i="2" s="1"/>
  <c r="C80" i="2"/>
  <c r="U79" i="2"/>
  <c r="L79" i="2"/>
  <c r="I79" i="2"/>
  <c r="H79" i="2"/>
  <c r="G79" i="2"/>
  <c r="F79" i="2"/>
  <c r="F29" i="5" s="1"/>
  <c r="D79" i="2"/>
  <c r="E79" i="2" s="1"/>
  <c r="C79" i="2"/>
  <c r="U78" i="2"/>
  <c r="L78" i="2"/>
  <c r="I78" i="2"/>
  <c r="H78" i="2"/>
  <c r="G78" i="2"/>
  <c r="F78" i="2"/>
  <c r="F28" i="5" s="1"/>
  <c r="D78" i="2"/>
  <c r="E78" i="2" s="1"/>
  <c r="C78" i="2"/>
  <c r="U77" i="2"/>
  <c r="L77" i="2"/>
  <c r="I77" i="2"/>
  <c r="H77" i="2"/>
  <c r="G77" i="2"/>
  <c r="F77" i="2"/>
  <c r="D77" i="2"/>
  <c r="E77" i="2" s="1"/>
  <c r="C77" i="2"/>
  <c r="U76" i="2"/>
  <c r="L76" i="2"/>
  <c r="I76" i="2"/>
  <c r="H76" i="2"/>
  <c r="G76" i="2"/>
  <c r="F76" i="2"/>
  <c r="D76" i="2"/>
  <c r="E76" i="2" s="1"/>
  <c r="C76" i="2"/>
  <c r="U75" i="2"/>
  <c r="L75" i="2"/>
  <c r="I75" i="2"/>
  <c r="H75" i="2"/>
  <c r="G75" i="2"/>
  <c r="F75" i="2"/>
  <c r="F27" i="5" s="1"/>
  <c r="D75" i="2"/>
  <c r="E75" i="2" s="1"/>
  <c r="C75" i="2"/>
  <c r="U74" i="2"/>
  <c r="L74" i="2"/>
  <c r="I74" i="2"/>
  <c r="H74" i="2"/>
  <c r="G74" i="2"/>
  <c r="F74" i="2"/>
  <c r="F26" i="5" s="1"/>
  <c r="D74" i="2"/>
  <c r="E74" i="2" s="1"/>
  <c r="C74" i="2"/>
  <c r="U73" i="2"/>
  <c r="L73" i="2"/>
  <c r="I73" i="2"/>
  <c r="H73" i="2"/>
  <c r="G73" i="2"/>
  <c r="F73" i="2"/>
  <c r="F25" i="5" s="1"/>
  <c r="D73" i="2"/>
  <c r="E73" i="2" s="1"/>
  <c r="C73" i="2"/>
  <c r="U72" i="2"/>
  <c r="L72" i="2"/>
  <c r="I72" i="2"/>
  <c r="H72" i="2"/>
  <c r="G72" i="2"/>
  <c r="F72" i="2"/>
  <c r="F24" i="5" s="1"/>
  <c r="D72" i="2"/>
  <c r="E72" i="2" s="1"/>
  <c r="C72" i="2"/>
  <c r="U71" i="2"/>
  <c r="L71" i="2"/>
  <c r="I71" i="2"/>
  <c r="H71" i="2"/>
  <c r="G71" i="2"/>
  <c r="F71" i="2"/>
  <c r="F23" i="5" s="1"/>
  <c r="D71" i="2"/>
  <c r="E71" i="2" s="1"/>
  <c r="C71" i="2"/>
  <c r="U70" i="2"/>
  <c r="L70" i="2"/>
  <c r="I70" i="2"/>
  <c r="H70" i="2"/>
  <c r="G70" i="2"/>
  <c r="F70" i="2"/>
  <c r="F22" i="5" s="1"/>
  <c r="D70" i="2"/>
  <c r="E70" i="2" s="1"/>
  <c r="C70" i="2"/>
  <c r="U69" i="2"/>
  <c r="L69" i="2"/>
  <c r="I69" i="2"/>
  <c r="H69" i="2"/>
  <c r="G69" i="2"/>
  <c r="F69" i="2"/>
  <c r="F21" i="5" s="1"/>
  <c r="D69" i="2"/>
  <c r="E69" i="2" s="1"/>
  <c r="C69" i="2"/>
  <c r="U68" i="2"/>
  <c r="L68" i="2"/>
  <c r="I68" i="2"/>
  <c r="H68" i="2"/>
  <c r="G68" i="2"/>
  <c r="F68" i="2"/>
  <c r="F20" i="5" s="1"/>
  <c r="D68" i="2"/>
  <c r="E68" i="2" s="1"/>
  <c r="C68" i="2"/>
  <c r="U67" i="2"/>
  <c r="L67" i="2"/>
  <c r="I67" i="2"/>
  <c r="H67" i="2"/>
  <c r="G67" i="2"/>
  <c r="F67" i="2"/>
  <c r="F19" i="5" s="1"/>
  <c r="D67" i="2"/>
  <c r="E67" i="2" s="1"/>
  <c r="C67" i="2"/>
  <c r="U66" i="2"/>
  <c r="L66" i="2"/>
  <c r="I66" i="2"/>
  <c r="H66" i="2"/>
  <c r="G66" i="2"/>
  <c r="F66" i="2"/>
  <c r="F18" i="5" s="1"/>
  <c r="D66" i="2"/>
  <c r="E66" i="2" s="1"/>
  <c r="C66" i="2"/>
  <c r="U65" i="2"/>
  <c r="L65" i="2"/>
  <c r="I65" i="2"/>
  <c r="H65" i="2"/>
  <c r="G65" i="2"/>
  <c r="F65" i="2"/>
  <c r="D65" i="2"/>
  <c r="E65" i="2" s="1"/>
  <c r="C65" i="2"/>
  <c r="U64" i="2"/>
  <c r="L64" i="2"/>
  <c r="I64" i="2"/>
  <c r="H64" i="2"/>
  <c r="G64" i="2"/>
  <c r="F64" i="2"/>
  <c r="D64" i="2"/>
  <c r="E64" i="2" s="1"/>
  <c r="C64" i="2"/>
  <c r="U63" i="2"/>
  <c r="L63" i="2"/>
  <c r="I63" i="2"/>
  <c r="H63" i="2"/>
  <c r="G63" i="2"/>
  <c r="F63" i="2"/>
  <c r="D63" i="2"/>
  <c r="E63" i="2" s="1"/>
  <c r="C63" i="2"/>
  <c r="U62" i="2"/>
  <c r="L62" i="2"/>
  <c r="I62" i="2"/>
  <c r="H62" i="2"/>
  <c r="G62" i="2"/>
  <c r="F62" i="2"/>
  <c r="F17" i="5" s="1"/>
  <c r="D62" i="2"/>
  <c r="E62" i="2" s="1"/>
  <c r="C62" i="2"/>
  <c r="U61" i="2"/>
  <c r="L61" i="2"/>
  <c r="I61" i="2"/>
  <c r="H61" i="2"/>
  <c r="G61" i="2"/>
  <c r="F61" i="2"/>
  <c r="F16" i="5" s="1"/>
  <c r="D61" i="2"/>
  <c r="E61" i="2" s="1"/>
  <c r="C61" i="2"/>
  <c r="U60" i="2"/>
  <c r="L60" i="2"/>
  <c r="I60" i="2"/>
  <c r="H60" i="2"/>
  <c r="G60" i="2"/>
  <c r="F60" i="2"/>
  <c r="F15" i="5" s="1"/>
  <c r="D60" i="2"/>
  <c r="E60" i="2" s="1"/>
  <c r="C60" i="2"/>
  <c r="U59" i="2"/>
  <c r="L59" i="2"/>
  <c r="I59" i="2"/>
  <c r="H59" i="2"/>
  <c r="G59" i="2"/>
  <c r="F59" i="2"/>
  <c r="D59" i="2"/>
  <c r="E59" i="2" s="1"/>
  <c r="C59" i="2"/>
  <c r="U58" i="2"/>
  <c r="L58" i="2"/>
  <c r="I58" i="2"/>
  <c r="H58" i="2"/>
  <c r="G58" i="2"/>
  <c r="F58" i="2"/>
  <c r="D58" i="2"/>
  <c r="E58" i="2" s="1"/>
  <c r="C58" i="2"/>
  <c r="U57" i="2"/>
  <c r="L57" i="2"/>
  <c r="I57" i="2"/>
  <c r="H57" i="2"/>
  <c r="G57" i="2"/>
  <c r="F57" i="2"/>
  <c r="D57" i="2"/>
  <c r="E57" i="2" s="1"/>
  <c r="C57" i="2"/>
  <c r="U56" i="2"/>
  <c r="L56" i="2"/>
  <c r="I56" i="2"/>
  <c r="H56" i="2"/>
  <c r="G56" i="2"/>
  <c r="F56" i="2"/>
  <c r="F14" i="5" s="1"/>
  <c r="D56" i="2"/>
  <c r="E56" i="2" s="1"/>
  <c r="C56" i="2"/>
  <c r="U55" i="2"/>
  <c r="L55" i="2"/>
  <c r="I55" i="2"/>
  <c r="H55" i="2"/>
  <c r="G55" i="2"/>
  <c r="F55" i="2"/>
  <c r="F13" i="5" s="1"/>
  <c r="D55" i="2"/>
  <c r="E55" i="2" s="1"/>
  <c r="C55" i="2"/>
  <c r="U54" i="2"/>
  <c r="L54" i="2"/>
  <c r="I54" i="2"/>
  <c r="H54" i="2"/>
  <c r="G54" i="2"/>
  <c r="F54" i="2"/>
  <c r="F12" i="5" s="1"/>
  <c r="D54" i="2"/>
  <c r="E54" i="2" s="1"/>
  <c r="C54" i="2"/>
  <c r="U53" i="2"/>
  <c r="L53" i="2"/>
  <c r="I53" i="2"/>
  <c r="H53" i="2"/>
  <c r="G53" i="2"/>
  <c r="F53" i="2"/>
  <c r="F11" i="5" s="1"/>
  <c r="D53" i="2"/>
  <c r="E53" i="2" s="1"/>
  <c r="C53" i="2"/>
  <c r="U52" i="2"/>
  <c r="L52" i="2"/>
  <c r="I52" i="2"/>
  <c r="H52" i="2"/>
  <c r="G52" i="2"/>
  <c r="F52" i="2"/>
  <c r="F10" i="5" s="1"/>
  <c r="D52" i="2"/>
  <c r="E52" i="2" s="1"/>
  <c r="C52" i="2"/>
  <c r="U51" i="2"/>
  <c r="L51" i="2"/>
  <c r="I51" i="2"/>
  <c r="H51" i="2"/>
  <c r="G51" i="2"/>
  <c r="F51" i="2"/>
  <c r="F9" i="5" s="1"/>
  <c r="D51" i="2"/>
  <c r="E51" i="2" s="1"/>
  <c r="C51" i="2"/>
  <c r="U50" i="2"/>
  <c r="L50" i="2"/>
  <c r="I50" i="2"/>
  <c r="H50" i="2"/>
  <c r="G50" i="2"/>
  <c r="F50" i="2"/>
  <c r="F8" i="5" s="1"/>
  <c r="D50" i="2"/>
  <c r="E50" i="2" s="1"/>
  <c r="C50" i="2"/>
  <c r="U49" i="2"/>
  <c r="L49" i="2"/>
  <c r="I49" i="2"/>
  <c r="H49" i="2"/>
  <c r="G49" i="2"/>
  <c r="F49" i="2"/>
  <c r="D49" i="2"/>
  <c r="E49" i="2" s="1"/>
  <c r="C49" i="2"/>
  <c r="U48" i="2"/>
  <c r="L48" i="2"/>
  <c r="I48" i="2"/>
  <c r="H48" i="2"/>
  <c r="G48" i="2"/>
  <c r="F48" i="2"/>
  <c r="D48" i="2"/>
  <c r="E48" i="2" s="1"/>
  <c r="C48" i="2"/>
  <c r="U47" i="2"/>
  <c r="L47" i="2"/>
  <c r="I47" i="2"/>
  <c r="H47" i="2"/>
  <c r="G47" i="2"/>
  <c r="F47" i="2"/>
  <c r="D47" i="2"/>
  <c r="E47" i="2" s="1"/>
  <c r="C47" i="2"/>
  <c r="U46" i="2"/>
  <c r="L46" i="2"/>
  <c r="I46" i="2"/>
  <c r="H46" i="2"/>
  <c r="G46" i="2"/>
  <c r="F46" i="2"/>
  <c r="D46" i="2"/>
  <c r="E46" i="2" s="1"/>
  <c r="C46" i="2"/>
  <c r="U45" i="2"/>
  <c r="L45" i="2"/>
  <c r="I45" i="2"/>
  <c r="H45" i="2"/>
  <c r="G45" i="2"/>
  <c r="F45" i="2"/>
  <c r="D45" i="2"/>
  <c r="E45" i="2" s="1"/>
  <c r="C45" i="2"/>
  <c r="U44" i="2"/>
  <c r="L44" i="2"/>
  <c r="I44" i="2"/>
  <c r="H44" i="2"/>
  <c r="G44" i="2"/>
  <c r="F44" i="2"/>
  <c r="D44" i="2"/>
  <c r="E44" i="2" s="1"/>
  <c r="C44" i="2"/>
  <c r="U43" i="2"/>
  <c r="L43" i="2"/>
  <c r="I43" i="2"/>
  <c r="H43" i="2"/>
  <c r="G43" i="2"/>
  <c r="F43" i="2"/>
  <c r="D43" i="2"/>
  <c r="E43" i="2" s="1"/>
  <c r="C43" i="2"/>
  <c r="U42" i="2"/>
  <c r="L42" i="2"/>
  <c r="I42" i="2"/>
  <c r="H42" i="2"/>
  <c r="G42" i="2"/>
  <c r="F42" i="2"/>
  <c r="D42" i="2"/>
  <c r="E42" i="2" s="1"/>
  <c r="C42" i="2"/>
  <c r="U41" i="2"/>
  <c r="L41" i="2"/>
  <c r="I41" i="2"/>
  <c r="H41" i="2"/>
  <c r="G41" i="2"/>
  <c r="F41" i="2"/>
  <c r="D41" i="2"/>
  <c r="E41" i="2" s="1"/>
  <c r="C41" i="2"/>
  <c r="U40" i="2"/>
  <c r="L40" i="2"/>
  <c r="I40" i="2"/>
  <c r="H40" i="2"/>
  <c r="G40" i="2"/>
  <c r="F40" i="2"/>
  <c r="D40" i="2"/>
  <c r="E40" i="2" s="1"/>
  <c r="C40" i="2"/>
  <c r="U39" i="2"/>
  <c r="L39" i="2"/>
  <c r="I39" i="2"/>
  <c r="H39" i="2"/>
  <c r="G39" i="2"/>
  <c r="F39" i="2"/>
  <c r="F7" i="5" s="1"/>
  <c r="D39" i="2"/>
  <c r="E39" i="2" s="1"/>
  <c r="C39" i="2"/>
  <c r="U38" i="2"/>
  <c r="L38" i="2"/>
  <c r="I38" i="2"/>
  <c r="H38" i="2"/>
  <c r="G38" i="2"/>
  <c r="F38" i="2"/>
  <c r="F6" i="5" s="1"/>
  <c r="D38" i="2"/>
  <c r="E38" i="2" s="1"/>
  <c r="C38" i="2"/>
  <c r="U37" i="2"/>
  <c r="L37" i="2"/>
  <c r="I37" i="2"/>
  <c r="H37" i="2"/>
  <c r="G37" i="2"/>
  <c r="F37" i="2"/>
  <c r="D37" i="2"/>
  <c r="E37" i="2" s="1"/>
  <c r="C37" i="2"/>
  <c r="U36" i="2"/>
  <c r="L36" i="2"/>
  <c r="I36" i="2"/>
  <c r="H36" i="2"/>
  <c r="G36" i="2"/>
  <c r="F36" i="2"/>
  <c r="D36" i="2"/>
  <c r="E36" i="2" s="1"/>
  <c r="C36" i="2"/>
  <c r="U35" i="2"/>
  <c r="L35" i="2"/>
  <c r="I35" i="2"/>
  <c r="H35" i="2"/>
  <c r="G35" i="2"/>
  <c r="F35" i="2"/>
  <c r="D35" i="2"/>
  <c r="E35" i="2" s="1"/>
  <c r="C35" i="2"/>
  <c r="U34" i="2"/>
  <c r="L34" i="2"/>
  <c r="I34" i="2"/>
  <c r="H34" i="2"/>
  <c r="G34" i="2"/>
  <c r="F34" i="2"/>
  <c r="D34" i="2"/>
  <c r="E34" i="2" s="1"/>
  <c r="C34" i="2"/>
  <c r="U33" i="2"/>
  <c r="L33" i="2"/>
  <c r="I33" i="2"/>
  <c r="H33" i="2"/>
  <c r="G33" i="2"/>
  <c r="F33" i="2"/>
  <c r="D33" i="2"/>
  <c r="E33" i="2" s="1"/>
  <c r="C33" i="2"/>
  <c r="U32" i="2"/>
  <c r="L32" i="2"/>
  <c r="I32" i="2"/>
  <c r="H32" i="2"/>
  <c r="G32" i="2"/>
  <c r="F32" i="2"/>
  <c r="D32" i="2"/>
  <c r="E32" i="2" s="1"/>
  <c r="C32" i="2"/>
  <c r="U31" i="2"/>
  <c r="L31" i="2"/>
  <c r="I31" i="2"/>
  <c r="H31" i="2"/>
  <c r="G31" i="2"/>
  <c r="F31" i="2"/>
  <c r="D31" i="2"/>
  <c r="E31" i="2" s="1"/>
  <c r="C31" i="2"/>
  <c r="U30" i="2"/>
  <c r="L30" i="2"/>
  <c r="I30" i="2"/>
  <c r="H30" i="2"/>
  <c r="G30" i="2"/>
  <c r="F30" i="2"/>
  <c r="D30" i="2"/>
  <c r="E30" i="2" s="1"/>
  <c r="C30" i="2"/>
  <c r="U29" i="2"/>
  <c r="L29" i="2"/>
  <c r="I29" i="2"/>
  <c r="H29" i="2"/>
  <c r="G29" i="2"/>
  <c r="F29" i="2"/>
  <c r="D29" i="2"/>
  <c r="E29" i="2" s="1"/>
  <c r="C29" i="2"/>
  <c r="U28" i="2"/>
  <c r="L28" i="2"/>
  <c r="I28" i="2"/>
  <c r="H28" i="2"/>
  <c r="G28" i="2"/>
  <c r="F28" i="2"/>
  <c r="D28" i="2"/>
  <c r="E28" i="2" s="1"/>
  <c r="C28" i="2"/>
  <c r="U27" i="2"/>
  <c r="L27" i="2"/>
  <c r="I27" i="2"/>
  <c r="H27" i="2"/>
  <c r="G27" i="2"/>
  <c r="F27" i="2"/>
  <c r="D27" i="2"/>
  <c r="E27" i="2" s="1"/>
  <c r="C27" i="2"/>
  <c r="U26" i="2"/>
  <c r="L26" i="2"/>
  <c r="I26" i="2"/>
  <c r="H26" i="2"/>
  <c r="G26" i="2"/>
  <c r="F26" i="2"/>
  <c r="D26" i="2"/>
  <c r="E26" i="2" s="1"/>
  <c r="C26" i="2"/>
  <c r="U25" i="2"/>
  <c r="L25" i="2"/>
  <c r="I25" i="2"/>
  <c r="H25" i="2"/>
  <c r="G25" i="2"/>
  <c r="F25" i="2"/>
  <c r="D25" i="2"/>
  <c r="E25" i="2" s="1"/>
  <c r="C25" i="2"/>
  <c r="U24" i="2"/>
  <c r="L24" i="2"/>
  <c r="I24" i="2"/>
  <c r="H24" i="2"/>
  <c r="G24" i="2"/>
  <c r="F24" i="2"/>
  <c r="D24" i="2"/>
  <c r="E24" i="2" s="1"/>
  <c r="C24" i="2"/>
  <c r="U23" i="2"/>
  <c r="L23" i="2"/>
  <c r="I23" i="2"/>
  <c r="H23" i="2"/>
  <c r="G23" i="2"/>
  <c r="F23" i="2"/>
  <c r="D23" i="2"/>
  <c r="E23" i="2" s="1"/>
  <c r="C23" i="2"/>
  <c r="U22" i="2"/>
  <c r="L22" i="2"/>
  <c r="I22" i="2"/>
  <c r="H22" i="2"/>
  <c r="G22" i="2"/>
  <c r="F22" i="2"/>
  <c r="D22" i="2"/>
  <c r="E22" i="2" s="1"/>
  <c r="C22" i="2"/>
  <c r="U21" i="2"/>
  <c r="L21" i="2"/>
  <c r="I21" i="2"/>
  <c r="H21" i="2"/>
  <c r="G21" i="2"/>
  <c r="F21" i="2"/>
  <c r="D21" i="2"/>
  <c r="E21" i="2" s="1"/>
  <c r="C21" i="2"/>
  <c r="U20" i="2"/>
  <c r="L20" i="2"/>
  <c r="I20" i="2"/>
  <c r="H20" i="2"/>
  <c r="G20" i="2"/>
  <c r="F20" i="2"/>
  <c r="D20" i="2"/>
  <c r="E20" i="2" s="1"/>
  <c r="C20" i="2"/>
  <c r="U19" i="2"/>
  <c r="L19" i="2"/>
  <c r="I19" i="2"/>
  <c r="H19" i="2"/>
  <c r="G19" i="2"/>
  <c r="F19" i="2"/>
  <c r="D19" i="2"/>
  <c r="E19" i="2" s="1"/>
  <c r="C19" i="2"/>
  <c r="U18" i="2"/>
  <c r="L18" i="2"/>
  <c r="I18" i="2"/>
  <c r="H18" i="2"/>
  <c r="G18" i="2"/>
  <c r="F18" i="2"/>
  <c r="D18" i="2"/>
  <c r="E18" i="2" s="1"/>
  <c r="C18" i="2"/>
  <c r="U17" i="2"/>
  <c r="L17" i="2"/>
  <c r="I17" i="2"/>
  <c r="H17" i="2"/>
  <c r="G17" i="2"/>
  <c r="F17" i="2"/>
  <c r="D17" i="2"/>
  <c r="E17" i="2" s="1"/>
  <c r="C17" i="2"/>
  <c r="U16" i="2"/>
  <c r="L16" i="2"/>
  <c r="I16" i="2"/>
  <c r="H16" i="2"/>
  <c r="G16" i="2"/>
  <c r="F16" i="2"/>
  <c r="D16" i="2"/>
  <c r="E16" i="2" s="1"/>
  <c r="C16" i="2"/>
  <c r="U15" i="2"/>
  <c r="L15" i="2"/>
  <c r="I15" i="2"/>
  <c r="H15" i="2"/>
  <c r="G15" i="2"/>
  <c r="F15" i="2"/>
  <c r="D15" i="2"/>
  <c r="E15" i="2" s="1"/>
  <c r="C15" i="2"/>
  <c r="U14" i="2"/>
  <c r="L14" i="2"/>
  <c r="I14" i="2"/>
  <c r="H14" i="2"/>
  <c r="G14" i="2"/>
  <c r="F14" i="2"/>
  <c r="D14" i="2"/>
  <c r="E14" i="2" s="1"/>
  <c r="C14" i="2"/>
  <c r="U13" i="2"/>
  <c r="L13" i="2"/>
  <c r="I13" i="2"/>
  <c r="H13" i="2"/>
  <c r="G13" i="2"/>
  <c r="F13" i="2"/>
  <c r="D13" i="2"/>
  <c r="E13" i="2" s="1"/>
  <c r="C13" i="2"/>
  <c r="U12" i="2"/>
  <c r="L12" i="2"/>
  <c r="I12" i="2"/>
  <c r="H12" i="2"/>
  <c r="G12" i="2"/>
  <c r="F12" i="2"/>
  <c r="D12" i="2"/>
  <c r="E12" i="2" s="1"/>
  <c r="C12" i="2"/>
  <c r="U11" i="2"/>
  <c r="L11" i="2"/>
  <c r="I11" i="2"/>
  <c r="H11" i="2"/>
  <c r="G11" i="2"/>
  <c r="F11" i="2"/>
  <c r="D11" i="2"/>
  <c r="E11" i="2" s="1"/>
  <c r="C11" i="2"/>
  <c r="U10" i="2"/>
  <c r="L10" i="2"/>
  <c r="I10" i="2"/>
  <c r="H10" i="2"/>
  <c r="G10" i="2"/>
  <c r="F10" i="2"/>
  <c r="D10" i="2"/>
  <c r="E10" i="2" s="1"/>
  <c r="C10" i="2"/>
  <c r="U9" i="2"/>
  <c r="L9" i="2"/>
  <c r="I9" i="2"/>
  <c r="H9" i="2"/>
  <c r="G9" i="2"/>
  <c r="F9" i="2"/>
  <c r="D9" i="2"/>
  <c r="E9" i="2" s="1"/>
  <c r="C9" i="2"/>
  <c r="U8" i="2"/>
  <c r="L8" i="2"/>
  <c r="I8" i="2"/>
  <c r="H8" i="2"/>
  <c r="G8" i="2"/>
  <c r="F8" i="2"/>
  <c r="D8" i="2"/>
  <c r="E8" i="2" s="1"/>
  <c r="C8" i="2"/>
  <c r="B6" i="2"/>
  <c r="B6" i="1" s="1"/>
  <c r="I104" i="3" l="1"/>
  <c r="J92" i="2" s="1"/>
  <c r="V92" i="2" s="1"/>
  <c r="I134" i="3"/>
  <c r="J122" i="2" s="1"/>
  <c r="V122" i="2" s="1"/>
  <c r="I463" i="3"/>
  <c r="J397" i="2" s="1"/>
  <c r="I218" i="3"/>
  <c r="J202" i="2" s="1"/>
  <c r="V202" i="2" s="1"/>
  <c r="I116" i="3"/>
  <c r="J104" i="2" s="1"/>
  <c r="V104" i="2" s="1"/>
  <c r="I122" i="3"/>
  <c r="J110" i="2" s="1"/>
  <c r="V110" i="2" s="1"/>
  <c r="I128" i="3"/>
  <c r="J116" i="2" s="1"/>
  <c r="V116" i="2" s="1"/>
  <c r="I129" i="3"/>
  <c r="J117" i="2" s="1"/>
  <c r="V117" i="2" s="1"/>
  <c r="I401" i="3"/>
  <c r="I10" i="3"/>
  <c r="I105" i="3"/>
  <c r="J93" i="2" s="1"/>
  <c r="V93" i="2" s="1"/>
  <c r="I123" i="3"/>
  <c r="J111" i="2" s="1"/>
  <c r="V111" i="2" s="1"/>
  <c r="I141" i="3"/>
  <c r="J129" i="2" s="1"/>
  <c r="V129" i="2" s="1"/>
  <c r="I62" i="3"/>
  <c r="I219" i="3"/>
  <c r="J203" i="2" s="1"/>
  <c r="V203" i="2" s="1"/>
  <c r="I253" i="3"/>
  <c r="I464" i="3"/>
  <c r="J398" i="2" s="1"/>
  <c r="I118" i="3"/>
  <c r="J106" i="2" s="1"/>
  <c r="V106" i="2" s="1"/>
  <c r="I130" i="3"/>
  <c r="J118" i="2" s="1"/>
  <c r="V118" i="2" s="1"/>
  <c r="I450" i="3"/>
  <c r="I472" i="3"/>
  <c r="I117" i="3"/>
  <c r="J105" i="2" s="1"/>
  <c r="V105" i="2" s="1"/>
  <c r="I147" i="3"/>
  <c r="J135" i="2" s="1"/>
  <c r="V135" i="2" s="1"/>
  <c r="I106" i="3"/>
  <c r="J94" i="2" s="1"/>
  <c r="V94" i="2" s="1"/>
  <c r="I124" i="3"/>
  <c r="J112" i="2" s="1"/>
  <c r="V112" i="2" s="1"/>
  <c r="I142" i="3"/>
  <c r="J130" i="2" s="1"/>
  <c r="V130" i="2" s="1"/>
  <c r="I148" i="3"/>
  <c r="J136" i="2" s="1"/>
  <c r="V136" i="2" s="1"/>
  <c r="I214" i="3"/>
  <c r="J493" i="2" s="1"/>
  <c r="V493" i="2" s="1"/>
  <c r="I220" i="3"/>
  <c r="J204" i="2" s="1"/>
  <c r="V204" i="2" s="1"/>
  <c r="I398" i="3"/>
  <c r="I213" i="3"/>
  <c r="J492" i="2" s="1"/>
  <c r="V492" i="2" s="1"/>
  <c r="I136" i="3"/>
  <c r="J124" i="2" s="1"/>
  <c r="K124" i="2" s="1"/>
  <c r="I135" i="3"/>
  <c r="J123" i="2" s="1"/>
  <c r="V123" i="2" s="1"/>
  <c r="I477" i="3"/>
  <c r="I239" i="3"/>
  <c r="I382" i="3"/>
  <c r="I427" i="3"/>
  <c r="I125" i="3"/>
  <c r="J113" i="2" s="1"/>
  <c r="V113" i="2" s="1"/>
  <c r="I373" i="3"/>
  <c r="I402" i="3"/>
  <c r="I131" i="3"/>
  <c r="J119" i="2" s="1"/>
  <c r="K119" i="2" s="1"/>
  <c r="I107" i="3"/>
  <c r="J95" i="2" s="1"/>
  <c r="V95" i="2" s="1"/>
  <c r="I119" i="3"/>
  <c r="J107" i="2" s="1"/>
  <c r="K107" i="2" s="1"/>
  <c r="I399" i="3"/>
  <c r="I146" i="3"/>
  <c r="J134" i="2" s="1"/>
  <c r="V134" i="2" s="1"/>
  <c r="I140" i="3"/>
  <c r="J128" i="2" s="1"/>
  <c r="V128" i="2" s="1"/>
  <c r="E39" i="1"/>
  <c r="E33" i="1"/>
  <c r="E27" i="1"/>
  <c r="I612" i="3"/>
  <c r="I60" i="3"/>
  <c r="J54" i="2" s="1"/>
  <c r="K54" i="2" s="1"/>
  <c r="I619" i="3"/>
  <c r="I404" i="3"/>
  <c r="I56" i="3"/>
  <c r="J52" i="2" s="1"/>
  <c r="V52" i="2" s="1"/>
  <c r="I609" i="3"/>
  <c r="J466" i="2" s="1"/>
  <c r="V466" i="2" s="1"/>
  <c r="I102" i="3"/>
  <c r="I58" i="3"/>
  <c r="J53" i="2" s="1"/>
  <c r="V53" i="2" s="1"/>
  <c r="I503" i="3"/>
  <c r="I114" i="3"/>
  <c r="J102" i="2" s="1"/>
  <c r="V102" i="2" s="1"/>
  <c r="I452" i="3"/>
  <c r="J386" i="2" s="1"/>
  <c r="V386" i="2" s="1"/>
  <c r="I573" i="3"/>
  <c r="J333" i="2" s="1"/>
  <c r="V333" i="2" s="1"/>
  <c r="E38" i="1"/>
  <c r="E32" i="1"/>
  <c r="E26" i="1"/>
  <c r="I54" i="3"/>
  <c r="J51" i="2" s="1"/>
  <c r="V51" i="2" s="1"/>
  <c r="I7" i="3"/>
  <c r="J9" i="2" s="1"/>
  <c r="V9" i="2" s="1"/>
  <c r="I52" i="3"/>
  <c r="J50" i="2" s="1"/>
  <c r="V50" i="2" s="1"/>
  <c r="I9" i="3"/>
  <c r="I629" i="3"/>
  <c r="I229" i="3"/>
  <c r="J213" i="2" s="1"/>
  <c r="V213" i="2" s="1"/>
  <c r="I235" i="3"/>
  <c r="J219" i="2" s="1"/>
  <c r="V219" i="2" s="1"/>
  <c r="I689" i="3"/>
  <c r="I557" i="3"/>
  <c r="I410" i="3"/>
  <c r="J345" i="2" s="1"/>
  <c r="K345" i="2" s="1"/>
  <c r="I665" i="3"/>
  <c r="J432" i="2" s="1"/>
  <c r="V432" i="2" s="1"/>
  <c r="I223" i="3"/>
  <c r="J207" i="2" s="1"/>
  <c r="V207" i="2" s="1"/>
  <c r="I79" i="3"/>
  <c r="J72" i="2" s="1"/>
  <c r="V72" i="2" s="1"/>
  <c r="I40" i="3"/>
  <c r="J39" i="2" s="1"/>
  <c r="V39" i="2" s="1"/>
  <c r="E40" i="1"/>
  <c r="E34" i="1"/>
  <c r="E28" i="1"/>
  <c r="I113" i="3"/>
  <c r="J101" i="2" s="1"/>
  <c r="V101" i="2" s="1"/>
  <c r="I211" i="3"/>
  <c r="J197" i="2" s="1"/>
  <c r="V197" i="2" s="1"/>
  <c r="I240" i="3"/>
  <c r="J223" i="2" s="1"/>
  <c r="V223" i="2" s="1"/>
  <c r="I376" i="3"/>
  <c r="I388" i="3"/>
  <c r="J330" i="2" s="1"/>
  <c r="V330" i="2" s="1"/>
  <c r="I420" i="3"/>
  <c r="J355" i="2" s="1"/>
  <c r="V355" i="2" s="1"/>
  <c r="I438" i="3"/>
  <c r="J372" i="2" s="1"/>
  <c r="K372" i="2" s="1"/>
  <c r="I451" i="3"/>
  <c r="J385" i="2" s="1"/>
  <c r="V385" i="2" s="1"/>
  <c r="I508" i="3"/>
  <c r="J239" i="2" s="1"/>
  <c r="V239" i="2" s="1"/>
  <c r="I510" i="3"/>
  <c r="J431" i="2" s="1"/>
  <c r="V431" i="2" s="1"/>
  <c r="I645" i="3"/>
  <c r="I687" i="3"/>
  <c r="J488" i="2" s="1"/>
  <c r="V488" i="2" s="1"/>
  <c r="I16" i="3"/>
  <c r="J16" i="2" s="1"/>
  <c r="V16" i="2" s="1"/>
  <c r="I238" i="3"/>
  <c r="J222" i="2" s="1"/>
  <c r="V222" i="2" s="1"/>
  <c r="I354" i="3"/>
  <c r="J304" i="2" s="1"/>
  <c r="V304" i="2" s="1"/>
  <c r="I478" i="3"/>
  <c r="I507" i="3"/>
  <c r="J238" i="2" s="1"/>
  <c r="V238" i="2" s="1"/>
  <c r="I67" i="3"/>
  <c r="I85" i="3"/>
  <c r="J78" i="2" s="1"/>
  <c r="V78" i="2" s="1"/>
  <c r="I91" i="3"/>
  <c r="J84" i="2" s="1"/>
  <c r="V84" i="2" s="1"/>
  <c r="I159" i="3"/>
  <c r="I165" i="3"/>
  <c r="J151" i="2" s="1"/>
  <c r="V151" i="2" s="1"/>
  <c r="I171" i="3"/>
  <c r="J157" i="2" s="1"/>
  <c r="V157" i="2" s="1"/>
  <c r="I177" i="3"/>
  <c r="J163" i="2" s="1"/>
  <c r="V163" i="2" s="1"/>
  <c r="I183" i="3"/>
  <c r="J169" i="2" s="1"/>
  <c r="V169" i="2" s="1"/>
  <c r="I189" i="3"/>
  <c r="J175" i="2" s="1"/>
  <c r="V175" i="2" s="1"/>
  <c r="I332" i="3"/>
  <c r="I456" i="3"/>
  <c r="J390" i="2" s="1"/>
  <c r="V390" i="2" s="1"/>
  <c r="I22" i="3"/>
  <c r="J22" i="2" s="1"/>
  <c r="V22" i="2" s="1"/>
  <c r="I28" i="3"/>
  <c r="J28" i="2" s="1"/>
  <c r="K28" i="2" s="1"/>
  <c r="I112" i="3"/>
  <c r="J100" i="2" s="1"/>
  <c r="V100" i="2" s="1"/>
  <c r="I204" i="3"/>
  <c r="J190" i="2" s="1"/>
  <c r="V190" i="2" s="1"/>
  <c r="I333" i="3"/>
  <c r="J292" i="2" s="1"/>
  <c r="V292" i="2" s="1"/>
  <c r="I387" i="3"/>
  <c r="J329" i="2" s="1"/>
  <c r="V329" i="2" s="1"/>
  <c r="I419" i="3"/>
  <c r="J354" i="2" s="1"/>
  <c r="V354" i="2" s="1"/>
  <c r="I437" i="3"/>
  <c r="J371" i="2" s="1"/>
  <c r="V371" i="2" s="1"/>
  <c r="I380" i="3"/>
  <c r="I403" i="3"/>
  <c r="I459" i="3"/>
  <c r="J393" i="2" s="1"/>
  <c r="K393" i="2" s="1"/>
  <c r="I13" i="3"/>
  <c r="J13" i="2" s="1"/>
  <c r="V13" i="2" s="1"/>
  <c r="I19" i="3"/>
  <c r="J19" i="2" s="1"/>
  <c r="V19" i="2" s="1"/>
  <c r="I25" i="3"/>
  <c r="J25" i="2" s="1"/>
  <c r="V25" i="2" s="1"/>
  <c r="I578" i="3"/>
  <c r="J250" i="2" s="1"/>
  <c r="V250" i="2" s="1"/>
  <c r="I584" i="3"/>
  <c r="J456" i="2" s="1"/>
  <c r="V456" i="2" s="1"/>
  <c r="I650" i="3"/>
  <c r="I686" i="3"/>
  <c r="J45" i="2"/>
  <c r="V45" i="2" s="1"/>
  <c r="J600" i="2"/>
  <c r="V600" i="2" s="1"/>
  <c r="I236" i="3"/>
  <c r="J220" i="2" s="1"/>
  <c r="V220" i="2" s="1"/>
  <c r="I21" i="3"/>
  <c r="J21" i="2" s="1"/>
  <c r="V21" i="2" s="1"/>
  <c r="I93" i="3"/>
  <c r="J86" i="2" s="1"/>
  <c r="V86" i="2" s="1"/>
  <c r="I111" i="3"/>
  <c r="J99" i="2" s="1"/>
  <c r="V99" i="2" s="1"/>
  <c r="I173" i="3"/>
  <c r="J159" i="2" s="1"/>
  <c r="V159" i="2" s="1"/>
  <c r="I185" i="3"/>
  <c r="J171" i="2" s="1"/>
  <c r="V171" i="2" s="1"/>
  <c r="I379" i="3"/>
  <c r="I485" i="3"/>
  <c r="J416" i="2" s="1"/>
  <c r="K416" i="2" s="1"/>
  <c r="I623" i="3"/>
  <c r="I641" i="3"/>
  <c r="I90" i="3"/>
  <c r="J83" i="2" s="1"/>
  <c r="V83" i="2" s="1"/>
  <c r="I640" i="3"/>
  <c r="I164" i="3"/>
  <c r="J150" i="2" s="1"/>
  <c r="V150" i="2" s="1"/>
  <c r="I170" i="3"/>
  <c r="J156" i="2" s="1"/>
  <c r="V156" i="2" s="1"/>
  <c r="I176" i="3"/>
  <c r="J162" i="2" s="1"/>
  <c r="V162" i="2" s="1"/>
  <c r="I182" i="3"/>
  <c r="J168" i="2" s="1"/>
  <c r="V168" i="2" s="1"/>
  <c r="I194" i="3"/>
  <c r="J180" i="2" s="1"/>
  <c r="V180" i="2" s="1"/>
  <c r="I227" i="3"/>
  <c r="J211" i="2" s="1"/>
  <c r="V211" i="2" s="1"/>
  <c r="I282" i="3"/>
  <c r="J252" i="2" s="1"/>
  <c r="V252" i="2" s="1"/>
  <c r="I374" i="3"/>
  <c r="I455" i="3"/>
  <c r="J389" i="2" s="1"/>
  <c r="V389" i="2" s="1"/>
  <c r="I278" i="3"/>
  <c r="J248" i="2" s="1"/>
  <c r="V248" i="2" s="1"/>
  <c r="I8" i="3"/>
  <c r="J10" i="2" s="1"/>
  <c r="V10" i="2" s="1"/>
  <c r="I20" i="3"/>
  <c r="J20" i="2" s="1"/>
  <c r="V20" i="2" s="1"/>
  <c r="I74" i="3"/>
  <c r="I86" i="3"/>
  <c r="J79" i="2" s="1"/>
  <c r="V79" i="2" s="1"/>
  <c r="I166" i="3"/>
  <c r="J152" i="2" s="1"/>
  <c r="V152" i="2" s="1"/>
  <c r="I184" i="3"/>
  <c r="J170" i="2" s="1"/>
  <c r="V170" i="2" s="1"/>
  <c r="I190" i="3"/>
  <c r="J176" i="2" s="1"/>
  <c r="V176" i="2" s="1"/>
  <c r="I279" i="3"/>
  <c r="I488" i="3"/>
  <c r="I569" i="3"/>
  <c r="J437" i="2" s="1"/>
  <c r="V437" i="2" s="1"/>
  <c r="I588" i="3"/>
  <c r="J450" i="2" s="1"/>
  <c r="V450" i="2" s="1"/>
  <c r="I712" i="3"/>
  <c r="J144" i="2" s="1"/>
  <c r="V144" i="2" s="1"/>
  <c r="I428" i="3"/>
  <c r="I14" i="3"/>
  <c r="J14" i="2" s="1"/>
  <c r="V14" i="2" s="1"/>
  <c r="I26" i="3"/>
  <c r="J26" i="2" s="1"/>
  <c r="V26" i="2" s="1"/>
  <c r="I68" i="3"/>
  <c r="J61" i="2" s="1"/>
  <c r="V61" i="2" s="1"/>
  <c r="I80" i="3"/>
  <c r="J73" i="2" s="1"/>
  <c r="V73" i="2" s="1"/>
  <c r="I92" i="3"/>
  <c r="J85" i="2" s="1"/>
  <c r="V85" i="2" s="1"/>
  <c r="I172" i="3"/>
  <c r="J158" i="2" s="1"/>
  <c r="V158" i="2" s="1"/>
  <c r="I178" i="3"/>
  <c r="J164" i="2" s="1"/>
  <c r="V164" i="2" s="1"/>
  <c r="I161" i="3"/>
  <c r="I224" i="3"/>
  <c r="J208" i="2" s="1"/>
  <c r="V208" i="2" s="1"/>
  <c r="I230" i="3"/>
  <c r="J214" i="2" s="1"/>
  <c r="V214" i="2" s="1"/>
  <c r="I411" i="3"/>
  <c r="J346" i="2" s="1"/>
  <c r="K346" i="2" s="1"/>
  <c r="I476" i="3"/>
  <c r="J362" i="2" s="1"/>
  <c r="K362" i="2" s="1"/>
  <c r="I115" i="3"/>
  <c r="J103" i="2" s="1"/>
  <c r="V103" i="2" s="1"/>
  <c r="I511" i="3"/>
  <c r="J495" i="2" s="1"/>
  <c r="V495" i="2" s="1"/>
  <c r="I504" i="3"/>
  <c r="J235" i="2" s="1"/>
  <c r="V235" i="2" s="1"/>
  <c r="I100" i="3"/>
  <c r="I453" i="3"/>
  <c r="J387" i="2" s="1"/>
  <c r="V387" i="2" s="1"/>
  <c r="I605" i="3"/>
  <c r="J463" i="2" s="1"/>
  <c r="V463" i="2" s="1"/>
  <c r="E42" i="1"/>
  <c r="E36" i="1"/>
  <c r="E30" i="1"/>
  <c r="E24" i="1"/>
  <c r="I15" i="3"/>
  <c r="J15" i="2" s="1"/>
  <c r="V15" i="2" s="1"/>
  <c r="I27" i="3"/>
  <c r="J27" i="2" s="1"/>
  <c r="V27" i="2" s="1"/>
  <c r="I39" i="3"/>
  <c r="I87" i="3"/>
  <c r="J80" i="2" s="1"/>
  <c r="V80" i="2" s="1"/>
  <c r="I160" i="3"/>
  <c r="I167" i="3"/>
  <c r="J153" i="2" s="1"/>
  <c r="V153" i="2" s="1"/>
  <c r="I179" i="3"/>
  <c r="J165" i="2" s="1"/>
  <c r="V165" i="2" s="1"/>
  <c r="I191" i="3"/>
  <c r="J177" i="2" s="1"/>
  <c r="V177" i="2" s="1"/>
  <c r="I209" i="3"/>
  <c r="J195" i="2" s="1"/>
  <c r="V195" i="2" s="1"/>
  <c r="I237" i="3"/>
  <c r="J221" i="2" s="1"/>
  <c r="V221" i="2" s="1"/>
  <c r="I275" i="3"/>
  <c r="J245" i="2" s="1"/>
  <c r="V245" i="2" s="1"/>
  <c r="I331" i="3"/>
  <c r="I367" i="3"/>
  <c r="I383" i="3"/>
  <c r="I418" i="3"/>
  <c r="J353" i="2" s="1"/>
  <c r="V353" i="2" s="1"/>
  <c r="I424" i="3"/>
  <c r="J359" i="2" s="1"/>
  <c r="V359" i="2" s="1"/>
  <c r="I12" i="3"/>
  <c r="J12" i="2" s="1"/>
  <c r="V12" i="2" s="1"/>
  <c r="I18" i="3"/>
  <c r="J18" i="2" s="1"/>
  <c r="V18" i="2" s="1"/>
  <c r="I24" i="3"/>
  <c r="J24" i="2" s="1"/>
  <c r="K24" i="2" s="1"/>
  <c r="I506" i="3"/>
  <c r="J237" i="2" s="1"/>
  <c r="V237" i="2" s="1"/>
  <c r="I553" i="3"/>
  <c r="J448" i="2" s="1"/>
  <c r="V448" i="2" s="1"/>
  <c r="I583" i="3"/>
  <c r="J455" i="2" s="1"/>
  <c r="V455" i="2" s="1"/>
  <c r="I589" i="3"/>
  <c r="J449" i="2" s="1"/>
  <c r="V449" i="2" s="1"/>
  <c r="I625" i="3"/>
  <c r="I673" i="3"/>
  <c r="I685" i="3"/>
  <c r="I73" i="3"/>
  <c r="I101" i="3"/>
  <c r="I157" i="3"/>
  <c r="J145" i="2" s="1"/>
  <c r="V145" i="2" s="1"/>
  <c r="I385" i="3"/>
  <c r="J327" i="2" s="1"/>
  <c r="V327" i="2" s="1"/>
  <c r="I567" i="3"/>
  <c r="J335" i="2" s="1"/>
  <c r="V335" i="2" s="1"/>
  <c r="I416" i="3"/>
  <c r="J351" i="2" s="1"/>
  <c r="K351" i="2" s="1"/>
  <c r="I422" i="3"/>
  <c r="J357" i="2" s="1"/>
  <c r="K357" i="2" s="1"/>
  <c r="I481" i="3"/>
  <c r="J412" i="2" s="1"/>
  <c r="V412" i="2" s="1"/>
  <c r="I575" i="3"/>
  <c r="J247" i="2" s="1"/>
  <c r="V247" i="2" s="1"/>
  <c r="J529" i="2"/>
  <c r="V529" i="2" s="1"/>
  <c r="I627" i="3"/>
  <c r="I163" i="3"/>
  <c r="J149" i="2" s="1"/>
  <c r="V149" i="2" s="1"/>
  <c r="I169" i="3"/>
  <c r="J155" i="2" s="1"/>
  <c r="V155" i="2" s="1"/>
  <c r="I175" i="3"/>
  <c r="J161" i="2" s="1"/>
  <c r="V161" i="2" s="1"/>
  <c r="I181" i="3"/>
  <c r="J167" i="2" s="1"/>
  <c r="V167" i="2" s="1"/>
  <c r="I187" i="3"/>
  <c r="J173" i="2" s="1"/>
  <c r="V173" i="2" s="1"/>
  <c r="I407" i="3"/>
  <c r="J342" i="2" s="1"/>
  <c r="K342" i="2" s="1"/>
  <c r="I572" i="3"/>
  <c r="J440" i="2" s="1"/>
  <c r="V440" i="2" s="1"/>
  <c r="E41" i="1"/>
  <c r="E35" i="1"/>
  <c r="E29" i="1"/>
  <c r="E23" i="1"/>
  <c r="E37" i="1"/>
  <c r="E31" i="1"/>
  <c r="E25" i="1"/>
  <c r="I110" i="3"/>
  <c r="J98" i="2" s="1"/>
  <c r="V98" i="2" s="1"/>
  <c r="I158" i="3"/>
  <c r="I378" i="3"/>
  <c r="I386" i="3"/>
  <c r="J328" i="2" s="1"/>
  <c r="V328" i="2" s="1"/>
  <c r="I417" i="3"/>
  <c r="J352" i="2" s="1"/>
  <c r="V352" i="2" s="1"/>
  <c r="I423" i="3"/>
  <c r="J358" i="2" s="1"/>
  <c r="K358" i="2" s="1"/>
  <c r="I429" i="3"/>
  <c r="I482" i="3"/>
  <c r="J413" i="2" s="1"/>
  <c r="V413" i="2" s="1"/>
  <c r="I23" i="3"/>
  <c r="J23" i="2" s="1"/>
  <c r="V23" i="2" s="1"/>
  <c r="I505" i="3"/>
  <c r="J236" i="2" s="1"/>
  <c r="V236" i="2" s="1"/>
  <c r="I586" i="3"/>
  <c r="J246" i="2" s="1"/>
  <c r="V246" i="2" s="1"/>
  <c r="I377" i="3"/>
  <c r="I688" i="3"/>
  <c r="J326" i="2" s="1"/>
  <c r="V326" i="2" s="1"/>
  <c r="I421" i="3"/>
  <c r="J356" i="2" s="1"/>
  <c r="V356" i="2" s="1"/>
  <c r="I480" i="3"/>
  <c r="J411" i="2" s="1"/>
  <c r="K411" i="2" s="1"/>
  <c r="I509" i="3"/>
  <c r="J240" i="2" s="1"/>
  <c r="V240" i="2" s="1"/>
  <c r="J599" i="2"/>
  <c r="K599" i="2" s="1"/>
  <c r="I405" i="3"/>
  <c r="I103" i="3"/>
  <c r="J227" i="2"/>
  <c r="V227" i="2" s="1"/>
  <c r="I409" i="3"/>
  <c r="J344" i="2" s="1"/>
  <c r="V344" i="2" s="1"/>
  <c r="J586" i="2"/>
  <c r="V586" i="2" s="1"/>
  <c r="J271" i="2"/>
  <c r="V271" i="2" s="1"/>
  <c r="I78" i="3"/>
  <c r="J71" i="2" s="1"/>
  <c r="V71" i="2" s="1"/>
  <c r="I228" i="3"/>
  <c r="J212" i="2" s="1"/>
  <c r="V212" i="2" s="1"/>
  <c r="I234" i="3"/>
  <c r="J218" i="2" s="1"/>
  <c r="V218" i="2" s="1"/>
  <c r="J273" i="2"/>
  <c r="V273" i="2" s="1"/>
  <c r="J590" i="2"/>
  <c r="V590" i="2" s="1"/>
  <c r="J601" i="2"/>
  <c r="V601" i="2" s="1"/>
  <c r="I6" i="3"/>
  <c r="J8" i="2" s="1"/>
  <c r="V8" i="2" s="1"/>
  <c r="J606" i="2"/>
  <c r="K606" i="2" s="1"/>
  <c r="I162" i="3"/>
  <c r="J148" i="2" s="1"/>
  <c r="V148" i="2" s="1"/>
  <c r="I174" i="3"/>
  <c r="J160" i="2" s="1"/>
  <c r="V160" i="2" s="1"/>
  <c r="I590" i="3"/>
  <c r="J334" i="2" s="1"/>
  <c r="I63" i="3"/>
  <c r="I75" i="3"/>
  <c r="J68" i="2" s="1"/>
  <c r="V68" i="2" s="1"/>
  <c r="I225" i="3"/>
  <c r="J209" i="2" s="1"/>
  <c r="V209" i="2" s="1"/>
  <c r="I406" i="3"/>
  <c r="J341" i="2" s="1"/>
  <c r="V341" i="2" s="1"/>
  <c r="I412" i="3"/>
  <c r="J347" i="2" s="1"/>
  <c r="K347" i="2" s="1"/>
  <c r="I442" i="3"/>
  <c r="J376" i="2" s="1"/>
  <c r="K376" i="2" s="1"/>
  <c r="I368" i="3"/>
  <c r="I691" i="3"/>
  <c r="J489" i="2" s="1"/>
  <c r="V489" i="2" s="1"/>
  <c r="I88" i="3"/>
  <c r="J81" i="2" s="1"/>
  <c r="V81" i="2" s="1"/>
  <c r="I186" i="3"/>
  <c r="J172" i="2" s="1"/>
  <c r="V172" i="2" s="1"/>
  <c r="I231" i="3"/>
  <c r="J215" i="2" s="1"/>
  <c r="V215" i="2" s="1"/>
  <c r="I381" i="3"/>
  <c r="I554" i="3"/>
  <c r="J438" i="2" s="1"/>
  <c r="K438" i="2" s="1"/>
  <c r="I69" i="3"/>
  <c r="J62" i="2" s="1"/>
  <c r="V62" i="2" s="1"/>
  <c r="I81" i="3"/>
  <c r="J74" i="2" s="1"/>
  <c r="V74" i="2" s="1"/>
  <c r="I168" i="3"/>
  <c r="J154" i="2" s="1"/>
  <c r="V154" i="2" s="1"/>
  <c r="I180" i="3"/>
  <c r="J166" i="2" s="1"/>
  <c r="V166" i="2" s="1"/>
  <c r="I192" i="3"/>
  <c r="J178" i="2" s="1"/>
  <c r="V178" i="2" s="1"/>
  <c r="J360" i="2"/>
  <c r="V360" i="2" s="1"/>
  <c r="J465" i="2"/>
  <c r="K465" i="2" s="1"/>
  <c r="I188" i="3"/>
  <c r="J174" i="2" s="1"/>
  <c r="V174" i="2" s="1"/>
  <c r="I672" i="3"/>
  <c r="J605" i="2"/>
  <c r="K605" i="2" s="1"/>
  <c r="J442" i="2"/>
  <c r="V442" i="2" s="1"/>
  <c r="J272" i="2"/>
  <c r="V272" i="2" s="1"/>
  <c r="K331" i="2"/>
  <c r="J31" i="2"/>
  <c r="V31" i="2" s="1"/>
  <c r="I454" i="3"/>
  <c r="J388" i="2" s="1"/>
  <c r="K388" i="2" s="1"/>
  <c r="I232" i="3"/>
  <c r="J216" i="2" s="1"/>
  <c r="V216" i="2" s="1"/>
  <c r="J486" i="2"/>
  <c r="K486" i="2" s="1"/>
  <c r="J523" i="2"/>
  <c r="V523" i="2" s="1"/>
  <c r="J516" i="2"/>
  <c r="V516" i="2" s="1"/>
  <c r="J554" i="2"/>
  <c r="V554" i="2" s="1"/>
  <c r="J507" i="2"/>
  <c r="V507" i="2" s="1"/>
  <c r="J604" i="2"/>
  <c r="V604" i="2" s="1"/>
  <c r="J562" i="2"/>
  <c r="V562" i="2" s="1"/>
  <c r="J508" i="2"/>
  <c r="V508" i="2" s="1"/>
  <c r="J406" i="2"/>
  <c r="V406" i="2" s="1"/>
  <c r="J434" i="2"/>
  <c r="V434" i="2" s="1"/>
  <c r="J490" i="2"/>
  <c r="V490" i="2" s="1"/>
  <c r="J543" i="2"/>
  <c r="V543" i="2" s="1"/>
  <c r="J266" i="2"/>
  <c r="V266" i="2" s="1"/>
  <c r="J558" i="2"/>
  <c r="V558" i="2" s="1"/>
  <c r="J42" i="2"/>
  <c r="V42" i="2" s="1"/>
  <c r="J597" i="2"/>
  <c r="V597" i="2" s="1"/>
  <c r="J139" i="2"/>
  <c r="V139" i="2" s="1"/>
  <c r="K267" i="2"/>
  <c r="J525" i="2"/>
  <c r="V525" i="2" s="1"/>
  <c r="J255" i="2"/>
  <c r="V255" i="2" s="1"/>
  <c r="J436" i="2"/>
  <c r="V436" i="2" s="1"/>
  <c r="J459" i="2"/>
  <c r="V459" i="2" s="1"/>
  <c r="I684" i="3"/>
  <c r="I690" i="3"/>
  <c r="J55" i="2"/>
  <c r="V55" i="2" s="1"/>
  <c r="J57" i="2"/>
  <c r="V57" i="2" s="1"/>
  <c r="J598" i="2"/>
  <c r="V598" i="2" s="1"/>
  <c r="I281" i="3"/>
  <c r="J251" i="2" s="1"/>
  <c r="V251" i="2" s="1"/>
  <c r="I770" i="3"/>
  <c r="I11" i="3"/>
  <c r="I443" i="3"/>
  <c r="J377" i="2" s="1"/>
  <c r="V377" i="2" s="1"/>
  <c r="I76" i="3"/>
  <c r="J69" i="2" s="1"/>
  <c r="V69" i="2" s="1"/>
  <c r="I193" i="3"/>
  <c r="J179" i="2" s="1"/>
  <c r="V179" i="2" s="1"/>
  <c r="I371" i="3"/>
  <c r="J317" i="2" s="1"/>
  <c r="V317" i="2" s="1"/>
  <c r="I489" i="3"/>
  <c r="I82" i="3"/>
  <c r="I226" i="3"/>
  <c r="J210" i="2" s="1"/>
  <c r="V210" i="2" s="1"/>
  <c r="J244" i="2"/>
  <c r="V244" i="2" s="1"/>
  <c r="J520" i="2"/>
  <c r="V520" i="2" s="1"/>
  <c r="J264" i="2"/>
  <c r="V264" i="2" s="1"/>
  <c r="J288" i="2"/>
  <c r="V288" i="2" s="1"/>
  <c r="J596" i="2"/>
  <c r="V596" i="2" s="1"/>
  <c r="I17" i="3"/>
  <c r="J17" i="2" s="1"/>
  <c r="V17" i="2" s="1"/>
  <c r="I29" i="3"/>
  <c r="J29" i="2" s="1"/>
  <c r="V29" i="2" s="1"/>
  <c r="I77" i="3"/>
  <c r="J70" i="2" s="1"/>
  <c r="V70" i="2" s="1"/>
  <c r="I89" i="3"/>
  <c r="J82" i="2" s="1"/>
  <c r="V82" i="2" s="1"/>
  <c r="I233" i="3"/>
  <c r="J217" i="2" s="1"/>
  <c r="V217" i="2" s="1"/>
  <c r="J284" i="2"/>
  <c r="V284" i="2" s="1"/>
  <c r="I334" i="3"/>
  <c r="J293" i="2" s="1"/>
  <c r="V293" i="2" s="1"/>
  <c r="I408" i="3"/>
  <c r="J343" i="2" s="1"/>
  <c r="K343" i="2" s="1"/>
  <c r="J283" i="2"/>
  <c r="V283" i="2" s="1"/>
  <c r="J427" i="2"/>
  <c r="V427" i="2" s="1"/>
  <c r="J268" i="2"/>
  <c r="V268" i="2" s="1"/>
  <c r="J313" i="2"/>
  <c r="V313" i="2" s="1"/>
  <c r="J301" i="2"/>
  <c r="V301" i="2" s="1"/>
  <c r="I400" i="3"/>
  <c r="I550" i="3"/>
  <c r="J447" i="2" s="1"/>
  <c r="I715" i="3"/>
  <c r="J444" i="2"/>
  <c r="V444" i="2" s="1"/>
  <c r="J243" i="2"/>
  <c r="V243" i="2" s="1"/>
  <c r="J265" i="2"/>
  <c r="V265" i="2" s="1"/>
  <c r="J407" i="2"/>
  <c r="V407" i="2" s="1"/>
  <c r="J286" i="2"/>
  <c r="V286" i="2" s="1"/>
  <c r="J603" i="2"/>
  <c r="V603" i="2" s="1"/>
  <c r="J602" i="2"/>
  <c r="V602" i="2" s="1"/>
  <c r="J375" i="2"/>
  <c r="K375" i="2" s="1"/>
  <c r="J487" i="2"/>
  <c r="V487" i="2" s="1"/>
  <c r="J274" i="2"/>
  <c r="V274" i="2" s="1"/>
  <c r="J422" i="2"/>
  <c r="V422" i="2" s="1"/>
  <c r="J189" i="2"/>
  <c r="V189" i="2" s="1"/>
  <c r="J256" i="2"/>
  <c r="V256" i="2" s="1"/>
  <c r="J299" i="2"/>
  <c r="V299" i="2" s="1"/>
  <c r="J408" i="2"/>
  <c r="K408" i="2" s="1"/>
  <c r="J445" i="2"/>
  <c r="K445" i="2" s="1"/>
  <c r="J314" i="2"/>
  <c r="V314" i="2" s="1"/>
  <c r="J295" i="2"/>
  <c r="V295" i="2" s="1"/>
  <c r="J441" i="2"/>
  <c r="V441" i="2" s="1"/>
  <c r="J226" i="2"/>
  <c r="V226" i="2" s="1"/>
  <c r="K200" i="2"/>
  <c r="J300" i="2"/>
  <c r="V300" i="2" s="1"/>
  <c r="J276" i="2"/>
  <c r="V276" i="2" s="1"/>
  <c r="J409" i="2"/>
  <c r="V409" i="2" s="1"/>
  <c r="J278" i="2"/>
  <c r="V278" i="2" s="1"/>
  <c r="K281" i="2"/>
  <c r="J58" i="2"/>
  <c r="V58" i="2" s="1"/>
  <c r="K569" i="2"/>
  <c r="K546" i="2"/>
  <c r="K310" i="2"/>
  <c r="K589" i="2"/>
  <c r="K193" i="2"/>
  <c r="K421" i="2"/>
  <c r="J89" i="2"/>
  <c r="V89" i="2" s="1"/>
  <c r="J225" i="2"/>
  <c r="V225" i="2" s="1"/>
  <c r="J282" i="2"/>
  <c r="V282" i="2" s="1"/>
  <c r="J287" i="2"/>
  <c r="V287" i="2" s="1"/>
  <c r="J297" i="2"/>
  <c r="V297" i="2" s="1"/>
  <c r="J439" i="2"/>
  <c r="K439" i="2" s="1"/>
  <c r="J63" i="2"/>
  <c r="V63" i="2" s="1"/>
  <c r="J59" i="2"/>
  <c r="V59" i="2" s="1"/>
  <c r="K511" i="2"/>
  <c r="K92" i="2"/>
  <c r="K462" i="2"/>
  <c r="K33" i="2"/>
  <c r="K262" i="2"/>
  <c r="K303" i="2"/>
  <c r="K524" i="2"/>
  <c r="K552" i="2"/>
  <c r="K557" i="2"/>
  <c r="K573" i="2"/>
  <c r="K588" i="2"/>
  <c r="K370" i="2"/>
  <c r="K257" i="2"/>
  <c r="K308" i="2"/>
  <c r="K498" i="2"/>
  <c r="K577" i="2"/>
  <c r="J522" i="2"/>
  <c r="V522" i="2" s="1"/>
  <c r="J275" i="2"/>
  <c r="V275" i="2" s="1"/>
  <c r="J509" i="2"/>
  <c r="V509" i="2" s="1"/>
  <c r="J532" i="2"/>
  <c r="V532" i="2" s="1"/>
  <c r="K499" i="2"/>
  <c r="K279" i="2"/>
  <c r="J87" i="2"/>
  <c r="V87" i="2" s="1"/>
  <c r="K395" i="2"/>
  <c r="K30" i="2"/>
  <c r="K539" i="2"/>
  <c r="K400" i="2"/>
  <c r="K548" i="2"/>
  <c r="K576" i="2"/>
  <c r="J289" i="2"/>
  <c r="V289" i="2" s="1"/>
  <c r="K41" i="2"/>
  <c r="J433" i="2"/>
  <c r="V433" i="2" s="1"/>
  <c r="K443" i="2"/>
  <c r="J242" i="2"/>
  <c r="V242" i="2" s="1"/>
  <c r="J526" i="2"/>
  <c r="V526" i="2" s="1"/>
  <c r="K399" i="2"/>
  <c r="K541" i="2"/>
  <c r="K528" i="2"/>
  <c r="K565" i="2"/>
  <c r="J316" i="2"/>
  <c r="V316" i="2" s="1"/>
  <c r="J513" i="2"/>
  <c r="V513" i="2" s="1"/>
  <c r="K122" i="2"/>
  <c r="K501" i="2"/>
  <c r="K521" i="2"/>
  <c r="K182" i="2"/>
  <c r="J191" i="2"/>
  <c r="V191" i="2" s="1"/>
  <c r="J241" i="2"/>
  <c r="V241" i="2" s="1"/>
  <c r="K538" i="2"/>
  <c r="J311" i="2"/>
  <c r="V311" i="2" s="1"/>
  <c r="D15" i="6"/>
  <c r="K143" i="2"/>
  <c r="K206" i="2"/>
  <c r="K270" i="2"/>
  <c r="K452" i="2"/>
  <c r="K460" i="2"/>
  <c r="K568" i="2"/>
  <c r="J32" i="2"/>
  <c r="V32" i="2" s="1"/>
  <c r="J140" i="2"/>
  <c r="V140" i="2" s="1"/>
  <c r="K424" i="2"/>
  <c r="K555" i="2"/>
  <c r="J76" i="2"/>
  <c r="K76" i="2" s="1"/>
  <c r="J64" i="2"/>
  <c r="V64" i="2" s="1"/>
  <c r="K556" i="2"/>
  <c r="K561" i="2"/>
  <c r="K567" i="2"/>
  <c r="K104" i="2"/>
  <c r="K423" i="2"/>
  <c r="K435" i="2"/>
  <c r="K467" i="2"/>
  <c r="K560" i="2"/>
  <c r="K579" i="2"/>
  <c r="J269" i="2"/>
  <c r="V269" i="2" s="1"/>
  <c r="K571" i="2"/>
  <c r="K593" i="2"/>
  <c r="V579" i="2"/>
  <c r="K404" i="2"/>
  <c r="K368" i="2"/>
  <c r="K483" i="2"/>
  <c r="K540" i="2"/>
  <c r="K591" i="2"/>
  <c r="K480" i="2"/>
  <c r="K471" i="2"/>
  <c r="K373" i="2"/>
  <c r="V373" i="2"/>
  <c r="K446" i="2"/>
  <c r="K378" i="2"/>
  <c r="K415" i="2"/>
  <c r="V591" i="2"/>
  <c r="K44" i="2"/>
  <c r="K116" i="2"/>
  <c r="K261" i="2"/>
  <c r="K505" i="2"/>
  <c r="K519" i="2"/>
  <c r="K566" i="2"/>
  <c r="K392" i="2"/>
  <c r="K307" i="2"/>
  <c r="K420" i="2"/>
  <c r="K43" i="2"/>
  <c r="K184" i="2"/>
  <c r="K188" i="2"/>
  <c r="K203" i="2"/>
  <c r="K229" i="2"/>
  <c r="K233" i="2"/>
  <c r="K260" i="2"/>
  <c r="K280" i="2"/>
  <c r="K383" i="2"/>
  <c r="K418" i="2"/>
  <c r="K550" i="2"/>
  <c r="K361" i="2"/>
  <c r="K535" i="2"/>
  <c r="K564" i="2"/>
  <c r="K572" i="2"/>
  <c r="K594" i="2"/>
  <c r="K394" i="2"/>
  <c r="V394" i="2"/>
  <c r="V124" i="2"/>
  <c r="K136" i="2"/>
  <c r="V472" i="2"/>
  <c r="K472" i="2"/>
  <c r="J298" i="2"/>
  <c r="V298" i="2" s="1"/>
  <c r="J332" i="2"/>
  <c r="V332" i="2" s="1"/>
  <c r="K224" i="2"/>
  <c r="K253" i="2"/>
  <c r="K302" i="2"/>
  <c r="K506" i="2"/>
  <c r="V506" i="2"/>
  <c r="V476" i="2"/>
  <c r="K476" i="2"/>
  <c r="K381" i="2"/>
  <c r="V484" i="2"/>
  <c r="K484" i="2"/>
  <c r="K348" i="2"/>
  <c r="V348" i="2"/>
  <c r="K296" i="2"/>
  <c r="K305" i="2"/>
  <c r="K397" i="2"/>
  <c r="V397" i="2"/>
  <c r="V429" i="2"/>
  <c r="K429" i="2"/>
  <c r="K194" i="2"/>
  <c r="V381" i="2"/>
  <c r="V567" i="2"/>
  <c r="K469" i="2"/>
  <c r="V469" i="2"/>
  <c r="K112" i="2"/>
  <c r="K365" i="2"/>
  <c r="K396" i="2"/>
  <c r="V396" i="2"/>
  <c r="K410" i="2"/>
  <c r="V544" i="2"/>
  <c r="K544" i="2"/>
  <c r="K36" i="2"/>
  <c r="K414" i="2"/>
  <c r="V414" i="2"/>
  <c r="V580" i="2"/>
  <c r="K580" i="2"/>
  <c r="K369" i="2"/>
  <c r="V369" i="2"/>
  <c r="V410" i="2"/>
  <c r="V361" i="2"/>
  <c r="V370" i="2"/>
  <c r="V578" i="2"/>
  <c r="K578" i="2"/>
  <c r="K380" i="2"/>
  <c r="K468" i="2"/>
  <c r="V468" i="2"/>
  <c r="K502" i="2"/>
  <c r="K531" i="2"/>
  <c r="K542" i="2"/>
  <c r="K230" i="2"/>
  <c r="K309" i="2"/>
  <c r="K470" i="2"/>
  <c r="V542" i="2"/>
  <c r="K549" i="2"/>
  <c r="K485" i="2"/>
  <c r="K510" i="2"/>
  <c r="K537" i="2"/>
  <c r="K574" i="2"/>
  <c r="K306" i="2"/>
  <c r="K259" i="2"/>
  <c r="K277" i="2"/>
  <c r="K417" i="2"/>
  <c r="K458" i="2"/>
  <c r="K553" i="2"/>
  <c r="K582" i="2"/>
  <c r="K592" i="2"/>
  <c r="K196" i="2"/>
  <c r="K205" i="2"/>
  <c r="K254" i="2"/>
  <c r="K263" i="2"/>
  <c r="K428" i="2"/>
  <c r="K493" i="2"/>
  <c r="K504" i="2"/>
  <c r="K514" i="2"/>
  <c r="J585" i="2"/>
  <c r="V585" i="2" s="1"/>
  <c r="K181" i="2"/>
  <c r="K187" i="2"/>
  <c r="K232" i="2"/>
  <c r="K290" i="2"/>
  <c r="K312" i="2"/>
  <c r="K457" i="2"/>
  <c r="K517" i="2"/>
  <c r="K518" i="2"/>
  <c r="K534" i="2"/>
  <c r="K595" i="2"/>
  <c r="K185" i="2"/>
  <c r="K349" i="2"/>
  <c r="V457" i="2"/>
  <c r="K500" i="2"/>
  <c r="V518" i="2"/>
  <c r="K530" i="2"/>
  <c r="K512" i="2"/>
  <c r="K570" i="2"/>
  <c r="K584" i="2"/>
  <c r="J65" i="2"/>
  <c r="K65" i="2" s="1"/>
  <c r="J88" i="2"/>
  <c r="V88" i="2" s="1"/>
  <c r="J285" i="2"/>
  <c r="V285" i="2" s="1"/>
  <c r="J318" i="2"/>
  <c r="V318" i="2" s="1"/>
  <c r="V131" i="2"/>
  <c r="K131" i="2"/>
  <c r="V40" i="2"/>
  <c r="K40" i="2"/>
  <c r="V47" i="2"/>
  <c r="K47" i="2"/>
  <c r="V35" i="2"/>
  <c r="K35" i="2"/>
  <c r="V77" i="2"/>
  <c r="K77" i="2"/>
  <c r="K34" i="2"/>
  <c r="K46" i="2"/>
  <c r="K94" i="2"/>
  <c r="K106" i="2"/>
  <c r="K118" i="2"/>
  <c r="K130" i="2"/>
  <c r="K142" i="2"/>
  <c r="K382" i="2"/>
  <c r="V382" i="2"/>
  <c r="K129" i="2"/>
  <c r="K141" i="2"/>
  <c r="K201" i="2"/>
  <c r="V405" i="2"/>
  <c r="K405" i="2"/>
  <c r="V475" i="2"/>
  <c r="K475" i="2"/>
  <c r="C12" i="1"/>
  <c r="C14" i="1"/>
  <c r="C16" i="1"/>
  <c r="C13" i="1"/>
  <c r="C15" i="1"/>
  <c r="C17" i="1"/>
  <c r="K115" i="2"/>
  <c r="K127" i="2"/>
  <c r="K114" i="2"/>
  <c r="K126" i="2"/>
  <c r="K138" i="2"/>
  <c r="K125" i="2"/>
  <c r="K137" i="2"/>
  <c r="K231" i="2"/>
  <c r="K111" i="2"/>
  <c r="J52" i="6"/>
  <c r="C51" i="6"/>
  <c r="G49" i="6"/>
  <c r="I47" i="6"/>
  <c r="B46" i="6"/>
  <c r="D44" i="6"/>
  <c r="H42" i="6"/>
  <c r="J40" i="6"/>
  <c r="C39" i="6"/>
  <c r="G37" i="6"/>
  <c r="I35" i="6"/>
  <c r="B34" i="6"/>
  <c r="D32" i="6"/>
  <c r="H30" i="6"/>
  <c r="J28" i="6"/>
  <c r="C27" i="6"/>
  <c r="G25" i="6"/>
  <c r="I23" i="6"/>
  <c r="I52" i="6"/>
  <c r="B51" i="6"/>
  <c r="D49" i="6"/>
  <c r="H47" i="6"/>
  <c r="J45" i="6"/>
  <c r="C44" i="6"/>
  <c r="G42" i="6"/>
  <c r="I40" i="6"/>
  <c r="B39" i="6"/>
  <c r="D37" i="6"/>
  <c r="H35" i="6"/>
  <c r="J33" i="6"/>
  <c r="C32" i="6"/>
  <c r="G30" i="6"/>
  <c r="I28" i="6"/>
  <c r="B27" i="6"/>
  <c r="D25" i="6"/>
  <c r="H23" i="6"/>
  <c r="H52" i="6"/>
  <c r="J50" i="6"/>
  <c r="C49" i="6"/>
  <c r="G47" i="6"/>
  <c r="I45" i="6"/>
  <c r="B44" i="6"/>
  <c r="D42" i="6"/>
  <c r="H40" i="6"/>
  <c r="J38" i="6"/>
  <c r="C37" i="6"/>
  <c r="G35" i="6"/>
  <c r="I33" i="6"/>
  <c r="B32" i="6"/>
  <c r="D30" i="6"/>
  <c r="H28" i="6"/>
  <c r="J26" i="6"/>
  <c r="C25" i="6"/>
  <c r="G23" i="6"/>
  <c r="G52" i="6"/>
  <c r="I50" i="6"/>
  <c r="B49" i="6"/>
  <c r="D47" i="6"/>
  <c r="H45" i="6"/>
  <c r="J43" i="6"/>
  <c r="C42" i="6"/>
  <c r="G40" i="6"/>
  <c r="I38" i="6"/>
  <c r="B37" i="6"/>
  <c r="D35" i="6"/>
  <c r="H33" i="6"/>
  <c r="J31" i="6"/>
  <c r="C30" i="6"/>
  <c r="G28" i="6"/>
  <c r="I26" i="6"/>
  <c r="B25" i="6"/>
  <c r="D23" i="6"/>
  <c r="D52" i="6"/>
  <c r="H50" i="6"/>
  <c r="J48" i="6"/>
  <c r="C47" i="6"/>
  <c r="G45" i="6"/>
  <c r="I43" i="6"/>
  <c r="B42" i="6"/>
  <c r="D40" i="6"/>
  <c r="H38" i="6"/>
  <c r="J36" i="6"/>
  <c r="C35" i="6"/>
  <c r="G33" i="6"/>
  <c r="I31" i="6"/>
  <c r="B30" i="6"/>
  <c r="D28" i="6"/>
  <c r="H26" i="6"/>
  <c r="J24" i="6"/>
  <c r="C23" i="6"/>
  <c r="C52" i="6"/>
  <c r="G50" i="6"/>
  <c r="I48" i="6"/>
  <c r="B47" i="6"/>
  <c r="D45" i="6"/>
  <c r="H43" i="6"/>
  <c r="J41" i="6"/>
  <c r="C40" i="6"/>
  <c r="G38" i="6"/>
  <c r="I36" i="6"/>
  <c r="B35" i="6"/>
  <c r="D33" i="6"/>
  <c r="H31" i="6"/>
  <c r="J29" i="6"/>
  <c r="C28" i="6"/>
  <c r="G26" i="6"/>
  <c r="I24" i="6"/>
  <c r="B23" i="6"/>
  <c r="B52" i="6"/>
  <c r="D50" i="6"/>
  <c r="H48" i="6"/>
  <c r="J46" i="6"/>
  <c r="C45" i="6"/>
  <c r="G43" i="6"/>
  <c r="I41" i="6"/>
  <c r="B40" i="6"/>
  <c r="D38" i="6"/>
  <c r="H36" i="6"/>
  <c r="J34" i="6"/>
  <c r="C33" i="6"/>
  <c r="G31" i="6"/>
  <c r="I29" i="6"/>
  <c r="B28" i="6"/>
  <c r="D26" i="6"/>
  <c r="H24" i="6"/>
  <c r="J51" i="6"/>
  <c r="C50" i="6"/>
  <c r="G48" i="6"/>
  <c r="I46" i="6"/>
  <c r="B45" i="6"/>
  <c r="D43" i="6"/>
  <c r="H41" i="6"/>
  <c r="J39" i="6"/>
  <c r="C38" i="6"/>
  <c r="G36" i="6"/>
  <c r="I34" i="6"/>
  <c r="B33" i="6"/>
  <c r="D31" i="6"/>
  <c r="H29" i="6"/>
  <c r="J27" i="6"/>
  <c r="C26" i="6"/>
  <c r="G24" i="6"/>
  <c r="I51" i="6"/>
  <c r="B50" i="6"/>
  <c r="D48" i="6"/>
  <c r="H46" i="6"/>
  <c r="J44" i="6"/>
  <c r="C43" i="6"/>
  <c r="G41" i="6"/>
  <c r="I39" i="6"/>
  <c r="B38" i="6"/>
  <c r="D36" i="6"/>
  <c r="H34" i="6"/>
  <c r="J32" i="6"/>
  <c r="C31" i="6"/>
  <c r="G29" i="6"/>
  <c r="I27" i="6"/>
  <c r="B26" i="6"/>
  <c r="D24" i="6"/>
  <c r="H51" i="6"/>
  <c r="J49" i="6"/>
  <c r="C48" i="6"/>
  <c r="G46" i="6"/>
  <c r="I44" i="6"/>
  <c r="B43" i="6"/>
  <c r="D41" i="6"/>
  <c r="H39" i="6"/>
  <c r="J37" i="6"/>
  <c r="C36" i="6"/>
  <c r="G34" i="6"/>
  <c r="I32" i="6"/>
  <c r="B31" i="6"/>
  <c r="D29" i="6"/>
  <c r="H27" i="6"/>
  <c r="J25" i="6"/>
  <c r="C24" i="6"/>
  <c r="G51" i="6"/>
  <c r="I49" i="6"/>
  <c r="B48" i="6"/>
  <c r="D46" i="6"/>
  <c r="H44" i="6"/>
  <c r="J42" i="6"/>
  <c r="C41" i="6"/>
  <c r="G39" i="6"/>
  <c r="I37" i="6"/>
  <c r="B36" i="6"/>
  <c r="D34" i="6"/>
  <c r="H32" i="6"/>
  <c r="J30" i="6"/>
  <c r="C29" i="6"/>
  <c r="G27" i="6"/>
  <c r="I25" i="6"/>
  <c r="B24" i="6"/>
  <c r="D51" i="6"/>
  <c r="H49" i="6"/>
  <c r="B29" i="6"/>
  <c r="J47" i="6"/>
  <c r="D27" i="6"/>
  <c r="C46" i="6"/>
  <c r="H25" i="6"/>
  <c r="G44" i="6"/>
  <c r="J23" i="6"/>
  <c r="I42" i="6"/>
  <c r="B41" i="6"/>
  <c r="H37" i="6"/>
  <c r="J35" i="6"/>
  <c r="C34" i="6"/>
  <c r="G32" i="6"/>
  <c r="I30" i="6"/>
  <c r="D39" i="6"/>
  <c r="K37" i="2"/>
  <c r="K49" i="2"/>
  <c r="K133" i="2"/>
  <c r="K366" i="2"/>
  <c r="V366" i="2"/>
  <c r="K97" i="2"/>
  <c r="K109" i="2"/>
  <c r="K121" i="2"/>
  <c r="K402" i="2"/>
  <c r="V402" i="2"/>
  <c r="K454" i="2"/>
  <c r="V454" i="2"/>
  <c r="K48" i="2"/>
  <c r="K96" i="2"/>
  <c r="K108" i="2"/>
  <c r="K120" i="2"/>
  <c r="K132" i="2"/>
  <c r="K202" i="2"/>
  <c r="K367" i="2"/>
  <c r="V367" i="2"/>
  <c r="K374" i="2"/>
  <c r="V374" i="2"/>
  <c r="K426" i="2"/>
  <c r="V426" i="2"/>
  <c r="K379" i="2"/>
  <c r="V379" i="2"/>
  <c r="K199" i="2"/>
  <c r="U608" i="2"/>
  <c r="K186" i="2"/>
  <c r="K198" i="2"/>
  <c r="F232" i="5"/>
  <c r="F231" i="5"/>
  <c r="V607" i="2"/>
  <c r="K607" i="2"/>
  <c r="V430" i="2"/>
  <c r="K430" i="2"/>
  <c r="V453" i="2"/>
  <c r="K453" i="2"/>
  <c r="K350" i="2"/>
  <c r="V350" i="2"/>
  <c r="K391" i="2"/>
  <c r="V391" i="2"/>
  <c r="K398" i="2"/>
  <c r="V398" i="2"/>
  <c r="K464" i="2"/>
  <c r="K183" i="2"/>
  <c r="K228" i="2"/>
  <c r="K234" i="2"/>
  <c r="K258" i="2"/>
  <c r="V378" i="2"/>
  <c r="V403" i="2"/>
  <c r="K403" i="2"/>
  <c r="K494" i="2"/>
  <c r="V494" i="2"/>
  <c r="K192" i="2"/>
  <c r="K204" i="2"/>
  <c r="V451" i="2"/>
  <c r="K451" i="2"/>
  <c r="V481" i="2"/>
  <c r="K481" i="2"/>
  <c r="V474" i="2"/>
  <c r="K474" i="2"/>
  <c r="K497" i="2"/>
  <c r="V515" i="2"/>
  <c r="K515" i="2"/>
  <c r="V383" i="2"/>
  <c r="V395" i="2"/>
  <c r="V446" i="2"/>
  <c r="V368" i="2"/>
  <c r="V380" i="2"/>
  <c r="V392" i="2"/>
  <c r="V458" i="2"/>
  <c r="V477" i="2"/>
  <c r="K477" i="2"/>
  <c r="V462" i="2"/>
  <c r="K559" i="2"/>
  <c r="K536" i="2"/>
  <c r="V575" i="2"/>
  <c r="K575" i="2"/>
  <c r="C14" i="6"/>
  <c r="K401" i="2"/>
  <c r="K425" i="2"/>
  <c r="K461" i="2"/>
  <c r="K473" i="2"/>
  <c r="K482" i="2"/>
  <c r="K491" i="2"/>
  <c r="K533" i="2"/>
  <c r="K547" i="2"/>
  <c r="K583" i="2"/>
  <c r="V527" i="2"/>
  <c r="K527" i="2"/>
  <c r="V581" i="2"/>
  <c r="K581" i="2"/>
  <c r="K479" i="2"/>
  <c r="V563" i="2"/>
  <c r="K563" i="2"/>
  <c r="K478" i="2"/>
  <c r="K503" i="2"/>
  <c r="D14" i="6"/>
  <c r="K492" i="2"/>
  <c r="V551" i="2"/>
  <c r="K551" i="2"/>
  <c r="V587" i="2"/>
  <c r="K587" i="2"/>
  <c r="H8" i="6"/>
  <c r="C15" i="6"/>
  <c r="K545" i="2"/>
  <c r="J384" i="2" l="1"/>
  <c r="K384" i="2" s="1"/>
  <c r="K93" i="2"/>
  <c r="K135" i="2"/>
  <c r="J363" i="2"/>
  <c r="V363" i="2" s="1"/>
  <c r="J11" i="2"/>
  <c r="V11" i="2" s="1"/>
  <c r="K117" i="2"/>
  <c r="K110" i="2"/>
  <c r="K123" i="2"/>
  <c r="K105" i="2"/>
  <c r="J338" i="2"/>
  <c r="K338" i="2" s="1"/>
  <c r="V119" i="2"/>
  <c r="K95" i="2"/>
  <c r="K113" i="2"/>
  <c r="J319" i="2"/>
  <c r="V319" i="2" s="1"/>
  <c r="J339" i="2"/>
  <c r="V339" i="2" s="1"/>
  <c r="K134" i="2"/>
  <c r="V107" i="2"/>
  <c r="J337" i="2"/>
  <c r="V337" i="2" s="1"/>
  <c r="K128" i="2"/>
  <c r="K466" i="2"/>
  <c r="J340" i="2"/>
  <c r="K340" i="2" s="1"/>
  <c r="K386" i="2"/>
  <c r="J249" i="2"/>
  <c r="V249" i="2" s="1"/>
  <c r="K102" i="2"/>
  <c r="K219" i="2"/>
  <c r="K9" i="2"/>
  <c r="K213" i="2"/>
  <c r="J60" i="2"/>
  <c r="V60" i="2" s="1"/>
  <c r="V345" i="2"/>
  <c r="K39" i="2"/>
  <c r="K431" i="2"/>
  <c r="K100" i="2"/>
  <c r="V372" i="2"/>
  <c r="J325" i="2"/>
  <c r="V325" i="2" s="1"/>
  <c r="K385" i="2"/>
  <c r="K456" i="2"/>
  <c r="K207" i="2"/>
  <c r="K72" i="2"/>
  <c r="K79" i="2"/>
  <c r="K19" i="2"/>
  <c r="K355" i="2"/>
  <c r="K22" i="2"/>
  <c r="K220" i="2"/>
  <c r="K169" i="2"/>
  <c r="K21" i="2"/>
  <c r="K26" i="2"/>
  <c r="K61" i="2"/>
  <c r="V393" i="2"/>
  <c r="K153" i="2"/>
  <c r="K175" i="2"/>
  <c r="K16" i="2"/>
  <c r="K488" i="2"/>
  <c r="K73" i="2"/>
  <c r="K162" i="2"/>
  <c r="K158" i="2"/>
  <c r="K304" i="2"/>
  <c r="K98" i="2"/>
  <c r="K152" i="2"/>
  <c r="K86" i="2"/>
  <c r="J91" i="2"/>
  <c r="V91" i="2" s="1"/>
  <c r="K330" i="2"/>
  <c r="V28" i="2"/>
  <c r="K222" i="2"/>
  <c r="K165" i="2"/>
  <c r="V24" i="2"/>
  <c r="K359" i="2"/>
  <c r="K101" i="2"/>
  <c r="K495" i="2"/>
  <c r="K150" i="2"/>
  <c r="K12" i="2"/>
  <c r="K156" i="2"/>
  <c r="K145" i="2"/>
  <c r="K25" i="2"/>
  <c r="K13" i="2"/>
  <c r="J320" i="2"/>
  <c r="V320" i="2" s="1"/>
  <c r="J67" i="2"/>
  <c r="K67" i="2" s="1"/>
  <c r="J291" i="2"/>
  <c r="V291" i="2" s="1"/>
  <c r="K85" i="2"/>
  <c r="K170" i="2"/>
  <c r="J364" i="2"/>
  <c r="V364" i="2" s="1"/>
  <c r="K390" i="2"/>
  <c r="K387" i="2"/>
  <c r="J323" i="2"/>
  <c r="V323" i="2" s="1"/>
  <c r="K149" i="2"/>
  <c r="K448" i="2"/>
  <c r="J147" i="2"/>
  <c r="V147" i="2" s="1"/>
  <c r="K84" i="2"/>
  <c r="K214" i="2"/>
  <c r="K168" i="2"/>
  <c r="K99" i="2"/>
  <c r="K163" i="2"/>
  <c r="K586" i="2"/>
  <c r="K157" i="2"/>
  <c r="K246" i="2"/>
  <c r="K20" i="2"/>
  <c r="K412" i="2"/>
  <c r="K354" i="2"/>
  <c r="K78" i="2"/>
  <c r="K45" i="2"/>
  <c r="K371" i="2"/>
  <c r="K14" i="2"/>
  <c r="K190" i="2"/>
  <c r="K180" i="2"/>
  <c r="K159" i="2"/>
  <c r="K600" i="2"/>
  <c r="K176" i="2"/>
  <c r="K353" i="2"/>
  <c r="V351" i="2"/>
  <c r="K292" i="2"/>
  <c r="J322" i="2"/>
  <c r="V322" i="2" s="1"/>
  <c r="J146" i="2"/>
  <c r="V146" i="2" s="1"/>
  <c r="K151" i="2"/>
  <c r="K329" i="2"/>
  <c r="K327" i="2"/>
  <c r="K389" i="2"/>
  <c r="K160" i="2"/>
  <c r="K164" i="2"/>
  <c r="K195" i="2"/>
  <c r="K80" i="2"/>
  <c r="K171" i="2"/>
  <c r="K211" i="2"/>
  <c r="K167" i="2"/>
  <c r="K529" i="2"/>
  <c r="K161" i="2"/>
  <c r="K450" i="2"/>
  <c r="K252" i="2"/>
  <c r="V346" i="2"/>
  <c r="K177" i="2"/>
  <c r="J66" i="2"/>
  <c r="V66" i="2" s="1"/>
  <c r="K15" i="2"/>
  <c r="K155" i="2"/>
  <c r="V416" i="2"/>
  <c r="K208" i="2"/>
  <c r="J419" i="2"/>
  <c r="V419" i="2" s="1"/>
  <c r="K221" i="2"/>
  <c r="K455" i="2"/>
  <c r="K83" i="2"/>
  <c r="J75" i="2"/>
  <c r="V75" i="2" s="1"/>
  <c r="J315" i="2"/>
  <c r="V315" i="2" s="1"/>
  <c r="K27" i="2"/>
  <c r="K18" i="2"/>
  <c r="J56" i="2"/>
  <c r="V56" i="2" s="1"/>
  <c r="J90" i="2"/>
  <c r="V90" i="2" s="1"/>
  <c r="J38" i="2"/>
  <c r="V38" i="2" s="1"/>
  <c r="J321" i="2"/>
  <c r="V321" i="2" s="1"/>
  <c r="K103" i="2"/>
  <c r="K173" i="2"/>
  <c r="V411" i="2"/>
  <c r="K413" i="2"/>
  <c r="V599" i="2"/>
  <c r="V342" i="2"/>
  <c r="K352" i="2"/>
  <c r="K328" i="2"/>
  <c r="K23" i="2"/>
  <c r="J496" i="2"/>
  <c r="V496" i="2" s="1"/>
  <c r="V358" i="2"/>
  <c r="K344" i="2"/>
  <c r="K227" i="2"/>
  <c r="K271" i="2"/>
  <c r="K442" i="2"/>
  <c r="K71" i="2"/>
  <c r="K273" i="2"/>
  <c r="K212" i="2"/>
  <c r="K590" i="2"/>
  <c r="K218" i="2"/>
  <c r="V606" i="2"/>
  <c r="V605" i="2"/>
  <c r="K601" i="2"/>
  <c r="D15" i="1"/>
  <c r="K68" i="2"/>
  <c r="K8" i="2"/>
  <c r="K215" i="2"/>
  <c r="K172" i="2"/>
  <c r="K148" i="2"/>
  <c r="K178" i="2"/>
  <c r="K74" i="2"/>
  <c r="K209" i="2"/>
  <c r="K166" i="2"/>
  <c r="K154" i="2"/>
  <c r="K272" i="2"/>
  <c r="K341" i="2"/>
  <c r="J324" i="2"/>
  <c r="V324" i="2" s="1"/>
  <c r="K489" i="2"/>
  <c r="V347" i="2"/>
  <c r="V465" i="2"/>
  <c r="K360" i="2"/>
  <c r="K62" i="2"/>
  <c r="V376" i="2"/>
  <c r="K81" i="2"/>
  <c r="K174" i="2"/>
  <c r="K543" i="2"/>
  <c r="K10" i="2"/>
  <c r="J294" i="2"/>
  <c r="V294" i="2" s="1"/>
  <c r="K554" i="2"/>
  <c r="K53" i="2"/>
  <c r="V486" i="2"/>
  <c r="K57" i="2"/>
  <c r="V388" i="2"/>
  <c r="K558" i="2"/>
  <c r="K31" i="2"/>
  <c r="K50" i="2"/>
  <c r="K216" i="2"/>
  <c r="K283" i="2"/>
  <c r="K434" i="2"/>
  <c r="K523" i="2"/>
  <c r="K507" i="2"/>
  <c r="V357" i="2"/>
  <c r="K437" i="2"/>
  <c r="V343" i="2"/>
  <c r="K265" i="2"/>
  <c r="K598" i="2"/>
  <c r="K516" i="2"/>
  <c r="K244" i="2"/>
  <c r="K597" i="2"/>
  <c r="K69" i="2"/>
  <c r="V439" i="2"/>
  <c r="K264" i="2"/>
  <c r="K139" i="2"/>
  <c r="K52" i="2"/>
  <c r="K377" i="2"/>
  <c r="K266" i="2"/>
  <c r="K463" i="2"/>
  <c r="K432" i="2"/>
  <c r="K440" i="2"/>
  <c r="K268" i="2"/>
  <c r="K276" i="2"/>
  <c r="K407" i="2"/>
  <c r="K596" i="2"/>
  <c r="K422" i="2"/>
  <c r="K562" i="2"/>
  <c r="K144" i="2"/>
  <c r="K436" i="2"/>
  <c r="K406" i="2"/>
  <c r="K179" i="2"/>
  <c r="K278" i="2"/>
  <c r="K237" i="2"/>
  <c r="K288" i="2"/>
  <c r="K300" i="2"/>
  <c r="K520" i="2"/>
  <c r="K427" i="2"/>
  <c r="K55" i="2"/>
  <c r="K508" i="2"/>
  <c r="K525" i="2"/>
  <c r="K490" i="2"/>
  <c r="K255" i="2"/>
  <c r="K63" i="2"/>
  <c r="K82" i="2"/>
  <c r="K293" i="2"/>
  <c r="K604" i="2"/>
  <c r="K236" i="2"/>
  <c r="K210" i="2"/>
  <c r="F15" i="6"/>
  <c r="K284" i="2"/>
  <c r="K487" i="2"/>
  <c r="K250" i="2"/>
  <c r="K286" i="2"/>
  <c r="K197" i="2"/>
  <c r="K17" i="2"/>
  <c r="K42" i="2"/>
  <c r="K248" i="2"/>
  <c r="K459" i="2"/>
  <c r="V447" i="2"/>
  <c r="K447" i="2"/>
  <c r="K313" i="2"/>
  <c r="K603" i="2"/>
  <c r="F14" i="6"/>
  <c r="K238" i="2"/>
  <c r="K317" i="2"/>
  <c r="K356" i="2"/>
  <c r="K301" i="2"/>
  <c r="K314" i="2"/>
  <c r="V445" i="2"/>
  <c r="K251" i="2"/>
  <c r="K70" i="2"/>
  <c r="K217" i="2"/>
  <c r="K29" i="2"/>
  <c r="K602" i="2"/>
  <c r="K274" i="2"/>
  <c r="V375" i="2"/>
  <c r="K295" i="2"/>
  <c r="K444" i="2"/>
  <c r="K333" i="2"/>
  <c r="K243" i="2"/>
  <c r="V362" i="2"/>
  <c r="V54" i="2"/>
  <c r="K58" i="2"/>
  <c r="K189" i="2"/>
  <c r="K256" i="2"/>
  <c r="K449" i="2"/>
  <c r="K240" i="2"/>
  <c r="V408" i="2"/>
  <c r="K441" i="2"/>
  <c r="K409" i="2"/>
  <c r="K59" i="2"/>
  <c r="K51" i="2"/>
  <c r="K299" i="2"/>
  <c r="V76" i="2"/>
  <c r="K226" i="2"/>
  <c r="K282" i="2"/>
  <c r="K297" i="2"/>
  <c r="K522" i="2"/>
  <c r="K287" i="2"/>
  <c r="K225" i="2"/>
  <c r="K89" i="2"/>
  <c r="K223" i="2"/>
  <c r="K235" i="2"/>
  <c r="K87" i="2"/>
  <c r="K585" i="2"/>
  <c r="K275" i="2"/>
  <c r="K509" i="2"/>
  <c r="V438" i="2"/>
  <c r="K289" i="2"/>
  <c r="K64" i="2"/>
  <c r="K532" i="2"/>
  <c r="K242" i="2"/>
  <c r="K269" i="2"/>
  <c r="K298" i="2"/>
  <c r="K140" i="2"/>
  <c r="K311" i="2"/>
  <c r="K241" i="2"/>
  <c r="K32" i="2"/>
  <c r="K285" i="2"/>
  <c r="K433" i="2"/>
  <c r="K245" i="2"/>
  <c r="K526" i="2"/>
  <c r="K513" i="2"/>
  <c r="K326" i="2"/>
  <c r="K247" i="2"/>
  <c r="K191" i="2"/>
  <c r="K316" i="2"/>
  <c r="V65" i="2"/>
  <c r="K332" i="2"/>
  <c r="C18" i="1"/>
  <c r="K318" i="2"/>
  <c r="K239" i="2"/>
  <c r="K335" i="2"/>
  <c r="K88" i="2"/>
  <c r="K334" i="2"/>
  <c r="V334" i="2"/>
  <c r="K11" i="2" l="1"/>
  <c r="V384" i="2"/>
  <c r="V338" i="2"/>
  <c r="K363" i="2"/>
  <c r="K319" i="2"/>
  <c r="K339" i="2"/>
  <c r="K337" i="2"/>
  <c r="V340" i="2"/>
  <c r="K249" i="2"/>
  <c r="K60" i="2"/>
  <c r="K325" i="2"/>
  <c r="K91" i="2"/>
  <c r="D16" i="1"/>
  <c r="K147" i="2"/>
  <c r="V67" i="2"/>
  <c r="K291" i="2"/>
  <c r="K364" i="2"/>
  <c r="K320" i="2"/>
  <c r="K323" i="2"/>
  <c r="D17" i="1"/>
  <c r="K322" i="2"/>
  <c r="K146" i="2"/>
  <c r="K419" i="2"/>
  <c r="E17" i="1" s="1"/>
  <c r="K38" i="2"/>
  <c r="K66" i="2"/>
  <c r="K75" i="2"/>
  <c r="K56" i="2"/>
  <c r="K321" i="2"/>
  <c r="K315" i="2"/>
  <c r="K90" i="2"/>
  <c r="E15" i="1"/>
  <c r="K496" i="2"/>
  <c r="D12" i="1"/>
  <c r="D14" i="1"/>
  <c r="K324" i="2"/>
  <c r="J608" i="2"/>
  <c r="D13" i="1"/>
  <c r="D6" i="2"/>
  <c r="E6" i="1" s="1"/>
  <c r="K294" i="2"/>
  <c r="E13" i="1" s="1"/>
  <c r="V608" i="2" l="1"/>
  <c r="K608" i="2"/>
  <c r="E16" i="1"/>
  <c r="E12" i="1"/>
  <c r="E14" i="1"/>
  <c r="F12" i="1"/>
  <c r="D18" i="1"/>
  <c r="G6" i="2"/>
  <c r="H6" i="1" s="1"/>
  <c r="K6" i="1" s="1"/>
  <c r="F17" i="1"/>
  <c r="F16" i="1"/>
  <c r="F15" i="1"/>
  <c r="F14" i="1"/>
  <c r="F13" i="1"/>
  <c r="E18" i="1" l="1"/>
  <c r="F18" i="1"/>
  <c r="G12" i="1"/>
  <c r="G17" i="1"/>
  <c r="G13" i="1"/>
  <c r="G14" i="1"/>
  <c r="G15" i="1"/>
  <c r="G16" i="1"/>
  <c r="G18" i="1" l="1"/>
</calcChain>
</file>

<file path=xl/sharedStrings.xml><?xml version="1.0" encoding="utf-8"?>
<sst xmlns="http://schemas.openxmlformats.org/spreadsheetml/2006/main" count="19715" uniqueCount="2127">
  <si>
    <t xml:space="preserve">  BTG PACTUAL  ·  INVENTÁRIO CONSOLIDADO  ·  DASHBOARD</t>
  </si>
  <si>
    <t xml:space="preserve">  Atualizado automaticamente · dados puxados das abas Catálogo e Movimentações</t>
  </si>
  <si>
    <t>PRODUTOS</t>
  </si>
  <si>
    <t>PEÇAS EM ESTOQUE</t>
  </si>
  <si>
    <t>CUSTO TOTAL DO ESTOQUE</t>
  </si>
  <si>
    <t>AD VALOREM MENSAL (0,50%)</t>
  </si>
  <si>
    <t>códigos únicos da cliente</t>
  </si>
  <si>
    <t>soma do saldo atual</t>
  </si>
  <si>
    <t>Qtde × Preço de Custo</t>
  </si>
  <si>
    <t>0,50% sobre custo total</t>
  </si>
  <si>
    <t xml:space="preserve">  RESUMO POR CATEGORIA</t>
  </si>
  <si>
    <t>CATEGORIA</t>
  </si>
  <si>
    <t>PEÇAS</t>
  </si>
  <si>
    <t>CUSTO TOTAL</t>
  </si>
  <si>
    <t>% ESTOQUE</t>
  </si>
  <si>
    <t>% CUSTO</t>
  </si>
  <si>
    <t>VESTUÁRIO</t>
  </si>
  <si>
    <t>BOLSAS E MALAS</t>
  </si>
  <si>
    <t>BEBIDAS E MESA</t>
  </si>
  <si>
    <t>ESCRITÓRIOS E PAPELARIA</t>
  </si>
  <si>
    <t>ACESSÓRIOS</t>
  </si>
  <si>
    <t>MATERIAL DE EVENTO</t>
  </si>
  <si>
    <t>TOTAL</t>
  </si>
  <si>
    <t xml:space="preserve">  ÚLTIMAS 20 MOVIMENTAÇÕES</t>
  </si>
  <si>
    <t>DATA</t>
  </si>
  <si>
    <t>TIPO MOV.</t>
  </si>
  <si>
    <t>CÓD. SKU</t>
  </si>
  <si>
    <t>PRODUTO</t>
  </si>
  <si>
    <t>QTDE</t>
  </si>
  <si>
    <t>ESTOQUE</t>
  </si>
  <si>
    <t>RESPONSÁVEL</t>
  </si>
  <si>
    <t xml:space="preserve">  BTG PACTUAL · CATÁLOGO · ESTOQUE BTG</t>
  </si>
  <si>
    <t xml:space="preserve">  1 linha por produto (código da cliente) · Estoque BTG consolidado · filtre por GRUPO ou CATEGORIA</t>
  </si>
  <si>
    <t>#</t>
  </si>
  <si>
    <t>CÓD. CLIENTE</t>
  </si>
  <si>
    <t>GÊNERO</t>
  </si>
  <si>
    <t>GRUPO</t>
  </si>
  <si>
    <t>COR</t>
  </si>
  <si>
    <t>TAM</t>
  </si>
  <si>
    <t>PREÇO UNIT.</t>
  </si>
  <si>
    <t>ESTOQUE BTG</t>
  </si>
  <si>
    <t># SKUs</t>
  </si>
  <si>
    <t>PEDIDO 1- entregar BTG (saida)</t>
  </si>
  <si>
    <t>PEDIDO 2 BTG entregar Dutelog (entrada)</t>
  </si>
  <si>
    <t>PEDIDO 3- applicato entregar duelog 12/06</t>
  </si>
  <si>
    <t>PEDIDO 4- applicato entregar duelog 29/06</t>
  </si>
  <si>
    <t>PEDIDO 5- applicato entregar duelog 15/07</t>
  </si>
  <si>
    <t>PEDIDO 6- applicato entregar duelog 20/07</t>
  </si>
  <si>
    <t>PEDIDO 7- applicato entregar duelog 30/07</t>
  </si>
  <si>
    <t>PEDIDO 8- applicato entregar duelog 01/11</t>
  </si>
  <si>
    <t>QTD SOLIC.</t>
  </si>
  <si>
    <t>DISPONÍVEL</t>
  </si>
  <si>
    <t>A.01.0782.001.P</t>
  </si>
  <si>
    <t>A.01.0782.001.M</t>
  </si>
  <si>
    <t>A.01.0782.001.G</t>
  </si>
  <si>
    <t>A.01.0782.001.2G</t>
  </si>
  <si>
    <t>A.01.0782.001.3G</t>
  </si>
  <si>
    <t>A.01.0782.001.4G</t>
  </si>
  <si>
    <t>A.01.0776.001.M</t>
  </si>
  <si>
    <t>A.01.0776.001.G</t>
  </si>
  <si>
    <t>A.01.0776.001.2G</t>
  </si>
  <si>
    <t>A.01.0776.001.3G</t>
  </si>
  <si>
    <t>A.01.0776.001.4G</t>
  </si>
  <si>
    <t>A.01.0778.009.P</t>
  </si>
  <si>
    <t>A.01.0778.009.M</t>
  </si>
  <si>
    <t>A.01.0778.009.G</t>
  </si>
  <si>
    <t>A.01.0778.009.2G</t>
  </si>
  <si>
    <t>A.01.0778.009.3G</t>
  </si>
  <si>
    <t>A.01.0778.009.4G</t>
  </si>
  <si>
    <t>A.01.0784.001.P</t>
  </si>
  <si>
    <t>A.01.0784.001.M</t>
  </si>
  <si>
    <t>A.01.0784.001.G</t>
  </si>
  <si>
    <t>A.01.0784.001.2G</t>
  </si>
  <si>
    <t>A.01.0784.001.3G</t>
  </si>
  <si>
    <t>A.01.0770.009.P</t>
  </si>
  <si>
    <t>A.01.0770.009.M</t>
  </si>
  <si>
    <t>A.01.0770.009.G</t>
  </si>
  <si>
    <t>A.01.0770.009.GG</t>
  </si>
  <si>
    <t>A.01.0770.009.XG</t>
  </si>
  <si>
    <t>A.01.0768.011.P</t>
  </si>
  <si>
    <t>A.01.0768.011.M</t>
  </si>
  <si>
    <t>A.01.0768.011.G</t>
  </si>
  <si>
    <t>A.01.0768.011.GG</t>
  </si>
  <si>
    <t>A.01.0768.011.XG</t>
  </si>
  <si>
    <t>A.01.0772.001.P</t>
  </si>
  <si>
    <t>A.01.0772.001.M</t>
  </si>
  <si>
    <t>A.01.0772.001.G</t>
  </si>
  <si>
    <t>A.01.0772.001.GG</t>
  </si>
  <si>
    <t>A.01.0772.001.XG</t>
  </si>
  <si>
    <t>A.01.0766.003.P</t>
  </si>
  <si>
    <t>A.01.0766.003.M</t>
  </si>
  <si>
    <t>A.01.0766.003.G</t>
  </si>
  <si>
    <t>A.01.0766.003.GG</t>
  </si>
  <si>
    <t>A.01.0766.003.XG</t>
  </si>
  <si>
    <t>A.01.0774.003.P</t>
  </si>
  <si>
    <t>A.01.0774.003.M</t>
  </si>
  <si>
    <t>A.01.0774.003.G</t>
  </si>
  <si>
    <t>A.01.0774.003.2G</t>
  </si>
  <si>
    <t>A.01.0774.003.3G</t>
  </si>
  <si>
    <t>A.01.0774.003.4G</t>
  </si>
  <si>
    <t>A.01.0709.004.PP</t>
  </si>
  <si>
    <t>A.01.0709.004.P</t>
  </si>
  <si>
    <t>A.01.0709.004.M</t>
  </si>
  <si>
    <t>A.01.0709.004.G</t>
  </si>
  <si>
    <t>A.01.0709.004.GG</t>
  </si>
  <si>
    <t>A.01.0709.004.XG</t>
  </si>
  <si>
    <t>A.01.0703.002.PP</t>
  </si>
  <si>
    <t>A.01.0703.002.P</t>
  </si>
  <si>
    <t>A.01.0703.002.M</t>
  </si>
  <si>
    <t>A.01.0703.002.G</t>
  </si>
  <si>
    <t>A.01.0703.002.GG</t>
  </si>
  <si>
    <t>A.01.0703.002.XG</t>
  </si>
  <si>
    <t>A.01.0711.004.PP</t>
  </si>
  <si>
    <t>A.01.0711.004.P</t>
  </si>
  <si>
    <t>A.01.0711.004.M</t>
  </si>
  <si>
    <t>A.01.0711.004.G</t>
  </si>
  <si>
    <t>A.01.0711.004.GG</t>
  </si>
  <si>
    <t>A.01.0711.004.XG</t>
  </si>
  <si>
    <t>A.01.0705.017.PP</t>
  </si>
  <si>
    <t>A.01.0705.017.P</t>
  </si>
  <si>
    <t>A.01.0705.017.M</t>
  </si>
  <si>
    <t>A.01.0705.017.G</t>
  </si>
  <si>
    <t>A.01.0705.017.GG</t>
  </si>
  <si>
    <t>A.01.0705.017.XG</t>
  </si>
  <si>
    <t>A.01.0706.015.PP</t>
  </si>
  <si>
    <t>A.01.0706.015.P</t>
  </si>
  <si>
    <t>A.01.0706.015.M</t>
  </si>
  <si>
    <t>A.01.0706.015.G</t>
  </si>
  <si>
    <t>A.01.0706.015.GG</t>
  </si>
  <si>
    <t>A.01.0706.015.XG</t>
  </si>
  <si>
    <t>A.01.0713.005.PP</t>
  </si>
  <si>
    <t>A.01.0713.005.P</t>
  </si>
  <si>
    <t>A.01.0713.005.M</t>
  </si>
  <si>
    <t>A.01.0713.005.G</t>
  </si>
  <si>
    <t>A.01.0713.005.GG</t>
  </si>
  <si>
    <t>A.01.0713.005.XG</t>
  </si>
  <si>
    <t>A.01.0695.005.PP</t>
  </si>
  <si>
    <t>A.01.0695.005.P</t>
  </si>
  <si>
    <t>A.01.0695.005.M</t>
  </si>
  <si>
    <t>A.01.0695.005.G</t>
  </si>
  <si>
    <t>A.01.0695.005.GG</t>
  </si>
  <si>
    <t>A.01.0695.005.XG</t>
  </si>
  <si>
    <t>A.01.0780.011.P</t>
  </si>
  <si>
    <t>A.01.0780.011.M</t>
  </si>
  <si>
    <t>A.01.0780.011.G</t>
  </si>
  <si>
    <t>A.01.0780.011.GG</t>
  </si>
  <si>
    <t>A.01.0780.011.XG</t>
  </si>
  <si>
    <t>A.01.0780.011.XGG</t>
  </si>
  <si>
    <t>A.02.0702.002.PP</t>
  </si>
  <si>
    <t>A.02.0702.002.P</t>
  </si>
  <si>
    <t>A.02.0702.002.M</t>
  </si>
  <si>
    <t>A.02.0702.002.G</t>
  </si>
  <si>
    <t>A.02.0702.002.GG</t>
  </si>
  <si>
    <t>A.02.0702.002.XG</t>
  </si>
  <si>
    <t>A.02.0707.015.PP</t>
  </si>
  <si>
    <t>A.02.0707.015.P</t>
  </si>
  <si>
    <t>A.02.0707.015.M</t>
  </si>
  <si>
    <t>A.02.0707.015.G</t>
  </si>
  <si>
    <t>A.02.0707.015.GG</t>
  </si>
  <si>
    <t>A.02.0707.015.XG</t>
  </si>
  <si>
    <t>A.01.0748.001.PP</t>
  </si>
  <si>
    <t>A.01.0748.001.P</t>
  </si>
  <si>
    <t>A.01.0748.001.M</t>
  </si>
  <si>
    <t>A.01.0748.001.G</t>
  </si>
  <si>
    <t>A.01.0748.001.GG</t>
  </si>
  <si>
    <t>A.01.0748.001.XG</t>
  </si>
  <si>
    <t>A.01.0753.001.PP</t>
  </si>
  <si>
    <t>A.01.0753.001.P</t>
  </si>
  <si>
    <t>A.01.0753.001.M</t>
  </si>
  <si>
    <t>A.01.0753.001.G</t>
  </si>
  <si>
    <t>A.01.0753.001.GG</t>
  </si>
  <si>
    <t>A.01.0753.001.XG</t>
  </si>
  <si>
    <t>A.02.0775.003.P</t>
  </si>
  <si>
    <t>A.02.0775.003.M</t>
  </si>
  <si>
    <t>A.02.0775.003.G</t>
  </si>
  <si>
    <t>A.02.0775.003.GG</t>
  </si>
  <si>
    <t>A.02.0775.003.XG</t>
  </si>
  <si>
    <t>A.02.0710.004.PP</t>
  </si>
  <si>
    <t>A.02.0710.004.P</t>
  </si>
  <si>
    <t>A.02.0710.004.M</t>
  </si>
  <si>
    <t>A.02.0710.004.G</t>
  </si>
  <si>
    <t>A.02.0710.004.GG</t>
  </si>
  <si>
    <t>A.02.0710.004.XG</t>
  </si>
  <si>
    <t>A.01.0683.004.G</t>
  </si>
  <si>
    <t>A.01.0683.004.GG</t>
  </si>
  <si>
    <t>A.02.0773.001.P</t>
  </si>
  <si>
    <t>A.02.0773.001.M</t>
  </si>
  <si>
    <t>A.02.0773.001.G</t>
  </si>
  <si>
    <t>A.02.0773.001.GG</t>
  </si>
  <si>
    <t>A.02.0773.001.XG</t>
  </si>
  <si>
    <t>A.02.0769.011.GG</t>
  </si>
  <si>
    <t>A.02.0769.011.XG</t>
  </si>
  <si>
    <t>A.02.0708.004.PP</t>
  </si>
  <si>
    <t>A.02.0708.004.P</t>
  </si>
  <si>
    <t>A.02.0708.004.M</t>
  </si>
  <si>
    <t>A.02.0708.004.G</t>
  </si>
  <si>
    <t>A.02.0708.004.GG</t>
  </si>
  <si>
    <t>A.02.0708.004.XG</t>
  </si>
  <si>
    <t>A.02.0696.005.PP</t>
  </si>
  <si>
    <t>A.02.0696.005.P</t>
  </si>
  <si>
    <t>A.02.0696.005.M</t>
  </si>
  <si>
    <t>A.02.0696.005.G</t>
  </si>
  <si>
    <t>A.02.0696.005.GG</t>
  </si>
  <si>
    <t>A.02.0696.005.XG</t>
  </si>
  <si>
    <t>A.02.0779.009.P</t>
  </si>
  <si>
    <t>A.02.0779.009.M</t>
  </si>
  <si>
    <t>A.02.0779.009.G</t>
  </si>
  <si>
    <t>A.02.0779.009.GG</t>
  </si>
  <si>
    <t>A.02.0779.009.XG</t>
  </si>
  <si>
    <t>A.02.0781.011.M</t>
  </si>
  <si>
    <t>A.02.0781.011.G</t>
  </si>
  <si>
    <t>A.02.0781.011.GG</t>
  </si>
  <si>
    <t>A.02.0781.011.XG</t>
  </si>
  <si>
    <t>A.02.0712.005.PP</t>
  </si>
  <si>
    <t>A.02.0712.005.P</t>
  </si>
  <si>
    <t>A.02.0712.005.M</t>
  </si>
  <si>
    <t>A.02.0712.005.G</t>
  </si>
  <si>
    <t>A.02.0712.005.GG</t>
  </si>
  <si>
    <t>A.02.0712.005.XG</t>
  </si>
  <si>
    <t>A.02.0704.017.PP</t>
  </si>
  <si>
    <t>A.02.0704.017.P</t>
  </si>
  <si>
    <t>A.02.0704.017.M</t>
  </si>
  <si>
    <t>A.02.0704.017.G</t>
  </si>
  <si>
    <t>A.02.0704.017.GG</t>
  </si>
  <si>
    <t>A.02.0704.017.XG</t>
  </si>
  <si>
    <t>A.02.0699.003.PP</t>
  </si>
  <si>
    <t>A.02.0699.003.P</t>
  </si>
  <si>
    <t>A.02.0699.003.M</t>
  </si>
  <si>
    <t>A.02.0699.003.G</t>
  </si>
  <si>
    <t>A.02.0699.003.GG</t>
  </si>
  <si>
    <t>A.02.0699.003.XG</t>
  </si>
  <si>
    <t>A.02.0771.009.P</t>
  </si>
  <si>
    <t>A.02.0771.009.M</t>
  </si>
  <si>
    <t>A.02.0771.009.G</t>
  </si>
  <si>
    <t>A.02.0771.009.XG</t>
  </si>
  <si>
    <t>A.02.0767.003.P</t>
  </si>
  <si>
    <t>A.02.0767.003.M</t>
  </si>
  <si>
    <t>A.02.0767.003.G</t>
  </si>
  <si>
    <t>A.02.0767.003.GG</t>
  </si>
  <si>
    <t>A.02.0767.003.XG</t>
  </si>
  <si>
    <t>A.02.0769.011.P</t>
  </si>
  <si>
    <t>A.02.0769.011.M</t>
  </si>
  <si>
    <t>A.02.0769.011.G</t>
  </si>
  <si>
    <t>A.02.0777.001.G</t>
  </si>
  <si>
    <t>A.02.0777.001.GG</t>
  </si>
  <si>
    <t>A.02.0777.001.XG</t>
  </si>
  <si>
    <t>A.02.0643.001.P</t>
  </si>
  <si>
    <t>A.02.0643.001.M</t>
  </si>
  <si>
    <t>A.02.0643.001.G</t>
  </si>
  <si>
    <t>A.02.0643.001.GG</t>
  </si>
  <si>
    <t>A.03.0691.004.2</t>
  </si>
  <si>
    <t>A.03.0691.004.4</t>
  </si>
  <si>
    <t>A.03.0691.004.6</t>
  </si>
  <si>
    <t>A.03.0691.004.8</t>
  </si>
  <si>
    <t>A.03.0691.004.10</t>
  </si>
  <si>
    <t>A.03.0691.004.12</t>
  </si>
  <si>
    <t>A.03.0691.004.14</t>
  </si>
  <si>
    <t>A.03.0694.015.2</t>
  </si>
  <si>
    <t>A.03.0694.015.4</t>
  </si>
  <si>
    <t>A.03.0694.015.6</t>
  </si>
  <si>
    <t>A.03.0694.015.8</t>
  </si>
  <si>
    <t>A.03.0694.015.10</t>
  </si>
  <si>
    <t>A.03.0694.015.12</t>
  </si>
  <si>
    <t>A.03.0694.015.14</t>
  </si>
  <si>
    <t>A.02.0687.004.XG</t>
  </si>
  <si>
    <t>A.02.0687.004.PP</t>
  </si>
  <si>
    <t>A.02.0687.004.GG</t>
  </si>
  <si>
    <t>A.02.0687.004.G</t>
  </si>
  <si>
    <t>A.02.0687.004.P</t>
  </si>
  <si>
    <t>A.01.0646.005.G</t>
  </si>
  <si>
    <t>A.01.0648.004.GG</t>
  </si>
  <si>
    <t>A.01.0648.004.G</t>
  </si>
  <si>
    <t>A.02.0867.005.GG</t>
  </si>
  <si>
    <t>A.02.0699.005.PP</t>
  </si>
  <si>
    <t>A.02.0699.005.P</t>
  </si>
  <si>
    <t>A.02.0699.005.M</t>
  </si>
  <si>
    <t>A.02.0699.005.G</t>
  </si>
  <si>
    <t>A.02.0699.005.GG</t>
  </si>
  <si>
    <t>A.02.0699.005.XG</t>
  </si>
  <si>
    <t>A.02.0697.016.PP</t>
  </si>
  <si>
    <t>A.02.0697.016.P</t>
  </si>
  <si>
    <t>A.02.0697.016.M</t>
  </si>
  <si>
    <t>A.02.0697.016.G</t>
  </si>
  <si>
    <t>A.02.0697.016.GG</t>
  </si>
  <si>
    <t>A.02.0697.016.XG</t>
  </si>
  <si>
    <t>A.02.0689.013.P</t>
  </si>
  <si>
    <t>A.02.0689.013.G</t>
  </si>
  <si>
    <t>A.02.0689.013.GG</t>
  </si>
  <si>
    <t>A.02.0689.013.XG</t>
  </si>
  <si>
    <t>A.02.0595.005.G</t>
  </si>
  <si>
    <t>A.02.0595.005.XG</t>
  </si>
  <si>
    <t>A.01.0698.016.PP</t>
  </si>
  <si>
    <t>A.01.0698.016.P</t>
  </si>
  <si>
    <t>A.01.0698.016.XG</t>
  </si>
  <si>
    <t>A.01.0698.016.M</t>
  </si>
  <si>
    <t>A.02.0868.003.G</t>
  </si>
  <si>
    <t>A.02.0868.003.GG</t>
  </si>
  <si>
    <t>A.02.0868.005.G</t>
  </si>
  <si>
    <t>A.02.0868.005.GG</t>
  </si>
  <si>
    <t>A.02.0689.013.PP</t>
  </si>
  <si>
    <t>A.02.0689.013.M</t>
  </si>
  <si>
    <t>A.01.0720.005.PP</t>
  </si>
  <si>
    <t>A.01.0720.005.P</t>
  </si>
  <si>
    <t>A.01.0720.005.M</t>
  </si>
  <si>
    <t>A.01.0720.005.G</t>
  </si>
  <si>
    <t>A.01.0720.005.GG</t>
  </si>
  <si>
    <t>A.01.0720.005.XG</t>
  </si>
  <si>
    <t>A.02.0651.013.P</t>
  </si>
  <si>
    <t>A.02.0651.013.M</t>
  </si>
  <si>
    <t>A.02.0651.013.G</t>
  </si>
  <si>
    <t>A.02.0651.013.GG</t>
  </si>
  <si>
    <t>A.01.0690.004.PP</t>
  </si>
  <si>
    <t>A.01.0690.004.P</t>
  </si>
  <si>
    <t>A.01.0690.004.M</t>
  </si>
  <si>
    <t>A.01.0690.004.GG</t>
  </si>
  <si>
    <t>A.01.0690.004.XG</t>
  </si>
  <si>
    <t>A.01.0682.004.P</t>
  </si>
  <si>
    <t>A.01.0682.004.M</t>
  </si>
  <si>
    <t>A.01.0682.004.G</t>
  </si>
  <si>
    <t>A.01.0682.004.GG</t>
  </si>
  <si>
    <t>A.01.0680.004.P</t>
  </si>
  <si>
    <t>A.01.0680.004.GG</t>
  </si>
  <si>
    <t>A.01.0678.004.M</t>
  </si>
  <si>
    <t>A.01.0678.004.G</t>
  </si>
  <si>
    <t>A.01.0679.004.M</t>
  </si>
  <si>
    <t>A.01.0679.004.G</t>
  </si>
  <si>
    <t>A.01.0683.004.P</t>
  </si>
  <si>
    <t>A.01.0683.004.M</t>
  </si>
  <si>
    <t>A.01.0656.001.GG</t>
  </si>
  <si>
    <t>A.01.0655.005.G</t>
  </si>
  <si>
    <t>A.01.0655.005.GG</t>
  </si>
  <si>
    <t>A.01.0681.004.M</t>
  </si>
  <si>
    <t>A.01.0680.004.M</t>
  </si>
  <si>
    <t>A.01.0680.004.G</t>
  </si>
  <si>
    <t>D.0663.005.U</t>
  </si>
  <si>
    <t>H.0175.001.U</t>
  </si>
  <si>
    <t>H.0756.001.U</t>
  </si>
  <si>
    <t>H.0755.005.U</t>
  </si>
  <si>
    <t>C.0732.004.U</t>
  </si>
  <si>
    <t>C.0659.001.U</t>
  </si>
  <si>
    <t>J.0562.003.TECIDO</t>
  </si>
  <si>
    <t>J.0149.003.N3</t>
  </si>
  <si>
    <t>J.0149.003.N1</t>
  </si>
  <si>
    <t>MAT-001</t>
  </si>
  <si>
    <t>C.0638.051.U</t>
  </si>
  <si>
    <t>C.0578.001.U</t>
  </si>
  <si>
    <t>D.0789.001</t>
  </si>
  <si>
    <t>D.0613.001.U</t>
  </si>
  <si>
    <t>D.0744.001.U</t>
  </si>
  <si>
    <t>D.0613.003.U</t>
  </si>
  <si>
    <t>D.0613.005.U</t>
  </si>
  <si>
    <t>C.0511.002.U</t>
  </si>
  <si>
    <t>C.0511.004.U</t>
  </si>
  <si>
    <t>MAT-002</t>
  </si>
  <si>
    <t>C.0785.002.U</t>
  </si>
  <si>
    <t>D.0611.005.U</t>
  </si>
  <si>
    <t>D.0662.005.U</t>
  </si>
  <si>
    <t>C.0612.002.U</t>
  </si>
  <si>
    <t>C.0740.004</t>
  </si>
  <si>
    <t>B.0001.003.U</t>
  </si>
  <si>
    <t>D.0581.005.U</t>
  </si>
  <si>
    <t>B.0672.003.U</t>
  </si>
  <si>
    <t>B.0003.006.U</t>
  </si>
  <si>
    <t>B.0791.005.U</t>
  </si>
  <si>
    <t>B.0667.005.U</t>
  </si>
  <si>
    <t>B.0668.003.U</t>
  </si>
  <si>
    <t>B.0790.005.U</t>
  </si>
  <si>
    <t>C.0735.005.U</t>
  </si>
  <si>
    <t>B.0572.003.U</t>
  </si>
  <si>
    <t>B.0574.002.U</t>
  </si>
  <si>
    <t>C.0733.005.U</t>
  </si>
  <si>
    <t>B.0002.003.U</t>
  </si>
  <si>
    <t>B.0585.003.U</t>
  </si>
  <si>
    <t>B.0574.003.U</t>
  </si>
  <si>
    <t>B.0582.005.U</t>
  </si>
  <si>
    <t>A.01.0676.005.G</t>
  </si>
  <si>
    <t>J.0562.003.N6</t>
  </si>
  <si>
    <t>A.01.0220.003.P</t>
  </si>
  <si>
    <t>A.01.0220.003.M</t>
  </si>
  <si>
    <t>A.01.0220.003.G</t>
  </si>
  <si>
    <t>A.01.0220.003.GG</t>
  </si>
  <si>
    <t>A.01.0220.003.XG</t>
  </si>
  <si>
    <t>A.02.0213.005.P</t>
  </si>
  <si>
    <t>A.02.0213.005.M</t>
  </si>
  <si>
    <t>A.02.0213.005.GG</t>
  </si>
  <si>
    <t>A.01.0642.001.P</t>
  </si>
  <si>
    <t>A.01.0642.001.M</t>
  </si>
  <si>
    <t>A.01.0642.001.GG</t>
  </si>
  <si>
    <t>A.0509.004.U</t>
  </si>
  <si>
    <t>A.0660.003.U</t>
  </si>
  <si>
    <t>A.0509.005.U</t>
  </si>
  <si>
    <t>A.0509.002.U</t>
  </si>
  <si>
    <t>D.0513.002.U</t>
  </si>
  <si>
    <t>D.0148.001.U</t>
  </si>
  <si>
    <t>H.0109.009.U</t>
  </si>
  <si>
    <t>A.02.0752.001.PP</t>
  </si>
  <si>
    <t>A.02.0752.001.P</t>
  </si>
  <si>
    <t>A.02.0752.001.M</t>
  </si>
  <si>
    <t>A.02.0752.001.G</t>
  </si>
  <si>
    <t>A.02.0752.001.GG</t>
  </si>
  <si>
    <t>A.02.0751.001.P</t>
  </si>
  <si>
    <t>A.02.0751.001.M</t>
  </si>
  <si>
    <t>A.02.0751.001.G</t>
  </si>
  <si>
    <t>A.02.0751.001.GG</t>
  </si>
  <si>
    <t>B.0545.001.U</t>
  </si>
  <si>
    <t>A.0729.002</t>
  </si>
  <si>
    <t>A.0216.002.P</t>
  </si>
  <si>
    <t>A.0216.002.M</t>
  </si>
  <si>
    <t>A.0216.002.G</t>
  </si>
  <si>
    <t>B.0730.005.U</t>
  </si>
  <si>
    <t>D.0632.002.U</t>
  </si>
  <si>
    <t>C.0520.002.U</t>
  </si>
  <si>
    <t>A.0582.001.U</t>
  </si>
  <si>
    <t>B.0600.003.U</t>
  </si>
  <si>
    <t>A.05.0743.001.U</t>
  </si>
  <si>
    <t>A.05.0635.005.U</t>
  </si>
  <si>
    <t>A.05.0633.004.U</t>
  </si>
  <si>
    <t>C.05.0742.013.U</t>
  </si>
  <si>
    <t>C.0612.005.U</t>
  </si>
  <si>
    <t>C.0739.002</t>
  </si>
  <si>
    <t>B.0721.008.U</t>
  </si>
  <si>
    <t>C.0734.003.U</t>
  </si>
  <si>
    <t>D.0661.005.U</t>
  </si>
  <si>
    <t>A.02.0783.001.P</t>
  </si>
  <si>
    <t>A.02.0783.001.M</t>
  </si>
  <si>
    <t>A.02.0783.001.G</t>
  </si>
  <si>
    <t>A.02.0783.001.GG</t>
  </si>
  <si>
    <t>A.02.0783.001.XG</t>
  </si>
  <si>
    <t>A.02.0215.003.P</t>
  </si>
  <si>
    <t>A.02.0215.003.M</t>
  </si>
  <si>
    <t>A.02.0215.003.G</t>
  </si>
  <si>
    <t>A.02.0215.003.GG</t>
  </si>
  <si>
    <t>A.02.0215.003.XG</t>
  </si>
  <si>
    <t>A.02.0213.005.G</t>
  </si>
  <si>
    <t>A.02.0213.005.XG</t>
  </si>
  <si>
    <t>B.0721.002.U</t>
  </si>
  <si>
    <t>B.0567.005.U</t>
  </si>
  <si>
    <t>C.0741.013.U</t>
  </si>
  <si>
    <t>B.0197.004.U</t>
  </si>
  <si>
    <t>B.0505.005.U</t>
  </si>
  <si>
    <t>B.0503.005.U</t>
  </si>
  <si>
    <t>B.0621.002.U</t>
  </si>
  <si>
    <t>B.0620.005.U</t>
  </si>
  <si>
    <t>MAT-003</t>
  </si>
  <si>
    <t>MAT-004</t>
  </si>
  <si>
    <t>MAT-005</t>
  </si>
  <si>
    <t>MAT-006</t>
  </si>
  <si>
    <t>MAT-007</t>
  </si>
  <si>
    <t>MAT-008</t>
  </si>
  <si>
    <t>MAT-009</t>
  </si>
  <si>
    <t>A.02.0750.001.P</t>
  </si>
  <si>
    <t>A.02.0750.001.M</t>
  </si>
  <si>
    <t>A.02.0750.001.G</t>
  </si>
  <si>
    <t>A.02.0750.001.GG</t>
  </si>
  <si>
    <t>D.0736.002.U</t>
  </si>
  <si>
    <t>MAT-010</t>
  </si>
  <si>
    <t>MAT-011</t>
  </si>
  <si>
    <t>MAT-012</t>
  </si>
  <si>
    <t>MAT-013</t>
  </si>
  <si>
    <t>MAT-014</t>
  </si>
  <si>
    <t>MAT-015</t>
  </si>
  <si>
    <t>MAT-016</t>
  </si>
  <si>
    <t>MAT-017</t>
  </si>
  <si>
    <t>MAT-018</t>
  </si>
  <si>
    <t>MAT-019</t>
  </si>
  <si>
    <t>A.02.0714.013.M</t>
  </si>
  <si>
    <t>A.02.0714.013.G</t>
  </si>
  <si>
    <t>A.02.0714.013.GG</t>
  </si>
  <si>
    <t>A.02.0714.013.XG</t>
  </si>
  <si>
    <t>A.01.0715.013.GG</t>
  </si>
  <si>
    <t>A.01.0715.013.XG</t>
  </si>
  <si>
    <t>A.02.0716.005.PP</t>
  </si>
  <si>
    <t>A.02.0716.005.M</t>
  </si>
  <si>
    <t>A.02.0716.005.G</t>
  </si>
  <si>
    <t>A.02.0716.005.GG</t>
  </si>
  <si>
    <t>A.01.0594.005.PP</t>
  </si>
  <si>
    <t>A.01.0594.005.M</t>
  </si>
  <si>
    <t>A.02.0650.005.G</t>
  </si>
  <si>
    <t>A.02.0650.005.GG</t>
  </si>
  <si>
    <t>A.02.0649.003.G</t>
  </si>
  <si>
    <t>A.01.0681.004.P</t>
  </si>
  <si>
    <t>A.01.0219.004.P</t>
  </si>
  <si>
    <t>A.01.0219.004.M</t>
  </si>
  <si>
    <t>A.01.0219.004.G</t>
  </si>
  <si>
    <t>A.01.0219.004.GG</t>
  </si>
  <si>
    <t>A.01.0532.002.G</t>
  </si>
  <si>
    <t>A.01.0533.004.G</t>
  </si>
  <si>
    <t>A.01.0533.004.GG</t>
  </si>
  <si>
    <t>A.01.0531.005.G</t>
  </si>
  <si>
    <t>A.01.0531.005.GG</t>
  </si>
  <si>
    <t>A.01.0647.001.GG</t>
  </si>
  <si>
    <t>A.01.0594.005.P</t>
  </si>
  <si>
    <t>A.01.0218.005.P</t>
  </si>
  <si>
    <t>A.02.0595.005.PP</t>
  </si>
  <si>
    <t>A.02.0595.005.P</t>
  </si>
  <si>
    <t>A.01.0218.005.M</t>
  </si>
  <si>
    <t>A.01.0218.005.G</t>
  </si>
  <si>
    <t>A.01.0715.013.P</t>
  </si>
  <si>
    <t>A.01.0715.013.M</t>
  </si>
  <si>
    <t>A.01.0594.005.GG</t>
  </si>
  <si>
    <t>A.01.0594.005.XG</t>
  </si>
  <si>
    <t>A.01.0693.015.M</t>
  </si>
  <si>
    <t>A.01.0693.015.PP</t>
  </si>
  <si>
    <t>A.01.0693.015.P</t>
  </si>
  <si>
    <t>A.01.0690.004.G</t>
  </si>
  <si>
    <t>A.02.0714.013.P</t>
  </si>
  <si>
    <t>A.02.0714.013.PP</t>
  </si>
  <si>
    <t>A.01.0688.004.M</t>
  </si>
  <si>
    <t>A.01.0688.004.XG</t>
  </si>
  <si>
    <t>A.01.0688.004.P</t>
  </si>
  <si>
    <t>A.01.0688.004.PP</t>
  </si>
  <si>
    <t>A.01.0114.004.P</t>
  </si>
  <si>
    <t>A.01.0114.004.M</t>
  </si>
  <si>
    <t>A.01.0114.004.G</t>
  </si>
  <si>
    <t>A.01.0114.004.GG</t>
  </si>
  <si>
    <t>A.01.0114.004.XG</t>
  </si>
  <si>
    <t>A.02.0738.003.M</t>
  </si>
  <si>
    <t>A.02.0738.003.G</t>
  </si>
  <si>
    <t>A.02.0738.003.GG</t>
  </si>
  <si>
    <t>A.02.0738.003.XG</t>
  </si>
  <si>
    <t>A.01.0115.003.P</t>
  </si>
  <si>
    <t>A.01.0115.003.M</t>
  </si>
  <si>
    <t>A.01.0728.005.P</t>
  </si>
  <si>
    <t>A.01.0728.005.M</t>
  </si>
  <si>
    <t>A.01.0728.005.GG</t>
  </si>
  <si>
    <t>A.01.0728.005.XG</t>
  </si>
  <si>
    <t>A.02.0728.005.P</t>
  </si>
  <si>
    <t>A.02.0728.005.M</t>
  </si>
  <si>
    <t>A.02.0728.005.G</t>
  </si>
  <si>
    <t>A.02.0728.005.GG</t>
  </si>
  <si>
    <t>A.01.0594.005.G</t>
  </si>
  <si>
    <t>MAT-020</t>
  </si>
  <si>
    <t>B.0581.002.U</t>
  </si>
  <si>
    <t>B.0670.003.U</t>
  </si>
  <si>
    <t>A.01.0656.001.XG</t>
  </si>
  <si>
    <t>A.01.0678.004.P</t>
  </si>
  <si>
    <t>A.02.0777.001.P</t>
  </si>
  <si>
    <t>A.02.0777.001.M</t>
  </si>
  <si>
    <t>A.02.0595.005.GG</t>
  </si>
  <si>
    <t>A.02.0595.005.M</t>
  </si>
  <si>
    <t>A.01.0709.004.Pp</t>
  </si>
  <si>
    <t>A.01.0804.002.P</t>
  </si>
  <si>
    <t>A.01.0804.002.M</t>
  </si>
  <si>
    <t>A.01.0804.002.G</t>
  </si>
  <si>
    <t>A.01.0804.002.GG</t>
  </si>
  <si>
    <t>A.01.0804.002.XG</t>
  </si>
  <si>
    <t>A.01.0803.005.P</t>
  </si>
  <si>
    <t>A.01.0803.005.M</t>
  </si>
  <si>
    <t>A.01.0803.005.G</t>
  </si>
  <si>
    <t>A.01.0803.005.GG</t>
  </si>
  <si>
    <t>A.01.0803.005.XG</t>
  </si>
  <si>
    <t>A.01.0807.002.PP</t>
  </si>
  <si>
    <t>A.01.0807.002.G</t>
  </si>
  <si>
    <t>A.01.0807.002.M</t>
  </si>
  <si>
    <t>A.01.0807.002.GG</t>
  </si>
  <si>
    <t>A.01.0816.005.XG</t>
  </si>
  <si>
    <t>A.01.0816.005.P</t>
  </si>
  <si>
    <t>A.01.0816.005.M</t>
  </si>
  <si>
    <t>A.01.0807.002.XG</t>
  </si>
  <si>
    <t>A.01.0807.002.XGG</t>
  </si>
  <si>
    <t>A.01.0807.002.P</t>
  </si>
  <si>
    <t>A.02.0816.005.G</t>
  </si>
  <si>
    <t>A.02.0816.005.GG</t>
  </si>
  <si>
    <t>A.02.0816.005.XG</t>
  </si>
  <si>
    <t>A.01.0816.005.GG</t>
  </si>
  <si>
    <t>A.01.0816.005.XGG</t>
  </si>
  <si>
    <t>A.02.0816.005.P</t>
  </si>
  <si>
    <t>A.02.0816.005.M</t>
  </si>
  <si>
    <t>A.02.0816.005.PP</t>
  </si>
  <si>
    <t>A.01.0794.002.M</t>
  </si>
  <si>
    <t>A.01.0794.002.GG</t>
  </si>
  <si>
    <t>A.01.0794.002.G</t>
  </si>
  <si>
    <t>A.01.0794.002.P</t>
  </si>
  <si>
    <t>A.01.0793.005.G</t>
  </si>
  <si>
    <t>A.01.0793.005.GG</t>
  </si>
  <si>
    <t>A.01.0793.005.P</t>
  </si>
  <si>
    <t>A.01.0793.005.M</t>
  </si>
  <si>
    <t>A.01.0796.004.GG</t>
  </si>
  <si>
    <t>A.01.0655.005.P</t>
  </si>
  <si>
    <t>A.01.0681.004.G</t>
  </si>
  <si>
    <t>A.01.0534.005.GG</t>
  </si>
  <si>
    <t>A.01.0534.005.M</t>
  </si>
  <si>
    <t>A.01.0796.004.P</t>
  </si>
  <si>
    <t>A.01.0796.004.M</t>
  </si>
  <si>
    <t>A.01.0531.005.P</t>
  </si>
  <si>
    <t>A.01.0531.005.M</t>
  </si>
  <si>
    <t>A.01.0798.002.P</t>
  </si>
  <si>
    <t>A.01.0798.002.M</t>
  </si>
  <si>
    <t>A.01.0535.002.P</t>
  </si>
  <si>
    <t>A.01.0535.002.M</t>
  </si>
  <si>
    <t>A.01.0535.002.G</t>
  </si>
  <si>
    <t>A.01.0535.002.GG</t>
  </si>
  <si>
    <t>A.01.0801.004.GG</t>
  </si>
  <si>
    <t>A.01.0536.004.M</t>
  </si>
  <si>
    <t>A.01.0536.004.G</t>
  </si>
  <si>
    <t>Sem etiqueta</t>
  </si>
  <si>
    <t>A.01.0534.005.P</t>
  </si>
  <si>
    <t>A.01.0800.002.M</t>
  </si>
  <si>
    <t>A.01.0800.002.G</t>
  </si>
  <si>
    <t>A.01.0800.002.GG</t>
  </si>
  <si>
    <t>A.01.0799.011.P</t>
  </si>
  <si>
    <t>A.01.0799.011.M</t>
  </si>
  <si>
    <t>A.01.0801.004.P</t>
  </si>
  <si>
    <t>A.01.0801.004.M</t>
  </si>
  <si>
    <t>A.01.0801.004.G</t>
  </si>
  <si>
    <t>A.01.0655.005.M</t>
  </si>
  <si>
    <t>A.01.0656.001.G</t>
  </si>
  <si>
    <t>A.01.0656.001.P</t>
  </si>
  <si>
    <t>A.01.0656.001.M</t>
  </si>
  <si>
    <t>A.01.0800.002.P</t>
  </si>
  <si>
    <t>A.01.0536.004.P</t>
  </si>
  <si>
    <t>A.01.0536.004.GG</t>
  </si>
  <si>
    <t>A.01.0802.004.G</t>
  </si>
  <si>
    <t>A.01.0802.004.GG</t>
  </si>
  <si>
    <t>A.01.0797.011.G</t>
  </si>
  <si>
    <t>A.01.0797.011.GG</t>
  </si>
  <si>
    <t>A.01.0795.001.GG</t>
  </si>
  <si>
    <t>A.01.0795.001.P</t>
  </si>
  <si>
    <t>A.01.0655.005.XG</t>
  </si>
  <si>
    <t>A.01.0797.011.P</t>
  </si>
  <si>
    <t>A.01.0797.011.M</t>
  </si>
  <si>
    <t>A.01.0799.011.G</t>
  </si>
  <si>
    <t>A.01.0799.011.GG</t>
  </si>
  <si>
    <t>A.01.0533.004.M</t>
  </si>
  <si>
    <t>A.01.0532.002.M</t>
  </si>
  <si>
    <t>A.01.0795.001.M</t>
  </si>
  <si>
    <t>A.01.0806.005.GG</t>
  </si>
  <si>
    <t>A.01.0806.005. PP</t>
  </si>
  <si>
    <t>A.01.0806.005.M</t>
  </si>
  <si>
    <t>A.01.0806.005.G</t>
  </si>
  <si>
    <t>A.01.0806.005.XGG</t>
  </si>
  <si>
    <t>A.01.0806.005.P</t>
  </si>
  <si>
    <t>A.01.0806.005.XG</t>
  </si>
  <si>
    <t>A.02.0806.005.G</t>
  </si>
  <si>
    <t>A.02.0806.005.P</t>
  </si>
  <si>
    <t>A.02.0806.005.PP</t>
  </si>
  <si>
    <t>A.02.0806.005.GG</t>
  </si>
  <si>
    <t>A.02.0806.005.XG</t>
  </si>
  <si>
    <t>A.02.0806.005.M</t>
  </si>
  <si>
    <t>A.02.0807.002.P</t>
  </si>
  <si>
    <t>A.02.0807.002.PP</t>
  </si>
  <si>
    <t>A.02.0807.002.XG</t>
  </si>
  <si>
    <t>A.02.0807.002.GG</t>
  </si>
  <si>
    <t>A.02.0807.002.G</t>
  </si>
  <si>
    <t>A.02.0807.002.M</t>
  </si>
  <si>
    <t>A.01.0809.002.M</t>
  </si>
  <si>
    <t>A.01.0809.002.G</t>
  </si>
  <si>
    <t>A.01.0809.002.GG</t>
  </si>
  <si>
    <t>A.01.0809.002.XG</t>
  </si>
  <si>
    <t>A.01.0809.002.PP</t>
  </si>
  <si>
    <t>A.01.0809.002.P</t>
  </si>
  <si>
    <t xml:space="preserve">  BTG PACTUAL · SKUs (OPERACIONAL) · 1 linha por caixa física</t>
  </si>
  <si>
    <t>CÓD. BTG</t>
  </si>
  <si>
    <t>PREÇO CUSTO</t>
  </si>
  <si>
    <t>ESTOQUE ATUAL</t>
  </si>
  <si>
    <t>ESTADO</t>
  </si>
  <si>
    <t>RUA</t>
  </si>
  <si>
    <t>PRATELEIRA</t>
  </si>
  <si>
    <t>CAIXA</t>
  </si>
  <si>
    <t>ENDEREÇO</t>
  </si>
  <si>
    <t>aux 1ªRuaPrat</t>
  </si>
  <si>
    <t>aux 1ªRuaCaixa</t>
  </si>
  <si>
    <t>aux 1ªCaixa</t>
  </si>
  <si>
    <t>aux rankBusca</t>
  </si>
  <si>
    <t>BTG-001</t>
  </si>
  <si>
    <t>Eventos</t>
  </si>
  <si>
    <t>POLO</t>
  </si>
  <si>
    <t>POLO COPA MASC.</t>
  </si>
  <si>
    <t>AZUL</t>
  </si>
  <si>
    <t>G</t>
  </si>
  <si>
    <t>✅ Ótimo</t>
  </si>
  <si>
    <t>A</t>
  </si>
  <si>
    <t>1</t>
  </si>
  <si>
    <t>C-01</t>
  </si>
  <si>
    <t>BTG-002</t>
  </si>
  <si>
    <t>M</t>
  </si>
  <si>
    <t>BTG-003</t>
  </si>
  <si>
    <t>XG</t>
  </si>
  <si>
    <t>C-02</t>
  </si>
  <si>
    <t>BTG-004</t>
  </si>
  <si>
    <t>P</t>
  </si>
  <si>
    <t>BTG-005</t>
  </si>
  <si>
    <t>GG</t>
  </si>
  <si>
    <t>BTG-006</t>
  </si>
  <si>
    <t>CAMISETA</t>
  </si>
  <si>
    <t>CAMISETA COPA MASC.</t>
  </si>
  <si>
    <t>C-03</t>
  </si>
  <si>
    <t>BTG-007</t>
  </si>
  <si>
    <t>BTG-008</t>
  </si>
  <si>
    <t>BTG-009</t>
  </si>
  <si>
    <t>BTG-010</t>
  </si>
  <si>
    <t>BTG-011</t>
  </si>
  <si>
    <t>4G</t>
  </si>
  <si>
    <t>BTG-012</t>
  </si>
  <si>
    <t>AMARELA</t>
  </si>
  <si>
    <t>C-04</t>
  </si>
  <si>
    <t>BTG-013</t>
  </si>
  <si>
    <t>BTG-014</t>
  </si>
  <si>
    <t>BTG-015</t>
  </si>
  <si>
    <t>BTG-016</t>
  </si>
  <si>
    <t>BTG-017</t>
  </si>
  <si>
    <t>BTG-018</t>
  </si>
  <si>
    <t>ESPORTE</t>
  </si>
  <si>
    <t>C-05</t>
  </si>
  <si>
    <t>BTG-019</t>
  </si>
  <si>
    <t>BTG-020</t>
  </si>
  <si>
    <t>BTG-021</t>
  </si>
  <si>
    <t>BTG-022</t>
  </si>
  <si>
    <t>BTG-023</t>
  </si>
  <si>
    <t>JAQUETA</t>
  </si>
  <si>
    <t>JAQUETA COPA MASC.</t>
  </si>
  <si>
    <t>C-06</t>
  </si>
  <si>
    <t>BTG-024</t>
  </si>
  <si>
    <t>BTG-025</t>
  </si>
  <si>
    <t>C-07</t>
  </si>
  <si>
    <t>BTG-026</t>
  </si>
  <si>
    <t>BTG-027</t>
  </si>
  <si>
    <t>C-08</t>
  </si>
  <si>
    <t>BTG-028</t>
  </si>
  <si>
    <t>VERDE</t>
  </si>
  <si>
    <t>C-09</t>
  </si>
  <si>
    <t>BTG-029</t>
  </si>
  <si>
    <t>BTG-030</t>
  </si>
  <si>
    <t>C-10</t>
  </si>
  <si>
    <t>BTG-031</t>
  </si>
  <si>
    <t>BTG-032</t>
  </si>
  <si>
    <t>C-11</t>
  </si>
  <si>
    <t>BTG-033</t>
  </si>
  <si>
    <t>C-12</t>
  </si>
  <si>
    <t>BTG-034</t>
  </si>
  <si>
    <t>BTG-035</t>
  </si>
  <si>
    <t>C-13</t>
  </si>
  <si>
    <t>BTG-036</t>
  </si>
  <si>
    <t>BTG-037</t>
  </si>
  <si>
    <t>BTG-038</t>
  </si>
  <si>
    <t xml:space="preserve"> BRANCA</t>
  </si>
  <si>
    <t>C-14</t>
  </si>
  <si>
    <t>BTG-039</t>
  </si>
  <si>
    <t>BRANCA</t>
  </si>
  <si>
    <t>C-15</t>
  </si>
  <si>
    <t>BTG-040</t>
  </si>
  <si>
    <t>BTG-041</t>
  </si>
  <si>
    <t>BTG-042</t>
  </si>
  <si>
    <t>BTG-043</t>
  </si>
  <si>
    <t>5</t>
  </si>
  <si>
    <t>C-16</t>
  </si>
  <si>
    <t>6</t>
  </si>
  <si>
    <t>C-37</t>
  </si>
  <si>
    <t>BTG-044</t>
  </si>
  <si>
    <t>BTG-045</t>
  </si>
  <si>
    <t>BTG-046</t>
  </si>
  <si>
    <t>BTG-047</t>
  </si>
  <si>
    <t>BTG-048</t>
  </si>
  <si>
    <t>BTG-049</t>
  </si>
  <si>
    <t>POLO PIQUET MASC.</t>
  </si>
  <si>
    <t>CINZA</t>
  </si>
  <si>
    <t>PP</t>
  </si>
  <si>
    <t>C-17</t>
  </si>
  <si>
    <t>BTG-050</t>
  </si>
  <si>
    <t>C-18</t>
  </si>
  <si>
    <t>BTG-051</t>
  </si>
  <si>
    <t>BTG-052</t>
  </si>
  <si>
    <t>BTG-053</t>
  </si>
  <si>
    <t>BTG-054</t>
  </si>
  <si>
    <t>BTG-055</t>
  </si>
  <si>
    <t>MARINHO-RISCOS</t>
  </si>
  <si>
    <t>C-19</t>
  </si>
  <si>
    <t>BTG-056</t>
  </si>
  <si>
    <t>BTG-057</t>
  </si>
  <si>
    <t>BTG-058</t>
  </si>
  <si>
    <t>BTG-059</t>
  </si>
  <si>
    <t>BTG-060</t>
  </si>
  <si>
    <t>BTG-061</t>
  </si>
  <si>
    <t>C-20</t>
  </si>
  <si>
    <t>BTG-062</t>
  </si>
  <si>
    <t>BTG-063</t>
  </si>
  <si>
    <t>BTG-064</t>
  </si>
  <si>
    <t>BTG-065</t>
  </si>
  <si>
    <t>BTG-066</t>
  </si>
  <si>
    <t>BTG-067</t>
  </si>
  <si>
    <t>INDIGO</t>
  </si>
  <si>
    <t xml:space="preserve">C-21 </t>
  </si>
  <si>
    <t>BTG-068</t>
  </si>
  <si>
    <t>BTG-069</t>
  </si>
  <si>
    <t>BTG-070</t>
  </si>
  <si>
    <t>BTG-071</t>
  </si>
  <si>
    <t>BTG-072</t>
  </si>
  <si>
    <t>BTG-073</t>
  </si>
  <si>
    <t>POLO PIMA MASC.</t>
  </si>
  <si>
    <t>MESCLA - AZUL</t>
  </si>
  <si>
    <t>C-22</t>
  </si>
  <si>
    <t>BTG-074</t>
  </si>
  <si>
    <t>BTG-075</t>
  </si>
  <si>
    <t>BTG-076</t>
  </si>
  <si>
    <t>BTG-077</t>
  </si>
  <si>
    <t>BTG-078</t>
  </si>
  <si>
    <t>BTG-079</t>
  </si>
  <si>
    <t>POLO COTTON MASC.</t>
  </si>
  <si>
    <t>PRETA</t>
  </si>
  <si>
    <t>C-23</t>
  </si>
  <si>
    <t>BTG-080</t>
  </si>
  <si>
    <t>C-24</t>
  </si>
  <si>
    <t>BTG-081</t>
  </si>
  <si>
    <t>BTG-082</t>
  </si>
  <si>
    <t>BTG-083</t>
  </si>
  <si>
    <t>BTG-084</t>
  </si>
  <si>
    <t>BTG-085</t>
  </si>
  <si>
    <t>9</t>
  </si>
  <si>
    <t>C-25</t>
  </si>
  <si>
    <t>BTG-086</t>
  </si>
  <si>
    <t>BTG-087</t>
  </si>
  <si>
    <t>BTG-088</t>
  </si>
  <si>
    <t>BTG-089</t>
  </si>
  <si>
    <t>BTG-090</t>
  </si>
  <si>
    <t>BTG-091</t>
  </si>
  <si>
    <t>C-26</t>
  </si>
  <si>
    <t>BTG-092</t>
  </si>
  <si>
    <t>BTG-093</t>
  </si>
  <si>
    <t>BTG-094</t>
  </si>
  <si>
    <t>BTG-095</t>
  </si>
  <si>
    <t>BTG-096</t>
  </si>
  <si>
    <t>BTG-097</t>
  </si>
  <si>
    <t>POLO PIQUET FEM.</t>
  </si>
  <si>
    <t>C-27</t>
  </si>
  <si>
    <t>BTG-098</t>
  </si>
  <si>
    <t>BTG-099</t>
  </si>
  <si>
    <t>BTG-100</t>
  </si>
  <si>
    <t>BTG-101</t>
  </si>
  <si>
    <t>BTG-102</t>
  </si>
  <si>
    <t>BTG-103</t>
  </si>
  <si>
    <t>POLO PIMA FEM.</t>
  </si>
  <si>
    <t>C-28</t>
  </si>
  <si>
    <t>BTG-104</t>
  </si>
  <si>
    <t>BTG-105</t>
  </si>
  <si>
    <t>BTG-106</t>
  </si>
  <si>
    <t>BTG-107</t>
  </si>
  <si>
    <t>BTG-108</t>
  </si>
  <si>
    <t>BTG-109</t>
  </si>
  <si>
    <t>CAMISETA CICLISMO UNISSEX</t>
  </si>
  <si>
    <t>C-29</t>
  </si>
  <si>
    <t>BTG-110</t>
  </si>
  <si>
    <t>BTG-111</t>
  </si>
  <si>
    <t>BTG-112</t>
  </si>
  <si>
    <t>BTG-113</t>
  </si>
  <si>
    <t>BTG-114</t>
  </si>
  <si>
    <t>3G</t>
  </si>
  <si>
    <t>BTG-115</t>
  </si>
  <si>
    <t>BTG-116</t>
  </si>
  <si>
    <t>BTG-117</t>
  </si>
  <si>
    <t>BTG-118</t>
  </si>
  <si>
    <t>BTG-119</t>
  </si>
  <si>
    <t>BTG-120</t>
  </si>
  <si>
    <t>BTG-121</t>
  </si>
  <si>
    <t>CAMISETA COPA FEM.</t>
  </si>
  <si>
    <t>C-30</t>
  </si>
  <si>
    <t>BTG-122</t>
  </si>
  <si>
    <t>BTG-123</t>
  </si>
  <si>
    <t>BTG-124</t>
  </si>
  <si>
    <t>BTG-125</t>
  </si>
  <si>
    <t>BTG-126</t>
  </si>
  <si>
    <t>C-31</t>
  </si>
  <si>
    <t>BTG-127</t>
  </si>
  <si>
    <t>BTG-128</t>
  </si>
  <si>
    <t>BTG-129</t>
  </si>
  <si>
    <t>BTG-130</t>
  </si>
  <si>
    <t>BTG-131</t>
  </si>
  <si>
    <t>BTG-132</t>
  </si>
  <si>
    <t>JAQUETA CAPUZ EMBUTIDO</t>
  </si>
  <si>
    <t>C-32</t>
  </si>
  <si>
    <t>BTG-133</t>
  </si>
  <si>
    <t>BTG-134</t>
  </si>
  <si>
    <t>JAQUETA COPA FEM.</t>
  </si>
  <si>
    <t>C-33</t>
  </si>
  <si>
    <t>BTG-135</t>
  </si>
  <si>
    <t>BTG-136</t>
  </si>
  <si>
    <t>BTG-137</t>
  </si>
  <si>
    <t>BTG-138</t>
  </si>
  <si>
    <t>BTG-139</t>
  </si>
  <si>
    <t>C-34</t>
  </si>
  <si>
    <t>C-44</t>
  </si>
  <si>
    <t>BTG-140</t>
  </si>
  <si>
    <t>BTG-141</t>
  </si>
  <si>
    <t>C-35</t>
  </si>
  <si>
    <t>BTG-142</t>
  </si>
  <si>
    <t>BTG-143</t>
  </si>
  <si>
    <t>BTG-144</t>
  </si>
  <si>
    <t>BTG-145</t>
  </si>
  <si>
    <t>BTG-146</t>
  </si>
  <si>
    <t>BTG-147</t>
  </si>
  <si>
    <t>C-36</t>
  </si>
  <si>
    <t>BTG-148</t>
  </si>
  <si>
    <t>BTG-149</t>
  </si>
  <si>
    <t>BTG-150</t>
  </si>
  <si>
    <t>BTG-151</t>
  </si>
  <si>
    <t>BTG-152</t>
  </si>
  <si>
    <t>BTG-153</t>
  </si>
  <si>
    <t>BTG-154</t>
  </si>
  <si>
    <t>BTG-155</t>
  </si>
  <si>
    <t>BTG-156</t>
  </si>
  <si>
    <t>BTG-157</t>
  </si>
  <si>
    <t>BTG-158</t>
  </si>
  <si>
    <t>BTG-159</t>
  </si>
  <si>
    <t>BTG-160</t>
  </si>
  <si>
    <t>BTG-161</t>
  </si>
  <si>
    <t>BTG-162</t>
  </si>
  <si>
    <t>POLO BTG EM COTTON</t>
  </si>
  <si>
    <t>C-38</t>
  </si>
  <si>
    <t>BTG-163</t>
  </si>
  <si>
    <t>BTG-164</t>
  </si>
  <si>
    <t>BTG-165</t>
  </si>
  <si>
    <t>BTG-166</t>
  </si>
  <si>
    <t>BTG-167</t>
  </si>
  <si>
    <t>BTG-168</t>
  </si>
  <si>
    <t>C-39</t>
  </si>
  <si>
    <t>BTG-169</t>
  </si>
  <si>
    <t>BTG-170</t>
  </si>
  <si>
    <t>BTG-171</t>
  </si>
  <si>
    <t>BTG-172</t>
  </si>
  <si>
    <t>BTG-173</t>
  </si>
  <si>
    <t>BTG-174</t>
  </si>
  <si>
    <t>POLO BATA FEM.</t>
  </si>
  <si>
    <t>C-40</t>
  </si>
  <si>
    <t>BTG-175</t>
  </si>
  <si>
    <t>BTG-176</t>
  </si>
  <si>
    <t>BTG-177</t>
  </si>
  <si>
    <t>BTG-178</t>
  </si>
  <si>
    <t>BTG-179</t>
  </si>
  <si>
    <t>BTG-180</t>
  </si>
  <si>
    <t>C-41</t>
  </si>
  <si>
    <t>BTG-181</t>
  </si>
  <si>
    <t>BTG-182</t>
  </si>
  <si>
    <t>BTG-183</t>
  </si>
  <si>
    <t>BTG-184</t>
  </si>
  <si>
    <t>C-42</t>
  </si>
  <si>
    <t>BTG-185</t>
  </si>
  <si>
    <t>BTG-186</t>
  </si>
  <si>
    <t>BTG-187</t>
  </si>
  <si>
    <t>BTG-188</t>
  </si>
  <si>
    <t>C-43</t>
  </si>
  <si>
    <t>BTG-189</t>
  </si>
  <si>
    <t>BTG-190</t>
  </si>
  <si>
    <t>BTG-191</t>
  </si>
  <si>
    <t>BTG-192</t>
  </si>
  <si>
    <t>C-45</t>
  </si>
  <si>
    <t>BTG-193</t>
  </si>
  <si>
    <t>BTG-194</t>
  </si>
  <si>
    <t>BTG-195</t>
  </si>
  <si>
    <t>BTG-196</t>
  </si>
  <si>
    <t>BTG-197</t>
  </si>
  <si>
    <t>CAMISETA ESPORTE FEM.</t>
  </si>
  <si>
    <t>AZUL CLARO</t>
  </si>
  <si>
    <t>BTG-198</t>
  </si>
  <si>
    <t>BTG-199</t>
  </si>
  <si>
    <t>BTG-200</t>
  </si>
  <si>
    <t>BTG-201</t>
  </si>
  <si>
    <t>POLO PIQUET OUT. ROSA INFANTIL</t>
  </si>
  <si>
    <t>ROSA</t>
  </si>
  <si>
    <t>C-209</t>
  </si>
  <si>
    <t>BTG-202</t>
  </si>
  <si>
    <t>C-46</t>
  </si>
  <si>
    <t>BTG-203</t>
  </si>
  <si>
    <t>BTG-204</t>
  </si>
  <si>
    <t>BTG-205</t>
  </si>
  <si>
    <t>BTG-206</t>
  </si>
  <si>
    <t>BTG-207</t>
  </si>
  <si>
    <t>BTG-208</t>
  </si>
  <si>
    <t>POLO PIQUET MESCLA INFANTIL</t>
  </si>
  <si>
    <t>C-47</t>
  </si>
  <si>
    <t>BTG-209</t>
  </si>
  <si>
    <t>BTG-210</t>
  </si>
  <si>
    <t>BTG-211</t>
  </si>
  <si>
    <t>BTG-212</t>
  </si>
  <si>
    <t>BTG-213</t>
  </si>
  <si>
    <t>BTG-214</t>
  </si>
  <si>
    <t>BTG-215</t>
  </si>
  <si>
    <t>POLO PIQUET CINZA-RISCOS FEM.</t>
  </si>
  <si>
    <t>BTG-216</t>
  </si>
  <si>
    <t>BTG-217</t>
  </si>
  <si>
    <t>BTG-218</t>
  </si>
  <si>
    <t>C-50</t>
  </si>
  <si>
    <t>BTG-219</t>
  </si>
  <si>
    <t>BTG-220</t>
  </si>
  <si>
    <t>TRICO</t>
  </si>
  <si>
    <t>TRICO BASICO GOLA CARECA</t>
  </si>
  <si>
    <t>C-48</t>
  </si>
  <si>
    <t>BTG-221</t>
  </si>
  <si>
    <t>BTG-222</t>
  </si>
  <si>
    <t>BTG-223</t>
  </si>
  <si>
    <t>TRICO ZIPER FEM.</t>
  </si>
  <si>
    <t>BTG-224</t>
  </si>
  <si>
    <t>BTG-225</t>
  </si>
  <si>
    <t>BTG-226</t>
  </si>
  <si>
    <t>BTG-227</t>
  </si>
  <si>
    <t>BTG-228</t>
  </si>
  <si>
    <t>BTG-229</t>
  </si>
  <si>
    <t>BTG-230</t>
  </si>
  <si>
    <t>MESCLA BLACK</t>
  </si>
  <si>
    <t>C-58</t>
  </si>
  <si>
    <t>BTG-231</t>
  </si>
  <si>
    <t>BTG-232</t>
  </si>
  <si>
    <t>BTG-233</t>
  </si>
  <si>
    <t>BTG-234</t>
  </si>
  <si>
    <t>BTG-235</t>
  </si>
  <si>
    <t>BTG-236</t>
  </si>
  <si>
    <t>POLO PIQUET OUT. ROSA FEM.</t>
  </si>
  <si>
    <t>PALLET</t>
  </si>
  <si>
    <t>BTG-237</t>
  </si>
  <si>
    <t>C-53</t>
  </si>
  <si>
    <t>BTG-238</t>
  </si>
  <si>
    <t>C-56</t>
  </si>
  <si>
    <t>BTG-239</t>
  </si>
  <si>
    <t>BTG-240</t>
  </si>
  <si>
    <t>POLO BASICA FEM.</t>
  </si>
  <si>
    <t>C-49</t>
  </si>
  <si>
    <t>BTG-241</t>
  </si>
  <si>
    <t>BTG-242</t>
  </si>
  <si>
    <t>C-51</t>
  </si>
  <si>
    <t>BTG-243</t>
  </si>
  <si>
    <t>BTG-244</t>
  </si>
  <si>
    <t>BTG-245</t>
  </si>
  <si>
    <t>BTG-246</t>
  </si>
  <si>
    <t>TRICO GOLA CARECA FEM.</t>
  </si>
  <si>
    <t>C-52</t>
  </si>
  <si>
    <t>BTG-247</t>
  </si>
  <si>
    <t>BTG-248</t>
  </si>
  <si>
    <t>BTG-249</t>
  </si>
  <si>
    <t>BTG-250</t>
  </si>
  <si>
    <t>BTG-251</t>
  </si>
  <si>
    <t>BTG-252</t>
  </si>
  <si>
    <t>POLO GOLA PADRE MASC.</t>
  </si>
  <si>
    <t>C-54</t>
  </si>
  <si>
    <t>BTG-253</t>
  </si>
  <si>
    <t>BTG-254</t>
  </si>
  <si>
    <t>BTG-255</t>
  </si>
  <si>
    <t>BTG-256</t>
  </si>
  <si>
    <t>BTG-257</t>
  </si>
  <si>
    <t>BTG-258</t>
  </si>
  <si>
    <t>JAQUETA CAPUZ OUT. ROSA</t>
  </si>
  <si>
    <t>C-55</t>
  </si>
  <si>
    <t>BTG-259</t>
  </si>
  <si>
    <t>BTG-260</t>
  </si>
  <si>
    <t>BTG-261</t>
  </si>
  <si>
    <t>BTG-262</t>
  </si>
  <si>
    <t>POLO PIQUET OUT. ROSA MASC.</t>
  </si>
  <si>
    <t>C-57</t>
  </si>
  <si>
    <t>BTG-263</t>
  </si>
  <si>
    <t>BTG-264</t>
  </si>
  <si>
    <t>BTG-265</t>
  </si>
  <si>
    <t>BTG-266</t>
  </si>
  <si>
    <t>BTG-267</t>
  </si>
  <si>
    <t>C-59</t>
  </si>
  <si>
    <t>BTG-268</t>
  </si>
  <si>
    <t>BTG-269</t>
  </si>
  <si>
    <t>BTG-270</t>
  </si>
  <si>
    <t>BTG-271</t>
  </si>
  <si>
    <t>JAQUETA BOMBER</t>
  </si>
  <si>
    <t>C-60</t>
  </si>
  <si>
    <t>BTG-272</t>
  </si>
  <si>
    <t>BTG-273</t>
  </si>
  <si>
    <t>JAQUETA NYLON LEVE</t>
  </si>
  <si>
    <t>C-61</t>
  </si>
  <si>
    <t>BTG-274</t>
  </si>
  <si>
    <t>BTG-275</t>
  </si>
  <si>
    <t>BTG-276</t>
  </si>
  <si>
    <t>BTG-277</t>
  </si>
  <si>
    <t>C-62</t>
  </si>
  <si>
    <t>C-64</t>
  </si>
  <si>
    <t>BTG-278</t>
  </si>
  <si>
    <t>C-87</t>
  </si>
  <si>
    <t>BTG-279</t>
  </si>
  <si>
    <t>BTG-280</t>
  </si>
  <si>
    <t>BTG-281</t>
  </si>
  <si>
    <t>JAQUETA PUFFER CAPUZ</t>
  </si>
  <si>
    <t>C-63</t>
  </si>
  <si>
    <t>BTG-282</t>
  </si>
  <si>
    <t>PRETO</t>
  </si>
  <si>
    <t>C-65</t>
  </si>
  <si>
    <t>BTG-283</t>
  </si>
  <si>
    <t>BTG-284</t>
  </si>
  <si>
    <t>MARINHO</t>
  </si>
  <si>
    <t>C-66</t>
  </si>
  <si>
    <t>BTG-285</t>
  </si>
  <si>
    <t>BTG-286</t>
  </si>
  <si>
    <t>BTG-287</t>
  </si>
  <si>
    <t>BTG-288</t>
  </si>
  <si>
    <t>BOLSA</t>
  </si>
  <si>
    <t>BOLSA LONG</t>
  </si>
  <si>
    <t>UNICO</t>
  </si>
  <si>
    <t>C-67</t>
  </si>
  <si>
    <t>BTG-289</t>
  </si>
  <si>
    <t>RAQUETE</t>
  </si>
  <si>
    <t>RAQUETE FRESCOBOL</t>
  </si>
  <si>
    <t>FRESCOBOL</t>
  </si>
  <si>
    <t>C-68</t>
  </si>
  <si>
    <t>C-98</t>
  </si>
  <si>
    <t>BTG-290</t>
  </si>
  <si>
    <t>VISEIRA</t>
  </si>
  <si>
    <t>VISEIRA BIC- ELASTICO</t>
  </si>
  <si>
    <t>BTG-291</t>
  </si>
  <si>
    <t>BTG-292</t>
  </si>
  <si>
    <t>LANCHEIRA</t>
  </si>
  <si>
    <t>LANCHEIRA TERMICA GG</t>
  </si>
  <si>
    <t>C-69</t>
  </si>
  <si>
    <t>BTG-293</t>
  </si>
  <si>
    <t>TOALHA</t>
  </si>
  <si>
    <t>TOALHA DE ACADEMIA</t>
  </si>
  <si>
    <t>C-70</t>
  </si>
  <si>
    <t>BTG-294</t>
  </si>
  <si>
    <t>SACOLA</t>
  </si>
  <si>
    <t>SACOLA AZUL</t>
  </si>
  <si>
    <t>C-71</t>
  </si>
  <si>
    <t>BTG-295</t>
  </si>
  <si>
    <t>SACOLA BTG - QUADRADA</t>
  </si>
  <si>
    <t>N3</t>
  </si>
  <si>
    <t>C-72</t>
  </si>
  <si>
    <t>7</t>
  </si>
  <si>
    <t>C-99</t>
  </si>
  <si>
    <t>C-103</t>
  </si>
  <si>
    <t>C-111</t>
  </si>
  <si>
    <t>BTG-296</t>
  </si>
  <si>
    <t>N1</t>
  </si>
  <si>
    <t>C-88</t>
  </si>
  <si>
    <t>C-116</t>
  </si>
  <si>
    <t>BTG-297</t>
  </si>
  <si>
    <t>CABIDE</t>
  </si>
  <si>
    <t>BTG-298</t>
  </si>
  <si>
    <t>GUARDA CHUVA</t>
  </si>
  <si>
    <t>GUARDA CHUVA BTG</t>
  </si>
  <si>
    <t>C-73</t>
  </si>
  <si>
    <t>C-83</t>
  </si>
  <si>
    <t>BTG-299</t>
  </si>
  <si>
    <t>AZUL MARINHO</t>
  </si>
  <si>
    <t>BTG-300</t>
  </si>
  <si>
    <t>RAQUETEIRA</t>
  </si>
  <si>
    <t>BTG-301</t>
  </si>
  <si>
    <t>MALINHA</t>
  </si>
  <si>
    <t>MALINHA DE MÃO</t>
  </si>
  <si>
    <t>BTG-302</t>
  </si>
  <si>
    <t>AZUL ROYAL</t>
  </si>
  <si>
    <t>BTG-303</t>
  </si>
  <si>
    <t>BTG-304</t>
  </si>
  <si>
    <t>BTG-305</t>
  </si>
  <si>
    <t>ORGANIZADOR</t>
  </si>
  <si>
    <t>ORGANIZADOR DE ROUPA</t>
  </si>
  <si>
    <t>C-74</t>
  </si>
  <si>
    <t>BTG-306</t>
  </si>
  <si>
    <t>BTG-307</t>
  </si>
  <si>
    <t>TECIDO PARA CUBRIR STAND</t>
  </si>
  <si>
    <t>C-75</t>
  </si>
  <si>
    <t>BTG-308</t>
  </si>
  <si>
    <t>TOALHA PISCINA</t>
  </si>
  <si>
    <t>LISTRAS-AZUIS</t>
  </si>
  <si>
    <t>C-76</t>
  </si>
  <si>
    <t>BTG-309</t>
  </si>
  <si>
    <t>MOCHILA</t>
  </si>
  <si>
    <t>MOCHILA RV</t>
  </si>
  <si>
    <t>C-77</t>
  </si>
  <si>
    <t>C-114</t>
  </si>
  <si>
    <t>BTG-310</t>
  </si>
  <si>
    <t>MALA DE MÃO</t>
  </si>
  <si>
    <t>C-78</t>
  </si>
  <si>
    <t>BTG-311</t>
  </si>
  <si>
    <t>LANCHEIRA AZ</t>
  </si>
  <si>
    <t>GRANDE</t>
  </si>
  <si>
    <t>C-79</t>
  </si>
  <si>
    <t>C-108</t>
  </si>
  <si>
    <t>BTG-312</t>
  </si>
  <si>
    <t>MANTA</t>
  </si>
  <si>
    <t>MANTA FOM</t>
  </si>
  <si>
    <t>BTG-313</t>
  </si>
  <si>
    <t>CANECA</t>
  </si>
  <si>
    <t>CANECA CERÂMICA</t>
  </si>
  <si>
    <t>C-80</t>
  </si>
  <si>
    <t>C-109</t>
  </si>
  <si>
    <t>BTG-314</t>
  </si>
  <si>
    <t>MOCHILA VICTORINOX - BTG</t>
  </si>
  <si>
    <t>C-81</t>
  </si>
  <si>
    <t>C-115</t>
  </si>
  <si>
    <t>BTG-315</t>
  </si>
  <si>
    <t>COPO</t>
  </si>
  <si>
    <t>COPO STALEY</t>
  </si>
  <si>
    <t>273ML</t>
  </si>
  <si>
    <t>C-82</t>
  </si>
  <si>
    <t>BTG-316</t>
  </si>
  <si>
    <t>GARRAFA</t>
  </si>
  <si>
    <t>GARRAFA INOX - BTG</t>
  </si>
  <si>
    <t>INOX</t>
  </si>
  <si>
    <t>500ML</t>
  </si>
  <si>
    <t>BTG-317</t>
  </si>
  <si>
    <t>COPO CAFÉ - G</t>
  </si>
  <si>
    <t>150ML</t>
  </si>
  <si>
    <t>C-84</t>
  </si>
  <si>
    <t>BTG-318</t>
  </si>
  <si>
    <t>GARRAFA TERMICA EM INOX</t>
  </si>
  <si>
    <t>BTG-319</t>
  </si>
  <si>
    <t>GARRAFA STALEY</t>
  </si>
  <si>
    <t>BTG-320</t>
  </si>
  <si>
    <t>BTG-321</t>
  </si>
  <si>
    <t>COPO CAFÉ - P</t>
  </si>
  <si>
    <t>80ML</t>
  </si>
  <si>
    <t>BTG-322</t>
  </si>
  <si>
    <t>CANECA TREMICA FOKUS</t>
  </si>
  <si>
    <t>CREME</t>
  </si>
  <si>
    <t>295ML</t>
  </si>
  <si>
    <t>C-85</t>
  </si>
  <si>
    <t>C-94</t>
  </si>
  <si>
    <t>BTG-323</t>
  </si>
  <si>
    <t>COPO TERMICO BEERCUP</t>
  </si>
  <si>
    <t>475ML</t>
  </si>
  <si>
    <t>BTG-324</t>
  </si>
  <si>
    <t>COPO TERMICO THERMOCUP</t>
  </si>
  <si>
    <t>600ML</t>
  </si>
  <si>
    <t>C-86</t>
  </si>
  <si>
    <t>BTG-325</t>
  </si>
  <si>
    <t>BTG-326</t>
  </si>
  <si>
    <t>CANETA</t>
  </si>
  <si>
    <t>CANETA BTG COM LOGO</t>
  </si>
  <si>
    <t>GROSSA</t>
  </si>
  <si>
    <t>BTG-327</t>
  </si>
  <si>
    <t>FINA</t>
  </si>
  <si>
    <t>BTG-328</t>
  </si>
  <si>
    <t>BTG-329</t>
  </si>
  <si>
    <t>GARRAFA VYTA</t>
  </si>
  <si>
    <t>BTG-330</t>
  </si>
  <si>
    <t>JAQUETA CORTA VENTO NYLON</t>
  </si>
  <si>
    <t>BTG-331</t>
  </si>
  <si>
    <t>N6</t>
  </si>
  <si>
    <t>C-89</t>
  </si>
  <si>
    <t>C-104</t>
  </si>
  <si>
    <t>C-112</t>
  </si>
  <si>
    <t>BTG-332</t>
  </si>
  <si>
    <t>CAMISETA FIO EGIPCIO MASC.</t>
  </si>
  <si>
    <t>C-90</t>
  </si>
  <si>
    <t>BTG-333</t>
  </si>
  <si>
    <t>BTG-334</t>
  </si>
  <si>
    <t>BTG-335</t>
  </si>
  <si>
    <t>BTG-336</t>
  </si>
  <si>
    <t>BTG-337</t>
  </si>
  <si>
    <t>CAMISETA FIO EGIPCIO FEM.</t>
  </si>
  <si>
    <t>C-101</t>
  </si>
  <si>
    <t>BTG-338</t>
  </si>
  <si>
    <t>BTG-339</t>
  </si>
  <si>
    <t>BTG-340</t>
  </si>
  <si>
    <t>CAMISETA ESPORTE MASC.</t>
  </si>
  <si>
    <t>BTG-341</t>
  </si>
  <si>
    <t>BTG-342</t>
  </si>
  <si>
    <t>BTG-343</t>
  </si>
  <si>
    <t>LENÇO</t>
  </si>
  <si>
    <t>LENÇO ECHARPE FEM</t>
  </si>
  <si>
    <t>C-91</t>
  </si>
  <si>
    <t>BTG-344</t>
  </si>
  <si>
    <t>CRU</t>
  </si>
  <si>
    <t>BTG-345</t>
  </si>
  <si>
    <t>BTG-346</t>
  </si>
  <si>
    <t>BTG-347</t>
  </si>
  <si>
    <t>PORTA VINHO</t>
  </si>
  <si>
    <t>PORTA VINHO - NYLON</t>
  </si>
  <si>
    <t>32X10</t>
  </si>
  <si>
    <t>BTG-348</t>
  </si>
  <si>
    <t>PORTA VINHO - COURO</t>
  </si>
  <si>
    <t>40X13</t>
  </si>
  <si>
    <t>BTG-349</t>
  </si>
  <si>
    <t>CHAVEIRO</t>
  </si>
  <si>
    <t>CHAVEIRO TENIS</t>
  </si>
  <si>
    <t>TENIS</t>
  </si>
  <si>
    <t>BTG-350</t>
  </si>
  <si>
    <t>SHORTS</t>
  </si>
  <si>
    <t>SHORTS ESPORTE UNISSEX</t>
  </si>
  <si>
    <t>C-92</t>
  </si>
  <si>
    <t>BTG-351</t>
  </si>
  <si>
    <t>BTG-352</t>
  </si>
  <si>
    <t>BTG-353</t>
  </si>
  <si>
    <t>BTG-354</t>
  </si>
  <si>
    <t>BTG-355</t>
  </si>
  <si>
    <t>BERMUDA</t>
  </si>
  <si>
    <t>BERMUDA FEMININA BTG</t>
  </si>
  <si>
    <t>C-110</t>
  </si>
  <si>
    <t>BTG-356</t>
  </si>
  <si>
    <t>BTG-357</t>
  </si>
  <si>
    <t>BTG-358</t>
  </si>
  <si>
    <t>BTG-359</t>
  </si>
  <si>
    <t>MOLESKINE</t>
  </si>
  <si>
    <t>MOLESKINE COM PAUTA</t>
  </si>
  <si>
    <t>14X21</t>
  </si>
  <si>
    <t>C-93</t>
  </si>
  <si>
    <t>BTG-360</t>
  </si>
  <si>
    <t>BANDANA</t>
  </si>
  <si>
    <t>BANDANA MATOS RACING</t>
  </si>
  <si>
    <t>BTG-361</t>
  </si>
  <si>
    <t>MANGUITO</t>
  </si>
  <si>
    <t>MANGUITO BIKE</t>
  </si>
  <si>
    <t>BTG-362</t>
  </si>
  <si>
    <t>BTG-363</t>
  </si>
  <si>
    <t>BTG-364</t>
  </si>
  <si>
    <t>MOUSE</t>
  </si>
  <si>
    <t>MOUSE PAD- PUNHO SILICONE</t>
  </si>
  <si>
    <t>BTG-365</t>
  </si>
  <si>
    <t>SACOLINHA</t>
  </si>
  <si>
    <t>SACOCHILA BTG</t>
  </si>
  <si>
    <t>BTG-366</t>
  </si>
  <si>
    <t>MOLESKINE SEM PAUTA</t>
  </si>
  <si>
    <t>BTG-367</t>
  </si>
  <si>
    <t>PIN</t>
  </si>
  <si>
    <t>PIN BTG PACTUAL</t>
  </si>
  <si>
    <t>BTG-368</t>
  </si>
  <si>
    <t>ANTIVIBRADOR</t>
  </si>
  <si>
    <t>BTG-369</t>
  </si>
  <si>
    <t>SAQUINHO</t>
  </si>
  <si>
    <t>SAQUINHO VELUDO - CANETA</t>
  </si>
  <si>
    <t>BTG-370</t>
  </si>
  <si>
    <t>BONÉ</t>
  </si>
  <si>
    <t>BONÉ ESTRUTURADO - BTG</t>
  </si>
  <si>
    <t>BTG-371</t>
  </si>
  <si>
    <t>BTG-372</t>
  </si>
  <si>
    <t>BONE BRIM - BTG</t>
  </si>
  <si>
    <t>BTG-373</t>
  </si>
  <si>
    <t>BTG-374</t>
  </si>
  <si>
    <t>LANCHEIRA - PT</t>
  </si>
  <si>
    <t>C-95</t>
  </si>
  <si>
    <t>BTG-375</t>
  </si>
  <si>
    <t>ALMOFADA</t>
  </si>
  <si>
    <t>ALMOFADA DUO- FOM</t>
  </si>
  <si>
    <t>C-96</t>
  </si>
  <si>
    <t>BTG-376</t>
  </si>
  <si>
    <t>GARRAFA PAN INOX</t>
  </si>
  <si>
    <t>C-97</t>
  </si>
  <si>
    <t>BTG-377</t>
  </si>
  <si>
    <t>BTG-378</t>
  </si>
  <si>
    <t>NECESSARIE</t>
  </si>
  <si>
    <t>BTG-379</t>
  </si>
  <si>
    <t>POLO COPA FEM.</t>
  </si>
  <si>
    <t>C-100</t>
  </si>
  <si>
    <t>BTG-380</t>
  </si>
  <si>
    <t>BTG-381</t>
  </si>
  <si>
    <t>BTG-382</t>
  </si>
  <si>
    <t>BTG-383</t>
  </si>
  <si>
    <t>BTG-384</t>
  </si>
  <si>
    <t>BTG-385</t>
  </si>
  <si>
    <t>BTG-386</t>
  </si>
  <si>
    <t>BTG-387</t>
  </si>
  <si>
    <t>BTG-388</t>
  </si>
  <si>
    <t>BTG-389</t>
  </si>
  <si>
    <t>BTG-390</t>
  </si>
  <si>
    <t>BTG-391</t>
  </si>
  <si>
    <t>PORTA CARTÃO</t>
  </si>
  <si>
    <t>PORTA CARTÃO - COURO</t>
  </si>
  <si>
    <t>BTG-392</t>
  </si>
  <si>
    <t>BTG-393</t>
  </si>
  <si>
    <t>BTG-394</t>
  </si>
  <si>
    <t>PORTA CARTÃO CHUMBO - BTG</t>
  </si>
  <si>
    <t>BTG-395</t>
  </si>
  <si>
    <t>PORTA PASSAPORTE</t>
  </si>
  <si>
    <t>PORTA PASSAPORTE + TAG MALA</t>
  </si>
  <si>
    <t>BTG-396</t>
  </si>
  <si>
    <t>BTG-397</t>
  </si>
  <si>
    <t>BOLSINHA DE MÃO</t>
  </si>
  <si>
    <t>BOLSINHA DE MÃO EM COURO</t>
  </si>
  <si>
    <t>BTG-398</t>
  </si>
  <si>
    <t>BTG-399</t>
  </si>
  <si>
    <t>CESTO PEQUENO</t>
  </si>
  <si>
    <t>PALHA</t>
  </si>
  <si>
    <t>28X22</t>
  </si>
  <si>
    <t>C-105</t>
  </si>
  <si>
    <t>BTG-400</t>
  </si>
  <si>
    <t>CESTO GRANDE</t>
  </si>
  <si>
    <t>33X28</t>
  </si>
  <si>
    <t>BTG-401</t>
  </si>
  <si>
    <t>CESTO REDONDO - GRANDE</t>
  </si>
  <si>
    <t>BTG-402</t>
  </si>
  <si>
    <t>CESTO QUADRADO - GRANDE</t>
  </si>
  <si>
    <t>35X25</t>
  </si>
  <si>
    <t>C-106</t>
  </si>
  <si>
    <t>BTG-403</t>
  </si>
  <si>
    <t>CESTO QUADRADO - PEQUENO</t>
  </si>
  <si>
    <t>BTG-404</t>
  </si>
  <si>
    <t>C-107</t>
  </si>
  <si>
    <t>BTG-405</t>
  </si>
  <si>
    <t>BTG-406</t>
  </si>
  <si>
    <t>LEGGING</t>
  </si>
  <si>
    <t>LEGGING BTG</t>
  </si>
  <si>
    <t>C-224</t>
  </si>
  <si>
    <t>BTG-407</t>
  </si>
  <si>
    <t>BTG-408</t>
  </si>
  <si>
    <t>BTG-409</t>
  </si>
  <si>
    <t>BTG-410</t>
  </si>
  <si>
    <t>BTG-411</t>
  </si>
  <si>
    <t>BTG-412</t>
  </si>
  <si>
    <t>BTG-413</t>
  </si>
  <si>
    <t>MOCHILA NORTH FACE</t>
  </si>
  <si>
    <t>C-113</t>
  </si>
  <si>
    <t>BTG-414</t>
  </si>
  <si>
    <t>MANEQUIM CRIANÇA</t>
  </si>
  <si>
    <t>2</t>
  </si>
  <si>
    <t>BTG-415</t>
  </si>
  <si>
    <t>MANEQUIM MULHER</t>
  </si>
  <si>
    <t>BTG-416</t>
  </si>
  <si>
    <t>MANEQUIM MASCULINO</t>
  </si>
  <si>
    <t>BTG-417</t>
  </si>
  <si>
    <t>PERSONALIZAÇÃO</t>
  </si>
  <si>
    <t>ACRILICO</t>
  </si>
  <si>
    <t>BTG-418</t>
  </si>
  <si>
    <t>ESPELHO</t>
  </si>
  <si>
    <t>NEUTRO</t>
  </si>
  <si>
    <t>👍 Bom</t>
  </si>
  <si>
    <t>4</t>
  </si>
  <si>
    <t>BTG-419</t>
  </si>
  <si>
    <t>MOVEIS ILHA COM GAVETAS E NICHOS</t>
  </si>
  <si>
    <t>BEGE</t>
  </si>
  <si>
    <t>150X55X95</t>
  </si>
  <si>
    <t>3</t>
  </si>
  <si>
    <t>BTG-420</t>
  </si>
  <si>
    <t>ESTANTE BIKE</t>
  </si>
  <si>
    <t>90X30X190</t>
  </si>
  <si>
    <t>BTG-421</t>
  </si>
  <si>
    <t>ESTANTE NOVA ARAMADA (SEM GAVETAS)</t>
  </si>
  <si>
    <t>122X55X198</t>
  </si>
  <si>
    <t>BTG-422</t>
  </si>
  <si>
    <t>GAVETÕES DAS ESTANTES ARAMADAS</t>
  </si>
  <si>
    <t>122X55X30</t>
  </si>
  <si>
    <t>B</t>
  </si>
  <si>
    <t>BTG-423</t>
  </si>
  <si>
    <t>MOVEIS AZUIS COM PORTAS DE ABRIR</t>
  </si>
  <si>
    <t>REDONDO</t>
  </si>
  <si>
    <t>BTG-1001</t>
  </si>
  <si>
    <t>Store</t>
  </si>
  <si>
    <t>POLO PIQUET PAN FEM.</t>
  </si>
  <si>
    <t>16</t>
  </si>
  <si>
    <t>C-117</t>
  </si>
  <si>
    <t>BTG-1002</t>
  </si>
  <si>
    <t>C-118</t>
  </si>
  <si>
    <t>BTG-1003</t>
  </si>
  <si>
    <t>BTG-1004</t>
  </si>
  <si>
    <t>BTG-1005</t>
  </si>
  <si>
    <t>POLO PIQUET PAN MASC.</t>
  </si>
  <si>
    <t>C-119</t>
  </si>
  <si>
    <t>BTG-1006</t>
  </si>
  <si>
    <t>BTG-1007</t>
  </si>
  <si>
    <t>15</t>
  </si>
  <si>
    <t>C-120</t>
  </si>
  <si>
    <t>BTG-1008</t>
  </si>
  <si>
    <t>BTG-1009</t>
  </si>
  <si>
    <t>BTG-1010</t>
  </si>
  <si>
    <t>BTG-1011</t>
  </si>
  <si>
    <t>BTG-1012</t>
  </si>
  <si>
    <t>POLO PIQUET MESCLA MASC.</t>
  </si>
  <si>
    <t>BLACK</t>
  </si>
  <si>
    <t>C-121</t>
  </si>
  <si>
    <t>BTG-1013</t>
  </si>
  <si>
    <t>BTG-1014</t>
  </si>
  <si>
    <t>C-122</t>
  </si>
  <si>
    <t>BTG-1015</t>
  </si>
  <si>
    <t>POLO PIQUET MESCLA FEM.</t>
  </si>
  <si>
    <t>BTG-1016</t>
  </si>
  <si>
    <t>BTG-1017</t>
  </si>
  <si>
    <t>BTG-1018</t>
  </si>
  <si>
    <t>BTG-1019</t>
  </si>
  <si>
    <t>BTG-1020</t>
  </si>
  <si>
    <t>POLO BASICA MASC.</t>
  </si>
  <si>
    <t>C-123</t>
  </si>
  <si>
    <t>BTG-1021</t>
  </si>
  <si>
    <t>BTG-1022</t>
  </si>
  <si>
    <t>JAQUETA CAPUZ FEM.</t>
  </si>
  <si>
    <t>C-124</t>
  </si>
  <si>
    <t>BTG-1023</t>
  </si>
  <si>
    <t>BTG-1024</t>
  </si>
  <si>
    <t>JAQUETA PUFFER</t>
  </si>
  <si>
    <t>C-125</t>
  </si>
  <si>
    <t>BTG-1025</t>
  </si>
  <si>
    <t>BTG-1026</t>
  </si>
  <si>
    <t>C-126</t>
  </si>
  <si>
    <t>BTG-1027</t>
  </si>
  <si>
    <t>BTG-1028</t>
  </si>
  <si>
    <t>C-127</t>
  </si>
  <si>
    <t>BTG-1029</t>
  </si>
  <si>
    <t>C-128</t>
  </si>
  <si>
    <t>BTG-1030</t>
  </si>
  <si>
    <t>C-129</t>
  </si>
  <si>
    <t>BTG-1031</t>
  </si>
  <si>
    <t>JAQUETA CAPUZ OFF WHITE</t>
  </si>
  <si>
    <t>C-130</t>
  </si>
  <si>
    <t>C-131</t>
  </si>
  <si>
    <t>C-132</t>
  </si>
  <si>
    <t>BTG-1032</t>
  </si>
  <si>
    <t>C-133</t>
  </si>
  <si>
    <t>BTG-1033</t>
  </si>
  <si>
    <t>C-134</t>
  </si>
  <si>
    <t>BTG-1034</t>
  </si>
  <si>
    <t>BTG-1035</t>
  </si>
  <si>
    <t>C-135</t>
  </si>
  <si>
    <t>BTG-1036</t>
  </si>
  <si>
    <t>C-136</t>
  </si>
  <si>
    <t>BTG-1037</t>
  </si>
  <si>
    <t>BTG-1038</t>
  </si>
  <si>
    <t>C-137</t>
  </si>
  <si>
    <t>BTG-1039</t>
  </si>
  <si>
    <t>BTG-1040</t>
  </si>
  <si>
    <t>BTG-1041</t>
  </si>
  <si>
    <t>TRICO BASICO GOLA V</t>
  </si>
  <si>
    <t>BTG-1043</t>
  </si>
  <si>
    <t>C-138</t>
  </si>
  <si>
    <t>BTG-1044</t>
  </si>
  <si>
    <t>BTG-1045</t>
  </si>
  <si>
    <t>BTG-1046</t>
  </si>
  <si>
    <t>BTG-1047</t>
  </si>
  <si>
    <t>BTG-1048</t>
  </si>
  <si>
    <t>TRICO BASICO GOLA CARACA</t>
  </si>
  <si>
    <t>BTG-1049</t>
  </si>
  <si>
    <t>BTG-1050</t>
  </si>
  <si>
    <t>BTG-1051</t>
  </si>
  <si>
    <t>BTG-1052</t>
  </si>
  <si>
    <t>C-139</t>
  </si>
  <si>
    <t>BTG-1053</t>
  </si>
  <si>
    <t>C-140</t>
  </si>
  <si>
    <t>BTG-1054</t>
  </si>
  <si>
    <t>BTG-1055</t>
  </si>
  <si>
    <t>POLO BASICA SIDE WALK</t>
  </si>
  <si>
    <t>13</t>
  </si>
  <si>
    <t>C-141</t>
  </si>
  <si>
    <t>BTG-1056</t>
  </si>
  <si>
    <t>14</t>
  </si>
  <si>
    <t>C-142</t>
  </si>
  <si>
    <t>BTG-1057</t>
  </si>
  <si>
    <t>BTG-1058</t>
  </si>
  <si>
    <t>C-143</t>
  </si>
  <si>
    <t>C-144</t>
  </si>
  <si>
    <t>BTG-1059</t>
  </si>
  <si>
    <t>BTG-1060</t>
  </si>
  <si>
    <t>BTG-1061</t>
  </si>
  <si>
    <t>BTG-1062</t>
  </si>
  <si>
    <t>BTG-1063</t>
  </si>
  <si>
    <t>C-146</t>
  </si>
  <si>
    <t>C-147</t>
  </si>
  <si>
    <t>BTG-1064</t>
  </si>
  <si>
    <t>C-148</t>
  </si>
  <si>
    <t>BTG-1065</t>
  </si>
  <si>
    <t>BTG-1066</t>
  </si>
  <si>
    <t>C-149</t>
  </si>
  <si>
    <t>BTG-1067</t>
  </si>
  <si>
    <t>BTG-1068</t>
  </si>
  <si>
    <t>C-150</t>
  </si>
  <si>
    <t>BTG-1069</t>
  </si>
  <si>
    <t>C-152</t>
  </si>
  <si>
    <t>C-153</t>
  </si>
  <si>
    <t>C-154</t>
  </si>
  <si>
    <t>C-155</t>
  </si>
  <si>
    <t>C-157</t>
  </si>
  <si>
    <t>BTG-1000</t>
  </si>
  <si>
    <t>C-159</t>
  </si>
  <si>
    <t>BTG-1070</t>
  </si>
  <si>
    <t>C-160</t>
  </si>
  <si>
    <t>C-161</t>
  </si>
  <si>
    <t>C-162</t>
  </si>
  <si>
    <t>BTG-1071</t>
  </si>
  <si>
    <t>C-163</t>
  </si>
  <si>
    <t>BTG-1072</t>
  </si>
  <si>
    <t>C-164</t>
  </si>
  <si>
    <t>BTG-1073</t>
  </si>
  <si>
    <t>BTG-1074</t>
  </si>
  <si>
    <t>BTG-1075</t>
  </si>
  <si>
    <t>C-165</t>
  </si>
  <si>
    <t>BTG-1076</t>
  </si>
  <si>
    <t>C-166</t>
  </si>
  <si>
    <t>C-167</t>
  </si>
  <si>
    <t>BTG-1077</t>
  </si>
  <si>
    <t>CAMISETA BY SIDE WALK + BTG FIO EGIPCIO MASC.</t>
  </si>
  <si>
    <t>C-168</t>
  </si>
  <si>
    <t>BTG-1078</t>
  </si>
  <si>
    <t>BTG-1079</t>
  </si>
  <si>
    <t>POLO PIQUET MESCLA P&amp;F MASC.</t>
  </si>
  <si>
    <t>C-169</t>
  </si>
  <si>
    <t>BTG-1080</t>
  </si>
  <si>
    <t>C-170</t>
  </si>
  <si>
    <t>BTG-1081</t>
  </si>
  <si>
    <t>C-171</t>
  </si>
  <si>
    <t>C-172</t>
  </si>
  <si>
    <t>BTG-1082</t>
  </si>
  <si>
    <t>C-173</t>
  </si>
  <si>
    <t>BTG-1083</t>
  </si>
  <si>
    <t>C-174</t>
  </si>
  <si>
    <t>BTG-1084</t>
  </si>
  <si>
    <t>BTG-1085</t>
  </si>
  <si>
    <t>C-175</t>
  </si>
  <si>
    <t>C-176</t>
  </si>
  <si>
    <t>BTG-1087</t>
  </si>
  <si>
    <t>BTG-1088</t>
  </si>
  <si>
    <t>POLO PIQUET RISCOS MASC.</t>
  </si>
  <si>
    <t>C-177</t>
  </si>
  <si>
    <t>C-178</t>
  </si>
  <si>
    <t>BTG-1089</t>
  </si>
  <si>
    <t>BTG-1090</t>
  </si>
  <si>
    <t>C-179</t>
  </si>
  <si>
    <t>BTG-1091</t>
  </si>
  <si>
    <t>C-180</t>
  </si>
  <si>
    <t>BTG-2001</t>
  </si>
  <si>
    <t>SACOLA QUADRADA - BTG</t>
  </si>
  <si>
    <t>C-181</t>
  </si>
  <si>
    <t>C-182</t>
  </si>
  <si>
    <t>BTG-2003</t>
  </si>
  <si>
    <t>C-183</t>
  </si>
  <si>
    <t>BTG-2004</t>
  </si>
  <si>
    <t>BTG-2005</t>
  </si>
  <si>
    <t>C-184</t>
  </si>
  <si>
    <t>BTG-2006</t>
  </si>
  <si>
    <t>BTG-2007</t>
  </si>
  <si>
    <t>C-185</t>
  </si>
  <si>
    <t>BTG-2008</t>
  </si>
  <si>
    <t>BTG-2009</t>
  </si>
  <si>
    <t>BTG-2010</t>
  </si>
  <si>
    <t>C-186</t>
  </si>
  <si>
    <t>C-187</t>
  </si>
  <si>
    <t>C-188</t>
  </si>
  <si>
    <t>C-189</t>
  </si>
  <si>
    <t>BTG-2011</t>
  </si>
  <si>
    <t>C-190</t>
  </si>
  <si>
    <t>C-191</t>
  </si>
  <si>
    <t>C-192</t>
  </si>
  <si>
    <t>BTG-2012</t>
  </si>
  <si>
    <t>BTG-2013</t>
  </si>
  <si>
    <t>C-193</t>
  </si>
  <si>
    <t>BTG-2014</t>
  </si>
  <si>
    <t>BTG-2015</t>
  </si>
  <si>
    <t>CAMISETA FIO EGIPCIO PAN MASC.</t>
  </si>
  <si>
    <t>C-194</t>
  </si>
  <si>
    <t>BTG-2016</t>
  </si>
  <si>
    <t>BTG-2017</t>
  </si>
  <si>
    <t>BTG-2018</t>
  </si>
  <si>
    <t>BTG-2019</t>
  </si>
  <si>
    <t>BTG-2020</t>
  </si>
  <si>
    <t>POLO EM COTTON -BTG MASC.</t>
  </si>
  <si>
    <t>C-195</t>
  </si>
  <si>
    <t>BTG-2021</t>
  </si>
  <si>
    <t>C-196</t>
  </si>
  <si>
    <t>BTG-2022</t>
  </si>
  <si>
    <t>C-197</t>
  </si>
  <si>
    <t>BTG-2023</t>
  </si>
  <si>
    <t>INDICO</t>
  </si>
  <si>
    <t>C-198</t>
  </si>
  <si>
    <t>BTG-2024</t>
  </si>
  <si>
    <t>C-21</t>
  </si>
  <si>
    <t>BTG-2025</t>
  </si>
  <si>
    <t>C-199</t>
  </si>
  <si>
    <t>C-200</t>
  </si>
  <si>
    <t>BTG-2026</t>
  </si>
  <si>
    <t>BTG-2027</t>
  </si>
  <si>
    <t>C-201</t>
  </si>
  <si>
    <t>C-202</t>
  </si>
  <si>
    <t>C-203</t>
  </si>
  <si>
    <t>BTG-2028</t>
  </si>
  <si>
    <t>C-204</t>
  </si>
  <si>
    <t>BTG-2029</t>
  </si>
  <si>
    <t>CAMISETA FIO EGIPCIO PAN FEM.</t>
  </si>
  <si>
    <t xml:space="preserve">M </t>
  </si>
  <si>
    <t>BTG-2030</t>
  </si>
  <si>
    <t>BTG-2031</t>
  </si>
  <si>
    <t>BTG-2032</t>
  </si>
  <si>
    <t>BTG-2033</t>
  </si>
  <si>
    <t>C-205</t>
  </si>
  <si>
    <t>BTG-2034</t>
  </si>
  <si>
    <t>BTG-2035</t>
  </si>
  <si>
    <t>C-206</t>
  </si>
  <si>
    <t>BTG-2036</t>
  </si>
  <si>
    <t>BTG-2037</t>
  </si>
  <si>
    <t>BTG-2038</t>
  </si>
  <si>
    <t>BTG-2039</t>
  </si>
  <si>
    <t>C-207</t>
  </si>
  <si>
    <t>BTG-2040</t>
  </si>
  <si>
    <t>BTG-2041</t>
  </si>
  <si>
    <t>BTG-2042</t>
  </si>
  <si>
    <t>BTG-2043</t>
  </si>
  <si>
    <t>C-208</t>
  </si>
  <si>
    <t>BTG-2044</t>
  </si>
  <si>
    <t>BTG-2045</t>
  </si>
  <si>
    <t>C-210</t>
  </si>
  <si>
    <t>C-211</t>
  </si>
  <si>
    <t>C-212</t>
  </si>
  <si>
    <t>BTG-2046</t>
  </si>
  <si>
    <t>LANCHEIRA TERMICA</t>
  </si>
  <si>
    <t>ÚNICO</t>
  </si>
  <si>
    <t>C-213</t>
  </si>
  <si>
    <t>C-214</t>
  </si>
  <si>
    <t>C-215</t>
  </si>
  <si>
    <t>C-216</t>
  </si>
  <si>
    <t>BTG-2047</t>
  </si>
  <si>
    <t>C-217</t>
  </si>
  <si>
    <t>C-218</t>
  </si>
  <si>
    <t>C-219</t>
  </si>
  <si>
    <t>BTG-2048</t>
  </si>
  <si>
    <t>C-220</t>
  </si>
  <si>
    <t>BTG-2049</t>
  </si>
  <si>
    <t>BTG-2050</t>
  </si>
  <si>
    <t>BTG-2051</t>
  </si>
  <si>
    <t>CABIDES</t>
  </si>
  <si>
    <t>C-221</t>
  </si>
  <si>
    <t>BTG-2052</t>
  </si>
  <si>
    <t>C-222</t>
  </si>
  <si>
    <t>BTG-2053</t>
  </si>
  <si>
    <t>GARRAFA STANLEY</t>
  </si>
  <si>
    <t>710ML</t>
  </si>
  <si>
    <t>BTG-2054</t>
  </si>
  <si>
    <t>BTG-2055</t>
  </si>
  <si>
    <t>COPO CEFÉ P</t>
  </si>
  <si>
    <t>BTG-2056</t>
  </si>
  <si>
    <t>BTG-2057</t>
  </si>
  <si>
    <t>COPO TERMOCUP EM INOX</t>
  </si>
  <si>
    <t>BTG-2058</t>
  </si>
  <si>
    <t>BTG-2059</t>
  </si>
  <si>
    <t>COPO BEERCUP EM INOX</t>
  </si>
  <si>
    <t>BTG-2060</t>
  </si>
  <si>
    <t>COPO STANLEY</t>
  </si>
  <si>
    <t>473ML</t>
  </si>
  <si>
    <t>BTG-2061</t>
  </si>
  <si>
    <t>C-223</t>
  </si>
  <si>
    <t>BTG-2062</t>
  </si>
  <si>
    <t>BTG-2063</t>
  </si>
  <si>
    <t>BERMUDA BTG - FEM.</t>
  </si>
  <si>
    <t>C-225</t>
  </si>
  <si>
    <t>BTG-2064</t>
  </si>
  <si>
    <t>BTG-2065</t>
  </si>
  <si>
    <t>BTG-2066</t>
  </si>
  <si>
    <t>BTG-2067</t>
  </si>
  <si>
    <t>MANTA PARA VIAGEM</t>
  </si>
  <si>
    <t>1,05X1,70</t>
  </si>
  <si>
    <t>C-226</t>
  </si>
  <si>
    <t>BTG-2068</t>
  </si>
  <si>
    <t>C-227</t>
  </si>
  <si>
    <t>BTG-2069</t>
  </si>
  <si>
    <t>BTG-2070</t>
  </si>
  <si>
    <t>BTG-2071</t>
  </si>
  <si>
    <t>BTG-2072</t>
  </si>
  <si>
    <t>BTG-2073</t>
  </si>
  <si>
    <t>C-228</t>
  </si>
  <si>
    <t>BTG-2074</t>
  </si>
  <si>
    <t>BTG-2075</t>
  </si>
  <si>
    <t>BTG-2076</t>
  </si>
  <si>
    <t>BTG-2077</t>
  </si>
  <si>
    <t>BTG-2078</t>
  </si>
  <si>
    <t>BTG-2079</t>
  </si>
  <si>
    <t>C-229</t>
  </si>
  <si>
    <t>BTG-2080</t>
  </si>
  <si>
    <t>BTG-2081</t>
  </si>
  <si>
    <t>BTG-2082</t>
  </si>
  <si>
    <t>BTG-2083</t>
  </si>
  <si>
    <t>BTG-2084</t>
  </si>
  <si>
    <t>BTG-2085</t>
  </si>
  <si>
    <t>BTG-2086</t>
  </si>
  <si>
    <t>10</t>
  </si>
  <si>
    <t>C-230</t>
  </si>
  <si>
    <t>BTG-2087</t>
  </si>
  <si>
    <t>C-231</t>
  </si>
  <si>
    <t>BTG-2088</t>
  </si>
  <si>
    <t>C-232</t>
  </si>
  <si>
    <t>BTG-2089</t>
  </si>
  <si>
    <t>TOALHA ACADAMIA - BTG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</si>
  <si>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</si>
  <si>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</si>
  <si>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</si>
  <si>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</si>
  <si>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</si>
  <si>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</si>
  <si>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</si>
  <si>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</si>
  <si>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</si>
  <si>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</si>
  <si>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</si>
  <si>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</si>
  <si>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</si>
  <si>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</si>
  <si>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</si>
  <si>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</si>
  <si>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</si>
  <si>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</si>
  <si>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</si>
  <si>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</si>
  <si>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</si>
  <si>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</si>
  <si>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</si>
  <si>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</si>
  <si>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</si>
  <si>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</si>
  <si>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</si>
  <si>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11</t>
  </si>
  <si>
    <t>C-260</t>
  </si>
  <si>
    <t>C-261</t>
  </si>
  <si>
    <t>C-262</t>
  </si>
  <si>
    <t>C-263</t>
  </si>
  <si>
    <t>C-264</t>
  </si>
  <si>
    <t>C-265</t>
  </si>
  <si>
    <t>C-266</t>
  </si>
  <si>
    <t>BTG-2090</t>
  </si>
  <si>
    <t>MOCHILA VITORINOX</t>
  </si>
  <si>
    <t>C-267</t>
  </si>
  <si>
    <t>C-268</t>
  </si>
  <si>
    <t>C-269</t>
  </si>
  <si>
    <t>C-270</t>
  </si>
  <si>
    <t>C-271</t>
  </si>
  <si>
    <t>12</t>
  </si>
  <si>
    <t>C-272</t>
  </si>
  <si>
    <t>C-273</t>
  </si>
  <si>
    <t>C-274</t>
  </si>
  <si>
    <t>C-275</t>
  </si>
  <si>
    <t>C-276</t>
  </si>
  <si>
    <t>C-277</t>
  </si>
  <si>
    <t>C-278</t>
  </si>
  <si>
    <t>C-279</t>
  </si>
  <si>
    <t>C-280</t>
  </si>
  <si>
    <t>C-281</t>
  </si>
  <si>
    <t>BTG-2091</t>
  </si>
  <si>
    <t>SUÉTER</t>
  </si>
  <si>
    <t>SUÉTER KASTER MASC.</t>
  </si>
  <si>
    <t>C-282</t>
  </si>
  <si>
    <t>BTG-2092</t>
  </si>
  <si>
    <t>C-284</t>
  </si>
  <si>
    <t>BTG-2093</t>
  </si>
  <si>
    <t>C-285</t>
  </si>
  <si>
    <t>BTG-2094</t>
  </si>
  <si>
    <t>C-283</t>
  </si>
  <si>
    <t>BTG-2095</t>
  </si>
  <si>
    <t>BTG-2096</t>
  </si>
  <si>
    <t>C-287</t>
  </si>
  <si>
    <t>BTG-2097</t>
  </si>
  <si>
    <t>C-288</t>
  </si>
  <si>
    <t>BTG-2098</t>
  </si>
  <si>
    <t>C-286</t>
  </si>
  <si>
    <t>BTG-2099</t>
  </si>
  <si>
    <t>C-289</t>
  </si>
  <si>
    <t>BTG-2100</t>
  </si>
  <si>
    <t>BTG-2101</t>
  </si>
  <si>
    <t>POLO PIQUET JEANS MASC.</t>
  </si>
  <si>
    <t>BTG-2102</t>
  </si>
  <si>
    <t>BTG-2103</t>
  </si>
  <si>
    <t>BTG-2108</t>
  </si>
  <si>
    <t>C-290</t>
  </si>
  <si>
    <t>BTG-2105</t>
  </si>
  <si>
    <t>CAMISETA PIQUET MASC.</t>
  </si>
  <si>
    <t>C-291</t>
  </si>
  <si>
    <t>BTG-2106</t>
  </si>
  <si>
    <t>BTG-2107</t>
  </si>
  <si>
    <t>C-292</t>
  </si>
  <si>
    <t>C-293</t>
  </si>
  <si>
    <t>BTG-2109</t>
  </si>
  <si>
    <t>C-294</t>
  </si>
  <si>
    <t>BTG-2110</t>
  </si>
  <si>
    <t>XGG</t>
  </si>
  <si>
    <t>BTG-2104</t>
  </si>
  <si>
    <t>C-295</t>
  </si>
  <si>
    <t>C-296</t>
  </si>
  <si>
    <t>BTG-2111</t>
  </si>
  <si>
    <t>CAMISETA PIQUET FEM.</t>
  </si>
  <si>
    <t>C-297</t>
  </si>
  <si>
    <t>BTG-2112</t>
  </si>
  <si>
    <t>BTG-2113</t>
  </si>
  <si>
    <t>BTG-2114</t>
  </si>
  <si>
    <t>C-298</t>
  </si>
  <si>
    <t>BTG-2115</t>
  </si>
  <si>
    <t>C-299</t>
  </si>
  <si>
    <t>BTG-2116</t>
  </si>
  <si>
    <t>C-300</t>
  </si>
  <si>
    <t>BTG-2117</t>
  </si>
  <si>
    <t>BTG-2118</t>
  </si>
  <si>
    <t>C-301</t>
  </si>
  <si>
    <t>BTG-2119</t>
  </si>
  <si>
    <t>C-302</t>
  </si>
  <si>
    <t>BTG-2120</t>
  </si>
  <si>
    <t>BTG-2121</t>
  </si>
  <si>
    <t xml:space="preserve">TRICO </t>
  </si>
  <si>
    <t>TRICO TEXTURADO</t>
  </si>
  <si>
    <t>C-303</t>
  </si>
  <si>
    <t>BTG-2122</t>
  </si>
  <si>
    <t>C-304</t>
  </si>
  <si>
    <t>BTG-2123</t>
  </si>
  <si>
    <t>BTG-2124</t>
  </si>
  <si>
    <t>C-305</t>
  </si>
  <si>
    <t>BTG-2125</t>
  </si>
  <si>
    <t>C-306</t>
  </si>
  <si>
    <t>BTG-2126</t>
  </si>
  <si>
    <t>BTG-2127</t>
  </si>
  <si>
    <t>C-307</t>
  </si>
  <si>
    <t>BTG-2128</t>
  </si>
  <si>
    <t>C-308</t>
  </si>
  <si>
    <t>BTG-2129</t>
  </si>
  <si>
    <t>TRICO MEIO ZIPER COURO</t>
  </si>
  <si>
    <t>C-309</t>
  </si>
  <si>
    <t>BTG-2130</t>
  </si>
  <si>
    <t>C-310</t>
  </si>
  <si>
    <t>C-311</t>
  </si>
  <si>
    <t>C-312</t>
  </si>
  <si>
    <t>C-313</t>
  </si>
  <si>
    <t>BTG-2131</t>
  </si>
  <si>
    <t>BTG-2132</t>
  </si>
  <si>
    <t xml:space="preserve">TRICO MEIO ZIPER </t>
  </si>
  <si>
    <t>C-314</t>
  </si>
  <si>
    <t>BTG-2133</t>
  </si>
  <si>
    <t>TRICO MEIO ZIPER</t>
  </si>
  <si>
    <t>C-315</t>
  </si>
  <si>
    <t>BTG-2134</t>
  </si>
  <si>
    <t>C-316</t>
  </si>
  <si>
    <t>BTG-2135</t>
  </si>
  <si>
    <t>BTG-2136</t>
  </si>
  <si>
    <t>C-317</t>
  </si>
  <si>
    <t>C-318</t>
  </si>
  <si>
    <t>BTG-2137</t>
  </si>
  <si>
    <t>BTG-2138</t>
  </si>
  <si>
    <t>BTG-2139</t>
  </si>
  <si>
    <t xml:space="preserve">JAQUETA RIP STOP </t>
  </si>
  <si>
    <t>MILITAR</t>
  </si>
  <si>
    <t>C-319</t>
  </si>
  <si>
    <t>BTG-2140</t>
  </si>
  <si>
    <t>C-320</t>
  </si>
  <si>
    <t>C-321</t>
  </si>
  <si>
    <t>BTG-2141</t>
  </si>
  <si>
    <t>C-322</t>
  </si>
  <si>
    <t>BTG-2142</t>
  </si>
  <si>
    <t>C-323</t>
  </si>
  <si>
    <t>BTG-2143</t>
  </si>
  <si>
    <t>BTG-2144</t>
  </si>
  <si>
    <t>BTG-2145</t>
  </si>
  <si>
    <t>BTG-2146</t>
  </si>
  <si>
    <t xml:space="preserve">JAQUETA BOMBER </t>
  </si>
  <si>
    <t>CHUMBO</t>
  </si>
  <si>
    <t>C-324</t>
  </si>
  <si>
    <t>BTG-2147</t>
  </si>
  <si>
    <t>C-325</t>
  </si>
  <si>
    <t>BTG-2148</t>
  </si>
  <si>
    <t>BTG-2149</t>
  </si>
  <si>
    <t>C-326</t>
  </si>
  <si>
    <t>BTG-2150</t>
  </si>
  <si>
    <t>C-327</t>
  </si>
  <si>
    <t>BTG-2151</t>
  </si>
  <si>
    <t>C-328</t>
  </si>
  <si>
    <t>BTG-2152</t>
  </si>
  <si>
    <t>BTG-2153</t>
  </si>
  <si>
    <t>JAQUETA ADVENTURE</t>
  </si>
  <si>
    <t>C</t>
  </si>
  <si>
    <t>C-329</t>
  </si>
  <si>
    <t>BTG-2154</t>
  </si>
  <si>
    <t>BTG-2155</t>
  </si>
  <si>
    <t>BTG-2156</t>
  </si>
  <si>
    <t>JAQUTA ADVENTURE</t>
  </si>
  <si>
    <t>C-330</t>
  </si>
  <si>
    <t>BTG-2157</t>
  </si>
  <si>
    <t>BTG-2158</t>
  </si>
  <si>
    <t>C-331</t>
  </si>
  <si>
    <t>BTG-2159</t>
  </si>
  <si>
    <t>BTG-2160</t>
  </si>
  <si>
    <t>C-332</t>
  </si>
  <si>
    <t>BTG-2161</t>
  </si>
  <si>
    <t>C-333</t>
  </si>
  <si>
    <t>BTG-2162</t>
  </si>
  <si>
    <t>C-334</t>
  </si>
  <si>
    <t>BTG-2163</t>
  </si>
  <si>
    <t>BTG-2164</t>
  </si>
  <si>
    <t>C-335</t>
  </si>
  <si>
    <t>BTG-2165</t>
  </si>
  <si>
    <t>C-336</t>
  </si>
  <si>
    <t>BTG-2166</t>
  </si>
  <si>
    <t>C-337</t>
  </si>
  <si>
    <t>BTG-2167</t>
  </si>
  <si>
    <t>C-338</t>
  </si>
  <si>
    <t>BTG-2168</t>
  </si>
  <si>
    <t>C-339</t>
  </si>
  <si>
    <t>BTG-2169</t>
  </si>
  <si>
    <t>BTG-2170</t>
  </si>
  <si>
    <t>C-340</t>
  </si>
  <si>
    <t>BTG-2171</t>
  </si>
  <si>
    <t>BTG-2172</t>
  </si>
  <si>
    <t>C-341</t>
  </si>
  <si>
    <t>BTG-2173</t>
  </si>
  <si>
    <t>BTG-2174</t>
  </si>
  <si>
    <t>C-342</t>
  </si>
  <si>
    <t>BTG-2175</t>
  </si>
  <si>
    <t xml:space="preserve">JAQUETA </t>
  </si>
  <si>
    <t>C-343</t>
  </si>
  <si>
    <t>BTG-2176</t>
  </si>
  <si>
    <t>C-344</t>
  </si>
  <si>
    <t>BTG-2177</t>
  </si>
  <si>
    <t>C-345</t>
  </si>
  <si>
    <t>BTG-2178</t>
  </si>
  <si>
    <t>BTG-2179</t>
  </si>
  <si>
    <t>C-346</t>
  </si>
  <si>
    <t>BTG-2180</t>
  </si>
  <si>
    <t>BTG-2181</t>
  </si>
  <si>
    <t>BTG-2182</t>
  </si>
  <si>
    <t>C-347</t>
  </si>
  <si>
    <t>BTG-2183</t>
  </si>
  <si>
    <t xml:space="preserve">POLO </t>
  </si>
  <si>
    <t>C-348</t>
  </si>
  <si>
    <t>BTG-2184</t>
  </si>
  <si>
    <t>BTG-2185</t>
  </si>
  <si>
    <t>C-349</t>
  </si>
  <si>
    <t>BTG-2186</t>
  </si>
  <si>
    <t>BTG-2187</t>
  </si>
  <si>
    <t>C-350</t>
  </si>
  <si>
    <t>BTG-2188</t>
  </si>
  <si>
    <t>C-351</t>
  </si>
  <si>
    <t>BTG-2189</t>
  </si>
  <si>
    <t>C-352</t>
  </si>
  <si>
    <t>BTG-2190</t>
  </si>
  <si>
    <t>C-353</t>
  </si>
  <si>
    <t>BTG-2191</t>
  </si>
  <si>
    <t>BTG-2192</t>
  </si>
  <si>
    <t>C-354</t>
  </si>
  <si>
    <t>BTG-2193</t>
  </si>
  <si>
    <t>BTG-2194</t>
  </si>
  <si>
    <t>BTG-2195</t>
  </si>
  <si>
    <t>C-355</t>
  </si>
  <si>
    <t>BTG-2196</t>
  </si>
  <si>
    <t>POLO PIQUET ARPOADOR FEM.</t>
  </si>
  <si>
    <t>ARPOADOR</t>
  </si>
  <si>
    <t>C-356</t>
  </si>
  <si>
    <t>BTG-2197</t>
  </si>
  <si>
    <t>BTG-2198</t>
  </si>
  <si>
    <t>C-357</t>
  </si>
  <si>
    <t>BTG-2199</t>
  </si>
  <si>
    <t>BTG-2200</t>
  </si>
  <si>
    <t>BTG-2201</t>
  </si>
  <si>
    <t>C-358</t>
  </si>
  <si>
    <t>BTG-2202</t>
  </si>
  <si>
    <t>POLO PIQUET JEANS FEM.</t>
  </si>
  <si>
    <t>JEANS</t>
  </si>
  <si>
    <t>C-359</t>
  </si>
  <si>
    <t>BTG-2203</t>
  </si>
  <si>
    <t>BTG-2204</t>
  </si>
  <si>
    <t>C-360</t>
  </si>
  <si>
    <t>BTG-2205</t>
  </si>
  <si>
    <t>C-361</t>
  </si>
  <si>
    <t>BTG-2206</t>
  </si>
  <si>
    <t>BTG-2207</t>
  </si>
  <si>
    <t>BTG-2208</t>
  </si>
  <si>
    <t>POLO PIQUET ARPOADOR MASC.</t>
  </si>
  <si>
    <t>C-362</t>
  </si>
  <si>
    <t>BTG-2209</t>
  </si>
  <si>
    <t>C-363</t>
  </si>
  <si>
    <t>C-364</t>
  </si>
  <si>
    <t>C-365</t>
  </si>
  <si>
    <t>C-366</t>
  </si>
  <si>
    <t>BTG-2210</t>
  </si>
  <si>
    <t>C-367</t>
  </si>
  <si>
    <t>BTG-2211</t>
  </si>
  <si>
    <t>BTG-2212</t>
  </si>
  <si>
    <t>C-368</t>
  </si>
  <si>
    <t>C-369</t>
  </si>
  <si>
    <t>BTG-2213</t>
  </si>
  <si>
    <t xml:space="preserve">  BTG PACTUAL · MOVIMENTAÇÕES (KARDEX CONSOLIDADO) · append-only</t>
  </si>
  <si>
    <t>SINAL (±)</t>
  </si>
  <si>
    <t>ORIGEM</t>
  </si>
  <si>
    <t>DESTINO</t>
  </si>
  <si>
    <t>EVENTO/REF</t>
  </si>
  <si>
    <t>DOC/NF</t>
  </si>
  <si>
    <t>CAIXA ORIGEM</t>
  </si>
  <si>
    <t>ENTRADA</t>
  </si>
  <si>
    <t>Campinas - Enforce</t>
  </si>
  <si>
    <t>RAFAEL</t>
  </si>
  <si>
    <t>SAIDA - BTG</t>
  </si>
  <si>
    <t>Galpão Dutelog</t>
  </si>
  <si>
    <t>AJUSTE +</t>
  </si>
  <si>
    <t>Rafael</t>
  </si>
  <si>
    <t>Ajuste inventário: saldo negativo BTG-014 (entrada 14 x saída 15). +1 validado c/ Rafael 28/05</t>
  </si>
  <si>
    <t>BTG SP - Faria Lima</t>
  </si>
  <si>
    <t>Transportadora G4</t>
  </si>
  <si>
    <t>Galpão Dute Log</t>
  </si>
  <si>
    <t xml:space="preserve">  BTG PACTUAL · LOG DE PEDIDOS · uso interno Dutelog</t>
  </si>
  <si>
    <t>Nº PEDIDO</t>
  </si>
  <si>
    <t>DATA SOLIC.</t>
  </si>
  <si>
    <t>CANAL</t>
  </si>
  <si>
    <t>SOLICITANTE</t>
  </si>
  <si>
    <t>QTD SEP.</t>
  </si>
  <si>
    <t>STATUS</t>
  </si>
  <si>
    <t>DATA EXPED.</t>
  </si>
  <si>
    <t>NF</t>
  </si>
  <si>
    <t>PO BTG</t>
  </si>
  <si>
    <t>OBS</t>
  </si>
  <si>
    <t>PED-001</t>
  </si>
  <si>
    <t>Email</t>
  </si>
  <si>
    <t>Cristiane</t>
  </si>
  <si>
    <t>Entregue</t>
  </si>
  <si>
    <t xml:space="preserve">  BTG PACTUAL · MAPA DO GALPÃO · endereçamento físico</t>
  </si>
  <si>
    <t xml:space="preserve">  Uma caixa pode ter vários SKUs · use a Busca por Caixa abaixo</t>
  </si>
  <si>
    <t xml:space="preserve">  STATUS DO ENDEREÇAMENTO</t>
  </si>
  <si>
    <t>SKUs COM ENDEREÇO</t>
  </si>
  <si>
    <t>SKUs SEM ENDEREÇO</t>
  </si>
  <si>
    <t>CAIXAS EM USO</t>
  </si>
  <si>
    <t>completos</t>
  </si>
  <si>
    <t>precisa cadastrar</t>
  </si>
  <si>
    <t>caixas distintas</t>
  </si>
  <si>
    <t xml:space="preserve">  RESUMO POR RUA</t>
  </si>
  <si>
    <t>PRATELEIRAS C/ SKU</t>
  </si>
  <si>
    <t>CAIXAS DISTINTAS</t>
  </si>
  <si>
    <t>SKUs</t>
  </si>
  <si>
    <t>PEÇAS TOTAIS</t>
  </si>
  <si>
    <t xml:space="preserve">  BUSCA POR CAIXA</t>
  </si>
  <si>
    <t>Digite o nº da Caixa →</t>
  </si>
  <si>
    <t>c-21</t>
  </si>
  <si>
    <t>Rua:</t>
  </si>
  <si>
    <t>Prateleira:</t>
  </si>
  <si>
    <t>Peças:</t>
  </si>
  <si>
    <t>COR / TAM.</t>
  </si>
  <si>
    <t>QTDE NA CAIXA</t>
  </si>
  <si>
    <t>CONFIGURAÇÕES — INVENTÁRIO BTG CONSOLIDADO</t>
  </si>
  <si>
    <t>CATEGORIAS</t>
  </si>
  <si>
    <t>RUAS</t>
  </si>
  <si>
    <t>SINAL</t>
  </si>
  <si>
    <t>ACESSÓRIO</t>
  </si>
  <si>
    <t>Bom</t>
  </si>
  <si>
    <t>SAÍDA - EVENTO</t>
  </si>
  <si>
    <t>Regular</t>
  </si>
  <si>
    <t>RETORNO - EVENTO</t>
  </si>
  <si>
    <t>Em manutenção</t>
  </si>
  <si>
    <t>VENDIDO - EVENTO</t>
  </si>
  <si>
    <t>BLUSA</t>
  </si>
  <si>
    <t>AJUSTE −</t>
  </si>
  <si>
    <t>DESCARTE</t>
  </si>
  <si>
    <t>SAÍDA - STORE</t>
  </si>
  <si>
    <t>RETORNO - STORE</t>
  </si>
  <si>
    <t>CALÇA</t>
  </si>
  <si>
    <t>VENDIDO - STORE</t>
  </si>
  <si>
    <t>CESTO</t>
  </si>
  <si>
    <t>MANEQUIM</t>
  </si>
  <si>
    <t>MOBILIÁRIO</t>
  </si>
  <si>
    <t>OUTRO</t>
  </si>
  <si>
    <t>TECIDO</t>
  </si>
  <si>
    <t>A.01.0796.004.G</t>
  </si>
  <si>
    <t>A.01.0798.002.G</t>
  </si>
  <si>
    <t>A.01.0798.011.G</t>
  </si>
  <si>
    <t>A.01.0798.011.GG</t>
  </si>
  <si>
    <t>A.01.0798.011.P</t>
  </si>
  <si>
    <t>A.01.0798.011.M</t>
  </si>
  <si>
    <t>A.01.0816.005.G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</si>
</sst>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"/>
    <numFmt numFmtId="165" formatCode="0.0%"/>
    <numFmt numFmtId="166" formatCode="m/d/yyyy"/>
  </numFmts>
  <fonts count="25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</font>
    <font>
      <i/>
      <sz val="10"/>
      <color rgb="FF6B7280"/>
      <name val="Calibri"/>
      <family val="2"/>
    </font>
    <font>
      <b/>
      <sz val="9"/>
      <color rgb="FFFFFFFF"/>
      <name val="Calibri"/>
      <family val="2"/>
    </font>
    <font>
      <b/>
      <sz val="20"/>
      <color rgb="FF001E62"/>
      <name val="Calibri"/>
      <family val="2"/>
    </font>
    <font>
      <sz val="9"/>
      <color rgb="FF6B7280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i/>
      <sz val="11"/>
      <color rgb="FF666666"/>
      <name val="Calibri"/>
      <family val="2"/>
    </font>
    <font>
      <b/>
      <sz val="14"/>
      <color rgb="FF001E62"/>
      <name val="Calibri"/>
      <family val="2"/>
    </font>
    <font>
      <b/>
      <sz val="10"/>
      <color rgb="FFFFFFFF"/>
      <name val="Calibri"/>
      <family val="2"/>
      <charset val="1"/>
    </font>
    <font>
      <b/>
      <sz val="10"/>
      <name val="Calibri"/>
      <family val="2"/>
    </font>
    <font>
      <sz val="10"/>
      <name val="Calibri"/>
      <family val="2"/>
      <charset val="1"/>
    </font>
    <font>
      <b/>
      <sz val="14"/>
      <color rgb="FFFFFFFF"/>
      <name val="Calibri"/>
      <family val="2"/>
    </font>
    <font>
      <sz val="8"/>
      <color rgb="FF6B7280"/>
      <name val="Calibri"/>
      <family val="2"/>
    </font>
    <font>
      <sz val="10"/>
      <color theme="1"/>
      <name val="Calibri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</font>
    <font>
      <sz val="10"/>
      <color theme="1"/>
      <name val="Arial"/>
      <family val="2"/>
      <charset val="1"/>
    </font>
    <font>
      <b/>
      <sz val="16"/>
      <color rgb="FFFFFFFF"/>
      <name val="Calibri"/>
      <family val="2"/>
    </font>
    <font>
      <b/>
      <sz val="18"/>
      <color rgb="FF001E62"/>
      <name val="Calibri"/>
      <family val="2"/>
    </font>
    <font>
      <b/>
      <sz val="11"/>
      <color rgb="FFC00000"/>
      <name val="Calibri"/>
      <family val="2"/>
    </font>
    <font>
      <sz val="10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01E62"/>
        <bgColor rgb="FF000080"/>
      </patternFill>
    </fill>
    <fill>
      <patternFill patternType="solid">
        <fgColor rgb="FFF4F6FA"/>
        <bgColor rgb="FFF8F8F8"/>
      </patternFill>
    </fill>
    <fill>
      <patternFill patternType="solid">
        <fgColor rgb="FFFFFFFF"/>
        <bgColor rgb="FFF8F8F8"/>
      </patternFill>
    </fill>
    <fill>
      <patternFill patternType="solid">
        <fgColor rgb="FFF8F8F8"/>
        <bgColor rgb="FFF4F6FA"/>
      </patternFill>
    </fill>
    <fill>
      <patternFill patternType="solid">
        <fgColor rgb="FFC8901E"/>
        <bgColor rgb="FFED7D31"/>
      </patternFill>
    </fill>
    <fill>
      <patternFill patternType="solid">
        <fgColor rgb="FF4CAF50"/>
        <bgColor rgb="FF33CCCC"/>
      </patternFill>
    </fill>
    <fill>
      <patternFill patternType="solid">
        <fgColor rgb="FFE3F2FD"/>
        <bgColor rgb="FFE1F5FE"/>
      </patternFill>
    </fill>
    <fill>
      <patternFill patternType="solid">
        <fgColor rgb="FFEDE7F6"/>
        <bgColor rgb="FFEEECE1"/>
      </patternFill>
    </fill>
    <fill>
      <patternFill patternType="solid">
        <fgColor rgb="FFEAF1FB"/>
        <bgColor rgb="FFE3F2FD"/>
      </patternFill>
    </fill>
    <fill>
      <patternFill patternType="solid">
        <fgColor rgb="FFFFF8E7"/>
        <bgColor rgb="FFFFF3E0"/>
      </patternFill>
    </fill>
    <fill>
      <patternFill patternType="solid">
        <fgColor rgb="FFE8F5E9"/>
        <bgColor rgb="FFEAF1FB"/>
      </patternFill>
    </fill>
    <fill>
      <patternFill patternType="solid">
        <fgColor rgb="FFE1F5FE"/>
        <bgColor rgb="FFE3F2FD"/>
      </patternFill>
    </fill>
    <fill>
      <patternFill patternType="solid">
        <fgColor rgb="FFFFF3E0"/>
        <bgColor rgb="FFFFF8E7"/>
      </patternFill>
    </fill>
    <fill>
      <patternFill patternType="solid">
        <fgColor rgb="FFFFFF00"/>
        <bgColor rgb="FFFFC000"/>
      </patternFill>
    </fill>
    <fill>
      <patternFill patternType="solid">
        <fgColor theme="9" tint="0.79989013336588644"/>
        <bgColor rgb="FFFFF3E0"/>
      </patternFill>
    </fill>
    <fill>
      <patternFill patternType="solid">
        <fgColor rgb="FFFFF2CC"/>
        <bgColor rgb="FFFFF3E0"/>
      </patternFill>
    </fill>
    <fill>
      <patternFill patternType="solid">
        <fgColor theme="0"/>
        <bgColor rgb="FFE1F5FE"/>
      </patternFill>
    </fill>
    <fill>
      <patternFill patternType="solid">
        <fgColor theme="0"/>
        <bgColor rgb="FFEDE7F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F8F8"/>
      </patternFill>
    </fill>
  </fills>
  <borders count="3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theme="2"/>
      </left>
      <right style="thin">
        <color rgb="FFDDDDDD"/>
      </right>
      <top style="thin">
        <color rgb="FFDDDDDD"/>
      </top>
      <bottom style="thin">
        <color theme="2"/>
      </bottom>
      <diagonal/>
    </border>
    <border>
      <left style="thin">
        <color rgb="FFDDDDDD"/>
      </left>
      <right style="thin">
        <color rgb="FFDDDDDD"/>
      </right>
      <top style="thin">
        <color theme="2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theme="2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theme="2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/>
      <right style="thin">
        <color rgb="FFDDDDDD"/>
      </right>
      <top/>
      <bottom/>
      <diagonal/>
    </border>
    <border>
      <left style="thin">
        <color rgb="FFDDDDDD"/>
      </left>
      <right/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rgb="FFDDDDDD"/>
      </left>
      <right/>
      <top style="thin">
        <color theme="2"/>
      </top>
      <bottom/>
      <diagonal/>
    </border>
    <border>
      <left style="thin">
        <color rgb="FFDDDDDD"/>
      </left>
      <right style="thin">
        <color rgb="FFDDDDDD"/>
      </right>
      <top style="thin">
        <color theme="2"/>
      </top>
      <bottom style="thin">
        <color theme="2"/>
      </bottom>
      <diagonal/>
    </border>
    <border>
      <left style="thin">
        <color rgb="FFDDDDDD"/>
      </left>
      <right style="thin">
        <color theme="2"/>
      </right>
      <top/>
      <bottom style="thin">
        <color theme="2"/>
      </bottom>
      <diagonal/>
    </border>
    <border>
      <left style="thin">
        <color rgb="FFDDDDDD"/>
      </left>
      <right style="thin">
        <color rgb="FFDDDDDD"/>
      </right>
      <top style="thin">
        <color theme="2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rgb="FFDDDDDD"/>
      </left>
      <right/>
      <top style="thin">
        <color theme="2"/>
      </top>
      <bottom style="thin">
        <color theme="2"/>
      </bottom>
      <diagonal/>
    </border>
    <border>
      <left style="thin">
        <color rgb="FFDDDDDD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rgb="FFB8BEC9"/>
      </left>
      <right style="thin">
        <color rgb="FFB8BEC9"/>
      </right>
      <top style="thin">
        <color rgb="FFB8BEC9"/>
      </top>
      <bottom style="thin">
        <color rgb="FFB8BEC9"/>
      </bottom>
      <diagonal/>
    </border>
    <border>
      <left/>
      <right style="thin">
        <color rgb="FFB8BEC9"/>
      </right>
      <top style="thin">
        <color rgb="FFB8BEC9"/>
      </top>
      <bottom style="thin">
        <color rgb="FFB8BEC9"/>
      </bottom>
      <diagonal/>
    </border>
    <border>
      <left/>
      <right/>
      <top style="thin">
        <color rgb="FFB8BEC9"/>
      </top>
      <bottom style="thin">
        <color rgb="FFB8BEC9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theme="2"/>
      </top>
      <bottom style="thin">
        <color theme="2"/>
      </bottom>
      <diagonal/>
    </border>
    <border>
      <left/>
      <right style="thin">
        <color rgb="FFDDDDDD"/>
      </right>
      <top/>
      <bottom style="thin">
        <color theme="2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3" fontId="7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3" fontId="8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3" fontId="13" fillId="12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/>
    <xf numFmtId="0" fontId="7" fillId="0" borderId="1" xfId="0" applyFont="1" applyBorder="1"/>
    <xf numFmtId="0" fontId="7" fillId="13" borderId="1" xfId="0" applyFont="1" applyFill="1" applyBorder="1"/>
    <xf numFmtId="0" fontId="7" fillId="9" borderId="1" xfId="0" applyFont="1" applyFill="1" applyBorder="1"/>
    <xf numFmtId="3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2" xfId="0" applyBorder="1"/>
    <xf numFmtId="0" fontId="7" fillId="14" borderId="1" xfId="0" applyFont="1" applyFill="1" applyBorder="1"/>
    <xf numFmtId="0" fontId="7" fillId="9" borderId="4" xfId="0" applyFont="1" applyFill="1" applyBorder="1"/>
    <xf numFmtId="0" fontId="7" fillId="9" borderId="5" xfId="0" applyFont="1" applyFill="1" applyBorder="1"/>
    <xf numFmtId="0" fontId="7" fillId="9" borderId="6" xfId="0" applyFont="1" applyFill="1" applyBorder="1"/>
    <xf numFmtId="0" fontId="7" fillId="9" borderId="8" xfId="0" applyFont="1" applyFill="1" applyBorder="1"/>
    <xf numFmtId="0" fontId="7" fillId="14" borderId="3" xfId="0" applyFont="1" applyFill="1" applyBorder="1"/>
    <xf numFmtId="0" fontId="7" fillId="9" borderId="2" xfId="0" applyFont="1" applyFill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3" fontId="7" fillId="0" borderId="10" xfId="0" applyNumberFormat="1" applyFont="1" applyBorder="1"/>
    <xf numFmtId="0" fontId="7" fillId="0" borderId="0" xfId="0" applyFont="1"/>
    <xf numFmtId="0" fontId="7" fillId="9" borderId="13" xfId="0" applyFont="1" applyFill="1" applyBorder="1"/>
    <xf numFmtId="0" fontId="7" fillId="0" borderId="7" xfId="0" applyFont="1" applyBorder="1"/>
    <xf numFmtId="0" fontId="7" fillId="9" borderId="12" xfId="0" applyFont="1" applyFill="1" applyBorder="1"/>
    <xf numFmtId="0" fontId="7" fillId="0" borderId="2" xfId="0" applyFont="1" applyBorder="1"/>
    <xf numFmtId="3" fontId="7" fillId="0" borderId="2" xfId="0" applyNumberFormat="1" applyFont="1" applyBorder="1"/>
    <xf numFmtId="0" fontId="0" fillId="0" borderId="2" xfId="0" applyBorder="1" applyAlignment="1">
      <alignment horizontal="center"/>
    </xf>
    <xf numFmtId="0" fontId="7" fillId="4" borderId="2" xfId="0" applyFont="1" applyFill="1" applyBorder="1"/>
    <xf numFmtId="3" fontId="7" fillId="4" borderId="2" xfId="0" applyNumberFormat="1" applyFont="1" applyFill="1" applyBorder="1"/>
    <xf numFmtId="0" fontId="0" fillId="4" borderId="2" xfId="0" applyFill="1" applyBorder="1" applyAlignment="1">
      <alignment horizontal="center"/>
    </xf>
    <xf numFmtId="0" fontId="7" fillId="4" borderId="15" xfId="0" applyFont="1" applyFill="1" applyBorder="1"/>
    <xf numFmtId="0" fontId="7" fillId="4" borderId="10" xfId="0" applyFont="1" applyFill="1" applyBorder="1"/>
    <xf numFmtId="0" fontId="7" fillId="4" borderId="8" xfId="0" applyFont="1" applyFill="1" applyBorder="1"/>
    <xf numFmtId="0" fontId="7" fillId="9" borderId="16" xfId="0" applyFont="1" applyFill="1" applyBorder="1"/>
    <xf numFmtId="0" fontId="7" fillId="9" borderId="17" xfId="0" applyFont="1" applyFill="1" applyBorder="1"/>
    <xf numFmtId="0" fontId="7" fillId="0" borderId="18" xfId="0" applyFont="1" applyBorder="1"/>
    <xf numFmtId="0" fontId="7" fillId="9" borderId="10" xfId="0" applyFont="1" applyFill="1" applyBorder="1"/>
    <xf numFmtId="0" fontId="7" fillId="4" borderId="17" xfId="0" applyFont="1" applyFill="1" applyBorder="1"/>
    <xf numFmtId="0" fontId="7" fillId="14" borderId="7" xfId="0" applyFont="1" applyFill="1" applyBorder="1"/>
    <xf numFmtId="0" fontId="7" fillId="0" borderId="19" xfId="0" applyFont="1" applyBorder="1"/>
    <xf numFmtId="0" fontId="7" fillId="4" borderId="20" xfId="0" applyFont="1" applyFill="1" applyBorder="1"/>
    <xf numFmtId="0" fontId="7" fillId="14" borderId="2" xfId="0" applyFont="1" applyFill="1" applyBorder="1"/>
    <xf numFmtId="0" fontId="7" fillId="4" borderId="21" xfId="0" applyFont="1" applyFill="1" applyBorder="1"/>
    <xf numFmtId="0" fontId="7" fillId="4" borderId="12" xfId="0" applyFont="1" applyFill="1" applyBorder="1"/>
    <xf numFmtId="0" fontId="7" fillId="14" borderId="18" xfId="0" applyFont="1" applyFill="1" applyBorder="1"/>
    <xf numFmtId="0" fontId="7" fillId="4" borderId="13" xfId="0" applyFont="1" applyFill="1" applyBorder="1"/>
    <xf numFmtId="0" fontId="7" fillId="4" borderId="19" xfId="0" applyFont="1" applyFill="1" applyBorder="1"/>
    <xf numFmtId="0" fontId="7" fillId="4" borderId="22" xfId="0" applyFont="1" applyFill="1" applyBorder="1"/>
    <xf numFmtId="0" fontId="7" fillId="4" borderId="23" xfId="0" applyFont="1" applyFill="1" applyBorder="1"/>
    <xf numFmtId="0" fontId="0" fillId="0" borderId="23" xfId="0" applyBorder="1"/>
    <xf numFmtId="0" fontId="0" fillId="0" borderId="25" xfId="0" applyBorder="1"/>
    <xf numFmtId="0" fontId="0" fillId="0" borderId="24" xfId="0" applyBorder="1"/>
    <xf numFmtId="0" fontId="17" fillId="0" borderId="2" xfId="0" applyFont="1" applyBorder="1"/>
    <xf numFmtId="0" fontId="14" fillId="0" borderId="11" xfId="0" applyFont="1" applyBorder="1"/>
    <xf numFmtId="0" fontId="14" fillId="14" borderId="0" xfId="0" applyFont="1" applyFill="1"/>
    <xf numFmtId="0" fontId="14" fillId="0" borderId="0" xfId="0" applyFont="1"/>
    <xf numFmtId="0" fontId="7" fillId="9" borderId="23" xfId="0" applyFont="1" applyFill="1" applyBorder="1"/>
    <xf numFmtId="0" fontId="7" fillId="9" borderId="19" xfId="0" applyFont="1" applyFill="1" applyBorder="1"/>
    <xf numFmtId="0" fontId="7" fillId="0" borderId="3" xfId="0" applyFont="1" applyBorder="1"/>
    <xf numFmtId="0" fontId="14" fillId="14" borderId="2" xfId="0" applyFont="1" applyFill="1" applyBorder="1"/>
    <xf numFmtId="0" fontId="0" fillId="0" borderId="26" xfId="0" applyBorder="1"/>
    <xf numFmtId="0" fontId="7" fillId="14" borderId="13" xfId="0" applyFont="1" applyFill="1" applyBorder="1"/>
    <xf numFmtId="0" fontId="14" fillId="0" borderId="2" xfId="0" applyFont="1" applyBorder="1"/>
    <xf numFmtId="0" fontId="0" fillId="4" borderId="2" xfId="0" applyFill="1" applyBorder="1"/>
    <xf numFmtId="0" fontId="0" fillId="4" borderId="23" xfId="0" applyFill="1" applyBorder="1"/>
    <xf numFmtId="0" fontId="0" fillId="4" borderId="25" xfId="0" applyFill="1" applyBorder="1"/>
    <xf numFmtId="0" fontId="0" fillId="4" borderId="13" xfId="0" applyFill="1" applyBorder="1"/>
    <xf numFmtId="0" fontId="0" fillId="0" borderId="27" xfId="0" applyBorder="1"/>
    <xf numFmtId="0" fontId="18" fillId="0" borderId="0" xfId="0" applyFont="1" applyAlignment="1">
      <alignment horizontal="left" vertical="center"/>
    </xf>
    <xf numFmtId="0" fontId="19" fillId="2" borderId="1" xfId="0" applyFont="1" applyFill="1" applyBorder="1" applyAlignment="1">
      <alignment horizontal="left" vertical="center" wrapText="1"/>
    </xf>
    <xf numFmtId="166" fontId="18" fillId="0" borderId="1" xfId="0" applyNumberFormat="1" applyFont="1" applyBorder="1" applyAlignment="1">
      <alignment horizontal="left" vertical="center"/>
    </xf>
    <xf numFmtId="0" fontId="18" fillId="4" borderId="28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166" fontId="18" fillId="0" borderId="7" xfId="0" applyNumberFormat="1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166" fontId="18" fillId="15" borderId="2" xfId="0" applyNumberFormat="1" applyFont="1" applyFill="1" applyBorder="1" applyAlignment="1">
      <alignment horizontal="left" vertical="center"/>
    </xf>
    <xf numFmtId="0" fontId="18" fillId="15" borderId="29" xfId="0" applyFont="1" applyFill="1" applyBorder="1" applyAlignment="1">
      <alignment horizontal="left" vertical="center"/>
    </xf>
    <xf numFmtId="0" fontId="18" fillId="15" borderId="7" xfId="0" applyFont="1" applyFill="1" applyBorder="1" applyAlignment="1">
      <alignment horizontal="left" vertical="center"/>
    </xf>
    <xf numFmtId="0" fontId="18" fillId="15" borderId="1" xfId="0" applyFont="1" applyFill="1" applyBorder="1" applyAlignment="1">
      <alignment horizontal="left" vertical="center"/>
    </xf>
    <xf numFmtId="0" fontId="18" fillId="15" borderId="12" xfId="0" applyFont="1" applyFill="1" applyBorder="1" applyAlignment="1">
      <alignment horizontal="left" vertical="center"/>
    </xf>
    <xf numFmtId="0" fontId="18" fillId="15" borderId="2" xfId="0" applyFont="1" applyFill="1" applyBorder="1" applyAlignment="1">
      <alignment horizontal="left" vertical="center"/>
    </xf>
    <xf numFmtId="0" fontId="18" fillId="15" borderId="30" xfId="0" applyFont="1" applyFill="1" applyBorder="1" applyAlignment="1">
      <alignment horizontal="left" vertical="center"/>
    </xf>
    <xf numFmtId="0" fontId="18" fillId="15" borderId="11" xfId="0" applyFont="1" applyFill="1" applyBorder="1" applyAlignment="1">
      <alignment horizontal="left" vertical="center"/>
    </xf>
    <xf numFmtId="0" fontId="18" fillId="15" borderId="31" xfId="0" applyFont="1" applyFill="1" applyBorder="1" applyAlignment="1">
      <alignment horizontal="left" vertical="center"/>
    </xf>
    <xf numFmtId="0" fontId="18" fillId="15" borderId="9" xfId="0" applyFont="1" applyFill="1" applyBorder="1" applyAlignment="1">
      <alignment horizontal="left" vertical="center"/>
    </xf>
    <xf numFmtId="0" fontId="18" fillId="15" borderId="17" xfId="0" applyFont="1" applyFill="1" applyBorder="1" applyAlignment="1">
      <alignment horizontal="left" vertical="center"/>
    </xf>
    <xf numFmtId="0" fontId="18" fillId="15" borderId="3" xfId="0" applyFont="1" applyFill="1" applyBorder="1" applyAlignment="1">
      <alignment horizontal="left" vertical="center"/>
    </xf>
    <xf numFmtId="0" fontId="18" fillId="15" borderId="15" xfId="0" applyFont="1" applyFill="1" applyBorder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18" fillId="15" borderId="8" xfId="0" applyFont="1" applyFill="1" applyBorder="1" applyAlignment="1">
      <alignment horizontal="left" vertical="center"/>
    </xf>
    <xf numFmtId="0" fontId="18" fillId="15" borderId="32" xfId="0" applyFont="1" applyFill="1" applyBorder="1" applyAlignment="1">
      <alignment horizontal="left" vertical="center"/>
    </xf>
    <xf numFmtId="0" fontId="18" fillId="15" borderId="23" xfId="0" applyFont="1" applyFill="1" applyBorder="1" applyAlignment="1">
      <alignment horizontal="left" vertical="center"/>
    </xf>
    <xf numFmtId="0" fontId="18" fillId="15" borderId="33" xfId="0" applyFont="1" applyFill="1" applyBorder="1" applyAlignment="1">
      <alignment horizontal="left" vertical="center"/>
    </xf>
    <xf numFmtId="166" fontId="7" fillId="0" borderId="10" xfId="0" applyNumberFormat="1" applyFont="1" applyBorder="1" applyAlignment="1">
      <alignment horizontal="left"/>
    </xf>
    <xf numFmtId="0" fontId="18" fillId="4" borderId="29" xfId="0" applyFont="1" applyFill="1" applyBorder="1" applyAlignment="1">
      <alignment horizontal="left" vertical="center"/>
    </xf>
    <xf numFmtId="3" fontId="18" fillId="0" borderId="10" xfId="0" applyNumberFormat="1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8" fillId="4" borderId="2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top"/>
    </xf>
    <xf numFmtId="166" fontId="18" fillId="0" borderId="0" xfId="0" applyNumberFormat="1" applyFont="1" applyAlignment="1">
      <alignment horizontal="left" vertical="center"/>
    </xf>
    <xf numFmtId="3" fontId="7" fillId="0" borderId="10" xfId="0" applyNumberFormat="1" applyFont="1" applyBorder="1" applyAlignment="1">
      <alignment horizontal="left"/>
    </xf>
    <xf numFmtId="3" fontId="7" fillId="4" borderId="2" xfId="0" applyNumberFormat="1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166" fontId="7" fillId="0" borderId="1" xfId="0" applyNumberFormat="1" applyFont="1" applyBorder="1"/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5" borderId="1" xfId="0" applyFont="1" applyFill="1" applyBorder="1"/>
    <xf numFmtId="166" fontId="7" fillId="5" borderId="1" xfId="0" applyNumberFormat="1" applyFont="1" applyFill="1" applyBorder="1"/>
    <xf numFmtId="0" fontId="14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166" fontId="14" fillId="0" borderId="1" xfId="0" applyNumberFormat="1" applyFont="1" applyBorder="1"/>
    <xf numFmtId="0" fontId="14" fillId="1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3" fillId="0" borderId="0" xfId="0" applyFont="1"/>
    <xf numFmtId="0" fontId="23" fillId="17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right"/>
    </xf>
    <xf numFmtId="3" fontId="0" fillId="0" borderId="0" xfId="0" applyNumberFormat="1"/>
    <xf numFmtId="164" fontId="9" fillId="0" borderId="1" xfId="0" applyNumberFormat="1" applyFont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6" fillId="2" borderId="0" xfId="0" applyFont="1" applyFill="1"/>
    <xf numFmtId="0" fontId="7" fillId="18" borderId="1" xfId="0" applyFont="1" applyFill="1" applyBorder="1"/>
    <xf numFmtId="0" fontId="14" fillId="18" borderId="1" xfId="0" applyFont="1" applyFill="1" applyBorder="1"/>
    <xf numFmtId="0" fontId="7" fillId="18" borderId="3" xfId="0" applyFont="1" applyFill="1" applyBorder="1"/>
    <xf numFmtId="0" fontId="7" fillId="18" borderId="7" xfId="0" applyFont="1" applyFill="1" applyBorder="1"/>
    <xf numFmtId="0" fontId="7" fillId="18" borderId="2" xfId="0" applyFont="1" applyFill="1" applyBorder="1"/>
    <xf numFmtId="0" fontId="7" fillId="18" borderId="12" xfId="0" applyFont="1" applyFill="1" applyBorder="1"/>
    <xf numFmtId="0" fontId="7" fillId="18" borderId="14" xfId="0" applyFont="1" applyFill="1" applyBorder="1"/>
    <xf numFmtId="0" fontId="7" fillId="18" borderId="10" xfId="0" applyFont="1" applyFill="1" applyBorder="1"/>
    <xf numFmtId="0" fontId="7" fillId="19" borderId="12" xfId="0" applyFont="1" applyFill="1" applyBorder="1"/>
    <xf numFmtId="0" fontId="7" fillId="19" borderId="10" xfId="0" applyFont="1" applyFill="1" applyBorder="1"/>
    <xf numFmtId="0" fontId="7" fillId="19" borderId="2" xfId="0" applyFont="1" applyFill="1" applyBorder="1"/>
    <xf numFmtId="0" fontId="14" fillId="19" borderId="2" xfId="0" applyFont="1" applyFill="1" applyBorder="1"/>
    <xf numFmtId="0" fontId="14" fillId="18" borderId="0" xfId="0" applyFont="1" applyFill="1"/>
    <xf numFmtId="0" fontId="24" fillId="20" borderId="34" xfId="0" applyFont="1" applyFill="1" applyBorder="1" applyAlignment="1">
      <alignment horizontal="center" vertical="center" wrapText="1"/>
    </xf>
    <xf numFmtId="0" fontId="14" fillId="18" borderId="2" xfId="0" applyFont="1" applyFill="1" applyBorder="1"/>
    <xf numFmtId="0" fontId="7" fillId="18" borderId="18" xfId="0" applyFont="1" applyFill="1" applyBorder="1"/>
    <xf numFmtId="0" fontId="0" fillId="21" borderId="2" xfId="0" applyFill="1" applyBorder="1"/>
    <xf numFmtId="14" fontId="18" fillId="0" borderId="0" xfId="0" applyNumberFormat="1" applyFont="1" applyAlignment="1">
      <alignment horizontal="left" vertical="center"/>
    </xf>
    <xf numFmtId="0" fontId="24" fillId="20" borderId="34" xfId="0" applyFont="1" applyFill="1" applyBorder="1" applyAlignment="1">
      <alignment horizontal="left" vertical="center" wrapText="1"/>
    </xf>
    <xf numFmtId="3" fontId="11" fillId="5" borderId="0" xfId="0" applyNumberFormat="1" applyFont="1" applyFill="1" applyAlignment="1">
      <alignment horizontal="center" vertical="center"/>
    </xf>
    <xf numFmtId="164" fontId="11" fillId="5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3" fontId="4" fillId="4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22" fillId="4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7" fillId="18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0" borderId="25" xfId="0" applyBorder="1" applyAlignment="1">
      <alignment horizontal="center"/>
    </xf>
  </cellXfs>
  <cellStyles count="1">
    <cellStyle name="Normal" xfId="0" builtinId="0"/>
  </cellStyles>
  <dxfs count="15">
    <dxf>
      <font>
        <b/>
        <sz val="10"/>
        <color rgb="FFC62828"/>
      </font>
      <fill>
        <patternFill>
          <bgColor rgb="FFFFCDD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EAF1FB"/>
          <bgColor rgb="FFE8F5E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EAF1FB"/>
          <bgColor rgb="FFE8F5E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FF3E0"/>
          <bgColor rgb="FFFFF8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FF3E0"/>
          <bgColor rgb="FFFFF8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FF3E0"/>
          <bgColor rgb="FFFFF8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FF3E0"/>
          <bgColor rgb="FFFFF8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FF3E0"/>
          <bgColor rgb="FFFFF8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FF3E0"/>
          <bgColor rgb="FFFFF8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FF3E0"/>
          <bgColor rgb="FFFFF8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FF3E0"/>
          <bgColor rgb="FFFFF8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&quot;R$ &quot;#,##0.00"/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EC9"/>
      <rgbColor rgb="FF666666"/>
      <rgbColor rgb="FFEAF1FB"/>
      <rgbColor rgb="FF993366"/>
      <rgbColor rgb="FFFFF2CC"/>
      <rgbColor rgb="FFE1F5FE"/>
      <rgbColor rgb="FF660066"/>
      <rgbColor rgb="FFFFF8E7"/>
      <rgbColor rgb="FF0066CC"/>
      <rgbColor rgb="FFDDDDDD"/>
      <rgbColor rgb="FF000080"/>
      <rgbColor rgb="FFFF00FF"/>
      <rgbColor rgb="FFFDEADA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DCE6F2"/>
      <rgbColor rgb="FFEDE7F6"/>
      <rgbColor rgb="FFEEECE1"/>
      <rgbColor rgb="FFFFCDD2"/>
      <rgbColor rgb="FF2E75B6"/>
      <rgbColor rgb="FF33CCCC"/>
      <rgbColor rgb="FFF8F8F8"/>
      <rgbColor rgb="FFFFC000"/>
      <rgbColor rgb="FFC8901E"/>
      <rgbColor rgb="FFED7D31"/>
      <rgbColor rgb="FF6B7280"/>
      <rgbColor rgb="FFF4F6FA"/>
      <rgbColor rgb="FF001E62"/>
      <rgbColor rgb="FF4CAF50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o" displayName="Catalogo" ref="A7:V608" totalsRowCount="1">
  <autoFilter ref="A7:V607" xr:uid="{00000000-000C-0000-FFFF-FFFF00000000}">
    <filterColumn colId="1">
      <filters>
        <filter val="A.01.0532.002.G"/>
      </filters>
    </filterColumn>
  </autoFilter>
  <tableColumns count="22">
    <tableColumn id="1" xr3:uid="{00000000-0010-0000-0000-000001000000}" name="#" totalsRowLabel="TOTAL" totalsRowDxfId="14"/>
    <tableColumn id="2" xr3:uid="{00000000-0010-0000-0000-000002000000}" name="CÓD. CLIENTE"/>
    <tableColumn id="3" xr3:uid="{00000000-0010-0000-0000-000003000000}" name="GÊNERO"/>
    <tableColumn id="4" xr3:uid="{00000000-0010-0000-0000-000004000000}" name="CATEGORIA"/>
    <tableColumn id="5" xr3:uid="{00000000-0010-0000-0000-000005000000}" name="GRUPO"/>
    <tableColumn id="6" xr3:uid="{00000000-0010-0000-0000-000006000000}" name="PRODUTO"/>
    <tableColumn id="7" xr3:uid="{00000000-0010-0000-0000-000007000000}" name="COR"/>
    <tableColumn id="8" xr3:uid="{00000000-0010-0000-0000-000008000000}" name="TAM"/>
    <tableColumn id="9" xr3:uid="{00000000-0010-0000-0000-000009000000}" name="PREÇO UNIT."/>
    <tableColumn id="10" xr3:uid="{00000000-0010-0000-0000-00000A000000}" name="ESTOQUE BTG" totalsRowFunction="sum" totalsRowDxfId="13"/>
    <tableColumn id="11" xr3:uid="{00000000-0010-0000-0000-00000B000000}" name="CUSTO TOTAL" totalsRowFunction="sum" totalsRowDxfId="12"/>
    <tableColumn id="12" xr3:uid="{00000000-0010-0000-0000-00000C000000}" name="# SKUs" totalsRowDxfId="11"/>
    <tableColumn id="13" xr3:uid="{00000000-0010-0000-0000-00000D000000}" name="PEDIDO 1- entregar BTG (saida)" totalsRowFunction="sum" totalsRowDxfId="10"/>
    <tableColumn id="14" xr3:uid="{00000000-0010-0000-0000-00000E000000}" name="PEDIDO 2 BTG entregar Dutelog (entrada)" totalsRowFunction="sum" totalsRowDxfId="9"/>
    <tableColumn id="15" xr3:uid="{00000000-0010-0000-0000-00000F000000}" name="PEDIDO 3- applicato entregar duelog 12/06" totalsRowFunction="sum" totalsRowDxfId="8"/>
    <tableColumn id="16" xr3:uid="{00000000-0010-0000-0000-000010000000}" name="PEDIDO 4- applicato entregar duelog 29/06" totalsRowFunction="sum" totalsRowDxfId="7"/>
    <tableColumn id="17" xr3:uid="{00000000-0010-0000-0000-000011000000}" name="PEDIDO 5- applicato entregar duelog 15/07" totalsRowFunction="sum" totalsRowDxfId="6"/>
    <tableColumn id="18" xr3:uid="{00000000-0010-0000-0000-000012000000}" name="PEDIDO 6- applicato entregar duelog 20/07" totalsRowFunction="sum" totalsRowDxfId="5"/>
    <tableColumn id="19" xr3:uid="{00000000-0010-0000-0000-000013000000}" name="PEDIDO 7- applicato entregar duelog 30/07" totalsRowFunction="sum" totalsRowDxfId="4"/>
    <tableColumn id="20" xr3:uid="{00000000-0010-0000-0000-000014000000}" name="PEDIDO 8- applicato entregar duelog 01/11" totalsRowFunction="sum" totalsRowDxfId="3"/>
    <tableColumn id="21" xr3:uid="{00000000-0010-0000-0000-000015000000}" name="QTD SOLIC." totalsRowFunction="sum" totalsRowDxfId="2"/>
    <tableColumn id="22" xr3:uid="{00000000-0010-0000-0000-000016000000}" name="DISPONÍVEL" totalsRowFunction="sum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B2:M42"/>
  <sheetViews>
    <sheetView showGridLines="0" zoomScaleNormal="100" workbookViewId="0">
      <selection activeCell="H8" sqref="H8"/>
    </sheetView>
  </sheetViews>
  <sheetFormatPr defaultColWidth="8.6640625" defaultRowHeight="14.4" x14ac:dyDescent="0.3"/>
  <cols>
    <col min="1" max="1" width="2.44140625" customWidth="1"/>
    <col min="2" max="2" width="22" customWidth="1"/>
    <col min="3" max="3" width="18" customWidth="1"/>
    <col min="4" max="4" width="14" customWidth="1"/>
    <col min="5" max="5" width="26" customWidth="1"/>
    <col min="6" max="6" width="10" customWidth="1"/>
    <col min="7" max="7" width="12" customWidth="1"/>
    <col min="8" max="8" width="14" customWidth="1"/>
    <col min="9" max="9" width="4" customWidth="1"/>
    <col min="10" max="10" width="12" customWidth="1"/>
    <col min="11" max="11" width="16" customWidth="1"/>
    <col min="12" max="13" width="4" customWidth="1"/>
  </cols>
  <sheetData>
    <row r="2" spans="2:13" ht="36" customHeight="1" x14ac:dyDescent="0.3">
      <c r="B2" s="186" t="s">
        <v>0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</row>
    <row r="3" spans="2:13" ht="18" customHeight="1" x14ac:dyDescent="0.3">
      <c r="B3" s="189" t="s">
        <v>1</v>
      </c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</row>
    <row r="5" spans="2:13" ht="19.5" customHeight="1" x14ac:dyDescent="0.3">
      <c r="B5" s="190" t="s">
        <v>2</v>
      </c>
      <c r="C5" s="190"/>
      <c r="D5" s="190"/>
      <c r="E5" s="190" t="s">
        <v>3</v>
      </c>
      <c r="F5" s="190"/>
      <c r="G5" s="190"/>
      <c r="H5" s="190" t="s">
        <v>4</v>
      </c>
      <c r="I5" s="190"/>
      <c r="J5" s="190"/>
      <c r="K5" s="190" t="s">
        <v>5</v>
      </c>
      <c r="L5" s="190"/>
      <c r="M5" s="190"/>
    </row>
    <row r="6" spans="2:13" ht="39.75" customHeight="1" x14ac:dyDescent="0.3">
      <c r="B6" s="194">
        <f>Catálogo!B6</f>
        <v>600</v>
      </c>
      <c r="C6" s="194"/>
      <c r="D6" s="194"/>
      <c r="E6" s="194">
        <f>Catálogo!D6</f>
        <v>13596</v>
      </c>
      <c r="F6" s="194"/>
      <c r="G6" s="194"/>
      <c r="H6" s="191">
        <f>Catálogo!G6</f>
        <v>0</v>
      </c>
      <c r="I6" s="191"/>
      <c r="J6" s="191"/>
      <c r="K6" s="191">
        <f>H6*0.005</f>
        <v>0</v>
      </c>
      <c r="L6" s="191"/>
      <c r="M6" s="191"/>
    </row>
    <row r="7" spans="2:13" ht="15.75" customHeight="1" x14ac:dyDescent="0.3">
      <c r="B7" s="192" t="s">
        <v>6</v>
      </c>
      <c r="C7" s="192"/>
      <c r="D7" s="192"/>
      <c r="E7" s="192" t="s">
        <v>7</v>
      </c>
      <c r="F7" s="192"/>
      <c r="G7" s="192"/>
      <c r="H7" s="192" t="s">
        <v>8</v>
      </c>
      <c r="I7" s="192"/>
      <c r="J7" s="192"/>
      <c r="K7" s="192" t="s">
        <v>9</v>
      </c>
      <c r="L7" s="192"/>
      <c r="M7" s="192"/>
    </row>
    <row r="10" spans="2:13" ht="21.75" customHeight="1" x14ac:dyDescent="0.3">
      <c r="B10" s="193" t="s">
        <v>10</v>
      </c>
      <c r="C10" s="193"/>
      <c r="D10" s="193"/>
      <c r="E10" s="193"/>
      <c r="F10" s="193"/>
      <c r="G10" s="193"/>
    </row>
    <row r="11" spans="2:13" ht="14.25" customHeight="1" x14ac:dyDescent="0.3">
      <c r="B11" s="1" t="s">
        <v>11</v>
      </c>
      <c r="C11" s="1" t="s">
        <v>2</v>
      </c>
      <c r="D11" s="1" t="s">
        <v>12</v>
      </c>
      <c r="E11" s="1" t="s">
        <v>13</v>
      </c>
      <c r="F11" s="1" t="s">
        <v>14</v>
      </c>
      <c r="G11" s="1" t="s">
        <v>15</v>
      </c>
    </row>
    <row r="12" spans="2:13" ht="18" customHeight="1" x14ac:dyDescent="0.3">
      <c r="B12" s="2" t="s">
        <v>16</v>
      </c>
      <c r="C12" s="3">
        <f>COUNTIF(Catalogo[GRUPO],B12)</f>
        <v>457</v>
      </c>
      <c r="D12" s="3">
        <f>SUMIFS(Catalogo[ESTOQUE BTG],Catalogo[GRUPO],B12)</f>
        <v>6855</v>
      </c>
      <c r="E12" s="4">
        <f>SUMIFS(Catalogo[CUSTO TOTAL],Catalogo[GRUPO],B12)</f>
        <v>0</v>
      </c>
      <c r="F12" s="5">
        <f t="shared" ref="F12:F17" si="0">IFERROR(D12/$E$6,0)</f>
        <v>0.50419240953221534</v>
      </c>
      <c r="G12" s="5">
        <f t="shared" ref="G12:G17" si="1">IFERROR(E12/$H$6,0)</f>
        <v>0</v>
      </c>
    </row>
    <row r="13" spans="2:13" ht="18" customHeight="1" x14ac:dyDescent="0.3">
      <c r="B13" s="6" t="s">
        <v>17</v>
      </c>
      <c r="C13" s="7">
        <f>COUNTIF(Catalogo[GRUPO],B13)</f>
        <v>24</v>
      </c>
      <c r="D13" s="7">
        <f>SUMIFS(Catalogo[ESTOQUE BTG],Catalogo[GRUPO],B13)</f>
        <v>2457</v>
      </c>
      <c r="E13" s="8">
        <f>SUMIFS(Catalogo[CUSTO TOTAL],Catalogo[GRUPO],B13)</f>
        <v>0</v>
      </c>
      <c r="F13" s="9">
        <f t="shared" si="0"/>
        <v>0.18071491615180935</v>
      </c>
      <c r="G13" s="9">
        <f t="shared" si="1"/>
        <v>0</v>
      </c>
    </row>
    <row r="14" spans="2:13" ht="18" customHeight="1" x14ac:dyDescent="0.3">
      <c r="B14" s="2" t="s">
        <v>18</v>
      </c>
      <c r="C14" s="3">
        <f>COUNTIF(Catalogo[GRUPO],B14)</f>
        <v>19</v>
      </c>
      <c r="D14" s="3">
        <f>SUMIFS(Catalogo[ESTOQUE BTG],Catalogo[GRUPO],B14)</f>
        <v>51</v>
      </c>
      <c r="E14" s="4">
        <f>SUMIFS(Catalogo[CUSTO TOTAL],Catalogo[GRUPO],B14)</f>
        <v>0</v>
      </c>
      <c r="F14" s="5">
        <f t="shared" si="0"/>
        <v>3.7511032656663726E-3</v>
      </c>
      <c r="G14" s="5">
        <f t="shared" si="1"/>
        <v>0</v>
      </c>
    </row>
    <row r="15" spans="2:13" ht="18" customHeight="1" x14ac:dyDescent="0.3">
      <c r="B15" s="6" t="s">
        <v>19</v>
      </c>
      <c r="C15" s="7">
        <f>COUNTIF(Catalogo[GRUPO],B15)</f>
        <v>12</v>
      </c>
      <c r="D15" s="7">
        <f>SUMIFS(Catalogo[ESTOQUE BTG],Catalogo[GRUPO],B15)</f>
        <v>257</v>
      </c>
      <c r="E15" s="8">
        <f>SUMIFS(Catalogo[CUSTO TOTAL],Catalogo[GRUPO],B15)</f>
        <v>0</v>
      </c>
      <c r="F15" s="9">
        <f t="shared" si="0"/>
        <v>1.8902618417181525E-2</v>
      </c>
      <c r="G15" s="9">
        <f t="shared" si="1"/>
        <v>0</v>
      </c>
    </row>
    <row r="16" spans="2:13" ht="18" customHeight="1" x14ac:dyDescent="0.3">
      <c r="B16" s="2" t="s">
        <v>20</v>
      </c>
      <c r="C16" s="3">
        <f>COUNTIF(Catalogo[GRUPO],B16)</f>
        <v>15</v>
      </c>
      <c r="D16" s="3">
        <f>SUMIFS(Catalogo[ESTOQUE BTG],Catalogo[GRUPO],B16)</f>
        <v>1483</v>
      </c>
      <c r="E16" s="4">
        <f>SUMIFS(Catalogo[CUSTO TOTAL],Catalogo[GRUPO],B16)</f>
        <v>0</v>
      </c>
      <c r="F16" s="5">
        <f t="shared" si="0"/>
        <v>0.10907619888202412</v>
      </c>
      <c r="G16" s="5">
        <f t="shared" si="1"/>
        <v>0</v>
      </c>
    </row>
    <row r="17" spans="2:8" ht="18" customHeight="1" x14ac:dyDescent="0.3">
      <c r="B17" s="6" t="s">
        <v>21</v>
      </c>
      <c r="C17" s="7">
        <f>COUNTIF(Catalogo[GRUPO],B17)</f>
        <v>20</v>
      </c>
      <c r="D17" s="7">
        <f>SUMIFS(Catalogo[ESTOQUE BTG],Catalogo[GRUPO],B17)</f>
        <v>201</v>
      </c>
      <c r="E17" s="8">
        <f>SUMIFS(Catalogo[CUSTO TOTAL],Catalogo[GRUPO],B17)</f>
        <v>0</v>
      </c>
      <c r="F17" s="9">
        <f t="shared" si="0"/>
        <v>1.4783759929390997E-2</v>
      </c>
      <c r="G17" s="9">
        <f t="shared" si="1"/>
        <v>0</v>
      </c>
    </row>
    <row r="18" spans="2:8" ht="14.25" customHeight="1" x14ac:dyDescent="0.3">
      <c r="B18" s="10" t="s">
        <v>22</v>
      </c>
      <c r="C18" s="11">
        <f>SUM(C12:C17)</f>
        <v>547</v>
      </c>
      <c r="D18" s="11">
        <f>SUM(D12:D17)</f>
        <v>11304</v>
      </c>
      <c r="E18" s="12">
        <f>SUM(E12:E17)</f>
        <v>0</v>
      </c>
      <c r="F18" s="13">
        <f>SUM(F12:F17)</f>
        <v>0.83142100617828774</v>
      </c>
      <c r="G18" s="13">
        <f>SUM(G12:G17)</f>
        <v>0</v>
      </c>
    </row>
    <row r="21" spans="2:8" ht="21.75" customHeight="1" x14ac:dyDescent="0.3">
      <c r="B21" s="193" t="s">
        <v>23</v>
      </c>
      <c r="C21" s="193"/>
      <c r="D21" s="193"/>
      <c r="E21" s="193"/>
      <c r="F21" s="193"/>
      <c r="G21" s="193"/>
      <c r="H21" s="193"/>
    </row>
    <row r="22" spans="2:8" ht="14.25" customHeight="1" x14ac:dyDescent="0.3">
      <c r="B22" s="1" t="s">
        <v>24</v>
      </c>
      <c r="C22" s="1" t="s">
        <v>25</v>
      </c>
      <c r="D22" s="1" t="s">
        <v>26</v>
      </c>
      <c r="E22" s="1" t="s">
        <v>27</v>
      </c>
      <c r="F22" s="1" t="s">
        <v>28</v>
      </c>
      <c r="G22" s="1" t="s">
        <v>29</v>
      </c>
      <c r="H22" s="1" t="s">
        <v>30</v>
      </c>
    </row>
    <row r="23" spans="2:8" ht="14.25" customHeight="1" x14ac:dyDescent="0.3">
      <c r="B23" s="14">
        <f>IFERROR(INDEX(Movimentações!$A$6:$A$4773,COUNTA(Movimentações!$C$6:$C$4773)-0),"")</f>
        <v>0</v>
      </c>
      <c r="C23" s="15">
        <f>IFERROR(INDEX(Movimentações!$B$6:$B$4773,COUNTA(Movimentações!$C$6:$C$4773)-0),"")</f>
        <v>0</v>
      </c>
      <c r="D23" s="16">
        <f>IFERROR(INDEX(Movimentações!$C$6:$C$4773,COUNTA(Movimentações!$C$6:$C$4773)-0),"")</f>
        <v>0</v>
      </c>
      <c r="E23" s="15" t="str">
        <f>IFERROR(INDEX(Movimentações!$D$6:$D$4773,COUNTA(Movimentações!$C$6:$C$4773)-0),"")</f>
        <v/>
      </c>
      <c r="F23" s="17">
        <f>IFERROR(INDEX(Movimentações!$E$6:$E$4773,COUNTA(Movimentações!$C$6:$C$4773)-0),"")</f>
        <v>0</v>
      </c>
      <c r="G23" s="16">
        <f>IFERROR(INDEX(Movimentações!$G$6:$G$4773,COUNTA(Movimentações!$C$6:$C$4773)-0),"")</f>
        <v>0</v>
      </c>
      <c r="H23" s="16">
        <f>IFERROR(INDEX(Movimentações!$K$6:$K$4773,COUNTA(Movimentações!$C$6:$C$4773)-0),"")</f>
        <v>0</v>
      </c>
    </row>
    <row r="24" spans="2:8" ht="14.25" customHeight="1" x14ac:dyDescent="0.3">
      <c r="B24" s="18">
        <f>IFERROR(INDEX(Movimentações!$A$6:$A$4773,COUNTA(Movimentações!$C$6:$C$4773)-1),"")</f>
        <v>0</v>
      </c>
      <c r="C24" s="19">
        <f>IFERROR(INDEX(Movimentações!$B$6:$B$4773,COUNTA(Movimentações!$C$6:$C$4773)-1),"")</f>
        <v>0</v>
      </c>
      <c r="D24" s="20">
        <f>IFERROR(INDEX(Movimentações!$C$6:$C$4773,COUNTA(Movimentações!$C$6:$C$4773)-1),"")</f>
        <v>0</v>
      </c>
      <c r="E24" s="19" t="str">
        <f>IFERROR(INDEX(Movimentações!$D$6:$D$4773,COUNTA(Movimentações!$C$6:$C$4773)-1),"")</f>
        <v/>
      </c>
      <c r="F24" s="21">
        <f>IFERROR(INDEX(Movimentações!$E$6:$E$4773,COUNTA(Movimentações!$C$6:$C$4773)-1),"")</f>
        <v>0</v>
      </c>
      <c r="G24" s="20">
        <f>IFERROR(INDEX(Movimentações!$G$6:$G$4773,COUNTA(Movimentações!$C$6:$C$4773)-1),"")</f>
        <v>0</v>
      </c>
      <c r="H24" s="20">
        <f>IFERROR(INDEX(Movimentações!$K$6:$K$4773,COUNTA(Movimentações!$C$6:$C$4773)-1),"")</f>
        <v>0</v>
      </c>
    </row>
    <row r="25" spans="2:8" ht="14.25" customHeight="1" x14ac:dyDescent="0.3">
      <c r="B25" s="14">
        <f>IFERROR(INDEX(Movimentações!$A$6:$A$4773,COUNTA(Movimentações!$C$6:$C$4773)-2),"")</f>
        <v>0</v>
      </c>
      <c r="C25" s="15">
        <f>IFERROR(INDEX(Movimentações!$B$6:$B$4773,COUNTA(Movimentações!$C$6:$C$4773)-2),"")</f>
        <v>0</v>
      </c>
      <c r="D25" s="16">
        <f>IFERROR(INDEX(Movimentações!$C$6:$C$4773,COUNTA(Movimentações!$C$6:$C$4773)-2),"")</f>
        <v>0</v>
      </c>
      <c r="E25" s="15" t="str">
        <f>IFERROR(INDEX(Movimentações!$D$6:$D$4773,COUNTA(Movimentações!$C$6:$C$4773)-2),"")</f>
        <v/>
      </c>
      <c r="F25" s="17">
        <f>IFERROR(INDEX(Movimentações!$E$6:$E$4773,COUNTA(Movimentações!$C$6:$C$4773)-2),"")</f>
        <v>0</v>
      </c>
      <c r="G25" s="16">
        <f>IFERROR(INDEX(Movimentações!$G$6:$G$4773,COUNTA(Movimentações!$C$6:$C$4773)-2),"")</f>
        <v>0</v>
      </c>
      <c r="H25" s="16">
        <f>IFERROR(INDEX(Movimentações!$K$6:$K$4773,COUNTA(Movimentações!$C$6:$C$4773)-2),"")</f>
        <v>0</v>
      </c>
    </row>
    <row r="26" spans="2:8" ht="14.25" customHeight="1" x14ac:dyDescent="0.3">
      <c r="B26" s="18">
        <f>IFERROR(INDEX(Movimentações!$A$6:$A$4773,COUNTA(Movimentações!$C$6:$C$4773)-3),"")</f>
        <v>0</v>
      </c>
      <c r="C26" s="19">
        <f>IFERROR(INDEX(Movimentações!$B$6:$B$4773,COUNTA(Movimentações!$C$6:$C$4773)-3),"")</f>
        <v>0</v>
      </c>
      <c r="D26" s="20">
        <f>IFERROR(INDEX(Movimentações!$C$6:$C$4773,COUNTA(Movimentações!$C$6:$C$4773)-3),"")</f>
        <v>0</v>
      </c>
      <c r="E26" s="19" t="str">
        <f>IFERROR(INDEX(Movimentações!$D$6:$D$4773,COUNTA(Movimentações!$C$6:$C$4773)-3),"")</f>
        <v/>
      </c>
      <c r="F26" s="21">
        <f>IFERROR(INDEX(Movimentações!$E$6:$E$4773,COUNTA(Movimentações!$C$6:$C$4773)-3),"")</f>
        <v>0</v>
      </c>
      <c r="G26" s="20">
        <f>IFERROR(INDEX(Movimentações!$G$6:$G$4773,COUNTA(Movimentações!$C$6:$C$4773)-3),"")</f>
        <v>0</v>
      </c>
      <c r="H26" s="20">
        <f>IFERROR(INDEX(Movimentações!$K$6:$K$4773,COUNTA(Movimentações!$C$6:$C$4773)-3),"")</f>
        <v>0</v>
      </c>
    </row>
    <row r="27" spans="2:8" ht="14.25" customHeight="1" x14ac:dyDescent="0.3">
      <c r="B27" s="14">
        <f>IFERROR(INDEX(Movimentações!$A$6:$A$4773,COUNTA(Movimentações!$C$6:$C$4773)-4),"")</f>
        <v>0</v>
      </c>
      <c r="C27" s="15">
        <f>IFERROR(INDEX(Movimentações!$B$6:$B$4773,COUNTA(Movimentações!$C$6:$C$4773)-4),"")</f>
        <v>0</v>
      </c>
      <c r="D27" s="16">
        <f>IFERROR(INDEX(Movimentações!$C$6:$C$4773,COUNTA(Movimentações!$C$6:$C$4773)-4),"")</f>
        <v>0</v>
      </c>
      <c r="E27" s="15" t="str">
        <f>IFERROR(INDEX(Movimentações!$D$6:$D$4773,COUNTA(Movimentações!$C$6:$C$4773)-4),"")</f>
        <v/>
      </c>
      <c r="F27" s="17">
        <f>IFERROR(INDEX(Movimentações!$E$6:$E$4773,COUNTA(Movimentações!$C$6:$C$4773)-4),"")</f>
        <v>0</v>
      </c>
      <c r="G27" s="16">
        <f>IFERROR(INDEX(Movimentações!$G$6:$G$4773,COUNTA(Movimentações!$C$6:$C$4773)-4),"")</f>
        <v>0</v>
      </c>
      <c r="H27" s="16">
        <f>IFERROR(INDEX(Movimentações!$K$6:$K$4773,COUNTA(Movimentações!$C$6:$C$4773)-4),"")</f>
        <v>0</v>
      </c>
    </row>
    <row r="28" spans="2:8" ht="14.25" customHeight="1" x14ac:dyDescent="0.3">
      <c r="B28" s="18">
        <f>IFERROR(INDEX(Movimentações!$A$6:$A$4773,COUNTA(Movimentações!$C$6:$C$4773)-5),"")</f>
        <v>0</v>
      </c>
      <c r="C28" s="19">
        <f>IFERROR(INDEX(Movimentações!$B$6:$B$4773,COUNTA(Movimentações!$C$6:$C$4773)-5),"")</f>
        <v>0</v>
      </c>
      <c r="D28" s="20">
        <f>IFERROR(INDEX(Movimentações!$C$6:$C$4773,COUNTA(Movimentações!$C$6:$C$4773)-5),"")</f>
        <v>0</v>
      </c>
      <c r="E28" s="19" t="str">
        <f>IFERROR(INDEX(Movimentações!$D$6:$D$4773,COUNTA(Movimentações!$C$6:$C$4773)-5),"")</f>
        <v/>
      </c>
      <c r="F28" s="21">
        <f>IFERROR(INDEX(Movimentações!$E$6:$E$4773,COUNTA(Movimentações!$C$6:$C$4773)-5),"")</f>
        <v>0</v>
      </c>
      <c r="G28" s="20">
        <f>IFERROR(INDEX(Movimentações!$G$6:$G$4773,COUNTA(Movimentações!$C$6:$C$4773)-5),"")</f>
        <v>0</v>
      </c>
      <c r="H28" s="20">
        <f>IFERROR(INDEX(Movimentações!$K$6:$K$4773,COUNTA(Movimentações!$C$6:$C$4773)-5),"")</f>
        <v>0</v>
      </c>
    </row>
    <row r="29" spans="2:8" ht="14.25" customHeight="1" x14ac:dyDescent="0.3">
      <c r="B29" s="14">
        <f>IFERROR(INDEX(Movimentações!$A$6:$A$4773,COUNTA(Movimentações!$C$6:$C$4773)-6),"")</f>
        <v>0</v>
      </c>
      <c r="C29" s="15">
        <f>IFERROR(INDEX(Movimentações!$B$6:$B$4773,COUNTA(Movimentações!$C$6:$C$4773)-6),"")</f>
        <v>0</v>
      </c>
      <c r="D29" s="16">
        <f>IFERROR(INDEX(Movimentações!$C$6:$C$4773,COUNTA(Movimentações!$C$6:$C$4773)-6),"")</f>
        <v>0</v>
      </c>
      <c r="E29" s="15" t="str">
        <f>IFERROR(INDEX(Movimentações!$D$6:$D$4773,COUNTA(Movimentações!$C$6:$C$4773)-6),"")</f>
        <v/>
      </c>
      <c r="F29" s="17">
        <f>IFERROR(INDEX(Movimentações!$E$6:$E$4773,COUNTA(Movimentações!$C$6:$C$4773)-6),"")</f>
        <v>0</v>
      </c>
      <c r="G29" s="16">
        <f>IFERROR(INDEX(Movimentações!$G$6:$G$4773,COUNTA(Movimentações!$C$6:$C$4773)-6),"")</f>
        <v>0</v>
      </c>
      <c r="H29" s="16">
        <f>IFERROR(INDEX(Movimentações!$K$6:$K$4773,COUNTA(Movimentações!$C$6:$C$4773)-6),"")</f>
        <v>0</v>
      </c>
    </row>
    <row r="30" spans="2:8" ht="14.25" customHeight="1" x14ac:dyDescent="0.3">
      <c r="B30" s="18">
        <f>IFERROR(INDEX(Movimentações!$A$6:$A$4773,COUNTA(Movimentações!$C$6:$C$4773)-7),"")</f>
        <v>0</v>
      </c>
      <c r="C30" s="19">
        <f>IFERROR(INDEX(Movimentações!$B$6:$B$4773,COUNTA(Movimentações!$C$6:$C$4773)-7),"")</f>
        <v>0</v>
      </c>
      <c r="D30" s="20">
        <f>IFERROR(INDEX(Movimentações!$C$6:$C$4773,COUNTA(Movimentações!$C$6:$C$4773)-7),"")</f>
        <v>0</v>
      </c>
      <c r="E30" s="19" t="str">
        <f>IFERROR(INDEX(Movimentações!$D$6:$D$4773,COUNTA(Movimentações!$C$6:$C$4773)-7),"")</f>
        <v/>
      </c>
      <c r="F30" s="21">
        <f>IFERROR(INDEX(Movimentações!$E$6:$E$4773,COUNTA(Movimentações!$C$6:$C$4773)-7),"")</f>
        <v>0</v>
      </c>
      <c r="G30" s="20">
        <f>IFERROR(INDEX(Movimentações!$G$6:$G$4773,COUNTA(Movimentações!$C$6:$C$4773)-7),"")</f>
        <v>0</v>
      </c>
      <c r="H30" s="20">
        <f>IFERROR(INDEX(Movimentações!$K$6:$K$4773,COUNTA(Movimentações!$C$6:$C$4773)-7),"")</f>
        <v>0</v>
      </c>
    </row>
    <row r="31" spans="2:8" ht="14.25" customHeight="1" x14ac:dyDescent="0.3">
      <c r="B31" s="14">
        <f>IFERROR(INDEX(Movimentações!$A$6:$A$4773,COUNTA(Movimentações!$C$6:$C$4773)-8),"")</f>
        <v>0</v>
      </c>
      <c r="C31" s="15">
        <f>IFERROR(INDEX(Movimentações!$B$6:$B$4773,COUNTA(Movimentações!$C$6:$C$4773)-8),"")</f>
        <v>0</v>
      </c>
      <c r="D31" s="16">
        <f>IFERROR(INDEX(Movimentações!$C$6:$C$4773,COUNTA(Movimentações!$C$6:$C$4773)-8),"")</f>
        <v>0</v>
      </c>
      <c r="E31" s="15" t="str">
        <f>IFERROR(INDEX(Movimentações!$D$6:$D$4773,COUNTA(Movimentações!$C$6:$C$4773)-8),"")</f>
        <v/>
      </c>
      <c r="F31" s="17">
        <f>IFERROR(INDEX(Movimentações!$E$6:$E$4773,COUNTA(Movimentações!$C$6:$C$4773)-8),"")</f>
        <v>0</v>
      </c>
      <c r="G31" s="16">
        <f>IFERROR(INDEX(Movimentações!$G$6:$G$4773,COUNTA(Movimentações!$C$6:$C$4773)-8),"")</f>
        <v>0</v>
      </c>
      <c r="H31" s="16">
        <f>IFERROR(INDEX(Movimentações!$K$6:$K$4773,COUNTA(Movimentações!$C$6:$C$4773)-8),"")</f>
        <v>0</v>
      </c>
    </row>
    <row r="32" spans="2:8" ht="14.25" customHeight="1" x14ac:dyDescent="0.3">
      <c r="B32" s="18">
        <f>IFERROR(INDEX(Movimentações!$A$6:$A$4773,COUNTA(Movimentações!$C$6:$C$4773)-9),"")</f>
        <v>46204</v>
      </c>
      <c r="C32" s="19" t="str">
        <f>IFERROR(INDEX(Movimentações!$B$6:$B$4773,COUNTA(Movimentações!$C$6:$C$4773)-9),"")</f>
        <v>ENTRADA</v>
      </c>
      <c r="D32" s="20" t="str">
        <f>IFERROR(INDEX(Movimentações!$C$6:$C$4773,COUNTA(Movimentações!$C$6:$C$4773)-9),"")</f>
        <v>BTG-2210</v>
      </c>
      <c r="E32" s="19" t="str">
        <f>IFERROR(INDEX(Movimentações!$D$6:$D$4773,COUNTA(Movimentações!$C$6:$C$4773)-9),"")</f>
        <v>POLO PIQUET ARPOADOR MASC.</v>
      </c>
      <c r="F32" s="21">
        <f>IFERROR(INDEX(Movimentações!$E$6:$E$4773,COUNTA(Movimentações!$C$6:$C$4773)-9),"")</f>
        <v>2</v>
      </c>
      <c r="G32" s="20" t="str">
        <f>IFERROR(INDEX(Movimentações!$G$6:$G$4773,COUNTA(Movimentações!$C$6:$C$4773)-9),"")</f>
        <v>Store</v>
      </c>
      <c r="H32" s="20" t="str">
        <f>IFERROR(INDEX(Movimentações!$K$6:$K$4773,COUNTA(Movimentações!$C$6:$C$4773)-9),"")</f>
        <v>RAFAEL</v>
      </c>
    </row>
    <row r="33" spans="2:8" ht="14.25" customHeight="1" x14ac:dyDescent="0.3">
      <c r="B33" s="14">
        <f>IFERROR(INDEX(Movimentações!$A$6:$A$4773,COUNTA(Movimentações!$C$6:$C$4773)-10),"")</f>
        <v>46204</v>
      </c>
      <c r="C33" s="15" t="str">
        <f>IFERROR(INDEX(Movimentações!$B$6:$B$4773,COUNTA(Movimentações!$C$6:$C$4773)-10),"")</f>
        <v>ENTRADA</v>
      </c>
      <c r="D33" s="16" t="str">
        <f>IFERROR(INDEX(Movimentações!$C$6:$C$4773,COUNTA(Movimentações!$C$6:$C$4773)-10),"")</f>
        <v>BTG-2209</v>
      </c>
      <c r="E33" s="15" t="str">
        <f>IFERROR(INDEX(Movimentações!$D$6:$D$4773,COUNTA(Movimentações!$C$6:$C$4773)-10),"")</f>
        <v>POLO PIQUET ARPOADOR MASC.</v>
      </c>
      <c r="F33" s="17">
        <f>IFERROR(INDEX(Movimentações!$E$6:$E$4773,COUNTA(Movimentações!$C$6:$C$4773)-10),"")</f>
        <v>1</v>
      </c>
      <c r="G33" s="16" t="str">
        <f>IFERROR(INDEX(Movimentações!$G$6:$G$4773,COUNTA(Movimentações!$C$6:$C$4773)-10),"")</f>
        <v>Store</v>
      </c>
      <c r="H33" s="16" t="str">
        <f>IFERROR(INDEX(Movimentações!$K$6:$K$4773,COUNTA(Movimentações!$C$6:$C$4773)-10),"")</f>
        <v>RAFAEL</v>
      </c>
    </row>
    <row r="34" spans="2:8" ht="14.25" customHeight="1" x14ac:dyDescent="0.3">
      <c r="B34" s="18">
        <f>IFERROR(INDEX(Movimentações!$A$6:$A$4773,COUNTA(Movimentações!$C$6:$C$4773)-11),"")</f>
        <v>46204</v>
      </c>
      <c r="C34" s="19" t="str">
        <f>IFERROR(INDEX(Movimentações!$B$6:$B$4773,COUNTA(Movimentações!$C$6:$C$4773)-11),"")</f>
        <v>ENTRADA</v>
      </c>
      <c r="D34" s="20" t="str">
        <f>IFERROR(INDEX(Movimentações!$C$6:$C$4773,COUNTA(Movimentações!$C$6:$C$4773)-11),"")</f>
        <v>BTG-2208</v>
      </c>
      <c r="E34" s="19" t="str">
        <f>IFERROR(INDEX(Movimentações!$D$6:$D$4773,COUNTA(Movimentações!$C$6:$C$4773)-11),"")</f>
        <v>POLO PIQUET ARPOADOR MASC.</v>
      </c>
      <c r="F34" s="21">
        <f>IFERROR(INDEX(Movimentações!$E$6:$E$4773,COUNTA(Movimentações!$C$6:$C$4773)-11),"")</f>
        <v>7</v>
      </c>
      <c r="G34" s="20" t="str">
        <f>IFERROR(INDEX(Movimentações!$G$6:$G$4773,COUNTA(Movimentações!$C$6:$C$4773)-11),"")</f>
        <v>Store</v>
      </c>
      <c r="H34" s="20" t="str">
        <f>IFERROR(INDEX(Movimentações!$K$6:$K$4773,COUNTA(Movimentações!$C$6:$C$4773)-11),"")</f>
        <v>RAFAEL</v>
      </c>
    </row>
    <row r="35" spans="2:8" ht="14.25" customHeight="1" x14ac:dyDescent="0.3">
      <c r="B35" s="14">
        <f>IFERROR(INDEX(Movimentações!$A$6:$A$4773,COUNTA(Movimentações!$C$6:$C$4773)-12),"")</f>
        <v>46204</v>
      </c>
      <c r="C35" s="15" t="str">
        <f>IFERROR(INDEX(Movimentações!$B$6:$B$4773,COUNTA(Movimentações!$C$6:$C$4773)-12),"")</f>
        <v>ENTRADA</v>
      </c>
      <c r="D35" s="16" t="str">
        <f>IFERROR(INDEX(Movimentações!$C$6:$C$4773,COUNTA(Movimentações!$C$6:$C$4773)-12),"")</f>
        <v>BTG-2213</v>
      </c>
      <c r="E35" s="15" t="str">
        <f>IFERROR(INDEX(Movimentações!$D$6:$D$4773,COUNTA(Movimentações!$C$6:$C$4773)-12),"")</f>
        <v>POLO PIQUET ARPOADOR MASC.</v>
      </c>
      <c r="F35" s="17">
        <f>IFERROR(INDEX(Movimentações!$E$6:$E$4773,COUNTA(Movimentações!$C$6:$C$4773)-12),"")</f>
        <v>68</v>
      </c>
      <c r="G35" s="16" t="str">
        <f>IFERROR(INDEX(Movimentações!$G$6:$G$4773,COUNTA(Movimentações!$C$6:$C$4773)-12),"")</f>
        <v>Store</v>
      </c>
      <c r="H35" s="16" t="str">
        <f>IFERROR(INDEX(Movimentações!$K$6:$K$4773,COUNTA(Movimentações!$C$6:$C$4773)-12),"")</f>
        <v>RAFAEL</v>
      </c>
    </row>
    <row r="36" spans="2:8" ht="14.25" customHeight="1" x14ac:dyDescent="0.3">
      <c r="B36" s="18">
        <f>IFERROR(INDEX(Movimentações!$A$6:$A$4773,COUNTA(Movimentações!$C$6:$C$4773)-13),"")</f>
        <v>46204</v>
      </c>
      <c r="C36" s="19" t="str">
        <f>IFERROR(INDEX(Movimentações!$B$6:$B$4773,COUNTA(Movimentações!$C$6:$C$4773)-13),"")</f>
        <v>ENTRADA</v>
      </c>
      <c r="D36" s="20" t="str">
        <f>IFERROR(INDEX(Movimentações!$C$6:$C$4773,COUNTA(Movimentações!$C$6:$C$4773)-13),"")</f>
        <v>BTG-2212</v>
      </c>
      <c r="E36" s="19" t="str">
        <f>IFERROR(INDEX(Movimentações!$D$6:$D$4773,COUNTA(Movimentações!$C$6:$C$4773)-13),"")</f>
        <v>POLO PIQUET ARPOADOR MASC.</v>
      </c>
      <c r="F36" s="21">
        <f>IFERROR(INDEX(Movimentações!$E$6:$E$4773,COUNTA(Movimentações!$C$6:$C$4773)-13),"")</f>
        <v>1</v>
      </c>
      <c r="G36" s="20" t="str">
        <f>IFERROR(INDEX(Movimentações!$G$6:$G$4773,COUNTA(Movimentações!$C$6:$C$4773)-13),"")</f>
        <v>Store</v>
      </c>
      <c r="H36" s="20" t="str">
        <f>IFERROR(INDEX(Movimentações!$K$6:$K$4773,COUNTA(Movimentações!$C$6:$C$4773)-13),"")</f>
        <v>RAFAEL</v>
      </c>
    </row>
    <row r="37" spans="2:8" ht="14.25" customHeight="1" x14ac:dyDescent="0.3">
      <c r="B37" s="14">
        <f>IFERROR(INDEX(Movimentações!$A$6:$A$4773,COUNTA(Movimentações!$C$6:$C$4773)-14),"")</f>
        <v>46204</v>
      </c>
      <c r="C37" s="15" t="str">
        <f>IFERROR(INDEX(Movimentações!$B$6:$B$4773,COUNTA(Movimentações!$C$6:$C$4773)-14),"")</f>
        <v>ENTRADA</v>
      </c>
      <c r="D37" s="16" t="str">
        <f>IFERROR(INDEX(Movimentações!$C$6:$C$4773,COUNTA(Movimentações!$C$6:$C$4773)-14),"")</f>
        <v>BTG-2211</v>
      </c>
      <c r="E37" s="15" t="str">
        <f>IFERROR(INDEX(Movimentações!$D$6:$D$4773,COUNTA(Movimentações!$C$6:$C$4773)-14),"")</f>
        <v>POLO PIQUET ARPOADOR MASC.</v>
      </c>
      <c r="F37" s="17">
        <f>IFERROR(INDEX(Movimentações!$E$6:$E$4773,COUNTA(Movimentações!$C$6:$C$4773)-14),"")</f>
        <v>50</v>
      </c>
      <c r="G37" s="16" t="str">
        <f>IFERROR(INDEX(Movimentações!$G$6:$G$4773,COUNTA(Movimentações!$C$6:$C$4773)-14),"")</f>
        <v>Store</v>
      </c>
      <c r="H37" s="16" t="str">
        <f>IFERROR(INDEX(Movimentações!$K$6:$K$4773,COUNTA(Movimentações!$C$6:$C$4773)-14),"")</f>
        <v>RAFAEL</v>
      </c>
    </row>
    <row r="38" spans="2:8" ht="14.25" customHeight="1" x14ac:dyDescent="0.3">
      <c r="B38" s="18">
        <f>IFERROR(INDEX(Movimentações!$A$6:$A$4773,COUNTA(Movimentações!$C$6:$C$4773)-15),"")</f>
        <v>46204</v>
      </c>
      <c r="C38" s="19" t="str">
        <f>IFERROR(INDEX(Movimentações!$B$6:$B$4773,COUNTA(Movimentações!$C$6:$C$4773)-15),"")</f>
        <v>ENTRADA</v>
      </c>
      <c r="D38" s="20" t="str">
        <f>IFERROR(INDEX(Movimentações!$C$6:$C$4773,COUNTA(Movimentações!$C$6:$C$4773)-15),"")</f>
        <v>BTG-2212</v>
      </c>
      <c r="E38" s="19" t="str">
        <f>IFERROR(INDEX(Movimentações!$D$6:$D$4773,COUNTA(Movimentações!$C$6:$C$4773)-15),"")</f>
        <v>POLO PIQUET ARPOADOR MASC.</v>
      </c>
      <c r="F38" s="21">
        <f>IFERROR(INDEX(Movimentações!$E$6:$E$4773,COUNTA(Movimentações!$C$6:$C$4773)-15),"")</f>
        <v>17</v>
      </c>
      <c r="G38" s="20" t="str">
        <f>IFERROR(INDEX(Movimentações!$G$6:$G$4773,COUNTA(Movimentações!$C$6:$C$4773)-15),"")</f>
        <v>Store</v>
      </c>
      <c r="H38" s="20" t="str">
        <f>IFERROR(INDEX(Movimentações!$K$6:$K$4773,COUNTA(Movimentações!$C$6:$C$4773)-15),"")</f>
        <v>RAFAEL</v>
      </c>
    </row>
    <row r="39" spans="2:8" ht="14.25" customHeight="1" x14ac:dyDescent="0.3">
      <c r="B39" s="14">
        <f>IFERROR(INDEX(Movimentações!$A$6:$A$4773,COUNTA(Movimentações!$C$6:$C$4773)-16),"")</f>
        <v>46204</v>
      </c>
      <c r="C39" s="15" t="str">
        <f>IFERROR(INDEX(Movimentações!$B$6:$B$4773,COUNTA(Movimentações!$C$6:$C$4773)-16),"")</f>
        <v>ENTRADA</v>
      </c>
      <c r="D39" s="16" t="str">
        <f>IFERROR(INDEX(Movimentações!$C$6:$C$4773,COUNTA(Movimentações!$C$6:$C$4773)-16),"")</f>
        <v>BTG-2211</v>
      </c>
      <c r="E39" s="15" t="str">
        <f>IFERROR(INDEX(Movimentações!$D$6:$D$4773,COUNTA(Movimentações!$C$6:$C$4773)-16),"")</f>
        <v>POLO PIQUET ARPOADOR MASC.</v>
      </c>
      <c r="F39" s="17">
        <f>IFERROR(INDEX(Movimentações!$E$6:$E$4773,COUNTA(Movimentações!$C$6:$C$4773)-16),"")</f>
        <v>18</v>
      </c>
      <c r="G39" s="16" t="str">
        <f>IFERROR(INDEX(Movimentações!$G$6:$G$4773,COUNTA(Movimentações!$C$6:$C$4773)-16),"")</f>
        <v>Store</v>
      </c>
      <c r="H39" s="16" t="str">
        <f>IFERROR(INDEX(Movimentações!$K$6:$K$4773,COUNTA(Movimentações!$C$6:$C$4773)-16),"")</f>
        <v>RAFAEL</v>
      </c>
    </row>
    <row r="40" spans="2:8" ht="14.25" customHeight="1" x14ac:dyDescent="0.3">
      <c r="B40" s="18">
        <f>IFERROR(INDEX(Movimentações!$A$6:$A$4773,COUNTA(Movimentações!$C$6:$C$4773)-17),"")</f>
        <v>46204</v>
      </c>
      <c r="C40" s="19" t="str">
        <f>IFERROR(INDEX(Movimentações!$B$6:$B$4773,COUNTA(Movimentações!$C$6:$C$4773)-17),"")</f>
        <v>ENTRADA</v>
      </c>
      <c r="D40" s="20" t="str">
        <f>IFERROR(INDEX(Movimentações!$C$6:$C$4773,COUNTA(Movimentações!$C$6:$C$4773)-17),"")</f>
        <v>BTG-2210</v>
      </c>
      <c r="E40" s="19" t="str">
        <f>IFERROR(INDEX(Movimentações!$D$6:$D$4773,COUNTA(Movimentações!$C$6:$C$4773)-17),"")</f>
        <v>POLO PIQUET ARPOADOR MASC.</v>
      </c>
      <c r="F40" s="21">
        <f>IFERROR(INDEX(Movimentações!$E$6:$E$4773,COUNTA(Movimentações!$C$6:$C$4773)-17),"")</f>
        <v>60</v>
      </c>
      <c r="G40" s="20" t="str">
        <f>IFERROR(INDEX(Movimentações!$G$6:$G$4773,COUNTA(Movimentações!$C$6:$C$4773)-17),"")</f>
        <v>Store</v>
      </c>
      <c r="H40" s="20" t="str">
        <f>IFERROR(INDEX(Movimentações!$K$6:$K$4773,COUNTA(Movimentações!$C$6:$C$4773)-17),"")</f>
        <v>RAFAEL</v>
      </c>
    </row>
    <row r="41" spans="2:8" ht="14.25" customHeight="1" x14ac:dyDescent="0.3">
      <c r="B41" s="14">
        <f>IFERROR(INDEX(Movimentações!$A$6:$A$4773,COUNTA(Movimentações!$C$6:$C$4773)-18),"")</f>
        <v>46204</v>
      </c>
      <c r="C41" s="15" t="str">
        <f>IFERROR(INDEX(Movimentações!$B$6:$B$4773,COUNTA(Movimentações!$C$6:$C$4773)-18),"")</f>
        <v>ENTRADA</v>
      </c>
      <c r="D41" s="16" t="str">
        <f>IFERROR(INDEX(Movimentações!$C$6:$C$4773,COUNTA(Movimentações!$C$6:$C$4773)-18),"")</f>
        <v>BTG-2210</v>
      </c>
      <c r="E41" s="15" t="str">
        <f>IFERROR(INDEX(Movimentações!$D$6:$D$4773,COUNTA(Movimentações!$C$6:$C$4773)-18),"")</f>
        <v>POLO PIQUET ARPOADOR MASC.</v>
      </c>
      <c r="F41" s="17">
        <f>IFERROR(INDEX(Movimentações!$E$6:$E$4773,COUNTA(Movimentações!$C$6:$C$4773)-18),"")</f>
        <v>24</v>
      </c>
      <c r="G41" s="16" t="str">
        <f>IFERROR(INDEX(Movimentações!$G$6:$G$4773,COUNTA(Movimentações!$C$6:$C$4773)-18),"")</f>
        <v>Store</v>
      </c>
      <c r="H41" s="16" t="str">
        <f>IFERROR(INDEX(Movimentações!$K$6:$K$4773,COUNTA(Movimentações!$C$6:$C$4773)-18),"")</f>
        <v>RAFAEL</v>
      </c>
    </row>
    <row r="42" spans="2:8" ht="14.25" customHeight="1" x14ac:dyDescent="0.3">
      <c r="B42" s="18">
        <f>IFERROR(INDEX(Movimentações!$A$6:$A$4773,COUNTA(Movimentações!$C$6:$C$4773)-19),"")</f>
        <v>46204</v>
      </c>
      <c r="C42" s="19" t="str">
        <f>IFERROR(INDEX(Movimentações!$B$6:$B$4773,COUNTA(Movimentações!$C$6:$C$4773)-19),"")</f>
        <v>ENTRADA</v>
      </c>
      <c r="D42" s="20" t="str">
        <f>IFERROR(INDEX(Movimentações!$C$6:$C$4773,COUNTA(Movimentações!$C$6:$C$4773)-19),"")</f>
        <v>BTG-2208</v>
      </c>
      <c r="E42" s="19" t="str">
        <f>IFERROR(INDEX(Movimentações!$D$6:$D$4773,COUNTA(Movimentações!$C$6:$C$4773)-19),"")</f>
        <v>POLO PIQUET ARPOADOR MASC.</v>
      </c>
      <c r="F42" s="21">
        <f>IFERROR(INDEX(Movimentações!$E$6:$E$4773,COUNTA(Movimentações!$C$6:$C$4773)-19),"")</f>
        <v>60</v>
      </c>
      <c r="G42" s="20" t="str">
        <f>IFERROR(INDEX(Movimentações!$G$6:$G$4773,COUNTA(Movimentações!$C$6:$C$4773)-19),"")</f>
        <v>Store</v>
      </c>
      <c r="H42" s="20" t="str">
        <f>IFERROR(INDEX(Movimentações!$K$6:$K$4773,COUNTA(Movimentações!$C$6:$C$4773)-19),"")</f>
        <v>RAFAEL</v>
      </c>
    </row>
  </sheetData>
  <mergeCells count="16">
    <mergeCell ref="B10:G10"/>
    <mergeCell ref="B21:H21"/>
    <mergeCell ref="B6:D6"/>
    <mergeCell ref="E6:G6"/>
    <mergeCell ref="H6:J6"/>
    <mergeCell ref="K6:M6"/>
    <mergeCell ref="B7:D7"/>
    <mergeCell ref="E7:G7"/>
    <mergeCell ref="H7:J7"/>
    <mergeCell ref="K7:M7"/>
    <mergeCell ref="B2:M2"/>
    <mergeCell ref="B3:M3"/>
    <mergeCell ref="B5:D5"/>
    <mergeCell ref="E5:G5"/>
    <mergeCell ref="H5:J5"/>
    <mergeCell ref="K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2:V620"/>
  <sheetViews>
    <sheetView zoomScaleNormal="100" workbookViewId="0">
      <pane ySplit="7" topLeftCell="A441" activePane="bottomLeft" state="frozen"/>
      <selection pane="bottomLeft" activeCell="F596" sqref="F596"/>
    </sheetView>
  </sheetViews>
  <sheetFormatPr defaultColWidth="8.6640625" defaultRowHeight="14.4" x14ac:dyDescent="0.3"/>
  <cols>
    <col min="1" max="1" width="5" customWidth="1"/>
    <col min="2" max="2" width="16" customWidth="1"/>
    <col min="3" max="3" width="11" customWidth="1"/>
    <col min="4" max="4" width="16" customWidth="1"/>
    <col min="5" max="5" width="20" customWidth="1"/>
    <col min="6" max="6" width="32" customWidth="1"/>
    <col min="7" max="7" width="13" customWidth="1"/>
    <col min="8" max="8" width="7" customWidth="1"/>
    <col min="9" max="10" width="12" customWidth="1"/>
    <col min="11" max="11" width="14" customWidth="1"/>
    <col min="12" max="12" width="7" customWidth="1"/>
    <col min="13" max="22" width="12" customWidth="1"/>
  </cols>
  <sheetData>
    <row r="2" spans="1:22" ht="33.75" customHeight="1" x14ac:dyDescent="0.3">
      <c r="B2" s="186" t="s">
        <v>31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</row>
    <row r="3" spans="1:22" ht="19.5" customHeight="1" x14ac:dyDescent="0.3">
      <c r="B3" s="187" t="s">
        <v>32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</row>
    <row r="5" spans="1:22" ht="21.75" customHeight="1" x14ac:dyDescent="0.3">
      <c r="B5" s="188" t="s">
        <v>2</v>
      </c>
      <c r="C5" s="188"/>
      <c r="D5" s="188" t="s">
        <v>3</v>
      </c>
      <c r="E5" s="188"/>
      <c r="F5" s="188"/>
      <c r="G5" s="188" t="s">
        <v>4</v>
      </c>
      <c r="H5" s="188"/>
      <c r="I5" s="188"/>
      <c r="J5" s="188"/>
      <c r="K5" s="188"/>
    </row>
    <row r="6" spans="1:22" ht="30" customHeight="1" x14ac:dyDescent="0.3">
      <c r="B6" s="184">
        <f>COUNTA(Catalogo[CÓD. CLIENTE])</f>
        <v>600</v>
      </c>
      <c r="C6" s="184"/>
      <c r="D6" s="184">
        <f>SUM(Catalogo[ESTOQUE BTG])</f>
        <v>13596</v>
      </c>
      <c r="E6" s="184"/>
      <c r="F6" s="184"/>
      <c r="G6" s="185">
        <f>SUM(Catalogo[CUSTO TOTAL])</f>
        <v>0</v>
      </c>
      <c r="H6" s="185"/>
      <c r="I6" s="185"/>
      <c r="J6" s="185"/>
      <c r="K6" s="185"/>
    </row>
    <row r="7" spans="1:22" ht="54.75" customHeight="1" x14ac:dyDescent="0.3">
      <c r="A7" s="22" t="s">
        <v>33</v>
      </c>
      <c r="B7" s="22" t="s">
        <v>34</v>
      </c>
      <c r="C7" s="22" t="s">
        <v>35</v>
      </c>
      <c r="D7" s="22" t="s">
        <v>11</v>
      </c>
      <c r="E7" s="22" t="s">
        <v>36</v>
      </c>
      <c r="F7" s="22" t="s">
        <v>27</v>
      </c>
      <c r="G7" s="22" t="s">
        <v>37</v>
      </c>
      <c r="H7" s="22" t="s">
        <v>38</v>
      </c>
      <c r="I7" s="22" t="s">
        <v>39</v>
      </c>
      <c r="J7" s="22" t="s">
        <v>40</v>
      </c>
      <c r="K7" s="22" t="s">
        <v>13</v>
      </c>
      <c r="L7" s="22" t="s">
        <v>41</v>
      </c>
      <c r="M7" s="23" t="s">
        <v>42</v>
      </c>
      <c r="N7" s="23" t="s">
        <v>43</v>
      </c>
      <c r="O7" s="23" t="s">
        <v>44</v>
      </c>
      <c r="P7" s="23" t="s">
        <v>45</v>
      </c>
      <c r="Q7" s="23" t="s">
        <v>46</v>
      </c>
      <c r="R7" s="23" t="s">
        <v>47</v>
      </c>
      <c r="S7" s="23" t="s">
        <v>48</v>
      </c>
      <c r="T7" s="23" t="s">
        <v>49</v>
      </c>
      <c r="U7" s="24" t="s">
        <v>50</v>
      </c>
      <c r="V7" s="24" t="s">
        <v>51</v>
      </c>
    </row>
    <row r="8" spans="1:22" ht="14.25" hidden="1" customHeight="1" x14ac:dyDescent="0.3">
      <c r="A8" s="25">
        <v>1</v>
      </c>
      <c r="B8" s="26" t="s">
        <v>52</v>
      </c>
      <c r="C8" s="27" t="str">
        <f t="shared" ref="C8:C71" si="0">IF(B8="","",IFERROR(IF(TRIM(MID(SUBSTITUTE(B8,".",REPT(" ",50)),51,50))="01","Masculino",IF(TRIM(MID(SUBSTITUTE(B8,".",REPT(" ",50)),51,50))="02","Feminino",IF(TRIM(MID(SUBSTITUTE(B8,".",REPT(" ",50)),51,50))="03","Outros","—"))),"—"))</f>
        <v>Masculino</v>
      </c>
      <c r="D8" s="2" t="str">
        <f>IFERROR(INDEX(SKUs!$E$6:$E$1997,MATCH(B8,SKUs!$C$6:$C$1997,0)),"")</f>
        <v>POLO</v>
      </c>
      <c r="E8" s="28" t="str">
        <f>IFERROR(VLOOKUP(D8,Configurações!$N$5:$O$46,2,FALSE()),"OUTROS")</f>
        <v>VESTUÁRIO</v>
      </c>
      <c r="F8" s="2" t="str">
        <f>IFERROR(INDEX(SKUs!$F$6:$F$1997,MATCH(B8,SKUs!$C$6:$C$1997,0)),"")</f>
        <v>POLO COPA MASC.</v>
      </c>
      <c r="G8" s="2" t="str">
        <f>IFERROR(INDEX(SKUs!$G$6:$G$1997,MATCH(B8,SKUs!$C$6:$C$1997,0)),"")</f>
        <v>AZUL</v>
      </c>
      <c r="H8" s="25" t="str">
        <f>IFERROR(INDEX(SKUs!$H$6:$H$1997,MATCH(B8,SKUs!$C$6:$C$1997,0)),"")</f>
        <v>G</v>
      </c>
      <c r="I8" s="4" t="str">
        <f>IFERROR(INDEX(SKUs!#REF!,MATCH(B8,SKUs!$C$6:$C$1997,0)),"")</f>
        <v/>
      </c>
      <c r="J8" s="3">
        <f>SUMIFS(SKUs!$I$6:$I$1997,SKUs!$C$6:$C$1997,B8)</f>
        <v>0</v>
      </c>
      <c r="K8" s="4">
        <f t="shared" ref="K8:K71" si="1">IFERROR(I8*J8,0)</f>
        <v>0</v>
      </c>
      <c r="L8" s="3">
        <f>COUNTIF(SKUs!$C$6:$C$1997,B8)</f>
        <v>1</v>
      </c>
      <c r="M8" s="29"/>
      <c r="N8" s="29"/>
      <c r="O8" s="29"/>
      <c r="P8" s="29"/>
      <c r="Q8" s="29"/>
      <c r="R8" s="29"/>
      <c r="S8" s="29"/>
      <c r="T8" s="29"/>
      <c r="U8" s="30">
        <f t="shared" ref="U8:U71" si="2">SUM(M8:R8)</f>
        <v>0</v>
      </c>
      <c r="V8" s="31">
        <f t="shared" ref="V8:V71" si="3">IF(B8="","",J8)</f>
        <v>0</v>
      </c>
    </row>
    <row r="9" spans="1:22" ht="14.25" hidden="1" customHeight="1" x14ac:dyDescent="0.3">
      <c r="A9" s="32">
        <v>2</v>
      </c>
      <c r="B9" s="26" t="s">
        <v>53</v>
      </c>
      <c r="C9" s="27" t="str">
        <f t="shared" si="0"/>
        <v>Masculino</v>
      </c>
      <c r="D9" s="33" t="str">
        <f>IFERROR(INDEX(SKUs!$E$6:$E$1997,MATCH(B9,SKUs!$C$6:$C$1997,0)),"")</f>
        <v>POLO</v>
      </c>
      <c r="E9" s="28" t="str">
        <f>IFERROR(VLOOKUP(D9,Configurações!$N$5:$O$46,2,FALSE()),"OUTROS")</f>
        <v>VESTUÁRIO</v>
      </c>
      <c r="F9" s="33" t="str">
        <f>IFERROR(INDEX(SKUs!$F$6:$F$1997,MATCH(B9,SKUs!$C$6:$C$1997,0)),"")</f>
        <v>POLO COPA MASC.</v>
      </c>
      <c r="G9" s="33" t="str">
        <f>IFERROR(INDEX(SKUs!$G$6:$G$1997,MATCH(B9,SKUs!$C$6:$C$1997,0)),"")</f>
        <v>AZUL</v>
      </c>
      <c r="H9" s="32" t="str">
        <f>IFERROR(INDEX(SKUs!$H$6:$H$1997,MATCH(B9,SKUs!$C$6:$C$1997,0)),"")</f>
        <v>M</v>
      </c>
      <c r="I9" s="34" t="str">
        <f>IFERROR(INDEX(SKUs!#REF!,MATCH(B9,SKUs!$C$6:$C$1997,0)),"")</f>
        <v/>
      </c>
      <c r="J9" s="35">
        <f>SUMIFS(SKUs!$I$6:$I$1997,SKUs!$C$6:$C$1997,B9)</f>
        <v>0</v>
      </c>
      <c r="K9" s="34">
        <f t="shared" si="1"/>
        <v>0</v>
      </c>
      <c r="L9" s="35">
        <f>COUNTIF(SKUs!$C$6:$C$1997,B9)</f>
        <v>1</v>
      </c>
      <c r="M9" s="29"/>
      <c r="N9" s="29"/>
      <c r="O9" s="29"/>
      <c r="P9" s="29"/>
      <c r="Q9" s="29"/>
      <c r="R9" s="29"/>
      <c r="S9" s="29"/>
      <c r="T9" s="29"/>
      <c r="U9" s="30">
        <f t="shared" si="2"/>
        <v>0</v>
      </c>
      <c r="V9" s="31">
        <f t="shared" si="3"/>
        <v>0</v>
      </c>
    </row>
    <row r="10" spans="1:22" ht="14.25" hidden="1" customHeight="1" x14ac:dyDescent="0.3">
      <c r="A10" s="25">
        <v>3</v>
      </c>
      <c r="B10" s="26" t="s">
        <v>54</v>
      </c>
      <c r="C10" s="27" t="str">
        <f t="shared" si="0"/>
        <v>Masculino</v>
      </c>
      <c r="D10" s="2" t="str">
        <f>IFERROR(INDEX(SKUs!$E$6:$E$1997,MATCH(B10,SKUs!$C$6:$C$1997,0)),"")</f>
        <v>POLO</v>
      </c>
      <c r="E10" s="28" t="str">
        <f>IFERROR(VLOOKUP(D10,Configurações!$N$5:$O$46,2,FALSE()),"OUTROS")</f>
        <v>VESTUÁRIO</v>
      </c>
      <c r="F10" s="2" t="str">
        <f>IFERROR(INDEX(SKUs!$F$6:$F$1997,MATCH(B10,SKUs!$C$6:$C$1997,0)),"")</f>
        <v>POLO COPA MASC.</v>
      </c>
      <c r="G10" s="2" t="str">
        <f>IFERROR(INDEX(SKUs!$G$6:$G$1997,MATCH(B10,SKUs!$C$6:$C$1997,0)),"")</f>
        <v>AZUL</v>
      </c>
      <c r="H10" s="25" t="str">
        <f>IFERROR(INDEX(SKUs!$H$6:$H$1997,MATCH(B10,SKUs!$C$6:$C$1997,0)),"")</f>
        <v>XG</v>
      </c>
      <c r="I10" s="4" t="str">
        <f>IFERROR(INDEX(SKUs!#REF!,MATCH(B10,SKUs!$C$6:$C$1997,0)),"")</f>
        <v/>
      </c>
      <c r="J10" s="3">
        <f>SUMIFS(SKUs!$I$6:$I$1997,SKUs!$C$6:$C$1997,B10)</f>
        <v>0</v>
      </c>
      <c r="K10" s="4">
        <f t="shared" si="1"/>
        <v>0</v>
      </c>
      <c r="L10" s="3">
        <f>COUNTIF(SKUs!$C$6:$C$1997,B10)</f>
        <v>2</v>
      </c>
      <c r="M10" s="29"/>
      <c r="N10" s="29"/>
      <c r="O10" s="29"/>
      <c r="P10" s="29"/>
      <c r="Q10" s="29"/>
      <c r="R10" s="29"/>
      <c r="S10" s="29"/>
      <c r="T10" s="29"/>
      <c r="U10" s="30">
        <f t="shared" si="2"/>
        <v>0</v>
      </c>
      <c r="V10" s="31">
        <f t="shared" si="3"/>
        <v>0</v>
      </c>
    </row>
    <row r="11" spans="1:22" ht="14.25" hidden="1" customHeight="1" x14ac:dyDescent="0.3">
      <c r="A11" s="32">
        <v>4</v>
      </c>
      <c r="B11" s="26" t="s">
        <v>55</v>
      </c>
      <c r="C11" s="27" t="str">
        <f t="shared" si="0"/>
        <v>Masculino</v>
      </c>
      <c r="D11" s="33" t="str">
        <f>IFERROR(INDEX(SKUs!$E$6:$E$1997,MATCH(B11,SKUs!$C$6:$C$1997,0)),"")</f>
        <v>POLO</v>
      </c>
      <c r="E11" s="28" t="str">
        <f>IFERROR(VLOOKUP(D11,Configurações!$N$5:$O$46,2,FALSE()),"OUTROS")</f>
        <v>VESTUÁRIO</v>
      </c>
      <c r="F11" s="33" t="str">
        <f>IFERROR(INDEX(SKUs!$F$6:$F$1997,MATCH(B11,SKUs!$C$6:$C$1997,0)),"")</f>
        <v>POLO COPA MASC.</v>
      </c>
      <c r="G11" s="33" t="str">
        <f>IFERROR(INDEX(SKUs!$G$6:$G$1997,MATCH(B11,SKUs!$C$6:$C$1997,0)),"")</f>
        <v>AZUL</v>
      </c>
      <c r="H11" s="32" t="str">
        <f>IFERROR(INDEX(SKUs!$H$6:$H$1997,MATCH(B11,SKUs!$C$6:$C$1997,0)),"")</f>
        <v>P</v>
      </c>
      <c r="I11" s="34" t="str">
        <f>IFERROR(INDEX(SKUs!#REF!,MATCH(B11,SKUs!$C$6:$C$1997,0)),"")</f>
        <v/>
      </c>
      <c r="J11" s="35">
        <f>SUMIFS(SKUs!$I$6:$I$1997,SKUs!$C$6:$C$1997,B11)</f>
        <v>0</v>
      </c>
      <c r="K11" s="34">
        <f t="shared" si="1"/>
        <v>0</v>
      </c>
      <c r="L11" s="35">
        <f>COUNTIF(SKUs!$C$6:$C$1997,B11)</f>
        <v>2</v>
      </c>
      <c r="M11" s="29"/>
      <c r="N11" s="29"/>
      <c r="O11" s="29"/>
      <c r="P11" s="29"/>
      <c r="Q11" s="29"/>
      <c r="R11" s="29"/>
      <c r="S11" s="29"/>
      <c r="T11" s="29"/>
      <c r="U11" s="30">
        <f t="shared" si="2"/>
        <v>0</v>
      </c>
      <c r="V11" s="31">
        <f t="shared" si="3"/>
        <v>0</v>
      </c>
    </row>
    <row r="12" spans="1:22" ht="14.25" hidden="1" customHeight="1" x14ac:dyDescent="0.3">
      <c r="A12" s="25">
        <v>5</v>
      </c>
      <c r="B12" s="26" t="s">
        <v>56</v>
      </c>
      <c r="C12" s="27" t="str">
        <f t="shared" si="0"/>
        <v>Masculino</v>
      </c>
      <c r="D12" s="2" t="str">
        <f>IFERROR(INDEX(SKUs!$E$6:$E$1997,MATCH(B12,SKUs!$C$6:$C$1997,0)),"")</f>
        <v>POLO</v>
      </c>
      <c r="E12" s="28" t="str">
        <f>IFERROR(VLOOKUP(D12,Configurações!$N$5:$O$46,2,FALSE()),"OUTROS")</f>
        <v>VESTUÁRIO</v>
      </c>
      <c r="F12" s="2" t="str">
        <f>IFERROR(INDEX(SKUs!$F$6:$F$1997,MATCH(B12,SKUs!$C$6:$C$1997,0)),"")</f>
        <v>POLO COPA MASC.</v>
      </c>
      <c r="G12" s="2" t="str">
        <f>IFERROR(INDEX(SKUs!$G$6:$G$1997,MATCH(B12,SKUs!$C$6:$C$1997,0)),"")</f>
        <v>AZUL</v>
      </c>
      <c r="H12" s="25" t="str">
        <f>IFERROR(INDEX(SKUs!$H$6:$H$1997,MATCH(B12,SKUs!$C$6:$C$1997,0)),"")</f>
        <v>GG</v>
      </c>
      <c r="I12" s="4" t="str">
        <f>IFERROR(INDEX(SKUs!#REF!,MATCH(B12,SKUs!$C$6:$C$1997,0)),"")</f>
        <v/>
      </c>
      <c r="J12" s="3">
        <f>SUMIFS(SKUs!$I$6:$I$1997,SKUs!$C$6:$C$1997,B12)</f>
        <v>0</v>
      </c>
      <c r="K12" s="4">
        <f t="shared" si="1"/>
        <v>0</v>
      </c>
      <c r="L12" s="3">
        <f>COUNTIF(SKUs!$C$6:$C$1997,B12)</f>
        <v>1</v>
      </c>
      <c r="M12" s="29"/>
      <c r="N12" s="29"/>
      <c r="O12" s="29"/>
      <c r="P12" s="29"/>
      <c r="Q12" s="29"/>
      <c r="R12" s="29"/>
      <c r="S12" s="29"/>
      <c r="T12" s="29"/>
      <c r="U12" s="30">
        <f t="shared" si="2"/>
        <v>0</v>
      </c>
      <c r="V12" s="31">
        <f t="shared" si="3"/>
        <v>0</v>
      </c>
    </row>
    <row r="13" spans="1:22" ht="14.25" hidden="1" customHeight="1" x14ac:dyDescent="0.3">
      <c r="A13" s="32">
        <v>6</v>
      </c>
      <c r="B13" s="26" t="s">
        <v>57</v>
      </c>
      <c r="C13" s="27" t="str">
        <f t="shared" si="0"/>
        <v>Masculino</v>
      </c>
      <c r="D13" s="33" t="str">
        <f>IFERROR(INDEX(SKUs!$E$6:$E$1997,MATCH(B13,SKUs!$C$6:$C$1997,0)),"")</f>
        <v>CAMISETA</v>
      </c>
      <c r="E13" s="28" t="str">
        <f>IFERROR(VLOOKUP(D13,Configurações!$N$5:$O$46,2,FALSE()),"OUTROS")</f>
        <v>VESTUÁRIO</v>
      </c>
      <c r="F13" s="33" t="str">
        <f>IFERROR(INDEX(SKUs!$F$6:$F$1997,MATCH(B13,SKUs!$C$6:$C$1997,0)),"")</f>
        <v>CAMISETA COPA MASC.</v>
      </c>
      <c r="G13" s="33" t="str">
        <f>IFERROR(INDEX(SKUs!$G$6:$G$1997,MATCH(B13,SKUs!$C$6:$C$1997,0)),"")</f>
        <v>AZUL</v>
      </c>
      <c r="H13" s="32" t="str">
        <f>IFERROR(INDEX(SKUs!$H$6:$H$1997,MATCH(B13,SKUs!$C$6:$C$1997,0)),"")</f>
        <v>P</v>
      </c>
      <c r="I13" s="34" t="str">
        <f>IFERROR(INDEX(SKUs!#REF!,MATCH(B13,SKUs!$C$6:$C$1997,0)),"")</f>
        <v/>
      </c>
      <c r="J13" s="35">
        <f>SUMIFS(SKUs!$I$6:$I$1997,SKUs!$C$6:$C$1997,B13)</f>
        <v>0</v>
      </c>
      <c r="K13" s="34">
        <f t="shared" si="1"/>
        <v>0</v>
      </c>
      <c r="L13" s="35">
        <f>COUNTIF(SKUs!$C$6:$C$1997,B13)</f>
        <v>1</v>
      </c>
      <c r="M13" s="29"/>
      <c r="N13" s="29"/>
      <c r="O13" s="29"/>
      <c r="P13" s="29"/>
      <c r="Q13" s="29"/>
      <c r="R13" s="29"/>
      <c r="S13" s="29"/>
      <c r="T13" s="29"/>
      <c r="U13" s="30">
        <f t="shared" si="2"/>
        <v>0</v>
      </c>
      <c r="V13" s="31">
        <f t="shared" si="3"/>
        <v>0</v>
      </c>
    </row>
    <row r="14" spans="1:22" ht="14.25" hidden="1" customHeight="1" x14ac:dyDescent="0.3">
      <c r="A14" s="25">
        <v>7</v>
      </c>
      <c r="B14" s="26" t="s">
        <v>58</v>
      </c>
      <c r="C14" s="27" t="str">
        <f t="shared" si="0"/>
        <v>Masculino</v>
      </c>
      <c r="D14" s="2" t="str">
        <f>IFERROR(INDEX(SKUs!$E$6:$E$1997,MATCH(B14,SKUs!$C$6:$C$1997,0)),"")</f>
        <v>CAMISETA</v>
      </c>
      <c r="E14" s="28" t="str">
        <f>IFERROR(VLOOKUP(D14,Configurações!$N$5:$O$46,2,FALSE()),"OUTROS")</f>
        <v>VESTUÁRIO</v>
      </c>
      <c r="F14" s="2" t="str">
        <f>IFERROR(INDEX(SKUs!$F$6:$F$1997,MATCH(B14,SKUs!$C$6:$C$1997,0)),"")</f>
        <v>CAMISETA COPA MASC.</v>
      </c>
      <c r="G14" s="2" t="str">
        <f>IFERROR(INDEX(SKUs!$G$6:$G$1997,MATCH(B14,SKUs!$C$6:$C$1997,0)),"")</f>
        <v>AZUL</v>
      </c>
      <c r="H14" s="25" t="str">
        <f>IFERROR(INDEX(SKUs!$H$6:$H$1997,MATCH(B14,SKUs!$C$6:$C$1997,0)),"")</f>
        <v>M</v>
      </c>
      <c r="I14" s="4" t="str">
        <f>IFERROR(INDEX(SKUs!#REF!,MATCH(B14,SKUs!$C$6:$C$1997,0)),"")</f>
        <v/>
      </c>
      <c r="J14" s="3">
        <f>SUMIFS(SKUs!$I$6:$I$1997,SKUs!$C$6:$C$1997,B14)</f>
        <v>0</v>
      </c>
      <c r="K14" s="4">
        <f t="shared" si="1"/>
        <v>0</v>
      </c>
      <c r="L14" s="3">
        <f>COUNTIF(SKUs!$C$6:$C$1997,B14)</f>
        <v>1</v>
      </c>
      <c r="M14" s="29"/>
      <c r="N14" s="29"/>
      <c r="O14" s="29"/>
      <c r="P14" s="29"/>
      <c r="Q14" s="29"/>
      <c r="R14" s="29"/>
      <c r="S14" s="29"/>
      <c r="T14" s="29"/>
      <c r="U14" s="30">
        <f t="shared" si="2"/>
        <v>0</v>
      </c>
      <c r="V14" s="31">
        <f t="shared" si="3"/>
        <v>0</v>
      </c>
    </row>
    <row r="15" spans="1:22" ht="14.25" hidden="1" customHeight="1" x14ac:dyDescent="0.3">
      <c r="A15" s="32">
        <v>8</v>
      </c>
      <c r="B15" s="26" t="s">
        <v>59</v>
      </c>
      <c r="C15" s="27" t="str">
        <f t="shared" si="0"/>
        <v>Masculino</v>
      </c>
      <c r="D15" s="33" t="str">
        <f>IFERROR(INDEX(SKUs!$E$6:$E$1997,MATCH(B15,SKUs!$C$6:$C$1997,0)),"")</f>
        <v>CAMISETA</v>
      </c>
      <c r="E15" s="28" t="str">
        <f>IFERROR(VLOOKUP(D15,Configurações!$N$5:$O$46,2,FALSE()),"OUTROS")</f>
        <v>VESTUÁRIO</v>
      </c>
      <c r="F15" s="33" t="str">
        <f>IFERROR(INDEX(SKUs!$F$6:$F$1997,MATCH(B15,SKUs!$C$6:$C$1997,0)),"")</f>
        <v>CAMISETA COPA MASC.</v>
      </c>
      <c r="G15" s="33" t="str">
        <f>IFERROR(INDEX(SKUs!$G$6:$G$1997,MATCH(B15,SKUs!$C$6:$C$1997,0)),"")</f>
        <v>AZUL</v>
      </c>
      <c r="H15" s="32" t="str">
        <f>IFERROR(INDEX(SKUs!$H$6:$H$1997,MATCH(B15,SKUs!$C$6:$C$1997,0)),"")</f>
        <v>GG</v>
      </c>
      <c r="I15" s="34" t="str">
        <f>IFERROR(INDEX(SKUs!#REF!,MATCH(B15,SKUs!$C$6:$C$1997,0)),"")</f>
        <v/>
      </c>
      <c r="J15" s="35">
        <f>SUMIFS(SKUs!$I$6:$I$1997,SKUs!$C$6:$C$1997,B15)</f>
        <v>0</v>
      </c>
      <c r="K15" s="34">
        <f t="shared" si="1"/>
        <v>0</v>
      </c>
      <c r="L15" s="35">
        <f>COUNTIF(SKUs!$C$6:$C$1997,B15)</f>
        <v>1</v>
      </c>
      <c r="M15" s="29"/>
      <c r="N15" s="29"/>
      <c r="O15" s="29"/>
      <c r="P15" s="29"/>
      <c r="Q15" s="29"/>
      <c r="R15" s="29"/>
      <c r="S15" s="29"/>
      <c r="T15" s="29"/>
      <c r="U15" s="30">
        <f t="shared" si="2"/>
        <v>0</v>
      </c>
      <c r="V15" s="31">
        <f t="shared" si="3"/>
        <v>0</v>
      </c>
    </row>
    <row r="16" spans="1:22" ht="14.25" hidden="1" customHeight="1" x14ac:dyDescent="0.3">
      <c r="A16" s="25">
        <v>9</v>
      </c>
      <c r="B16" s="26" t="s">
        <v>60</v>
      </c>
      <c r="C16" s="27" t="str">
        <f t="shared" si="0"/>
        <v>Masculino</v>
      </c>
      <c r="D16" s="2" t="str">
        <f>IFERROR(INDEX(SKUs!$E$6:$E$1997,MATCH(B16,SKUs!$C$6:$C$1997,0)),"")</f>
        <v>CAMISETA</v>
      </c>
      <c r="E16" s="28" t="str">
        <f>IFERROR(VLOOKUP(D16,Configurações!$N$5:$O$46,2,FALSE()),"OUTROS")</f>
        <v>VESTUÁRIO</v>
      </c>
      <c r="F16" s="2" t="str">
        <f>IFERROR(INDEX(SKUs!$F$6:$F$1997,MATCH(B16,SKUs!$C$6:$C$1997,0)),"")</f>
        <v>CAMISETA COPA MASC.</v>
      </c>
      <c r="G16" s="2" t="str">
        <f>IFERROR(INDEX(SKUs!$G$6:$G$1997,MATCH(B16,SKUs!$C$6:$C$1997,0)),"")</f>
        <v>AZUL</v>
      </c>
      <c r="H16" s="25" t="str">
        <f>IFERROR(INDEX(SKUs!$H$6:$H$1997,MATCH(B16,SKUs!$C$6:$C$1997,0)),"")</f>
        <v>G</v>
      </c>
      <c r="I16" s="4" t="str">
        <f>IFERROR(INDEX(SKUs!#REF!,MATCH(B16,SKUs!$C$6:$C$1997,0)),"")</f>
        <v/>
      </c>
      <c r="J16" s="3">
        <f>SUMIFS(SKUs!$I$6:$I$1997,SKUs!$C$6:$C$1997,B16)</f>
        <v>0</v>
      </c>
      <c r="K16" s="4">
        <f t="shared" si="1"/>
        <v>0</v>
      </c>
      <c r="L16" s="3">
        <f>COUNTIF(SKUs!$C$6:$C$1997,B16)</f>
        <v>1</v>
      </c>
      <c r="M16" s="29"/>
      <c r="N16" s="29"/>
      <c r="O16" s="29"/>
      <c r="P16" s="29"/>
      <c r="Q16" s="29"/>
      <c r="R16" s="29"/>
      <c r="S16" s="29"/>
      <c r="T16" s="29"/>
      <c r="U16" s="30">
        <f t="shared" si="2"/>
        <v>0</v>
      </c>
      <c r="V16" s="31">
        <f t="shared" si="3"/>
        <v>0</v>
      </c>
    </row>
    <row r="17" spans="1:22" ht="14.25" hidden="1" customHeight="1" x14ac:dyDescent="0.3">
      <c r="A17" s="32">
        <v>10</v>
      </c>
      <c r="B17" s="26" t="s">
        <v>61</v>
      </c>
      <c r="C17" s="27" t="str">
        <f t="shared" si="0"/>
        <v>Masculino</v>
      </c>
      <c r="D17" s="33" t="str">
        <f>IFERROR(INDEX(SKUs!$E$6:$E$1997,MATCH(B17,SKUs!$C$6:$C$1997,0)),"")</f>
        <v>CAMISETA</v>
      </c>
      <c r="E17" s="28" t="str">
        <f>IFERROR(VLOOKUP(D17,Configurações!$N$5:$O$46,2,FALSE()),"OUTROS")</f>
        <v>VESTUÁRIO</v>
      </c>
      <c r="F17" s="33" t="str">
        <f>IFERROR(INDEX(SKUs!$F$6:$F$1997,MATCH(B17,SKUs!$C$6:$C$1997,0)),"")</f>
        <v>CAMISETA COPA MASC.</v>
      </c>
      <c r="G17" s="33" t="str">
        <f>IFERROR(INDEX(SKUs!$G$6:$G$1997,MATCH(B17,SKUs!$C$6:$C$1997,0)),"")</f>
        <v>AZUL</v>
      </c>
      <c r="H17" s="32" t="str">
        <f>IFERROR(INDEX(SKUs!$H$6:$H$1997,MATCH(B17,SKUs!$C$6:$C$1997,0)),"")</f>
        <v>XG</v>
      </c>
      <c r="I17" s="34" t="str">
        <f>IFERROR(INDEX(SKUs!#REF!,MATCH(B17,SKUs!$C$6:$C$1997,0)),"")</f>
        <v/>
      </c>
      <c r="J17" s="35">
        <f>SUMIFS(SKUs!$I$6:$I$1997,SKUs!$C$6:$C$1997,B17)</f>
        <v>0</v>
      </c>
      <c r="K17" s="34">
        <f t="shared" si="1"/>
        <v>0</v>
      </c>
      <c r="L17" s="35">
        <f>COUNTIF(SKUs!$C$6:$C$1997,B17)</f>
        <v>1</v>
      </c>
      <c r="M17" s="29"/>
      <c r="N17" s="29"/>
      <c r="O17" s="29"/>
      <c r="P17" s="29"/>
      <c r="Q17" s="29"/>
      <c r="R17" s="29"/>
      <c r="S17" s="29"/>
      <c r="T17" s="29"/>
      <c r="U17" s="30">
        <f t="shared" si="2"/>
        <v>0</v>
      </c>
      <c r="V17" s="31">
        <f t="shared" si="3"/>
        <v>0</v>
      </c>
    </row>
    <row r="18" spans="1:22" ht="14.25" hidden="1" customHeight="1" x14ac:dyDescent="0.3">
      <c r="A18" s="25">
        <v>11</v>
      </c>
      <c r="B18" s="26" t="s">
        <v>62</v>
      </c>
      <c r="C18" s="27" t="str">
        <f t="shared" si="0"/>
        <v>Masculino</v>
      </c>
      <c r="D18" s="2" t="str">
        <f>IFERROR(INDEX(SKUs!$E$6:$E$1997,MATCH(B18,SKUs!$C$6:$C$1997,0)),"")</f>
        <v>CAMISETA</v>
      </c>
      <c r="E18" s="28" t="str">
        <f>IFERROR(VLOOKUP(D18,Configurações!$N$5:$O$46,2,FALSE()),"OUTROS")</f>
        <v>VESTUÁRIO</v>
      </c>
      <c r="F18" s="2" t="str">
        <f>IFERROR(INDEX(SKUs!$F$6:$F$1997,MATCH(B18,SKUs!$C$6:$C$1997,0)),"")</f>
        <v>CAMISETA COPA MASC.</v>
      </c>
      <c r="G18" s="2" t="str">
        <f>IFERROR(INDEX(SKUs!$G$6:$G$1997,MATCH(B18,SKUs!$C$6:$C$1997,0)),"")</f>
        <v>AZUL</v>
      </c>
      <c r="H18" s="25" t="str">
        <f>IFERROR(INDEX(SKUs!$H$6:$H$1997,MATCH(B18,SKUs!$C$6:$C$1997,0)),"")</f>
        <v>4G</v>
      </c>
      <c r="I18" s="4" t="str">
        <f>IFERROR(INDEX(SKUs!#REF!,MATCH(B18,SKUs!$C$6:$C$1997,0)),"")</f>
        <v/>
      </c>
      <c r="J18" s="3">
        <f>SUMIFS(SKUs!$I$6:$I$1997,SKUs!$C$6:$C$1997,B18)</f>
        <v>0</v>
      </c>
      <c r="K18" s="4">
        <f t="shared" si="1"/>
        <v>0</v>
      </c>
      <c r="L18" s="3">
        <f>COUNTIF(SKUs!$C$6:$C$1997,B18)</f>
        <v>1</v>
      </c>
      <c r="M18" s="29"/>
      <c r="N18" s="29"/>
      <c r="O18" s="29"/>
      <c r="P18" s="29"/>
      <c r="Q18" s="29"/>
      <c r="R18" s="29"/>
      <c r="S18" s="29"/>
      <c r="T18" s="29"/>
      <c r="U18" s="30">
        <f t="shared" si="2"/>
        <v>0</v>
      </c>
      <c r="V18" s="31">
        <f t="shared" si="3"/>
        <v>0</v>
      </c>
    </row>
    <row r="19" spans="1:22" ht="14.25" hidden="1" customHeight="1" x14ac:dyDescent="0.3">
      <c r="A19" s="32">
        <v>12</v>
      </c>
      <c r="B19" s="26" t="s">
        <v>63</v>
      </c>
      <c r="C19" s="27" t="str">
        <f t="shared" si="0"/>
        <v>Masculino</v>
      </c>
      <c r="D19" s="33" t="str">
        <f>IFERROR(INDEX(SKUs!$E$6:$E$1997,MATCH(B19,SKUs!$C$6:$C$1997,0)),"")</f>
        <v>CAMISETA</v>
      </c>
      <c r="E19" s="28" t="str">
        <f>IFERROR(VLOOKUP(D19,Configurações!$N$5:$O$46,2,FALSE()),"OUTROS")</f>
        <v>VESTUÁRIO</v>
      </c>
      <c r="F19" s="33" t="str">
        <f>IFERROR(INDEX(SKUs!$F$6:$F$1997,MATCH(B19,SKUs!$C$6:$C$1997,0)),"")</f>
        <v>CAMISETA COPA MASC.</v>
      </c>
      <c r="G19" s="33" t="str">
        <f>IFERROR(INDEX(SKUs!$G$6:$G$1997,MATCH(B19,SKUs!$C$6:$C$1997,0)),"")</f>
        <v>AMARELA</v>
      </c>
      <c r="H19" s="32" t="str">
        <f>IFERROR(INDEX(SKUs!$H$6:$H$1997,MATCH(B19,SKUs!$C$6:$C$1997,0)),"")</f>
        <v>P</v>
      </c>
      <c r="I19" s="34" t="str">
        <f>IFERROR(INDEX(SKUs!#REF!,MATCH(B19,SKUs!$C$6:$C$1997,0)),"")</f>
        <v/>
      </c>
      <c r="J19" s="35">
        <f>SUMIFS(SKUs!$I$6:$I$1997,SKUs!$C$6:$C$1997,B19)</f>
        <v>0</v>
      </c>
      <c r="K19" s="34">
        <f t="shared" si="1"/>
        <v>0</v>
      </c>
      <c r="L19" s="35">
        <f>COUNTIF(SKUs!$C$6:$C$1997,B19)</f>
        <v>1</v>
      </c>
      <c r="M19" s="29"/>
      <c r="N19" s="29"/>
      <c r="O19" s="29"/>
      <c r="P19" s="29"/>
      <c r="Q19" s="29"/>
      <c r="R19" s="29"/>
      <c r="S19" s="29"/>
      <c r="T19" s="29"/>
      <c r="U19" s="30">
        <f t="shared" si="2"/>
        <v>0</v>
      </c>
      <c r="V19" s="31">
        <f t="shared" si="3"/>
        <v>0</v>
      </c>
    </row>
    <row r="20" spans="1:22" ht="14.25" hidden="1" customHeight="1" x14ac:dyDescent="0.3">
      <c r="A20" s="25">
        <v>13</v>
      </c>
      <c r="B20" s="26" t="s">
        <v>64</v>
      </c>
      <c r="C20" s="27" t="str">
        <f t="shared" si="0"/>
        <v>Masculino</v>
      </c>
      <c r="D20" s="2" t="str">
        <f>IFERROR(INDEX(SKUs!$E$6:$E$1997,MATCH(B20,SKUs!$C$6:$C$1997,0)),"")</f>
        <v>CAMISETA</v>
      </c>
      <c r="E20" s="28" t="str">
        <f>IFERROR(VLOOKUP(D20,Configurações!$N$5:$O$46,2,FALSE()),"OUTROS")</f>
        <v>VESTUÁRIO</v>
      </c>
      <c r="F20" s="2" t="str">
        <f>IFERROR(INDEX(SKUs!$F$6:$F$1997,MATCH(B20,SKUs!$C$6:$C$1997,0)),"")</f>
        <v>CAMISETA COPA MASC.</v>
      </c>
      <c r="G20" s="2" t="str">
        <f>IFERROR(INDEX(SKUs!$G$6:$G$1997,MATCH(B20,SKUs!$C$6:$C$1997,0)),"")</f>
        <v>AMARELA</v>
      </c>
      <c r="H20" s="25" t="str">
        <f>IFERROR(INDEX(SKUs!$H$6:$H$1997,MATCH(B20,SKUs!$C$6:$C$1997,0)),"")</f>
        <v>M</v>
      </c>
      <c r="I20" s="4" t="str">
        <f>IFERROR(INDEX(SKUs!#REF!,MATCH(B20,SKUs!$C$6:$C$1997,0)),"")</f>
        <v/>
      </c>
      <c r="J20" s="3">
        <f>SUMIFS(SKUs!$I$6:$I$1997,SKUs!$C$6:$C$1997,B20)</f>
        <v>0</v>
      </c>
      <c r="K20" s="4">
        <f t="shared" si="1"/>
        <v>0</v>
      </c>
      <c r="L20" s="3">
        <f>COUNTIF(SKUs!$C$6:$C$1997,B20)</f>
        <v>1</v>
      </c>
      <c r="M20" s="29"/>
      <c r="N20" s="29"/>
      <c r="O20" s="29"/>
      <c r="P20" s="29"/>
      <c r="Q20" s="29"/>
      <c r="R20" s="29"/>
      <c r="S20" s="29"/>
      <c r="T20" s="29"/>
      <c r="U20" s="30">
        <f t="shared" si="2"/>
        <v>0</v>
      </c>
      <c r="V20" s="31">
        <f t="shared" si="3"/>
        <v>0</v>
      </c>
    </row>
    <row r="21" spans="1:22" ht="14.25" hidden="1" customHeight="1" x14ac:dyDescent="0.3">
      <c r="A21" s="32">
        <v>14</v>
      </c>
      <c r="B21" s="26" t="s">
        <v>65</v>
      </c>
      <c r="C21" s="27" t="str">
        <f t="shared" si="0"/>
        <v>Masculino</v>
      </c>
      <c r="D21" s="33" t="str">
        <f>IFERROR(INDEX(SKUs!$E$6:$E$1997,MATCH(B21,SKUs!$C$6:$C$1997,0)),"")</f>
        <v>CAMISETA</v>
      </c>
      <c r="E21" s="28" t="str">
        <f>IFERROR(VLOOKUP(D21,Configurações!$N$5:$O$46,2,FALSE()),"OUTROS")</f>
        <v>VESTUÁRIO</v>
      </c>
      <c r="F21" s="33" t="str">
        <f>IFERROR(INDEX(SKUs!$F$6:$F$1997,MATCH(B21,SKUs!$C$6:$C$1997,0)),"")</f>
        <v>CAMISETA COPA MASC.</v>
      </c>
      <c r="G21" s="33" t="str">
        <f>IFERROR(INDEX(SKUs!$G$6:$G$1997,MATCH(B21,SKUs!$C$6:$C$1997,0)),"")</f>
        <v>AMARELA</v>
      </c>
      <c r="H21" s="32" t="str">
        <f>IFERROR(INDEX(SKUs!$H$6:$H$1997,MATCH(B21,SKUs!$C$6:$C$1997,0)),"")</f>
        <v>G</v>
      </c>
      <c r="I21" s="34" t="str">
        <f>IFERROR(INDEX(SKUs!#REF!,MATCH(B21,SKUs!$C$6:$C$1997,0)),"")</f>
        <v/>
      </c>
      <c r="J21" s="35">
        <f>SUMIFS(SKUs!$I$6:$I$1997,SKUs!$C$6:$C$1997,B21)</f>
        <v>0</v>
      </c>
      <c r="K21" s="34">
        <f t="shared" si="1"/>
        <v>0</v>
      </c>
      <c r="L21" s="35">
        <f>COUNTIF(SKUs!$C$6:$C$1997,B21)</f>
        <v>1</v>
      </c>
      <c r="M21" s="29"/>
      <c r="N21" s="29"/>
      <c r="O21" s="29"/>
      <c r="P21" s="29"/>
      <c r="Q21" s="29"/>
      <c r="R21" s="29"/>
      <c r="S21" s="29"/>
      <c r="T21" s="29"/>
      <c r="U21" s="30">
        <f t="shared" si="2"/>
        <v>0</v>
      </c>
      <c r="V21" s="31">
        <f t="shared" si="3"/>
        <v>0</v>
      </c>
    </row>
    <row r="22" spans="1:22" ht="14.25" hidden="1" customHeight="1" x14ac:dyDescent="0.3">
      <c r="A22" s="25">
        <v>15</v>
      </c>
      <c r="B22" s="26" t="s">
        <v>66</v>
      </c>
      <c r="C22" s="27" t="str">
        <f t="shared" si="0"/>
        <v>Masculino</v>
      </c>
      <c r="D22" s="2" t="str">
        <f>IFERROR(INDEX(SKUs!$E$6:$E$1997,MATCH(B22,SKUs!$C$6:$C$1997,0)),"")</f>
        <v>CAMISETA</v>
      </c>
      <c r="E22" s="28" t="str">
        <f>IFERROR(VLOOKUP(D22,Configurações!$N$5:$O$46,2,FALSE()),"OUTROS")</f>
        <v>VESTUÁRIO</v>
      </c>
      <c r="F22" s="2" t="str">
        <f>IFERROR(INDEX(SKUs!$F$6:$F$1997,MATCH(B22,SKUs!$C$6:$C$1997,0)),"")</f>
        <v>CAMISETA COPA MASC.</v>
      </c>
      <c r="G22" s="2" t="str">
        <f>IFERROR(INDEX(SKUs!$G$6:$G$1997,MATCH(B22,SKUs!$C$6:$C$1997,0)),"")</f>
        <v>AMARELA</v>
      </c>
      <c r="H22" s="25" t="str">
        <f>IFERROR(INDEX(SKUs!$H$6:$H$1997,MATCH(B22,SKUs!$C$6:$C$1997,0)),"")</f>
        <v>GG</v>
      </c>
      <c r="I22" s="4" t="str">
        <f>IFERROR(INDEX(SKUs!#REF!,MATCH(B22,SKUs!$C$6:$C$1997,0)),"")</f>
        <v/>
      </c>
      <c r="J22" s="3">
        <f>SUMIFS(SKUs!$I$6:$I$1997,SKUs!$C$6:$C$1997,B22)</f>
        <v>0</v>
      </c>
      <c r="K22" s="4">
        <f t="shared" si="1"/>
        <v>0</v>
      </c>
      <c r="L22" s="3">
        <f>COUNTIF(SKUs!$C$6:$C$1997,B22)</f>
        <v>1</v>
      </c>
      <c r="M22" s="29"/>
      <c r="N22" s="29"/>
      <c r="O22" s="29"/>
      <c r="P22" s="29"/>
      <c r="Q22" s="29"/>
      <c r="R22" s="29"/>
      <c r="S22" s="29"/>
      <c r="T22" s="29"/>
      <c r="U22" s="30">
        <f t="shared" si="2"/>
        <v>0</v>
      </c>
      <c r="V22" s="31">
        <f t="shared" si="3"/>
        <v>0</v>
      </c>
    </row>
    <row r="23" spans="1:22" ht="14.25" hidden="1" customHeight="1" x14ac:dyDescent="0.3">
      <c r="A23" s="32">
        <v>16</v>
      </c>
      <c r="B23" s="26" t="s">
        <v>67</v>
      </c>
      <c r="C23" s="27" t="str">
        <f t="shared" si="0"/>
        <v>Masculino</v>
      </c>
      <c r="D23" s="33" t="str">
        <f>IFERROR(INDEX(SKUs!$E$6:$E$1997,MATCH(B23,SKUs!$C$6:$C$1997,0)),"")</f>
        <v>CAMISETA</v>
      </c>
      <c r="E23" s="28" t="str">
        <f>IFERROR(VLOOKUP(D23,Configurações!$N$5:$O$46,2,FALSE()),"OUTROS")</f>
        <v>VESTUÁRIO</v>
      </c>
      <c r="F23" s="33" t="str">
        <f>IFERROR(INDEX(SKUs!$F$6:$F$1997,MATCH(B23,SKUs!$C$6:$C$1997,0)),"")</f>
        <v>CAMISETA COPA MASC.</v>
      </c>
      <c r="G23" s="33" t="str">
        <f>IFERROR(INDEX(SKUs!$G$6:$G$1997,MATCH(B23,SKUs!$C$6:$C$1997,0)),"")</f>
        <v>AMARELA</v>
      </c>
      <c r="H23" s="32" t="str">
        <f>IFERROR(INDEX(SKUs!$H$6:$H$1997,MATCH(B23,SKUs!$C$6:$C$1997,0)),"")</f>
        <v>XG</v>
      </c>
      <c r="I23" s="34" t="str">
        <f>IFERROR(INDEX(SKUs!#REF!,MATCH(B23,SKUs!$C$6:$C$1997,0)),"")</f>
        <v/>
      </c>
      <c r="J23" s="35">
        <f>SUMIFS(SKUs!$I$6:$I$1997,SKUs!$C$6:$C$1997,B23)</f>
        <v>0</v>
      </c>
      <c r="K23" s="34">
        <f t="shared" si="1"/>
        <v>0</v>
      </c>
      <c r="L23" s="35">
        <f>COUNTIF(SKUs!$C$6:$C$1997,B23)</f>
        <v>1</v>
      </c>
      <c r="M23" s="29"/>
      <c r="N23" s="29"/>
      <c r="O23" s="29"/>
      <c r="P23" s="29"/>
      <c r="Q23" s="29"/>
      <c r="R23" s="29"/>
      <c r="S23" s="29"/>
      <c r="T23" s="29"/>
      <c r="U23" s="30">
        <f t="shared" si="2"/>
        <v>0</v>
      </c>
      <c r="V23" s="31">
        <f t="shared" si="3"/>
        <v>0</v>
      </c>
    </row>
    <row r="24" spans="1:22" ht="14.25" hidden="1" customHeight="1" x14ac:dyDescent="0.3">
      <c r="A24" s="25">
        <v>17</v>
      </c>
      <c r="B24" s="26" t="s">
        <v>68</v>
      </c>
      <c r="C24" s="27" t="str">
        <f t="shared" si="0"/>
        <v>Masculino</v>
      </c>
      <c r="D24" s="2" t="str">
        <f>IFERROR(INDEX(SKUs!$E$6:$E$1997,MATCH(B24,SKUs!$C$6:$C$1997,0)),"")</f>
        <v>CAMISETA</v>
      </c>
      <c r="E24" s="28" t="str">
        <f>IFERROR(VLOOKUP(D24,Configurações!$N$5:$O$46,2,FALSE()),"OUTROS")</f>
        <v>VESTUÁRIO</v>
      </c>
      <c r="F24" s="2" t="str">
        <f>IFERROR(INDEX(SKUs!$F$6:$F$1997,MATCH(B24,SKUs!$C$6:$C$1997,0)),"")</f>
        <v>CAMISETA COPA MASC.</v>
      </c>
      <c r="G24" s="2" t="str">
        <f>IFERROR(INDEX(SKUs!$G$6:$G$1997,MATCH(B24,SKUs!$C$6:$C$1997,0)),"")</f>
        <v>AMARELA</v>
      </c>
      <c r="H24" s="25" t="str">
        <f>IFERROR(INDEX(SKUs!$H$6:$H$1997,MATCH(B24,SKUs!$C$6:$C$1997,0)),"")</f>
        <v>4G</v>
      </c>
      <c r="I24" s="4" t="str">
        <f>IFERROR(INDEX(SKUs!#REF!,MATCH(B24,SKUs!$C$6:$C$1997,0)),"")</f>
        <v/>
      </c>
      <c r="J24" s="3">
        <f>SUMIFS(SKUs!$I$6:$I$1997,SKUs!$C$6:$C$1997,B24)</f>
        <v>0</v>
      </c>
      <c r="K24" s="4">
        <f t="shared" si="1"/>
        <v>0</v>
      </c>
      <c r="L24" s="3">
        <f>COUNTIF(SKUs!$C$6:$C$1997,B24)</f>
        <v>1</v>
      </c>
      <c r="M24" s="29"/>
      <c r="N24" s="29"/>
      <c r="O24" s="29"/>
      <c r="P24" s="29"/>
      <c r="Q24" s="29"/>
      <c r="R24" s="29"/>
      <c r="S24" s="29"/>
      <c r="T24" s="29"/>
      <c r="U24" s="30">
        <f t="shared" si="2"/>
        <v>0</v>
      </c>
      <c r="V24" s="31">
        <f t="shared" si="3"/>
        <v>0</v>
      </c>
    </row>
    <row r="25" spans="1:22" ht="14.25" hidden="1" customHeight="1" x14ac:dyDescent="0.3">
      <c r="A25" s="32">
        <v>18</v>
      </c>
      <c r="B25" s="26" t="s">
        <v>69</v>
      </c>
      <c r="C25" s="27" t="str">
        <f t="shared" si="0"/>
        <v>Masculino</v>
      </c>
      <c r="D25" s="33" t="str">
        <f>IFERROR(INDEX(SKUs!$E$6:$E$1997,MATCH(B25,SKUs!$C$6:$C$1997,0)),"")</f>
        <v>CAMISETA</v>
      </c>
      <c r="E25" s="28" t="str">
        <f>IFERROR(VLOOKUP(D25,Configurações!$N$5:$O$46,2,FALSE()),"OUTROS")</f>
        <v>VESTUÁRIO</v>
      </c>
      <c r="F25" s="33" t="str">
        <f>IFERROR(INDEX(SKUs!$F$6:$F$1997,MATCH(B25,SKUs!$C$6:$C$1997,0)),"")</f>
        <v>CAMISETA COPA MASC.</v>
      </c>
      <c r="G25" s="33" t="str">
        <f>IFERROR(INDEX(SKUs!$G$6:$G$1997,MATCH(B25,SKUs!$C$6:$C$1997,0)),"")</f>
        <v>ESPORTE</v>
      </c>
      <c r="H25" s="32" t="str">
        <f>IFERROR(INDEX(SKUs!$H$6:$H$1997,MATCH(B25,SKUs!$C$6:$C$1997,0)),"")</f>
        <v>P</v>
      </c>
      <c r="I25" s="34" t="str">
        <f>IFERROR(INDEX(SKUs!#REF!,MATCH(B25,SKUs!$C$6:$C$1997,0)),"")</f>
        <v/>
      </c>
      <c r="J25" s="35">
        <f>SUMIFS(SKUs!$I$6:$I$1997,SKUs!$C$6:$C$1997,B25)</f>
        <v>0</v>
      </c>
      <c r="K25" s="34">
        <f t="shared" si="1"/>
        <v>0</v>
      </c>
      <c r="L25" s="35">
        <f>COUNTIF(SKUs!$C$6:$C$1997,B25)</f>
        <v>1</v>
      </c>
      <c r="M25" s="29"/>
      <c r="N25" s="29"/>
      <c r="O25" s="29"/>
      <c r="P25" s="29"/>
      <c r="Q25" s="29"/>
      <c r="R25" s="29"/>
      <c r="S25" s="29"/>
      <c r="T25" s="29"/>
      <c r="U25" s="30">
        <f t="shared" si="2"/>
        <v>0</v>
      </c>
      <c r="V25" s="31">
        <f t="shared" si="3"/>
        <v>0</v>
      </c>
    </row>
    <row r="26" spans="1:22" ht="14.25" hidden="1" customHeight="1" x14ac:dyDescent="0.3">
      <c r="A26" s="25">
        <v>19</v>
      </c>
      <c r="B26" s="26" t="s">
        <v>70</v>
      </c>
      <c r="C26" s="27" t="str">
        <f t="shared" si="0"/>
        <v>Masculino</v>
      </c>
      <c r="D26" s="2" t="str">
        <f>IFERROR(INDEX(SKUs!$E$6:$E$1997,MATCH(B26,SKUs!$C$6:$C$1997,0)),"")</f>
        <v>CAMISETA</v>
      </c>
      <c r="E26" s="28" t="str">
        <f>IFERROR(VLOOKUP(D26,Configurações!$N$5:$O$46,2,FALSE()),"OUTROS")</f>
        <v>VESTUÁRIO</v>
      </c>
      <c r="F26" s="2" t="str">
        <f>IFERROR(INDEX(SKUs!$F$6:$F$1997,MATCH(B26,SKUs!$C$6:$C$1997,0)),"")</f>
        <v>CAMISETA COPA MASC.</v>
      </c>
      <c r="G26" s="2" t="str">
        <f>IFERROR(INDEX(SKUs!$G$6:$G$1997,MATCH(B26,SKUs!$C$6:$C$1997,0)),"")</f>
        <v>ESPORTE</v>
      </c>
      <c r="H26" s="25" t="str">
        <f>IFERROR(INDEX(SKUs!$H$6:$H$1997,MATCH(B26,SKUs!$C$6:$C$1997,0)),"")</f>
        <v>M</v>
      </c>
      <c r="I26" s="4" t="str">
        <f>IFERROR(INDEX(SKUs!#REF!,MATCH(B26,SKUs!$C$6:$C$1997,0)),"")</f>
        <v/>
      </c>
      <c r="J26" s="3">
        <f>SUMIFS(SKUs!$I$6:$I$1997,SKUs!$C$6:$C$1997,B26)</f>
        <v>0</v>
      </c>
      <c r="K26" s="4">
        <f t="shared" si="1"/>
        <v>0</v>
      </c>
      <c r="L26" s="3">
        <f>COUNTIF(SKUs!$C$6:$C$1997,B26)</f>
        <v>1</v>
      </c>
      <c r="M26" s="29"/>
      <c r="N26" s="29"/>
      <c r="O26" s="29"/>
      <c r="P26" s="29"/>
      <c r="Q26" s="29"/>
      <c r="R26" s="29"/>
      <c r="S26" s="29"/>
      <c r="T26" s="29"/>
      <c r="U26" s="30">
        <f t="shared" si="2"/>
        <v>0</v>
      </c>
      <c r="V26" s="31">
        <f t="shared" si="3"/>
        <v>0</v>
      </c>
    </row>
    <row r="27" spans="1:22" ht="14.25" hidden="1" customHeight="1" x14ac:dyDescent="0.3">
      <c r="A27" s="32">
        <v>20</v>
      </c>
      <c r="B27" s="26" t="s">
        <v>71</v>
      </c>
      <c r="C27" s="27" t="str">
        <f t="shared" si="0"/>
        <v>Masculino</v>
      </c>
      <c r="D27" s="33" t="str">
        <f>IFERROR(INDEX(SKUs!$E$6:$E$1997,MATCH(B27,SKUs!$C$6:$C$1997,0)),"")</f>
        <v>CAMISETA</v>
      </c>
      <c r="E27" s="28" t="str">
        <f>IFERROR(VLOOKUP(D27,Configurações!$N$5:$O$46,2,FALSE()),"OUTROS")</f>
        <v>VESTUÁRIO</v>
      </c>
      <c r="F27" s="33" t="str">
        <f>IFERROR(INDEX(SKUs!$F$6:$F$1997,MATCH(B27,SKUs!$C$6:$C$1997,0)),"")</f>
        <v>CAMISETA COPA MASC.</v>
      </c>
      <c r="G27" s="33" t="str">
        <f>IFERROR(INDEX(SKUs!$G$6:$G$1997,MATCH(B27,SKUs!$C$6:$C$1997,0)),"")</f>
        <v>ESPORTE</v>
      </c>
      <c r="H27" s="32" t="str">
        <f>IFERROR(INDEX(SKUs!$H$6:$H$1997,MATCH(B27,SKUs!$C$6:$C$1997,0)),"")</f>
        <v>G</v>
      </c>
      <c r="I27" s="34" t="str">
        <f>IFERROR(INDEX(SKUs!#REF!,MATCH(B27,SKUs!$C$6:$C$1997,0)),"")</f>
        <v/>
      </c>
      <c r="J27" s="35">
        <f>SUMIFS(SKUs!$I$6:$I$1997,SKUs!$C$6:$C$1997,B27)</f>
        <v>0</v>
      </c>
      <c r="K27" s="34">
        <f t="shared" si="1"/>
        <v>0</v>
      </c>
      <c r="L27" s="35">
        <f>COUNTIF(SKUs!$C$6:$C$1997,B27)</f>
        <v>1</v>
      </c>
      <c r="M27" s="29"/>
      <c r="N27" s="29"/>
      <c r="O27" s="29"/>
      <c r="P27" s="29"/>
      <c r="Q27" s="29"/>
      <c r="R27" s="29"/>
      <c r="S27" s="29"/>
      <c r="T27" s="29"/>
      <c r="U27" s="30">
        <f t="shared" si="2"/>
        <v>0</v>
      </c>
      <c r="V27" s="31">
        <f t="shared" si="3"/>
        <v>0</v>
      </c>
    </row>
    <row r="28" spans="1:22" ht="14.25" hidden="1" customHeight="1" x14ac:dyDescent="0.3">
      <c r="A28" s="25">
        <v>21</v>
      </c>
      <c r="B28" s="26" t="s">
        <v>72</v>
      </c>
      <c r="C28" s="27" t="str">
        <f t="shared" si="0"/>
        <v>Masculino</v>
      </c>
      <c r="D28" s="2" t="str">
        <f>IFERROR(INDEX(SKUs!$E$6:$E$1997,MATCH(B28,SKUs!$C$6:$C$1997,0)),"")</f>
        <v>CAMISETA</v>
      </c>
      <c r="E28" s="28" t="str">
        <f>IFERROR(VLOOKUP(D28,Configurações!$N$5:$O$46,2,FALSE()),"OUTROS")</f>
        <v>VESTUÁRIO</v>
      </c>
      <c r="F28" s="2" t="str">
        <f>IFERROR(INDEX(SKUs!$F$6:$F$1997,MATCH(B28,SKUs!$C$6:$C$1997,0)),"")</f>
        <v>CAMISETA COPA MASC.</v>
      </c>
      <c r="G28" s="2" t="str">
        <f>IFERROR(INDEX(SKUs!$G$6:$G$1997,MATCH(B28,SKUs!$C$6:$C$1997,0)),"")</f>
        <v>ESPORTE</v>
      </c>
      <c r="H28" s="25" t="str">
        <f>IFERROR(INDEX(SKUs!$H$6:$H$1997,MATCH(B28,SKUs!$C$6:$C$1997,0)),"")</f>
        <v>GG</v>
      </c>
      <c r="I28" s="4" t="str">
        <f>IFERROR(INDEX(SKUs!#REF!,MATCH(B28,SKUs!$C$6:$C$1997,0)),"")</f>
        <v/>
      </c>
      <c r="J28" s="3">
        <f>SUMIFS(SKUs!$I$6:$I$1997,SKUs!$C$6:$C$1997,B28)</f>
        <v>0</v>
      </c>
      <c r="K28" s="4">
        <f t="shared" si="1"/>
        <v>0</v>
      </c>
      <c r="L28" s="3">
        <f>COUNTIF(SKUs!$C$6:$C$1997,B28)</f>
        <v>1</v>
      </c>
      <c r="M28" s="29"/>
      <c r="N28" s="29"/>
      <c r="O28" s="29"/>
      <c r="P28" s="29"/>
      <c r="Q28" s="29"/>
      <c r="R28" s="29"/>
      <c r="S28" s="29"/>
      <c r="T28" s="29"/>
      <c r="U28" s="30">
        <f t="shared" si="2"/>
        <v>0</v>
      </c>
      <c r="V28" s="31">
        <f t="shared" si="3"/>
        <v>0</v>
      </c>
    </row>
    <row r="29" spans="1:22" ht="14.25" hidden="1" customHeight="1" x14ac:dyDescent="0.3">
      <c r="A29" s="32">
        <v>22</v>
      </c>
      <c r="B29" s="26" t="s">
        <v>73</v>
      </c>
      <c r="C29" s="27" t="str">
        <f t="shared" si="0"/>
        <v>Masculino</v>
      </c>
      <c r="D29" s="33" t="str">
        <f>IFERROR(INDEX(SKUs!$E$6:$E$1997,MATCH(B29,SKUs!$C$6:$C$1997,0)),"")</f>
        <v>CAMISETA</v>
      </c>
      <c r="E29" s="28" t="str">
        <f>IFERROR(VLOOKUP(D29,Configurações!$N$5:$O$46,2,FALSE()),"OUTROS")</f>
        <v>VESTUÁRIO</v>
      </c>
      <c r="F29" s="33" t="str">
        <f>IFERROR(INDEX(SKUs!$F$6:$F$1997,MATCH(B29,SKUs!$C$6:$C$1997,0)),"")</f>
        <v>CAMISETA COPA MASC.</v>
      </c>
      <c r="G29" s="33" t="str">
        <f>IFERROR(INDEX(SKUs!$G$6:$G$1997,MATCH(B29,SKUs!$C$6:$C$1997,0)),"")</f>
        <v>ESPORTE</v>
      </c>
      <c r="H29" s="32" t="str">
        <f>IFERROR(INDEX(SKUs!$H$6:$H$1997,MATCH(B29,SKUs!$C$6:$C$1997,0)),"")</f>
        <v>XG</v>
      </c>
      <c r="I29" s="34" t="str">
        <f>IFERROR(INDEX(SKUs!#REF!,MATCH(B29,SKUs!$C$6:$C$1997,0)),"")</f>
        <v/>
      </c>
      <c r="J29" s="35">
        <f>SUMIFS(SKUs!$I$6:$I$1997,SKUs!$C$6:$C$1997,B29)</f>
        <v>0</v>
      </c>
      <c r="K29" s="34">
        <f t="shared" si="1"/>
        <v>0</v>
      </c>
      <c r="L29" s="35">
        <f>COUNTIF(SKUs!$C$6:$C$1997,B29)</f>
        <v>1</v>
      </c>
      <c r="M29" s="29"/>
      <c r="N29" s="29"/>
      <c r="O29" s="29"/>
      <c r="P29" s="29"/>
      <c r="Q29" s="29"/>
      <c r="R29" s="29"/>
      <c r="S29" s="29"/>
      <c r="T29" s="29"/>
      <c r="U29" s="30">
        <f t="shared" si="2"/>
        <v>0</v>
      </c>
      <c r="V29" s="31">
        <f t="shared" si="3"/>
        <v>0</v>
      </c>
    </row>
    <row r="30" spans="1:22" ht="14.25" hidden="1" customHeight="1" x14ac:dyDescent="0.3">
      <c r="A30" s="25">
        <v>23</v>
      </c>
      <c r="B30" s="26" t="s">
        <v>74</v>
      </c>
      <c r="C30" s="27" t="str">
        <f t="shared" si="0"/>
        <v>Masculino</v>
      </c>
      <c r="D30" s="2" t="str">
        <f>IFERROR(INDEX(SKUs!$E$6:$E$1997,MATCH(B30,SKUs!$C$6:$C$1997,0)),"")</f>
        <v>JAQUETA</v>
      </c>
      <c r="E30" s="28" t="str">
        <f>IFERROR(VLOOKUP(D30,Configurações!$N$5:$O$46,2,FALSE()),"OUTROS")</f>
        <v>VESTUÁRIO</v>
      </c>
      <c r="F30" s="2" t="str">
        <f>IFERROR(INDEX(SKUs!$F$6:$F$1997,MATCH(B30,SKUs!$C$6:$C$1997,0)),"")</f>
        <v>JAQUETA COPA MASC.</v>
      </c>
      <c r="G30" s="2" t="str">
        <f>IFERROR(INDEX(SKUs!$G$6:$G$1997,MATCH(B30,SKUs!$C$6:$C$1997,0)),"")</f>
        <v>AMARELA</v>
      </c>
      <c r="H30" s="25" t="str">
        <f>IFERROR(INDEX(SKUs!$H$6:$H$1997,MATCH(B30,SKUs!$C$6:$C$1997,0)),"")</f>
        <v>P</v>
      </c>
      <c r="I30" s="4" t="str">
        <f>IFERROR(INDEX(SKUs!#REF!,MATCH(B30,SKUs!$C$6:$C$1997,0)),"")</f>
        <v/>
      </c>
      <c r="J30" s="3">
        <f>SUMIFS(SKUs!$I$6:$I$1997,SKUs!$C$6:$C$1997,B30)</f>
        <v>9</v>
      </c>
      <c r="K30" s="4">
        <f t="shared" si="1"/>
        <v>0</v>
      </c>
      <c r="L30" s="3">
        <f>COUNTIF(SKUs!$C$6:$C$1997,B30)</f>
        <v>1</v>
      </c>
      <c r="M30" s="29"/>
      <c r="N30" s="29"/>
      <c r="O30" s="29"/>
      <c r="P30" s="29"/>
      <c r="Q30" s="29"/>
      <c r="R30" s="29"/>
      <c r="S30" s="29"/>
      <c r="T30" s="29"/>
      <c r="U30" s="30">
        <f t="shared" si="2"/>
        <v>0</v>
      </c>
      <c r="V30" s="31">
        <f t="shared" si="3"/>
        <v>9</v>
      </c>
    </row>
    <row r="31" spans="1:22" ht="14.25" hidden="1" customHeight="1" x14ac:dyDescent="0.3">
      <c r="A31" s="32">
        <v>24</v>
      </c>
      <c r="B31" s="26" t="s">
        <v>75</v>
      </c>
      <c r="C31" s="27" t="str">
        <f t="shared" si="0"/>
        <v>Masculino</v>
      </c>
      <c r="D31" s="33" t="str">
        <f>IFERROR(INDEX(SKUs!$E$6:$E$1997,MATCH(B31,SKUs!$C$6:$C$1997,0)),"")</f>
        <v>JAQUETA</v>
      </c>
      <c r="E31" s="28" t="str">
        <f>IFERROR(VLOOKUP(D31,Configurações!$N$5:$O$46,2,FALSE()),"OUTROS")</f>
        <v>VESTUÁRIO</v>
      </c>
      <c r="F31" s="33" t="str">
        <f>IFERROR(INDEX(SKUs!$F$6:$F$1997,MATCH(B31,SKUs!$C$6:$C$1997,0)),"")</f>
        <v>JAQUETA COPA MASC.</v>
      </c>
      <c r="G31" s="33" t="str">
        <f>IFERROR(INDEX(SKUs!$G$6:$G$1997,MATCH(B31,SKUs!$C$6:$C$1997,0)),"")</f>
        <v>AMARELA</v>
      </c>
      <c r="H31" s="32" t="str">
        <f>IFERROR(INDEX(SKUs!$H$6:$H$1997,MATCH(B31,SKUs!$C$6:$C$1997,0)),"")</f>
        <v>M</v>
      </c>
      <c r="I31" s="34" t="str">
        <f>IFERROR(INDEX(SKUs!#REF!,MATCH(B31,SKUs!$C$6:$C$1997,0)),"")</f>
        <v/>
      </c>
      <c r="J31" s="35">
        <f>SUMIFS(SKUs!$I$6:$I$1997,SKUs!$C$6:$C$1997,B31)</f>
        <v>10</v>
      </c>
      <c r="K31" s="34">
        <f t="shared" si="1"/>
        <v>0</v>
      </c>
      <c r="L31" s="35">
        <f>COUNTIF(SKUs!$C$6:$C$1997,B31)</f>
        <v>2</v>
      </c>
      <c r="M31" s="29"/>
      <c r="N31" s="29"/>
      <c r="O31" s="29"/>
      <c r="P31" s="29"/>
      <c r="Q31" s="29"/>
      <c r="R31" s="29"/>
      <c r="S31" s="29"/>
      <c r="T31" s="29"/>
      <c r="U31" s="30">
        <f t="shared" si="2"/>
        <v>0</v>
      </c>
      <c r="V31" s="31">
        <f t="shared" si="3"/>
        <v>10</v>
      </c>
    </row>
    <row r="32" spans="1:22" ht="14.25" hidden="1" customHeight="1" x14ac:dyDescent="0.3">
      <c r="A32" s="25">
        <v>25</v>
      </c>
      <c r="B32" s="26" t="s">
        <v>76</v>
      </c>
      <c r="C32" s="27" t="str">
        <f t="shared" si="0"/>
        <v>Masculino</v>
      </c>
      <c r="D32" s="2" t="str">
        <f>IFERROR(INDEX(SKUs!$E$6:$E$1997,MATCH(B32,SKUs!$C$6:$C$1997,0)),"")</f>
        <v>JAQUETA</v>
      </c>
      <c r="E32" s="28" t="str">
        <f>IFERROR(VLOOKUP(D32,Configurações!$N$5:$O$46,2,FALSE()),"OUTROS")</f>
        <v>VESTUÁRIO</v>
      </c>
      <c r="F32" s="2" t="str">
        <f>IFERROR(INDEX(SKUs!$F$6:$F$1997,MATCH(B32,SKUs!$C$6:$C$1997,0)),"")</f>
        <v>JAQUETA COPA MASC.</v>
      </c>
      <c r="G32" s="2" t="str">
        <f>IFERROR(INDEX(SKUs!$G$6:$G$1997,MATCH(B32,SKUs!$C$6:$C$1997,0)),"")</f>
        <v>AMARELA</v>
      </c>
      <c r="H32" s="25" t="str">
        <f>IFERROR(INDEX(SKUs!$H$6:$H$1997,MATCH(B32,SKUs!$C$6:$C$1997,0)),"")</f>
        <v>G</v>
      </c>
      <c r="I32" s="4" t="str">
        <f>IFERROR(INDEX(SKUs!#REF!,MATCH(B32,SKUs!$C$6:$C$1997,0)),"")</f>
        <v/>
      </c>
      <c r="J32" s="3">
        <f>SUMIFS(SKUs!$I$6:$I$1997,SKUs!$C$6:$C$1997,B32)</f>
        <v>8</v>
      </c>
      <c r="K32" s="4">
        <f t="shared" si="1"/>
        <v>0</v>
      </c>
      <c r="L32" s="3">
        <f>COUNTIF(SKUs!$C$6:$C$1997,B32)</f>
        <v>2</v>
      </c>
      <c r="M32" s="29"/>
      <c r="N32" s="29"/>
      <c r="O32" s="29"/>
      <c r="P32" s="29"/>
      <c r="Q32" s="29"/>
      <c r="R32" s="29"/>
      <c r="S32" s="29"/>
      <c r="T32" s="29"/>
      <c r="U32" s="30">
        <f t="shared" si="2"/>
        <v>0</v>
      </c>
      <c r="V32" s="31">
        <f t="shared" si="3"/>
        <v>8</v>
      </c>
    </row>
    <row r="33" spans="1:22" ht="14.25" hidden="1" customHeight="1" x14ac:dyDescent="0.3">
      <c r="A33" s="32">
        <v>26</v>
      </c>
      <c r="B33" s="26" t="s">
        <v>77</v>
      </c>
      <c r="C33" s="27" t="str">
        <f t="shared" si="0"/>
        <v>Masculino</v>
      </c>
      <c r="D33" s="33" t="str">
        <f>IFERROR(INDEX(SKUs!$E$6:$E$1997,MATCH(B33,SKUs!$C$6:$C$1997,0)),"")</f>
        <v>JAQUETA</v>
      </c>
      <c r="E33" s="28" t="str">
        <f>IFERROR(VLOOKUP(D33,Configurações!$N$5:$O$46,2,FALSE()),"OUTROS")</f>
        <v>VESTUÁRIO</v>
      </c>
      <c r="F33" s="33" t="str">
        <f>IFERROR(INDEX(SKUs!$F$6:$F$1997,MATCH(B33,SKUs!$C$6:$C$1997,0)),"")</f>
        <v>JAQUETA COPA MASC.</v>
      </c>
      <c r="G33" s="33" t="str">
        <f>IFERROR(INDEX(SKUs!$G$6:$G$1997,MATCH(B33,SKUs!$C$6:$C$1997,0)),"")</f>
        <v>AMARELA</v>
      </c>
      <c r="H33" s="32" t="str">
        <f>IFERROR(INDEX(SKUs!$H$6:$H$1997,MATCH(B33,SKUs!$C$6:$C$1997,0)),"")</f>
        <v>XG</v>
      </c>
      <c r="I33" s="34" t="str">
        <f>IFERROR(INDEX(SKUs!#REF!,MATCH(B33,SKUs!$C$6:$C$1997,0)),"")</f>
        <v/>
      </c>
      <c r="J33" s="35">
        <f>SUMIFS(SKUs!$I$6:$I$1997,SKUs!$C$6:$C$1997,B33)</f>
        <v>17</v>
      </c>
      <c r="K33" s="34">
        <f t="shared" si="1"/>
        <v>0</v>
      </c>
      <c r="L33" s="35">
        <f>COUNTIF(SKUs!$C$6:$C$1997,B33)</f>
        <v>1</v>
      </c>
      <c r="M33" s="29"/>
      <c r="N33" s="29"/>
      <c r="O33" s="29"/>
      <c r="P33" s="29"/>
      <c r="Q33" s="29"/>
      <c r="R33" s="29"/>
      <c r="S33" s="29"/>
      <c r="T33" s="29"/>
      <c r="U33" s="30">
        <f t="shared" si="2"/>
        <v>0</v>
      </c>
      <c r="V33" s="31">
        <f t="shared" si="3"/>
        <v>17</v>
      </c>
    </row>
    <row r="34" spans="1:22" ht="14.25" hidden="1" customHeight="1" x14ac:dyDescent="0.3">
      <c r="A34" s="25">
        <v>27</v>
      </c>
      <c r="B34" s="26" t="s">
        <v>78</v>
      </c>
      <c r="C34" s="27" t="str">
        <f t="shared" si="0"/>
        <v>Masculino</v>
      </c>
      <c r="D34" s="2" t="str">
        <f>IFERROR(INDEX(SKUs!$E$6:$E$1997,MATCH(B34,SKUs!$C$6:$C$1997,0)),"")</f>
        <v>JAQUETA</v>
      </c>
      <c r="E34" s="28" t="str">
        <f>IFERROR(VLOOKUP(D34,Configurações!$N$5:$O$46,2,FALSE()),"OUTROS")</f>
        <v>VESTUÁRIO</v>
      </c>
      <c r="F34" s="2" t="str">
        <f>IFERROR(INDEX(SKUs!$F$6:$F$1997,MATCH(B34,SKUs!$C$6:$C$1997,0)),"")</f>
        <v>JAQUETA COPA MASC.</v>
      </c>
      <c r="G34" s="2" t="str">
        <f>IFERROR(INDEX(SKUs!$G$6:$G$1997,MATCH(B34,SKUs!$C$6:$C$1997,0)),"")</f>
        <v>AMARELA</v>
      </c>
      <c r="H34" s="25" t="str">
        <f>IFERROR(INDEX(SKUs!$H$6:$H$1997,MATCH(B34,SKUs!$C$6:$C$1997,0)),"")</f>
        <v>GG</v>
      </c>
      <c r="I34" s="4" t="str">
        <f>IFERROR(INDEX(SKUs!#REF!,MATCH(B34,SKUs!$C$6:$C$1997,0)),"")</f>
        <v/>
      </c>
      <c r="J34" s="3">
        <f>SUMIFS(SKUs!$I$6:$I$1997,SKUs!$C$6:$C$1997,B34)</f>
        <v>16</v>
      </c>
      <c r="K34" s="4">
        <f t="shared" si="1"/>
        <v>0</v>
      </c>
      <c r="L34" s="3">
        <f>COUNTIF(SKUs!$C$6:$C$1997,B34)</f>
        <v>1</v>
      </c>
      <c r="M34" s="29"/>
      <c r="N34" s="29"/>
      <c r="O34" s="29"/>
      <c r="P34" s="29"/>
      <c r="Q34" s="29"/>
      <c r="R34" s="29"/>
      <c r="S34" s="29"/>
      <c r="T34" s="29"/>
      <c r="U34" s="30">
        <f t="shared" si="2"/>
        <v>0</v>
      </c>
      <c r="V34" s="31">
        <f t="shared" si="3"/>
        <v>16</v>
      </c>
    </row>
    <row r="35" spans="1:22" ht="14.25" hidden="1" customHeight="1" x14ac:dyDescent="0.3">
      <c r="A35" s="32">
        <v>28</v>
      </c>
      <c r="B35" s="26" t="s">
        <v>79</v>
      </c>
      <c r="C35" s="27" t="str">
        <f t="shared" si="0"/>
        <v>Masculino</v>
      </c>
      <c r="D35" s="33" t="str">
        <f>IFERROR(INDEX(SKUs!$E$6:$E$1997,MATCH(B35,SKUs!$C$6:$C$1997,0)),"")</f>
        <v>JAQUETA</v>
      </c>
      <c r="E35" s="28" t="str">
        <f>IFERROR(VLOOKUP(D35,Configurações!$N$5:$O$46,2,FALSE()),"OUTROS")</f>
        <v>VESTUÁRIO</v>
      </c>
      <c r="F35" s="33" t="str">
        <f>IFERROR(INDEX(SKUs!$F$6:$F$1997,MATCH(B35,SKUs!$C$6:$C$1997,0)),"")</f>
        <v>JAQUETA COPA MASC.</v>
      </c>
      <c r="G35" s="33" t="str">
        <f>IFERROR(INDEX(SKUs!$G$6:$G$1997,MATCH(B35,SKUs!$C$6:$C$1997,0)),"")</f>
        <v>VERDE</v>
      </c>
      <c r="H35" s="32" t="str">
        <f>IFERROR(INDEX(SKUs!$H$6:$H$1997,MATCH(B35,SKUs!$C$6:$C$1997,0)),"")</f>
        <v>P</v>
      </c>
      <c r="I35" s="34" t="str">
        <f>IFERROR(INDEX(SKUs!#REF!,MATCH(B35,SKUs!$C$6:$C$1997,0)),"")</f>
        <v/>
      </c>
      <c r="J35" s="35">
        <f>SUMIFS(SKUs!$I$6:$I$1997,SKUs!$C$6:$C$1997,B35)</f>
        <v>10</v>
      </c>
      <c r="K35" s="34">
        <f t="shared" si="1"/>
        <v>0</v>
      </c>
      <c r="L35" s="35">
        <f>COUNTIF(SKUs!$C$6:$C$1997,B35)</f>
        <v>1</v>
      </c>
      <c r="M35" s="29"/>
      <c r="N35" s="29"/>
      <c r="O35" s="29"/>
      <c r="P35" s="29"/>
      <c r="Q35" s="29"/>
      <c r="R35" s="29"/>
      <c r="S35" s="29"/>
      <c r="T35" s="29"/>
      <c r="U35" s="30">
        <f t="shared" si="2"/>
        <v>0</v>
      </c>
      <c r="V35" s="31">
        <f t="shared" si="3"/>
        <v>10</v>
      </c>
    </row>
    <row r="36" spans="1:22" ht="14.25" hidden="1" customHeight="1" x14ac:dyDescent="0.3">
      <c r="A36" s="25">
        <v>29</v>
      </c>
      <c r="B36" s="26" t="s">
        <v>80</v>
      </c>
      <c r="C36" s="27" t="str">
        <f t="shared" si="0"/>
        <v>Masculino</v>
      </c>
      <c r="D36" s="2" t="str">
        <f>IFERROR(INDEX(SKUs!$E$6:$E$1997,MATCH(B36,SKUs!$C$6:$C$1997,0)),"")</f>
        <v>JAQUETA</v>
      </c>
      <c r="E36" s="28" t="str">
        <f>IFERROR(VLOOKUP(D36,Configurações!$N$5:$O$46,2,FALSE()),"OUTROS")</f>
        <v>VESTUÁRIO</v>
      </c>
      <c r="F36" s="2" t="str">
        <f>IFERROR(INDEX(SKUs!$F$6:$F$1997,MATCH(B36,SKUs!$C$6:$C$1997,0)),"")</f>
        <v>JAQUETA COPA MASC.</v>
      </c>
      <c r="G36" s="2" t="str">
        <f>IFERROR(INDEX(SKUs!$G$6:$G$1997,MATCH(B36,SKUs!$C$6:$C$1997,0)),"")</f>
        <v>VERDE</v>
      </c>
      <c r="H36" s="25" t="str">
        <f>IFERROR(INDEX(SKUs!$H$6:$H$1997,MATCH(B36,SKUs!$C$6:$C$1997,0)),"")</f>
        <v>M</v>
      </c>
      <c r="I36" s="4" t="str">
        <f>IFERROR(INDEX(SKUs!#REF!,MATCH(B36,SKUs!$C$6:$C$1997,0)),"")</f>
        <v/>
      </c>
      <c r="J36" s="3">
        <f>SUMIFS(SKUs!$I$6:$I$1997,SKUs!$C$6:$C$1997,B36)</f>
        <v>10</v>
      </c>
      <c r="K36" s="4">
        <f t="shared" si="1"/>
        <v>0</v>
      </c>
      <c r="L36" s="3">
        <f>COUNTIF(SKUs!$C$6:$C$1997,B36)</f>
        <v>1</v>
      </c>
      <c r="M36" s="29"/>
      <c r="N36" s="29"/>
      <c r="O36" s="29"/>
      <c r="P36" s="29"/>
      <c r="Q36" s="29"/>
      <c r="R36" s="29"/>
      <c r="S36" s="29"/>
      <c r="T36" s="29"/>
      <c r="U36" s="30">
        <f t="shared" si="2"/>
        <v>0</v>
      </c>
      <c r="V36" s="31">
        <f t="shared" si="3"/>
        <v>10</v>
      </c>
    </row>
    <row r="37" spans="1:22" ht="14.25" hidden="1" customHeight="1" x14ac:dyDescent="0.3">
      <c r="A37" s="32">
        <v>30</v>
      </c>
      <c r="B37" s="26" t="s">
        <v>81</v>
      </c>
      <c r="C37" s="27" t="str">
        <f t="shared" si="0"/>
        <v>Masculino</v>
      </c>
      <c r="D37" s="33" t="str">
        <f>IFERROR(INDEX(SKUs!$E$6:$E$1997,MATCH(B37,SKUs!$C$6:$C$1997,0)),"")</f>
        <v>JAQUETA</v>
      </c>
      <c r="E37" s="28" t="str">
        <f>IFERROR(VLOOKUP(D37,Configurações!$N$5:$O$46,2,FALSE()),"OUTROS")</f>
        <v>VESTUÁRIO</v>
      </c>
      <c r="F37" s="33" t="str">
        <f>IFERROR(INDEX(SKUs!$F$6:$F$1997,MATCH(B37,SKUs!$C$6:$C$1997,0)),"")</f>
        <v>JAQUETA COPA MASC.</v>
      </c>
      <c r="G37" s="33" t="str">
        <f>IFERROR(INDEX(SKUs!$G$6:$G$1997,MATCH(B37,SKUs!$C$6:$C$1997,0)),"")</f>
        <v>VERDE</v>
      </c>
      <c r="H37" s="32" t="str">
        <f>IFERROR(INDEX(SKUs!$H$6:$H$1997,MATCH(B37,SKUs!$C$6:$C$1997,0)),"")</f>
        <v>G</v>
      </c>
      <c r="I37" s="34" t="str">
        <f>IFERROR(INDEX(SKUs!#REF!,MATCH(B37,SKUs!$C$6:$C$1997,0)),"")</f>
        <v/>
      </c>
      <c r="J37" s="35">
        <f>SUMIFS(SKUs!$I$6:$I$1997,SKUs!$C$6:$C$1997,B37)</f>
        <v>10</v>
      </c>
      <c r="K37" s="34">
        <f t="shared" si="1"/>
        <v>0</v>
      </c>
      <c r="L37" s="35">
        <f>COUNTIF(SKUs!$C$6:$C$1997,B37)</f>
        <v>1</v>
      </c>
      <c r="M37" s="29"/>
      <c r="N37" s="29"/>
      <c r="O37" s="29"/>
      <c r="P37" s="29"/>
      <c r="Q37" s="29"/>
      <c r="R37" s="29"/>
      <c r="S37" s="29"/>
      <c r="T37" s="29"/>
      <c r="U37" s="30">
        <f t="shared" si="2"/>
        <v>0</v>
      </c>
      <c r="V37" s="31">
        <f t="shared" si="3"/>
        <v>10</v>
      </c>
    </row>
    <row r="38" spans="1:22" ht="14.25" hidden="1" customHeight="1" x14ac:dyDescent="0.3">
      <c r="A38" s="25">
        <v>31</v>
      </c>
      <c r="B38" s="26" t="s">
        <v>82</v>
      </c>
      <c r="C38" s="27" t="str">
        <f t="shared" si="0"/>
        <v>Masculino</v>
      </c>
      <c r="D38" s="2" t="str">
        <f>IFERROR(INDEX(SKUs!$E$6:$E$1997,MATCH(B38,SKUs!$C$6:$C$1997,0)),"")</f>
        <v>JAQUETA</v>
      </c>
      <c r="E38" s="28" t="str">
        <f>IFERROR(VLOOKUP(D38,Configurações!$N$5:$O$46,2,FALSE()),"OUTROS")</f>
        <v>VESTUÁRIO</v>
      </c>
      <c r="F38" s="2" t="str">
        <f>IFERROR(INDEX(SKUs!$F$6:$F$1997,MATCH(B38,SKUs!$C$6:$C$1997,0)),"")</f>
        <v>JAQUETA COPA MASC.</v>
      </c>
      <c r="G38" s="2" t="str">
        <f>IFERROR(INDEX(SKUs!$G$6:$G$1997,MATCH(B38,SKUs!$C$6:$C$1997,0)),"")</f>
        <v>VERDE</v>
      </c>
      <c r="H38" s="25" t="str">
        <f>IFERROR(INDEX(SKUs!$H$6:$H$1997,MATCH(B38,SKUs!$C$6:$C$1997,0)),"")</f>
        <v>GG</v>
      </c>
      <c r="I38" s="4" t="str">
        <f>IFERROR(INDEX(SKUs!#REF!,MATCH(B38,SKUs!$C$6:$C$1997,0)),"")</f>
        <v/>
      </c>
      <c r="J38" s="3">
        <f>SUMIFS(SKUs!$I$6:$I$1997,SKUs!$C$6:$C$1997,B38)</f>
        <v>0</v>
      </c>
      <c r="K38" s="4">
        <f t="shared" si="1"/>
        <v>0</v>
      </c>
      <c r="L38" s="3">
        <f>COUNTIF(SKUs!$C$6:$C$1997,B38)</f>
        <v>2</v>
      </c>
      <c r="M38" s="29">
        <v>10</v>
      </c>
      <c r="N38" s="29"/>
      <c r="O38" s="29"/>
      <c r="P38" s="29"/>
      <c r="Q38" s="29"/>
      <c r="R38" s="29"/>
      <c r="S38" s="29"/>
      <c r="T38" s="29"/>
      <c r="U38" s="30">
        <f t="shared" si="2"/>
        <v>10</v>
      </c>
      <c r="V38" s="31">
        <f t="shared" si="3"/>
        <v>0</v>
      </c>
    </row>
    <row r="39" spans="1:22" ht="14.25" hidden="1" customHeight="1" x14ac:dyDescent="0.3">
      <c r="A39" s="32">
        <v>32</v>
      </c>
      <c r="B39" s="26" t="s">
        <v>83</v>
      </c>
      <c r="C39" s="27" t="str">
        <f t="shared" si="0"/>
        <v>Masculino</v>
      </c>
      <c r="D39" s="33" t="str">
        <f>IFERROR(INDEX(SKUs!$E$6:$E$1997,MATCH(B39,SKUs!$C$6:$C$1997,0)),"")</f>
        <v>JAQUETA</v>
      </c>
      <c r="E39" s="28" t="str">
        <f>IFERROR(VLOOKUP(D39,Configurações!$N$5:$O$46,2,FALSE()),"OUTROS")</f>
        <v>VESTUÁRIO</v>
      </c>
      <c r="F39" s="33" t="str">
        <f>IFERROR(INDEX(SKUs!$F$6:$F$1997,MATCH(B39,SKUs!$C$6:$C$1997,0)),"")</f>
        <v>JAQUETA COPA MASC.</v>
      </c>
      <c r="G39" s="33" t="str">
        <f>IFERROR(INDEX(SKUs!$G$6:$G$1997,MATCH(B39,SKUs!$C$6:$C$1997,0)),"")</f>
        <v>VERDE</v>
      </c>
      <c r="H39" s="32" t="str">
        <f>IFERROR(INDEX(SKUs!$H$6:$H$1997,MATCH(B39,SKUs!$C$6:$C$1997,0)),"")</f>
        <v>XG</v>
      </c>
      <c r="I39" s="34" t="str">
        <f>IFERROR(INDEX(SKUs!#REF!,MATCH(B39,SKUs!$C$6:$C$1997,0)),"")</f>
        <v/>
      </c>
      <c r="J39" s="35">
        <f>SUMIFS(SKUs!$I$6:$I$1997,SKUs!$C$6:$C$1997,B39)</f>
        <v>0</v>
      </c>
      <c r="K39" s="34">
        <f t="shared" si="1"/>
        <v>0</v>
      </c>
      <c r="L39" s="35">
        <f>COUNTIF(SKUs!$C$6:$C$1997,B39)</f>
        <v>1</v>
      </c>
      <c r="M39" s="29">
        <v>10</v>
      </c>
      <c r="N39" s="29"/>
      <c r="O39" s="29"/>
      <c r="P39" s="29"/>
      <c r="Q39" s="29"/>
      <c r="R39" s="29"/>
      <c r="S39" s="29"/>
      <c r="T39" s="29"/>
      <c r="U39" s="30">
        <f t="shared" si="2"/>
        <v>10</v>
      </c>
      <c r="V39" s="31">
        <f t="shared" si="3"/>
        <v>0</v>
      </c>
    </row>
    <row r="40" spans="1:22" ht="14.25" hidden="1" customHeight="1" x14ac:dyDescent="0.3">
      <c r="A40" s="25">
        <v>33</v>
      </c>
      <c r="B40" s="26" t="s">
        <v>84</v>
      </c>
      <c r="C40" s="27" t="str">
        <f t="shared" si="0"/>
        <v>Masculino</v>
      </c>
      <c r="D40" s="2" t="str">
        <f>IFERROR(INDEX(SKUs!$E$6:$E$1997,MATCH(B40,SKUs!$C$6:$C$1997,0)),"")</f>
        <v>JAQUETA</v>
      </c>
      <c r="E40" s="28" t="str">
        <f>IFERROR(VLOOKUP(D40,Configurações!$N$5:$O$46,2,FALSE()),"OUTROS")</f>
        <v>VESTUÁRIO</v>
      </c>
      <c r="F40" s="2" t="str">
        <f>IFERROR(INDEX(SKUs!$F$6:$F$1997,MATCH(B40,SKUs!$C$6:$C$1997,0)),"")</f>
        <v>JAQUETA COPA MASC.</v>
      </c>
      <c r="G40" s="2" t="str">
        <f>IFERROR(INDEX(SKUs!$G$6:$G$1997,MATCH(B40,SKUs!$C$6:$C$1997,0)),"")</f>
        <v>AZUL</v>
      </c>
      <c r="H40" s="25" t="str">
        <f>IFERROR(INDEX(SKUs!$H$6:$H$1997,MATCH(B40,SKUs!$C$6:$C$1997,0)),"")</f>
        <v>P</v>
      </c>
      <c r="I40" s="4" t="str">
        <f>IFERROR(INDEX(SKUs!#REF!,MATCH(B40,SKUs!$C$6:$C$1997,0)),"")</f>
        <v/>
      </c>
      <c r="J40" s="3">
        <f>SUMIFS(SKUs!$I$6:$I$1997,SKUs!$C$6:$C$1997,B40)</f>
        <v>10</v>
      </c>
      <c r="K40" s="4">
        <f t="shared" si="1"/>
        <v>0</v>
      </c>
      <c r="L40" s="3">
        <f>COUNTIF(SKUs!$C$6:$C$1997,B40)</f>
        <v>1</v>
      </c>
      <c r="M40" s="29"/>
      <c r="N40" s="29"/>
      <c r="O40" s="29"/>
      <c r="P40" s="29"/>
      <c r="Q40" s="29"/>
      <c r="R40" s="29"/>
      <c r="S40" s="29"/>
      <c r="T40" s="29"/>
      <c r="U40" s="30">
        <f t="shared" si="2"/>
        <v>0</v>
      </c>
      <c r="V40" s="31">
        <f t="shared" si="3"/>
        <v>10</v>
      </c>
    </row>
    <row r="41" spans="1:22" ht="14.25" hidden="1" customHeight="1" x14ac:dyDescent="0.3">
      <c r="A41" s="32">
        <v>34</v>
      </c>
      <c r="B41" s="26" t="s">
        <v>85</v>
      </c>
      <c r="C41" s="27" t="str">
        <f t="shared" si="0"/>
        <v>Masculino</v>
      </c>
      <c r="D41" s="33" t="str">
        <f>IFERROR(INDEX(SKUs!$E$6:$E$1997,MATCH(B41,SKUs!$C$6:$C$1997,0)),"")</f>
        <v>JAQUETA</v>
      </c>
      <c r="E41" s="28" t="str">
        <f>IFERROR(VLOOKUP(D41,Configurações!$N$5:$O$46,2,FALSE()),"OUTROS")</f>
        <v>VESTUÁRIO</v>
      </c>
      <c r="F41" s="33" t="str">
        <f>IFERROR(INDEX(SKUs!$F$6:$F$1997,MATCH(B41,SKUs!$C$6:$C$1997,0)),"")</f>
        <v>JAQUETA COPA MASC.</v>
      </c>
      <c r="G41" s="33" t="str">
        <f>IFERROR(INDEX(SKUs!$G$6:$G$1997,MATCH(B41,SKUs!$C$6:$C$1997,0)),"")</f>
        <v>AZUL</v>
      </c>
      <c r="H41" s="32" t="str">
        <f>IFERROR(INDEX(SKUs!$H$6:$H$1997,MATCH(B41,SKUs!$C$6:$C$1997,0)),"")</f>
        <v>M</v>
      </c>
      <c r="I41" s="34" t="str">
        <f>IFERROR(INDEX(SKUs!#REF!,MATCH(B41,SKUs!$C$6:$C$1997,0)),"")</f>
        <v/>
      </c>
      <c r="J41" s="35">
        <f>SUMIFS(SKUs!$I$6:$I$1997,SKUs!$C$6:$C$1997,B41)</f>
        <v>10</v>
      </c>
      <c r="K41" s="34">
        <f t="shared" si="1"/>
        <v>0</v>
      </c>
      <c r="L41" s="35">
        <f>COUNTIF(SKUs!$C$6:$C$1997,B41)</f>
        <v>1</v>
      </c>
      <c r="M41" s="29"/>
      <c r="N41" s="29"/>
      <c r="O41" s="29"/>
      <c r="P41" s="29"/>
      <c r="Q41" s="29"/>
      <c r="R41" s="29"/>
      <c r="S41" s="29"/>
      <c r="T41" s="29"/>
      <c r="U41" s="30">
        <f t="shared" si="2"/>
        <v>0</v>
      </c>
      <c r="V41" s="31">
        <f t="shared" si="3"/>
        <v>10</v>
      </c>
    </row>
    <row r="42" spans="1:22" ht="14.25" hidden="1" customHeight="1" x14ac:dyDescent="0.3">
      <c r="A42" s="25">
        <v>35</v>
      </c>
      <c r="B42" s="26" t="s">
        <v>86</v>
      </c>
      <c r="C42" s="27" t="str">
        <f t="shared" si="0"/>
        <v>Masculino</v>
      </c>
      <c r="D42" s="2" t="str">
        <f>IFERROR(INDEX(SKUs!$E$6:$E$1997,MATCH(B42,SKUs!$C$6:$C$1997,0)),"")</f>
        <v>JAQUETA</v>
      </c>
      <c r="E42" s="28" t="str">
        <f>IFERROR(VLOOKUP(D42,Configurações!$N$5:$O$46,2,FALSE()),"OUTROS")</f>
        <v>VESTUÁRIO</v>
      </c>
      <c r="F42" s="2" t="str">
        <f>IFERROR(INDEX(SKUs!$F$6:$F$1997,MATCH(B42,SKUs!$C$6:$C$1997,0)),"")</f>
        <v>JAQUETA COPA MASC.</v>
      </c>
      <c r="G42" s="2" t="str">
        <f>IFERROR(INDEX(SKUs!$G$6:$G$1997,MATCH(B42,SKUs!$C$6:$C$1997,0)),"")</f>
        <v>AZUL</v>
      </c>
      <c r="H42" s="25" t="str">
        <f>IFERROR(INDEX(SKUs!$H$6:$H$1997,MATCH(B42,SKUs!$C$6:$C$1997,0)),"")</f>
        <v>G</v>
      </c>
      <c r="I42" s="4" t="str">
        <f>IFERROR(INDEX(SKUs!#REF!,MATCH(B42,SKUs!$C$6:$C$1997,0)),"")</f>
        <v/>
      </c>
      <c r="J42" s="3">
        <f>SUMIFS(SKUs!$I$6:$I$1997,SKUs!$C$6:$C$1997,B42)</f>
        <v>9</v>
      </c>
      <c r="K42" s="4">
        <f t="shared" si="1"/>
        <v>0</v>
      </c>
      <c r="L42" s="3">
        <f>COUNTIF(SKUs!$C$6:$C$1997,B42)</f>
        <v>2</v>
      </c>
      <c r="M42" s="29"/>
      <c r="N42" s="29"/>
      <c r="O42" s="29"/>
      <c r="P42" s="29"/>
      <c r="Q42" s="29"/>
      <c r="R42" s="29"/>
      <c r="S42" s="29"/>
      <c r="T42" s="29"/>
      <c r="U42" s="30">
        <f t="shared" si="2"/>
        <v>0</v>
      </c>
      <c r="V42" s="31">
        <f t="shared" si="3"/>
        <v>9</v>
      </c>
    </row>
    <row r="43" spans="1:22" ht="14.25" hidden="1" customHeight="1" x14ac:dyDescent="0.3">
      <c r="A43" s="32">
        <v>36</v>
      </c>
      <c r="B43" s="26" t="s">
        <v>87</v>
      </c>
      <c r="C43" s="27" t="str">
        <f t="shared" si="0"/>
        <v>Masculino</v>
      </c>
      <c r="D43" s="33" t="str">
        <f>IFERROR(INDEX(SKUs!$E$6:$E$1997,MATCH(B43,SKUs!$C$6:$C$1997,0)),"")</f>
        <v>JAQUETA</v>
      </c>
      <c r="E43" s="28" t="str">
        <f>IFERROR(VLOOKUP(D43,Configurações!$N$5:$O$46,2,FALSE()),"OUTROS")</f>
        <v>VESTUÁRIO</v>
      </c>
      <c r="F43" s="33" t="str">
        <f>IFERROR(INDEX(SKUs!$F$6:$F$1997,MATCH(B43,SKUs!$C$6:$C$1997,0)),"")</f>
        <v>JAQUETA COPA MASC.</v>
      </c>
      <c r="G43" s="33" t="str">
        <f>IFERROR(INDEX(SKUs!$G$6:$G$1997,MATCH(B43,SKUs!$C$6:$C$1997,0)),"")</f>
        <v>AZUL</v>
      </c>
      <c r="H43" s="32" t="str">
        <f>IFERROR(INDEX(SKUs!$H$6:$H$1997,MATCH(B43,SKUs!$C$6:$C$1997,0)),"")</f>
        <v>GG</v>
      </c>
      <c r="I43" s="34" t="str">
        <f>IFERROR(INDEX(SKUs!#REF!,MATCH(B43,SKUs!$C$6:$C$1997,0)),"")</f>
        <v/>
      </c>
      <c r="J43" s="35">
        <f>SUMIFS(SKUs!$I$6:$I$1997,SKUs!$C$6:$C$1997,B43)</f>
        <v>9</v>
      </c>
      <c r="K43" s="34">
        <f t="shared" si="1"/>
        <v>0</v>
      </c>
      <c r="L43" s="35">
        <f>COUNTIF(SKUs!$C$6:$C$1997,B43)</f>
        <v>1</v>
      </c>
      <c r="M43" s="29"/>
      <c r="N43" s="29"/>
      <c r="O43" s="29"/>
      <c r="P43" s="29"/>
      <c r="Q43" s="29"/>
      <c r="R43" s="29"/>
      <c r="S43" s="29"/>
      <c r="T43" s="29"/>
      <c r="U43" s="30">
        <f t="shared" si="2"/>
        <v>0</v>
      </c>
      <c r="V43" s="31">
        <f t="shared" si="3"/>
        <v>9</v>
      </c>
    </row>
    <row r="44" spans="1:22" ht="14.25" hidden="1" customHeight="1" x14ac:dyDescent="0.3">
      <c r="A44" s="25">
        <v>37</v>
      </c>
      <c r="B44" s="26" t="s">
        <v>88</v>
      </c>
      <c r="C44" s="27" t="str">
        <f t="shared" si="0"/>
        <v>Masculino</v>
      </c>
      <c r="D44" s="2" t="str">
        <f>IFERROR(INDEX(SKUs!$E$6:$E$1997,MATCH(B44,SKUs!$C$6:$C$1997,0)),"")</f>
        <v>JAQUETA</v>
      </c>
      <c r="E44" s="28" t="str">
        <f>IFERROR(VLOOKUP(D44,Configurações!$N$5:$O$46,2,FALSE()),"OUTROS")</f>
        <v>VESTUÁRIO</v>
      </c>
      <c r="F44" s="2" t="str">
        <f>IFERROR(INDEX(SKUs!$F$6:$F$1997,MATCH(B44,SKUs!$C$6:$C$1997,0)),"")</f>
        <v>JAQUETA COPA MASC.</v>
      </c>
      <c r="G44" s="2" t="str">
        <f>IFERROR(INDEX(SKUs!$G$6:$G$1997,MATCH(B44,SKUs!$C$6:$C$1997,0)),"")</f>
        <v>AZUL</v>
      </c>
      <c r="H44" s="25" t="str">
        <f>IFERROR(INDEX(SKUs!$H$6:$H$1997,MATCH(B44,SKUs!$C$6:$C$1997,0)),"")</f>
        <v>XG</v>
      </c>
      <c r="I44" s="4" t="str">
        <f>IFERROR(INDEX(SKUs!#REF!,MATCH(B44,SKUs!$C$6:$C$1997,0)),"")</f>
        <v/>
      </c>
      <c r="J44" s="3">
        <f>SUMIFS(SKUs!$I$6:$I$1997,SKUs!$C$6:$C$1997,B44)</f>
        <v>11</v>
      </c>
      <c r="K44" s="4">
        <f t="shared" si="1"/>
        <v>0</v>
      </c>
      <c r="L44" s="3">
        <f>COUNTIF(SKUs!$C$6:$C$1997,B44)</f>
        <v>1</v>
      </c>
      <c r="M44" s="29"/>
      <c r="N44" s="29"/>
      <c r="O44" s="29"/>
      <c r="P44" s="29"/>
      <c r="Q44" s="29"/>
      <c r="R44" s="29"/>
      <c r="S44" s="29"/>
      <c r="T44" s="29"/>
      <c r="U44" s="30">
        <f t="shared" si="2"/>
        <v>0</v>
      </c>
      <c r="V44" s="31">
        <f t="shared" si="3"/>
        <v>11</v>
      </c>
    </row>
    <row r="45" spans="1:22" ht="14.25" hidden="1" customHeight="1" x14ac:dyDescent="0.3">
      <c r="A45" s="32">
        <v>38</v>
      </c>
      <c r="B45" s="26" t="s">
        <v>89</v>
      </c>
      <c r="C45" s="27" t="str">
        <f t="shared" si="0"/>
        <v>Masculino</v>
      </c>
      <c r="D45" s="33" t="str">
        <f>IFERROR(INDEX(SKUs!$E$6:$E$1997,MATCH(B45,SKUs!$C$6:$C$1997,0)),"")</f>
        <v>JAQUETA</v>
      </c>
      <c r="E45" s="28" t="str">
        <f>IFERROR(VLOOKUP(D45,Configurações!$N$5:$O$46,2,FALSE()),"OUTROS")</f>
        <v>VESTUÁRIO</v>
      </c>
      <c r="F45" s="33" t="str">
        <f>IFERROR(INDEX(SKUs!$F$6:$F$1997,MATCH(B45,SKUs!$C$6:$C$1997,0)),"")</f>
        <v>JAQUETA COPA MASC.</v>
      </c>
      <c r="G45" s="33" t="str">
        <f>IFERROR(INDEX(SKUs!$G$6:$G$1997,MATCH(B45,SKUs!$C$6:$C$1997,0)),"")</f>
        <v xml:space="preserve"> BRANCA</v>
      </c>
      <c r="H45" s="32" t="str">
        <f>IFERROR(INDEX(SKUs!$H$6:$H$1997,MATCH(B45,SKUs!$C$6:$C$1997,0)),"")</f>
        <v>P</v>
      </c>
      <c r="I45" s="34" t="str">
        <f>IFERROR(INDEX(SKUs!#REF!,MATCH(B45,SKUs!$C$6:$C$1997,0)),"")</f>
        <v/>
      </c>
      <c r="J45" s="35">
        <f>SUMIFS(SKUs!$I$6:$I$1997,SKUs!$C$6:$C$1997,B45)</f>
        <v>10</v>
      </c>
      <c r="K45" s="34">
        <f t="shared" si="1"/>
        <v>0</v>
      </c>
      <c r="L45" s="35">
        <f>COUNTIF(SKUs!$C$6:$C$1997,B45)</f>
        <v>2</v>
      </c>
      <c r="M45" s="29"/>
      <c r="N45" s="29"/>
      <c r="O45" s="29"/>
      <c r="P45" s="29"/>
      <c r="Q45" s="29"/>
      <c r="R45" s="29"/>
      <c r="S45" s="29"/>
      <c r="T45" s="29"/>
      <c r="U45" s="30">
        <f t="shared" si="2"/>
        <v>0</v>
      </c>
      <c r="V45" s="31">
        <f t="shared" si="3"/>
        <v>10</v>
      </c>
    </row>
    <row r="46" spans="1:22" ht="14.25" hidden="1" customHeight="1" x14ac:dyDescent="0.3">
      <c r="A46" s="25">
        <v>39</v>
      </c>
      <c r="B46" s="26" t="s">
        <v>90</v>
      </c>
      <c r="C46" s="27" t="str">
        <f t="shared" si="0"/>
        <v>Masculino</v>
      </c>
      <c r="D46" s="2" t="str">
        <f>IFERROR(INDEX(SKUs!$E$6:$E$1997,MATCH(B46,SKUs!$C$6:$C$1997,0)),"")</f>
        <v>JAQUETA</v>
      </c>
      <c r="E46" s="28" t="str">
        <f>IFERROR(VLOOKUP(D46,Configurações!$N$5:$O$46,2,FALSE()),"OUTROS")</f>
        <v>VESTUÁRIO</v>
      </c>
      <c r="F46" s="2" t="str">
        <f>IFERROR(INDEX(SKUs!$F$6:$F$1997,MATCH(B46,SKUs!$C$6:$C$1997,0)),"")</f>
        <v>JAQUETA COPA MASC.</v>
      </c>
      <c r="G46" s="2" t="str">
        <f>IFERROR(INDEX(SKUs!$G$6:$G$1997,MATCH(B46,SKUs!$C$6:$C$1997,0)),"")</f>
        <v>BRANCA</v>
      </c>
      <c r="H46" s="25" t="str">
        <f>IFERROR(INDEX(SKUs!$H$6:$H$1997,MATCH(B46,SKUs!$C$6:$C$1997,0)),"")</f>
        <v>M</v>
      </c>
      <c r="I46" s="4" t="str">
        <f>IFERROR(INDEX(SKUs!#REF!,MATCH(B46,SKUs!$C$6:$C$1997,0)),"")</f>
        <v/>
      </c>
      <c r="J46" s="3">
        <f>SUMIFS(SKUs!$I$6:$I$1997,SKUs!$C$6:$C$1997,B46)</f>
        <v>8</v>
      </c>
      <c r="K46" s="4">
        <f t="shared" si="1"/>
        <v>0</v>
      </c>
      <c r="L46" s="3">
        <f>COUNTIF(SKUs!$C$6:$C$1997,B46)</f>
        <v>1</v>
      </c>
      <c r="M46" s="29"/>
      <c r="N46" s="29"/>
      <c r="O46" s="29"/>
      <c r="P46" s="29"/>
      <c r="Q46" s="29"/>
      <c r="R46" s="29"/>
      <c r="S46" s="29"/>
      <c r="T46" s="29"/>
      <c r="U46" s="30">
        <f t="shared" si="2"/>
        <v>0</v>
      </c>
      <c r="V46" s="31">
        <f t="shared" si="3"/>
        <v>8</v>
      </c>
    </row>
    <row r="47" spans="1:22" ht="14.25" hidden="1" customHeight="1" x14ac:dyDescent="0.3">
      <c r="A47" s="32">
        <v>40</v>
      </c>
      <c r="B47" s="26" t="s">
        <v>91</v>
      </c>
      <c r="C47" s="27" t="str">
        <f t="shared" si="0"/>
        <v>Masculino</v>
      </c>
      <c r="D47" s="33" t="str">
        <f>IFERROR(INDEX(SKUs!$E$6:$E$1997,MATCH(B47,SKUs!$C$6:$C$1997,0)),"")</f>
        <v>JAQUETA</v>
      </c>
      <c r="E47" s="28" t="str">
        <f>IFERROR(VLOOKUP(D47,Configurações!$N$5:$O$46,2,FALSE()),"OUTROS")</f>
        <v>VESTUÁRIO</v>
      </c>
      <c r="F47" s="33" t="str">
        <f>IFERROR(INDEX(SKUs!$F$6:$F$1997,MATCH(B47,SKUs!$C$6:$C$1997,0)),"")</f>
        <v>JAQUETA COPA MASC.</v>
      </c>
      <c r="G47" s="33" t="str">
        <f>IFERROR(INDEX(SKUs!$G$6:$G$1997,MATCH(B47,SKUs!$C$6:$C$1997,0)),"")</f>
        <v>BRANCA</v>
      </c>
      <c r="H47" s="32" t="str">
        <f>IFERROR(INDEX(SKUs!$H$6:$H$1997,MATCH(B47,SKUs!$C$6:$C$1997,0)),"")</f>
        <v>G</v>
      </c>
      <c r="I47" s="34" t="str">
        <f>IFERROR(INDEX(SKUs!#REF!,MATCH(B47,SKUs!$C$6:$C$1997,0)),"")</f>
        <v/>
      </c>
      <c r="J47" s="35">
        <f>SUMIFS(SKUs!$I$6:$I$1997,SKUs!$C$6:$C$1997,B47)</f>
        <v>11</v>
      </c>
      <c r="K47" s="34">
        <f t="shared" si="1"/>
        <v>0</v>
      </c>
      <c r="L47" s="35">
        <f>COUNTIF(SKUs!$C$6:$C$1997,B47)</f>
        <v>1</v>
      </c>
      <c r="M47" s="29"/>
      <c r="N47" s="29"/>
      <c r="O47" s="29"/>
      <c r="P47" s="29"/>
      <c r="Q47" s="29"/>
      <c r="R47" s="29"/>
      <c r="S47" s="29"/>
      <c r="T47" s="29"/>
      <c r="U47" s="30">
        <f t="shared" si="2"/>
        <v>0</v>
      </c>
      <c r="V47" s="31">
        <f t="shared" si="3"/>
        <v>11</v>
      </c>
    </row>
    <row r="48" spans="1:22" ht="14.25" hidden="1" customHeight="1" x14ac:dyDescent="0.3">
      <c r="A48" s="25">
        <v>41</v>
      </c>
      <c r="B48" s="26" t="s">
        <v>92</v>
      </c>
      <c r="C48" s="27" t="str">
        <f t="shared" si="0"/>
        <v>Masculino</v>
      </c>
      <c r="D48" s="2" t="str">
        <f>IFERROR(INDEX(SKUs!$E$6:$E$1997,MATCH(B48,SKUs!$C$6:$C$1997,0)),"")</f>
        <v>JAQUETA</v>
      </c>
      <c r="E48" s="28" t="str">
        <f>IFERROR(VLOOKUP(D48,Configurações!$N$5:$O$46,2,FALSE()),"OUTROS")</f>
        <v>VESTUÁRIO</v>
      </c>
      <c r="F48" s="2" t="str">
        <f>IFERROR(INDEX(SKUs!$F$6:$F$1997,MATCH(B48,SKUs!$C$6:$C$1997,0)),"")</f>
        <v>JAQUETA COPA MASC.</v>
      </c>
      <c r="G48" s="2" t="str">
        <f>IFERROR(INDEX(SKUs!$G$6:$G$1997,MATCH(B48,SKUs!$C$6:$C$1997,0)),"")</f>
        <v>BRANCA</v>
      </c>
      <c r="H48" s="25" t="str">
        <f>IFERROR(INDEX(SKUs!$H$6:$H$1997,MATCH(B48,SKUs!$C$6:$C$1997,0)),"")</f>
        <v>GG</v>
      </c>
      <c r="I48" s="4" t="str">
        <f>IFERROR(INDEX(SKUs!#REF!,MATCH(B48,SKUs!$C$6:$C$1997,0)),"")</f>
        <v/>
      </c>
      <c r="J48" s="3">
        <f>SUMIFS(SKUs!$I$6:$I$1997,SKUs!$C$6:$C$1997,B48)</f>
        <v>9</v>
      </c>
      <c r="K48" s="4">
        <f t="shared" si="1"/>
        <v>0</v>
      </c>
      <c r="L48" s="3">
        <f>COUNTIF(SKUs!$C$6:$C$1997,B48)</f>
        <v>1</v>
      </c>
      <c r="M48" s="29"/>
      <c r="N48" s="29"/>
      <c r="O48" s="29"/>
      <c r="P48" s="29"/>
      <c r="Q48" s="29"/>
      <c r="R48" s="29"/>
      <c r="S48" s="29"/>
      <c r="T48" s="29"/>
      <c r="U48" s="30">
        <f t="shared" si="2"/>
        <v>0</v>
      </c>
      <c r="V48" s="31">
        <f t="shared" si="3"/>
        <v>9</v>
      </c>
    </row>
    <row r="49" spans="1:22" ht="14.25" hidden="1" customHeight="1" x14ac:dyDescent="0.3">
      <c r="A49" s="32">
        <v>42</v>
      </c>
      <c r="B49" s="26" t="s">
        <v>93</v>
      </c>
      <c r="C49" s="27" t="str">
        <f t="shared" si="0"/>
        <v>Masculino</v>
      </c>
      <c r="D49" s="33" t="str">
        <f>IFERROR(INDEX(SKUs!$E$6:$E$1997,MATCH(B49,SKUs!$C$6:$C$1997,0)),"")</f>
        <v>JAQUETA</v>
      </c>
      <c r="E49" s="28" t="str">
        <f>IFERROR(VLOOKUP(D49,Configurações!$N$5:$O$46,2,FALSE()),"OUTROS")</f>
        <v>VESTUÁRIO</v>
      </c>
      <c r="F49" s="33" t="str">
        <f>IFERROR(INDEX(SKUs!$F$6:$F$1997,MATCH(B49,SKUs!$C$6:$C$1997,0)),"")</f>
        <v>JAQUETA COPA MASC.</v>
      </c>
      <c r="G49" s="33" t="str">
        <f>IFERROR(INDEX(SKUs!$G$6:$G$1997,MATCH(B49,SKUs!$C$6:$C$1997,0)),"")</f>
        <v>BRANCA</v>
      </c>
      <c r="H49" s="32" t="str">
        <f>IFERROR(INDEX(SKUs!$H$6:$H$1997,MATCH(B49,SKUs!$C$6:$C$1997,0)),"")</f>
        <v>XG</v>
      </c>
      <c r="I49" s="34" t="str">
        <f>IFERROR(INDEX(SKUs!#REF!,MATCH(B49,SKUs!$C$6:$C$1997,0)),"")</f>
        <v/>
      </c>
      <c r="J49" s="35">
        <f>SUMIFS(SKUs!$I$6:$I$1997,SKUs!$C$6:$C$1997,B49)</f>
        <v>8</v>
      </c>
      <c r="K49" s="34">
        <f t="shared" si="1"/>
        <v>0</v>
      </c>
      <c r="L49" s="35">
        <f>COUNTIF(SKUs!$C$6:$C$1997,B49)</f>
        <v>1</v>
      </c>
      <c r="M49" s="29"/>
      <c r="N49" s="29"/>
      <c r="O49" s="29"/>
      <c r="P49" s="29"/>
      <c r="Q49" s="29"/>
      <c r="R49" s="29"/>
      <c r="S49" s="29"/>
      <c r="T49" s="29"/>
      <c r="U49" s="30">
        <f t="shared" si="2"/>
        <v>0</v>
      </c>
      <c r="V49" s="31">
        <f t="shared" si="3"/>
        <v>8</v>
      </c>
    </row>
    <row r="50" spans="1:22" ht="14.25" hidden="1" customHeight="1" x14ac:dyDescent="0.3">
      <c r="A50" s="25">
        <v>43</v>
      </c>
      <c r="B50" s="26" t="s">
        <v>94</v>
      </c>
      <c r="C50" s="27" t="str">
        <f t="shared" si="0"/>
        <v>Masculino</v>
      </c>
      <c r="D50" s="2" t="str">
        <f>IFERROR(INDEX(SKUs!$E$6:$E$1997,MATCH(B50,SKUs!$C$6:$C$1997,0)),"")</f>
        <v>CAMISETA</v>
      </c>
      <c r="E50" s="28" t="str">
        <f>IFERROR(VLOOKUP(D50,Configurações!$N$5:$O$46,2,FALSE()),"OUTROS")</f>
        <v>VESTUÁRIO</v>
      </c>
      <c r="F50" s="2" t="str">
        <f>IFERROR(INDEX(SKUs!$F$6:$F$1997,MATCH(B50,SKUs!$C$6:$C$1997,0)),"")</f>
        <v>CAMISETA COPA MASC.</v>
      </c>
      <c r="G50" s="2" t="str">
        <f>IFERROR(INDEX(SKUs!$G$6:$G$1997,MATCH(B50,SKUs!$C$6:$C$1997,0)),"")</f>
        <v>BRANCA</v>
      </c>
      <c r="H50" s="25" t="str">
        <f>IFERROR(INDEX(SKUs!$H$6:$H$1997,MATCH(B50,SKUs!$C$6:$C$1997,0)),"")</f>
        <v>P</v>
      </c>
      <c r="I50" s="4" t="str">
        <f>IFERROR(INDEX(SKUs!#REF!,MATCH(B50,SKUs!$C$6:$C$1997,0)),"")</f>
        <v/>
      </c>
      <c r="J50" s="3">
        <f>SUMIFS(SKUs!$I$6:$I$1997,SKUs!$C$6:$C$1997,B50)</f>
        <v>0</v>
      </c>
      <c r="K50" s="4">
        <f t="shared" si="1"/>
        <v>0</v>
      </c>
      <c r="L50" s="3">
        <f>COUNTIF(SKUs!$C$6:$C$1997,B50)</f>
        <v>2</v>
      </c>
      <c r="M50" s="29">
        <v>14</v>
      </c>
      <c r="N50" s="29"/>
      <c r="O50" s="29"/>
      <c r="P50" s="29"/>
      <c r="Q50" s="29"/>
      <c r="R50" s="29"/>
      <c r="S50" s="29"/>
      <c r="T50" s="29"/>
      <c r="U50" s="30">
        <f t="shared" si="2"/>
        <v>14</v>
      </c>
      <c r="V50" s="31">
        <f t="shared" si="3"/>
        <v>0</v>
      </c>
    </row>
    <row r="51" spans="1:22" ht="14.25" hidden="1" customHeight="1" x14ac:dyDescent="0.3">
      <c r="A51" s="32">
        <v>44</v>
      </c>
      <c r="B51" s="26" t="s">
        <v>95</v>
      </c>
      <c r="C51" s="27" t="str">
        <f t="shared" si="0"/>
        <v>Masculino</v>
      </c>
      <c r="D51" s="33" t="str">
        <f>IFERROR(INDEX(SKUs!$E$6:$E$1997,MATCH(B51,SKUs!$C$6:$C$1997,0)),"")</f>
        <v>CAMISETA</v>
      </c>
      <c r="E51" s="28" t="str">
        <f>IFERROR(VLOOKUP(D51,Configurações!$N$5:$O$46,2,FALSE()),"OUTROS")</f>
        <v>VESTUÁRIO</v>
      </c>
      <c r="F51" s="33" t="str">
        <f>IFERROR(INDEX(SKUs!$F$6:$F$1997,MATCH(B51,SKUs!$C$6:$C$1997,0)),"")</f>
        <v>CAMISETA COPA MASC.</v>
      </c>
      <c r="G51" s="33" t="str">
        <f>IFERROR(INDEX(SKUs!$G$6:$G$1997,MATCH(B51,SKUs!$C$6:$C$1997,0)),"")</f>
        <v>BRANCA</v>
      </c>
      <c r="H51" s="32" t="str">
        <f>IFERROR(INDEX(SKUs!$H$6:$H$1997,MATCH(B51,SKUs!$C$6:$C$1997,0)),"")</f>
        <v>M</v>
      </c>
      <c r="I51" s="34" t="str">
        <f>IFERROR(INDEX(SKUs!#REF!,MATCH(B51,SKUs!$C$6:$C$1997,0)),"")</f>
        <v/>
      </c>
      <c r="J51" s="35">
        <f>SUMIFS(SKUs!$I$6:$I$1997,SKUs!$C$6:$C$1997,B51)</f>
        <v>0</v>
      </c>
      <c r="K51" s="34">
        <f t="shared" si="1"/>
        <v>0</v>
      </c>
      <c r="L51" s="35">
        <f>COUNTIF(SKUs!$C$6:$C$1997,B51)</f>
        <v>2</v>
      </c>
      <c r="M51" s="29">
        <v>15</v>
      </c>
      <c r="N51" s="29"/>
      <c r="O51" s="29"/>
      <c r="P51" s="29"/>
      <c r="Q51" s="29"/>
      <c r="R51" s="29"/>
      <c r="S51" s="29"/>
      <c r="T51" s="29"/>
      <c r="U51" s="30">
        <f t="shared" si="2"/>
        <v>15</v>
      </c>
      <c r="V51" s="31">
        <f t="shared" si="3"/>
        <v>0</v>
      </c>
    </row>
    <row r="52" spans="1:22" ht="14.25" hidden="1" customHeight="1" x14ac:dyDescent="0.3">
      <c r="A52" s="25">
        <v>45</v>
      </c>
      <c r="B52" s="26" t="s">
        <v>96</v>
      </c>
      <c r="C52" s="27" t="str">
        <f t="shared" si="0"/>
        <v>Masculino</v>
      </c>
      <c r="D52" s="2" t="str">
        <f>IFERROR(INDEX(SKUs!$E$6:$E$1997,MATCH(B52,SKUs!$C$6:$C$1997,0)),"")</f>
        <v>CAMISETA</v>
      </c>
      <c r="E52" s="28" t="str">
        <f>IFERROR(VLOOKUP(D52,Configurações!$N$5:$O$46,2,FALSE()),"OUTROS")</f>
        <v>VESTUÁRIO</v>
      </c>
      <c r="F52" s="2" t="str">
        <f>IFERROR(INDEX(SKUs!$F$6:$F$1997,MATCH(B52,SKUs!$C$6:$C$1997,0)),"")</f>
        <v>CAMISETA COPA MASC.</v>
      </c>
      <c r="G52" s="2" t="str">
        <f>IFERROR(INDEX(SKUs!$G$6:$G$1997,MATCH(B52,SKUs!$C$6:$C$1997,0)),"")</f>
        <v>BRANCA</v>
      </c>
      <c r="H52" s="25" t="str">
        <f>IFERROR(INDEX(SKUs!$H$6:$H$1997,MATCH(B52,SKUs!$C$6:$C$1997,0)),"")</f>
        <v>G</v>
      </c>
      <c r="I52" s="4" t="str">
        <f>IFERROR(INDEX(SKUs!#REF!,MATCH(B52,SKUs!$C$6:$C$1997,0)),"")</f>
        <v/>
      </c>
      <c r="J52" s="3">
        <f>SUMIFS(SKUs!$I$6:$I$1997,SKUs!$C$6:$C$1997,B52)</f>
        <v>0</v>
      </c>
      <c r="K52" s="4">
        <f t="shared" si="1"/>
        <v>0</v>
      </c>
      <c r="L52" s="3">
        <f>COUNTIF(SKUs!$C$6:$C$1997,B52)</f>
        <v>2</v>
      </c>
      <c r="M52" s="29">
        <v>15</v>
      </c>
      <c r="N52" s="29"/>
      <c r="O52" s="29"/>
      <c r="P52" s="29"/>
      <c r="Q52" s="29"/>
      <c r="R52" s="29"/>
      <c r="S52" s="29"/>
      <c r="T52" s="29"/>
      <c r="U52" s="30">
        <f t="shared" si="2"/>
        <v>15</v>
      </c>
      <c r="V52" s="31">
        <f t="shared" si="3"/>
        <v>0</v>
      </c>
    </row>
    <row r="53" spans="1:22" ht="14.25" hidden="1" customHeight="1" x14ac:dyDescent="0.3">
      <c r="A53" s="32">
        <v>46</v>
      </c>
      <c r="B53" s="26" t="s">
        <v>97</v>
      </c>
      <c r="C53" s="27" t="str">
        <f t="shared" si="0"/>
        <v>Masculino</v>
      </c>
      <c r="D53" s="33" t="str">
        <f>IFERROR(INDEX(SKUs!$E$6:$E$1997,MATCH(B53,SKUs!$C$6:$C$1997,0)),"")</f>
        <v>CAMISETA</v>
      </c>
      <c r="E53" s="28" t="str">
        <f>IFERROR(VLOOKUP(D53,Configurações!$N$5:$O$46,2,FALSE()),"OUTROS")</f>
        <v>VESTUÁRIO</v>
      </c>
      <c r="F53" s="33" t="str">
        <f>IFERROR(INDEX(SKUs!$F$6:$F$1997,MATCH(B53,SKUs!$C$6:$C$1997,0)),"")</f>
        <v>CAMISETA COPA MASC.</v>
      </c>
      <c r="G53" s="33" t="str">
        <f>IFERROR(INDEX(SKUs!$G$6:$G$1997,MATCH(B53,SKUs!$C$6:$C$1997,0)),"")</f>
        <v>BRANCA</v>
      </c>
      <c r="H53" s="32" t="str">
        <f>IFERROR(INDEX(SKUs!$H$6:$H$1997,MATCH(B53,SKUs!$C$6:$C$1997,0)),"")</f>
        <v>GG</v>
      </c>
      <c r="I53" s="34" t="str">
        <f>IFERROR(INDEX(SKUs!#REF!,MATCH(B53,SKUs!$C$6:$C$1997,0)),"")</f>
        <v/>
      </c>
      <c r="J53" s="35">
        <f>SUMIFS(SKUs!$I$6:$I$1997,SKUs!$C$6:$C$1997,B53)</f>
        <v>0</v>
      </c>
      <c r="K53" s="34">
        <f t="shared" si="1"/>
        <v>0</v>
      </c>
      <c r="L53" s="35">
        <f>COUNTIF(SKUs!$C$6:$C$1997,B53)</f>
        <v>2</v>
      </c>
      <c r="M53" s="29">
        <v>15</v>
      </c>
      <c r="N53" s="29"/>
      <c r="O53" s="29"/>
      <c r="P53" s="29"/>
      <c r="Q53" s="29"/>
      <c r="R53" s="29"/>
      <c r="S53" s="29"/>
      <c r="T53" s="29"/>
      <c r="U53" s="30">
        <f t="shared" si="2"/>
        <v>15</v>
      </c>
      <c r="V53" s="31">
        <f t="shared" si="3"/>
        <v>0</v>
      </c>
    </row>
    <row r="54" spans="1:22" ht="14.25" hidden="1" customHeight="1" x14ac:dyDescent="0.3">
      <c r="A54" s="25">
        <v>47</v>
      </c>
      <c r="B54" s="26" t="s">
        <v>98</v>
      </c>
      <c r="C54" s="27" t="str">
        <f t="shared" si="0"/>
        <v>Masculino</v>
      </c>
      <c r="D54" s="2" t="str">
        <f>IFERROR(INDEX(SKUs!$E$6:$E$1997,MATCH(B54,SKUs!$C$6:$C$1997,0)),"")</f>
        <v>CAMISETA</v>
      </c>
      <c r="E54" s="28" t="str">
        <f>IFERROR(VLOOKUP(D54,Configurações!$N$5:$O$46,2,FALSE()),"OUTROS")</f>
        <v>VESTUÁRIO</v>
      </c>
      <c r="F54" s="2" t="str">
        <f>IFERROR(INDEX(SKUs!$F$6:$F$1997,MATCH(B54,SKUs!$C$6:$C$1997,0)),"")</f>
        <v>CAMISETA COPA MASC.</v>
      </c>
      <c r="G54" s="2" t="str">
        <f>IFERROR(INDEX(SKUs!$G$6:$G$1997,MATCH(B54,SKUs!$C$6:$C$1997,0)),"")</f>
        <v>BRANCA</v>
      </c>
      <c r="H54" s="25" t="str">
        <f>IFERROR(INDEX(SKUs!$H$6:$H$1997,MATCH(B54,SKUs!$C$6:$C$1997,0)),"")</f>
        <v>XG</v>
      </c>
      <c r="I54" s="4" t="str">
        <f>IFERROR(INDEX(SKUs!#REF!,MATCH(B54,SKUs!$C$6:$C$1997,0)),"")</f>
        <v/>
      </c>
      <c r="J54" s="3">
        <f>SUMIFS(SKUs!$I$6:$I$1997,SKUs!$C$6:$C$1997,B54)</f>
        <v>0</v>
      </c>
      <c r="K54" s="4">
        <f t="shared" si="1"/>
        <v>0</v>
      </c>
      <c r="L54" s="3">
        <f>COUNTIF(SKUs!$C$6:$C$1997,B54)</f>
        <v>2</v>
      </c>
      <c r="M54" s="29">
        <v>12</v>
      </c>
      <c r="N54" s="29"/>
      <c r="O54" s="29"/>
      <c r="P54" s="29"/>
      <c r="Q54" s="29"/>
      <c r="R54" s="29"/>
      <c r="S54" s="29"/>
      <c r="T54" s="29"/>
      <c r="U54" s="30">
        <f t="shared" si="2"/>
        <v>12</v>
      </c>
      <c r="V54" s="31">
        <f t="shared" si="3"/>
        <v>0</v>
      </c>
    </row>
    <row r="55" spans="1:22" ht="14.25" hidden="1" customHeight="1" x14ac:dyDescent="0.3">
      <c r="A55" s="32">
        <v>48</v>
      </c>
      <c r="B55" s="26" t="s">
        <v>99</v>
      </c>
      <c r="C55" s="27" t="str">
        <f t="shared" si="0"/>
        <v>Masculino</v>
      </c>
      <c r="D55" s="33" t="str">
        <f>IFERROR(INDEX(SKUs!$E$6:$E$1997,MATCH(B55,SKUs!$C$6:$C$1997,0)),"")</f>
        <v>CAMISETA</v>
      </c>
      <c r="E55" s="28" t="str">
        <f>IFERROR(VLOOKUP(D55,Configurações!$N$5:$O$46,2,FALSE()),"OUTROS")</f>
        <v>VESTUÁRIO</v>
      </c>
      <c r="F55" s="33" t="str">
        <f>IFERROR(INDEX(SKUs!$F$6:$F$1997,MATCH(B55,SKUs!$C$6:$C$1997,0)),"")</f>
        <v>CAMISETA COPA MASC.</v>
      </c>
      <c r="G55" s="33" t="str">
        <f>IFERROR(INDEX(SKUs!$G$6:$G$1997,MATCH(B55,SKUs!$C$6:$C$1997,0)),"")</f>
        <v>BRANCA</v>
      </c>
      <c r="H55" s="32" t="str">
        <f>IFERROR(INDEX(SKUs!$H$6:$H$1997,MATCH(B55,SKUs!$C$6:$C$1997,0)),"")</f>
        <v>4G</v>
      </c>
      <c r="I55" s="34" t="str">
        <f>IFERROR(INDEX(SKUs!#REF!,MATCH(B55,SKUs!$C$6:$C$1997,0)),"")</f>
        <v/>
      </c>
      <c r="J55" s="35">
        <f>SUMIFS(SKUs!$I$6:$I$1997,SKUs!$C$6:$C$1997,B55)</f>
        <v>0</v>
      </c>
      <c r="K55" s="34">
        <f t="shared" si="1"/>
        <v>0</v>
      </c>
      <c r="L55" s="35">
        <f>COUNTIF(SKUs!$C$6:$C$1997,B55)</f>
        <v>2</v>
      </c>
      <c r="M55" s="29">
        <v>5</v>
      </c>
      <c r="N55" s="29"/>
      <c r="O55" s="29"/>
      <c r="P55" s="29"/>
      <c r="Q55" s="29"/>
      <c r="R55" s="29"/>
      <c r="S55" s="29"/>
      <c r="T55" s="29"/>
      <c r="U55" s="30">
        <f t="shared" si="2"/>
        <v>5</v>
      </c>
      <c r="V55" s="31">
        <f t="shared" si="3"/>
        <v>0</v>
      </c>
    </row>
    <row r="56" spans="1:22" ht="14.25" hidden="1" customHeight="1" x14ac:dyDescent="0.3">
      <c r="A56" s="25">
        <v>49</v>
      </c>
      <c r="B56" s="26" t="s">
        <v>100</v>
      </c>
      <c r="C56" s="27" t="str">
        <f t="shared" si="0"/>
        <v>Masculino</v>
      </c>
      <c r="D56" s="2" t="str">
        <f>IFERROR(INDEX(SKUs!$E$6:$E$1997,MATCH(B56,SKUs!$C$6:$C$1997,0)),"")</f>
        <v>POLO</v>
      </c>
      <c r="E56" s="28" t="str">
        <f>IFERROR(VLOOKUP(D56,Configurações!$N$5:$O$46,2,FALSE()),"OUTROS")</f>
        <v>VESTUÁRIO</v>
      </c>
      <c r="F56" s="2" t="str">
        <f>IFERROR(INDEX(SKUs!$F$6:$F$1997,MATCH(B56,SKUs!$C$6:$C$1997,0)),"")</f>
        <v>POLO PIQUET MASC.</v>
      </c>
      <c r="G56" s="2" t="str">
        <f>IFERROR(INDEX(SKUs!$G$6:$G$1997,MATCH(B56,SKUs!$C$6:$C$1997,0)),"")</f>
        <v>CINZA</v>
      </c>
      <c r="H56" s="25" t="str">
        <f>IFERROR(INDEX(SKUs!$H$6:$H$1997,MATCH(B56,SKUs!$C$6:$C$1997,0)),"")</f>
        <v>PP</v>
      </c>
      <c r="I56" s="4" t="str">
        <f>IFERROR(INDEX(SKUs!#REF!,MATCH(B56,SKUs!$C$6:$C$1997,0)),"")</f>
        <v/>
      </c>
      <c r="J56" s="3">
        <f>SUMIFS(SKUs!$I$6:$I$1997,SKUs!$C$6:$C$1997,B56)</f>
        <v>0</v>
      </c>
      <c r="K56" s="4">
        <f t="shared" si="1"/>
        <v>0</v>
      </c>
      <c r="L56" s="3">
        <f>COUNTIF(SKUs!$C$6:$C$1997,B56)</f>
        <v>3</v>
      </c>
      <c r="M56" s="29">
        <v>27</v>
      </c>
      <c r="N56" s="29"/>
      <c r="O56" s="29"/>
      <c r="P56" s="29"/>
      <c r="Q56" s="29"/>
      <c r="R56" s="29"/>
      <c r="S56" s="29"/>
      <c r="T56" s="29"/>
      <c r="U56" s="30">
        <f t="shared" si="2"/>
        <v>27</v>
      </c>
      <c r="V56" s="31">
        <f t="shared" si="3"/>
        <v>0</v>
      </c>
    </row>
    <row r="57" spans="1:22" ht="14.25" hidden="1" customHeight="1" x14ac:dyDescent="0.3">
      <c r="A57" s="32">
        <v>50</v>
      </c>
      <c r="B57" s="26" t="s">
        <v>101</v>
      </c>
      <c r="C57" s="27" t="str">
        <f t="shared" si="0"/>
        <v>Masculino</v>
      </c>
      <c r="D57" s="33" t="str">
        <f>IFERROR(INDEX(SKUs!$E$6:$E$1997,MATCH(B57,SKUs!$C$6:$C$1997,0)),"")</f>
        <v>POLO</v>
      </c>
      <c r="E57" s="28" t="str">
        <f>IFERROR(VLOOKUP(D57,Configurações!$N$5:$O$46,2,FALSE()),"OUTROS")</f>
        <v>VESTUÁRIO</v>
      </c>
      <c r="F57" s="33" t="str">
        <f>IFERROR(INDEX(SKUs!$F$6:$F$1997,MATCH(B57,SKUs!$C$6:$C$1997,0)),"")</f>
        <v>POLO PIQUET MASC.</v>
      </c>
      <c r="G57" s="33" t="str">
        <f>IFERROR(INDEX(SKUs!$G$6:$G$1997,MATCH(B57,SKUs!$C$6:$C$1997,0)),"")</f>
        <v>CINZA</v>
      </c>
      <c r="H57" s="32" t="str">
        <f>IFERROR(INDEX(SKUs!$H$6:$H$1997,MATCH(B57,SKUs!$C$6:$C$1997,0)),"")</f>
        <v>P</v>
      </c>
      <c r="I57" s="34" t="str">
        <f>IFERROR(INDEX(SKUs!#REF!,MATCH(B57,SKUs!$C$6:$C$1997,0)),"")</f>
        <v/>
      </c>
      <c r="J57" s="35">
        <f>SUMIFS(SKUs!$I$6:$I$1997,SKUs!$C$6:$C$1997,B57)</f>
        <v>56</v>
      </c>
      <c r="K57" s="34">
        <f t="shared" si="1"/>
        <v>0</v>
      </c>
      <c r="L57" s="35">
        <f>COUNTIF(SKUs!$C$6:$C$1997,B57)</f>
        <v>2</v>
      </c>
      <c r="M57" s="29"/>
      <c r="N57" s="29"/>
      <c r="O57" s="29"/>
      <c r="P57" s="29"/>
      <c r="Q57" s="29"/>
      <c r="R57" s="29"/>
      <c r="S57" s="29"/>
      <c r="T57" s="29"/>
      <c r="U57" s="30">
        <f t="shared" si="2"/>
        <v>0</v>
      </c>
      <c r="V57" s="31">
        <f t="shared" si="3"/>
        <v>56</v>
      </c>
    </row>
    <row r="58" spans="1:22" ht="14.25" hidden="1" customHeight="1" x14ac:dyDescent="0.3">
      <c r="A58" s="25">
        <v>51</v>
      </c>
      <c r="B58" s="26" t="s">
        <v>102</v>
      </c>
      <c r="C58" s="27" t="str">
        <f t="shared" si="0"/>
        <v>Masculino</v>
      </c>
      <c r="D58" s="2" t="str">
        <f>IFERROR(INDEX(SKUs!$E$6:$E$1997,MATCH(B58,SKUs!$C$6:$C$1997,0)),"")</f>
        <v>POLO</v>
      </c>
      <c r="E58" s="28" t="str">
        <f>IFERROR(VLOOKUP(D58,Configurações!$N$5:$O$46,2,FALSE()),"OUTROS")</f>
        <v>VESTUÁRIO</v>
      </c>
      <c r="F58" s="2" t="str">
        <f>IFERROR(INDEX(SKUs!$F$6:$F$1997,MATCH(B58,SKUs!$C$6:$C$1997,0)),"")</f>
        <v>POLO PIQUET MASC.</v>
      </c>
      <c r="G58" s="2" t="str">
        <f>IFERROR(INDEX(SKUs!$G$6:$G$1997,MATCH(B58,SKUs!$C$6:$C$1997,0)),"")</f>
        <v>CINZA</v>
      </c>
      <c r="H58" s="25" t="str">
        <f>IFERROR(INDEX(SKUs!$H$6:$H$1997,MATCH(B58,SKUs!$C$6:$C$1997,0)),"")</f>
        <v>M</v>
      </c>
      <c r="I58" s="4" t="str">
        <f>IFERROR(INDEX(SKUs!#REF!,MATCH(B58,SKUs!$C$6:$C$1997,0)),"")</f>
        <v/>
      </c>
      <c r="J58" s="3">
        <f>SUMIFS(SKUs!$I$6:$I$1997,SKUs!$C$6:$C$1997,B58)</f>
        <v>130</v>
      </c>
      <c r="K58" s="4">
        <f t="shared" si="1"/>
        <v>0</v>
      </c>
      <c r="L58" s="3">
        <f>COUNTIF(SKUs!$C$6:$C$1997,B58)</f>
        <v>3</v>
      </c>
      <c r="M58" s="29"/>
      <c r="N58" s="29"/>
      <c r="O58" s="29"/>
      <c r="P58" s="29"/>
      <c r="Q58" s="29"/>
      <c r="R58" s="29"/>
      <c r="S58" s="29"/>
      <c r="T58" s="29"/>
      <c r="U58" s="30">
        <f t="shared" si="2"/>
        <v>0</v>
      </c>
      <c r="V58" s="31">
        <f t="shared" si="3"/>
        <v>130</v>
      </c>
    </row>
    <row r="59" spans="1:22" ht="14.25" hidden="1" customHeight="1" x14ac:dyDescent="0.3">
      <c r="A59" s="32">
        <v>52</v>
      </c>
      <c r="B59" s="26" t="s">
        <v>103</v>
      </c>
      <c r="C59" s="27" t="str">
        <f t="shared" si="0"/>
        <v>Masculino</v>
      </c>
      <c r="D59" s="33" t="str">
        <f>IFERROR(INDEX(SKUs!$E$6:$E$1997,MATCH(B59,SKUs!$C$6:$C$1997,0)),"")</f>
        <v>POLO</v>
      </c>
      <c r="E59" s="28" t="str">
        <f>IFERROR(VLOOKUP(D59,Configurações!$N$5:$O$46,2,FALSE()),"OUTROS")</f>
        <v>VESTUÁRIO</v>
      </c>
      <c r="F59" s="33" t="str">
        <f>IFERROR(INDEX(SKUs!$F$6:$F$1997,MATCH(B59,SKUs!$C$6:$C$1997,0)),"")</f>
        <v>POLO PIQUET MASC.</v>
      </c>
      <c r="G59" s="33" t="str">
        <f>IFERROR(INDEX(SKUs!$G$6:$G$1997,MATCH(B59,SKUs!$C$6:$C$1997,0)),"")</f>
        <v>CINZA</v>
      </c>
      <c r="H59" s="32" t="str">
        <f>IFERROR(INDEX(SKUs!$H$6:$H$1997,MATCH(B59,SKUs!$C$6:$C$1997,0)),"")</f>
        <v>G</v>
      </c>
      <c r="I59" s="34" t="str">
        <f>IFERROR(INDEX(SKUs!#REF!,MATCH(B59,SKUs!$C$6:$C$1997,0)),"")</f>
        <v/>
      </c>
      <c r="J59" s="35">
        <f>SUMIFS(SKUs!$I$6:$I$1997,SKUs!$C$6:$C$1997,B59)</f>
        <v>79</v>
      </c>
      <c r="K59" s="34">
        <f t="shared" si="1"/>
        <v>0</v>
      </c>
      <c r="L59" s="35">
        <f>COUNTIF(SKUs!$C$6:$C$1997,B59)</f>
        <v>3</v>
      </c>
      <c r="M59" s="29"/>
      <c r="N59" s="29"/>
      <c r="O59" s="29"/>
      <c r="P59" s="29"/>
      <c r="Q59" s="29"/>
      <c r="R59" s="29"/>
      <c r="S59" s="29"/>
      <c r="T59" s="29"/>
      <c r="U59" s="30">
        <f t="shared" si="2"/>
        <v>0</v>
      </c>
      <c r="V59" s="31">
        <f t="shared" si="3"/>
        <v>79</v>
      </c>
    </row>
    <row r="60" spans="1:22" ht="14.25" hidden="1" customHeight="1" x14ac:dyDescent="0.3">
      <c r="A60" s="25">
        <v>53</v>
      </c>
      <c r="B60" s="26" t="s">
        <v>104</v>
      </c>
      <c r="C60" s="27" t="str">
        <f t="shared" si="0"/>
        <v>Masculino</v>
      </c>
      <c r="D60" s="2" t="str">
        <f>IFERROR(INDEX(SKUs!$E$6:$E$1997,MATCH(B60,SKUs!$C$6:$C$1997,0)),"")</f>
        <v>POLO</v>
      </c>
      <c r="E60" s="28" t="str">
        <f>IFERROR(VLOOKUP(D60,Configurações!$N$5:$O$46,2,FALSE()),"OUTROS")</f>
        <v>VESTUÁRIO</v>
      </c>
      <c r="F60" s="2" t="str">
        <f>IFERROR(INDEX(SKUs!$F$6:$F$1997,MATCH(B60,SKUs!$C$6:$C$1997,0)),"")</f>
        <v>POLO PIQUET MASC.</v>
      </c>
      <c r="G60" s="2" t="str">
        <f>IFERROR(INDEX(SKUs!$G$6:$G$1997,MATCH(B60,SKUs!$C$6:$C$1997,0)),"")</f>
        <v>CINZA</v>
      </c>
      <c r="H60" s="25" t="str">
        <f>IFERROR(INDEX(SKUs!$H$6:$H$1997,MATCH(B60,SKUs!$C$6:$C$1997,0)),"")</f>
        <v>GG</v>
      </c>
      <c r="I60" s="4" t="str">
        <f>IFERROR(INDEX(SKUs!#REF!,MATCH(B60,SKUs!$C$6:$C$1997,0)),"")</f>
        <v/>
      </c>
      <c r="J60" s="3">
        <f>SUMIFS(SKUs!$I$6:$I$1997,SKUs!$C$6:$C$1997,B60)</f>
        <v>0</v>
      </c>
      <c r="K60" s="4">
        <f t="shared" si="1"/>
        <v>0</v>
      </c>
      <c r="L60" s="3">
        <f>COUNTIF(SKUs!$C$6:$C$1997,B60)</f>
        <v>2</v>
      </c>
      <c r="M60" s="29">
        <v>25</v>
      </c>
      <c r="N60" s="29"/>
      <c r="O60" s="29"/>
      <c r="P60" s="29"/>
      <c r="Q60" s="29"/>
      <c r="R60" s="29"/>
      <c r="S60" s="29"/>
      <c r="T60" s="29"/>
      <c r="U60" s="30">
        <f t="shared" si="2"/>
        <v>25</v>
      </c>
      <c r="V60" s="31">
        <f t="shared" si="3"/>
        <v>0</v>
      </c>
    </row>
    <row r="61" spans="1:22" ht="14.25" hidden="1" customHeight="1" x14ac:dyDescent="0.3">
      <c r="A61" s="32">
        <v>54</v>
      </c>
      <c r="B61" s="26" t="s">
        <v>105</v>
      </c>
      <c r="C61" s="27" t="str">
        <f t="shared" si="0"/>
        <v>Masculino</v>
      </c>
      <c r="D61" s="33" t="str">
        <f>IFERROR(INDEX(SKUs!$E$6:$E$1997,MATCH(B61,SKUs!$C$6:$C$1997,0)),"")</f>
        <v>POLO</v>
      </c>
      <c r="E61" s="28" t="str">
        <f>IFERROR(VLOOKUP(D61,Configurações!$N$5:$O$46,2,FALSE()),"OUTROS")</f>
        <v>VESTUÁRIO</v>
      </c>
      <c r="F61" s="33" t="str">
        <f>IFERROR(INDEX(SKUs!$F$6:$F$1997,MATCH(B61,SKUs!$C$6:$C$1997,0)),"")</f>
        <v>POLO PIQUET MASC.</v>
      </c>
      <c r="G61" s="33" t="str">
        <f>IFERROR(INDEX(SKUs!$G$6:$G$1997,MATCH(B61,SKUs!$C$6:$C$1997,0)),"")</f>
        <v>CINZA</v>
      </c>
      <c r="H61" s="32" t="str">
        <f>IFERROR(INDEX(SKUs!$H$6:$H$1997,MATCH(B61,SKUs!$C$6:$C$1997,0)),"")</f>
        <v>XG</v>
      </c>
      <c r="I61" s="34" t="str">
        <f>IFERROR(INDEX(SKUs!#REF!,MATCH(B61,SKUs!$C$6:$C$1997,0)),"")</f>
        <v/>
      </c>
      <c r="J61" s="35">
        <f>SUMIFS(SKUs!$I$6:$I$1997,SKUs!$C$6:$C$1997,B61)</f>
        <v>0</v>
      </c>
      <c r="K61" s="34">
        <f t="shared" si="1"/>
        <v>0</v>
      </c>
      <c r="L61" s="35">
        <f>COUNTIF(SKUs!$C$6:$C$1997,B61)</f>
        <v>1</v>
      </c>
      <c r="M61" s="29">
        <v>8</v>
      </c>
      <c r="N61" s="29"/>
      <c r="O61" s="29"/>
      <c r="P61" s="29"/>
      <c r="Q61" s="29"/>
      <c r="R61" s="29"/>
      <c r="S61" s="29"/>
      <c r="T61" s="29"/>
      <c r="U61" s="30">
        <f t="shared" si="2"/>
        <v>8</v>
      </c>
      <c r="V61" s="31">
        <f t="shared" si="3"/>
        <v>0</v>
      </c>
    </row>
    <row r="62" spans="1:22" ht="14.25" hidden="1" customHeight="1" x14ac:dyDescent="0.3">
      <c r="A62" s="25">
        <v>55</v>
      </c>
      <c r="B62" s="26" t="s">
        <v>106</v>
      </c>
      <c r="C62" s="27" t="str">
        <f t="shared" si="0"/>
        <v>Masculino</v>
      </c>
      <c r="D62" s="2" t="str">
        <f>IFERROR(INDEX(SKUs!$E$6:$E$1997,MATCH(B62,SKUs!$C$6:$C$1997,0)),"")</f>
        <v>POLO</v>
      </c>
      <c r="E62" s="28" t="str">
        <f>IFERROR(VLOOKUP(D62,Configurações!$N$5:$O$46,2,FALSE()),"OUTROS")</f>
        <v>VESTUÁRIO</v>
      </c>
      <c r="F62" s="2" t="str">
        <f>IFERROR(INDEX(SKUs!$F$6:$F$1997,MATCH(B62,SKUs!$C$6:$C$1997,0)),"")</f>
        <v>POLO PIQUET MASC.</v>
      </c>
      <c r="G62" s="2" t="str">
        <f>IFERROR(INDEX(SKUs!$G$6:$G$1997,MATCH(B62,SKUs!$C$6:$C$1997,0)),"")</f>
        <v>MARINHO-RISCOS</v>
      </c>
      <c r="H62" s="25" t="str">
        <f>IFERROR(INDEX(SKUs!$H$6:$H$1997,MATCH(B62,SKUs!$C$6:$C$1997,0)),"")</f>
        <v>PP</v>
      </c>
      <c r="I62" s="4" t="str">
        <f>IFERROR(INDEX(SKUs!#REF!,MATCH(B62,SKUs!$C$6:$C$1997,0)),"")</f>
        <v/>
      </c>
      <c r="J62" s="3">
        <f>SUMIFS(SKUs!$I$6:$I$1997,SKUs!$C$6:$C$1997,B62)</f>
        <v>0</v>
      </c>
      <c r="K62" s="4">
        <f t="shared" si="1"/>
        <v>0</v>
      </c>
      <c r="L62" s="3">
        <f>COUNTIF(SKUs!$C$6:$C$1997,B62)</f>
        <v>1</v>
      </c>
      <c r="M62" s="29">
        <v>5</v>
      </c>
      <c r="N62" s="29"/>
      <c r="O62" s="29"/>
      <c r="P62" s="29"/>
      <c r="Q62" s="29"/>
      <c r="R62" s="29"/>
      <c r="S62" s="29"/>
      <c r="T62" s="29"/>
      <c r="U62" s="30">
        <f t="shared" si="2"/>
        <v>5</v>
      </c>
      <c r="V62" s="31">
        <f t="shared" si="3"/>
        <v>0</v>
      </c>
    </row>
    <row r="63" spans="1:22" ht="14.25" hidden="1" customHeight="1" x14ac:dyDescent="0.3">
      <c r="A63" s="32">
        <v>56</v>
      </c>
      <c r="B63" s="26" t="s">
        <v>107</v>
      </c>
      <c r="C63" s="27" t="str">
        <f t="shared" si="0"/>
        <v>Masculino</v>
      </c>
      <c r="D63" s="33" t="str">
        <f>IFERROR(INDEX(SKUs!$E$6:$E$1997,MATCH(B63,SKUs!$C$6:$C$1997,0)),"")</f>
        <v>POLO</v>
      </c>
      <c r="E63" s="28" t="str">
        <f>IFERROR(VLOOKUP(D63,Configurações!$N$5:$O$46,2,FALSE()),"OUTROS")</f>
        <v>VESTUÁRIO</v>
      </c>
      <c r="F63" s="33" t="str">
        <f>IFERROR(INDEX(SKUs!$F$6:$F$1997,MATCH(B63,SKUs!$C$6:$C$1997,0)),"")</f>
        <v>POLO PIQUET MASC.</v>
      </c>
      <c r="G63" s="33" t="str">
        <f>IFERROR(INDEX(SKUs!$G$6:$G$1997,MATCH(B63,SKUs!$C$6:$C$1997,0)),"")</f>
        <v>MARINHO-RISCOS</v>
      </c>
      <c r="H63" s="32" t="str">
        <f>IFERROR(INDEX(SKUs!$H$6:$H$1997,MATCH(B63,SKUs!$C$6:$C$1997,0)),"")</f>
        <v>P</v>
      </c>
      <c r="I63" s="34" t="str">
        <f>IFERROR(INDEX(SKUs!#REF!,MATCH(B63,SKUs!$C$6:$C$1997,0)),"")</f>
        <v/>
      </c>
      <c r="J63" s="35">
        <f>SUMIFS(SKUs!$I$6:$I$1997,SKUs!$C$6:$C$1997,B63)</f>
        <v>67</v>
      </c>
      <c r="K63" s="34">
        <f t="shared" si="1"/>
        <v>0</v>
      </c>
      <c r="L63" s="35">
        <f>COUNTIF(SKUs!$C$6:$C$1997,B63)</f>
        <v>2</v>
      </c>
      <c r="M63" s="29"/>
      <c r="N63" s="29"/>
      <c r="O63" s="29"/>
      <c r="P63" s="29"/>
      <c r="Q63" s="29"/>
      <c r="R63" s="29"/>
      <c r="S63" s="29"/>
      <c r="T63" s="29"/>
      <c r="U63" s="30">
        <f t="shared" si="2"/>
        <v>0</v>
      </c>
      <c r="V63" s="31">
        <f t="shared" si="3"/>
        <v>67</v>
      </c>
    </row>
    <row r="64" spans="1:22" ht="14.25" hidden="1" customHeight="1" x14ac:dyDescent="0.3">
      <c r="A64" s="25">
        <v>57</v>
      </c>
      <c r="B64" s="26" t="s">
        <v>108</v>
      </c>
      <c r="C64" s="27" t="str">
        <f t="shared" si="0"/>
        <v>Masculino</v>
      </c>
      <c r="D64" s="2" t="str">
        <f>IFERROR(INDEX(SKUs!$E$6:$E$1997,MATCH(B64,SKUs!$C$6:$C$1997,0)),"")</f>
        <v>POLO</v>
      </c>
      <c r="E64" s="28" t="str">
        <f>IFERROR(VLOOKUP(D64,Configurações!$N$5:$O$46,2,FALSE()),"OUTROS")</f>
        <v>VESTUÁRIO</v>
      </c>
      <c r="F64" s="2" t="str">
        <f>IFERROR(INDEX(SKUs!$F$6:$F$1997,MATCH(B64,SKUs!$C$6:$C$1997,0)),"")</f>
        <v>POLO PIQUET MASC.</v>
      </c>
      <c r="G64" s="2" t="str">
        <f>IFERROR(INDEX(SKUs!$G$6:$G$1997,MATCH(B64,SKUs!$C$6:$C$1997,0)),"")</f>
        <v>MARINHO-RISCOS</v>
      </c>
      <c r="H64" s="25" t="str">
        <f>IFERROR(INDEX(SKUs!$H$6:$H$1997,MATCH(B64,SKUs!$C$6:$C$1997,0)),"")</f>
        <v>M</v>
      </c>
      <c r="I64" s="4" t="str">
        <f>IFERROR(INDEX(SKUs!#REF!,MATCH(B64,SKUs!$C$6:$C$1997,0)),"")</f>
        <v/>
      </c>
      <c r="J64" s="3">
        <f>SUMIFS(SKUs!$I$6:$I$1997,SKUs!$C$6:$C$1997,B64)</f>
        <v>208</v>
      </c>
      <c r="K64" s="4">
        <f t="shared" si="1"/>
        <v>0</v>
      </c>
      <c r="L64" s="3">
        <f>COUNTIF(SKUs!$C$6:$C$1997,B64)</f>
        <v>5</v>
      </c>
      <c r="M64" s="29"/>
      <c r="N64" s="29"/>
      <c r="O64" s="29"/>
      <c r="P64" s="29"/>
      <c r="Q64" s="29"/>
      <c r="R64" s="29"/>
      <c r="S64" s="29"/>
      <c r="T64" s="29"/>
      <c r="U64" s="30">
        <f t="shared" si="2"/>
        <v>0</v>
      </c>
      <c r="V64" s="31">
        <f t="shared" si="3"/>
        <v>208</v>
      </c>
    </row>
    <row r="65" spans="1:22" ht="14.25" hidden="1" customHeight="1" x14ac:dyDescent="0.3">
      <c r="A65" s="32">
        <v>58</v>
      </c>
      <c r="B65" s="26" t="s">
        <v>109</v>
      </c>
      <c r="C65" s="27" t="str">
        <f t="shared" si="0"/>
        <v>Masculino</v>
      </c>
      <c r="D65" s="33" t="str">
        <f>IFERROR(INDEX(SKUs!$E$6:$E$1997,MATCH(B65,SKUs!$C$6:$C$1997,0)),"")</f>
        <v>POLO</v>
      </c>
      <c r="E65" s="28" t="str">
        <f>IFERROR(VLOOKUP(D65,Configurações!$N$5:$O$46,2,FALSE()),"OUTROS")</f>
        <v>VESTUÁRIO</v>
      </c>
      <c r="F65" s="33" t="str">
        <f>IFERROR(INDEX(SKUs!$F$6:$F$1997,MATCH(B65,SKUs!$C$6:$C$1997,0)),"")</f>
        <v>POLO PIQUET MASC.</v>
      </c>
      <c r="G65" s="33" t="str">
        <f>IFERROR(INDEX(SKUs!$G$6:$G$1997,MATCH(B65,SKUs!$C$6:$C$1997,0)),"")</f>
        <v>MARINHO-RISCOS</v>
      </c>
      <c r="H65" s="32" t="str">
        <f>IFERROR(INDEX(SKUs!$H$6:$H$1997,MATCH(B65,SKUs!$C$6:$C$1997,0)),"")</f>
        <v>G</v>
      </c>
      <c r="I65" s="34" t="str">
        <f>IFERROR(INDEX(SKUs!#REF!,MATCH(B65,SKUs!$C$6:$C$1997,0)),"")</f>
        <v/>
      </c>
      <c r="J65" s="35">
        <f>SUMIFS(SKUs!$I$6:$I$1997,SKUs!$C$6:$C$1997,B65)</f>
        <v>51</v>
      </c>
      <c r="K65" s="34">
        <f t="shared" si="1"/>
        <v>0</v>
      </c>
      <c r="L65" s="35">
        <f>COUNTIF(SKUs!$C$6:$C$1997,B65)</f>
        <v>3</v>
      </c>
      <c r="M65" s="29"/>
      <c r="N65" s="29"/>
      <c r="O65" s="29"/>
      <c r="P65" s="29"/>
      <c r="Q65" s="29"/>
      <c r="R65" s="29"/>
      <c r="S65" s="29"/>
      <c r="T65" s="29"/>
      <c r="U65" s="30">
        <f t="shared" si="2"/>
        <v>0</v>
      </c>
      <c r="V65" s="31">
        <f t="shared" si="3"/>
        <v>51</v>
      </c>
    </row>
    <row r="66" spans="1:22" ht="14.25" hidden="1" customHeight="1" x14ac:dyDescent="0.3">
      <c r="A66" s="25">
        <v>59</v>
      </c>
      <c r="B66" s="26" t="s">
        <v>110</v>
      </c>
      <c r="C66" s="27" t="str">
        <f t="shared" si="0"/>
        <v>Masculino</v>
      </c>
      <c r="D66" s="2" t="str">
        <f>IFERROR(INDEX(SKUs!$E$6:$E$1997,MATCH(B66,SKUs!$C$6:$C$1997,0)),"")</f>
        <v>POLO</v>
      </c>
      <c r="E66" s="28" t="str">
        <f>IFERROR(VLOOKUP(D66,Configurações!$N$5:$O$46,2,FALSE()),"OUTROS")</f>
        <v>VESTUÁRIO</v>
      </c>
      <c r="F66" s="2" t="str">
        <f>IFERROR(INDEX(SKUs!$F$6:$F$1997,MATCH(B66,SKUs!$C$6:$C$1997,0)),"")</f>
        <v>POLO PIQUET MASC.</v>
      </c>
      <c r="G66" s="2" t="str">
        <f>IFERROR(INDEX(SKUs!$G$6:$G$1997,MATCH(B66,SKUs!$C$6:$C$1997,0)),"")</f>
        <v>MARINHO-RISCOS</v>
      </c>
      <c r="H66" s="25" t="str">
        <f>IFERROR(INDEX(SKUs!$H$6:$H$1997,MATCH(B66,SKUs!$C$6:$C$1997,0)),"")</f>
        <v>GG</v>
      </c>
      <c r="I66" s="4" t="str">
        <f>IFERROR(INDEX(SKUs!#REF!,MATCH(B66,SKUs!$C$6:$C$1997,0)),"")</f>
        <v/>
      </c>
      <c r="J66" s="3">
        <f>SUMIFS(SKUs!$I$6:$I$1997,SKUs!$C$6:$C$1997,B66)</f>
        <v>0</v>
      </c>
      <c r="K66" s="4">
        <f t="shared" si="1"/>
        <v>0</v>
      </c>
      <c r="L66" s="3">
        <f>COUNTIF(SKUs!$C$6:$C$1997,B66)</f>
        <v>3</v>
      </c>
      <c r="M66" s="29">
        <v>29</v>
      </c>
      <c r="N66" s="29"/>
      <c r="O66" s="29"/>
      <c r="P66" s="29"/>
      <c r="Q66" s="29"/>
      <c r="R66" s="29"/>
      <c r="S66" s="29"/>
      <c r="T66" s="29"/>
      <c r="U66" s="30">
        <f t="shared" si="2"/>
        <v>29</v>
      </c>
      <c r="V66" s="31">
        <f t="shared" si="3"/>
        <v>0</v>
      </c>
    </row>
    <row r="67" spans="1:22" ht="14.25" hidden="1" customHeight="1" x14ac:dyDescent="0.3">
      <c r="A67" s="32">
        <v>60</v>
      </c>
      <c r="B67" s="26" t="s">
        <v>111</v>
      </c>
      <c r="C67" s="27" t="str">
        <f t="shared" si="0"/>
        <v>Masculino</v>
      </c>
      <c r="D67" s="33" t="str">
        <f>IFERROR(INDEX(SKUs!$E$6:$E$1997,MATCH(B67,SKUs!$C$6:$C$1997,0)),"")</f>
        <v>POLO</v>
      </c>
      <c r="E67" s="28" t="str">
        <f>IFERROR(VLOOKUP(D67,Configurações!$N$5:$O$46,2,FALSE()),"OUTROS")</f>
        <v>VESTUÁRIO</v>
      </c>
      <c r="F67" s="33" t="str">
        <f>IFERROR(INDEX(SKUs!$F$6:$F$1997,MATCH(B67,SKUs!$C$6:$C$1997,0)),"")</f>
        <v>POLO PIQUET MASC.</v>
      </c>
      <c r="G67" s="33" t="str">
        <f>IFERROR(INDEX(SKUs!$G$6:$G$1997,MATCH(B67,SKUs!$C$6:$C$1997,0)),"")</f>
        <v>MARINHO-RISCOS</v>
      </c>
      <c r="H67" s="32" t="str">
        <f>IFERROR(INDEX(SKUs!$H$6:$H$1997,MATCH(B67,SKUs!$C$6:$C$1997,0)),"")</f>
        <v>XG</v>
      </c>
      <c r="I67" s="34" t="str">
        <f>IFERROR(INDEX(SKUs!#REF!,MATCH(B67,SKUs!$C$6:$C$1997,0)),"")</f>
        <v/>
      </c>
      <c r="J67" s="35">
        <f>SUMIFS(SKUs!$I$6:$I$1997,SKUs!$C$6:$C$1997,B67)</f>
        <v>0</v>
      </c>
      <c r="K67" s="34">
        <f t="shared" si="1"/>
        <v>0</v>
      </c>
      <c r="L67" s="35">
        <f>COUNTIF(SKUs!$C$6:$C$1997,B67)</f>
        <v>2</v>
      </c>
      <c r="M67" s="29">
        <v>35</v>
      </c>
      <c r="N67" s="29"/>
      <c r="O67" s="29"/>
      <c r="P67" s="29"/>
      <c r="Q67" s="29"/>
      <c r="R67" s="29"/>
      <c r="S67" s="29"/>
      <c r="T67" s="29"/>
      <c r="U67" s="30">
        <f t="shared" si="2"/>
        <v>35</v>
      </c>
      <c r="V67" s="31">
        <f t="shared" si="3"/>
        <v>0</v>
      </c>
    </row>
    <row r="68" spans="1:22" ht="14.25" hidden="1" customHeight="1" x14ac:dyDescent="0.3">
      <c r="A68" s="25">
        <v>61</v>
      </c>
      <c r="B68" s="26" t="s">
        <v>112</v>
      </c>
      <c r="C68" s="27" t="str">
        <f t="shared" si="0"/>
        <v>Masculino</v>
      </c>
      <c r="D68" s="2" t="str">
        <f>IFERROR(INDEX(SKUs!$E$6:$E$1997,MATCH(B68,SKUs!$C$6:$C$1997,0)),"")</f>
        <v>POLO</v>
      </c>
      <c r="E68" s="28" t="str">
        <f>IFERROR(VLOOKUP(D68,Configurações!$N$5:$O$46,2,FALSE()),"OUTROS")</f>
        <v>VESTUÁRIO</v>
      </c>
      <c r="F68" s="2" t="str">
        <f>IFERROR(INDEX(SKUs!$F$6:$F$1997,MATCH(B68,SKUs!$C$6:$C$1997,0)),"")</f>
        <v>POLO PIQUET MASC.</v>
      </c>
      <c r="G68" s="2" t="str">
        <f>IFERROR(INDEX(SKUs!$G$6:$G$1997,MATCH(B68,SKUs!$C$6:$C$1997,0)),"")</f>
        <v xml:space="preserve"> BRANCA</v>
      </c>
      <c r="H68" s="25" t="str">
        <f>IFERROR(INDEX(SKUs!$H$6:$H$1997,MATCH(B68,SKUs!$C$6:$C$1997,0)),"")</f>
        <v>PP</v>
      </c>
      <c r="I68" s="4" t="str">
        <f>IFERROR(INDEX(SKUs!#REF!,MATCH(B68,SKUs!$C$6:$C$1997,0)),"")</f>
        <v/>
      </c>
      <c r="J68" s="3">
        <f>SUMIFS(SKUs!$I$6:$I$1997,SKUs!$C$6:$C$1997,B68)</f>
        <v>0</v>
      </c>
      <c r="K68" s="4">
        <f t="shared" si="1"/>
        <v>0</v>
      </c>
      <c r="L68" s="3">
        <f>COUNTIF(SKUs!$C$6:$C$1997,B68)</f>
        <v>1</v>
      </c>
      <c r="M68" s="29">
        <v>5</v>
      </c>
      <c r="N68" s="29"/>
      <c r="O68" s="29"/>
      <c r="P68" s="29"/>
      <c r="Q68" s="29"/>
      <c r="R68" s="29"/>
      <c r="S68" s="29"/>
      <c r="T68" s="29"/>
      <c r="U68" s="30">
        <f t="shared" si="2"/>
        <v>5</v>
      </c>
      <c r="V68" s="31">
        <f t="shared" si="3"/>
        <v>0</v>
      </c>
    </row>
    <row r="69" spans="1:22" ht="14.25" hidden="1" customHeight="1" x14ac:dyDescent="0.3">
      <c r="A69" s="32">
        <v>62</v>
      </c>
      <c r="B69" s="26" t="s">
        <v>113</v>
      </c>
      <c r="C69" s="27" t="str">
        <f t="shared" si="0"/>
        <v>Masculino</v>
      </c>
      <c r="D69" s="33" t="str">
        <f>IFERROR(INDEX(SKUs!$E$6:$E$1997,MATCH(B69,SKUs!$C$6:$C$1997,0)),"")</f>
        <v>POLO</v>
      </c>
      <c r="E69" s="28" t="str">
        <f>IFERROR(VLOOKUP(D69,Configurações!$N$5:$O$46,2,FALSE()),"OUTROS")</f>
        <v>VESTUÁRIO</v>
      </c>
      <c r="F69" s="33" t="str">
        <f>IFERROR(INDEX(SKUs!$F$6:$F$1997,MATCH(B69,SKUs!$C$6:$C$1997,0)),"")</f>
        <v>POLO PIQUET MASC.</v>
      </c>
      <c r="G69" s="33" t="str">
        <f>IFERROR(INDEX(SKUs!$G$6:$G$1997,MATCH(B69,SKUs!$C$6:$C$1997,0)),"")</f>
        <v>BRANCA</v>
      </c>
      <c r="H69" s="32" t="str">
        <f>IFERROR(INDEX(SKUs!$H$6:$H$1997,MATCH(B69,SKUs!$C$6:$C$1997,0)),"")</f>
        <v>P</v>
      </c>
      <c r="I69" s="34" t="str">
        <f>IFERROR(INDEX(SKUs!#REF!,MATCH(B69,SKUs!$C$6:$C$1997,0)),"")</f>
        <v/>
      </c>
      <c r="J69" s="35">
        <f>SUMIFS(SKUs!$I$6:$I$1997,SKUs!$C$6:$C$1997,B69)</f>
        <v>0</v>
      </c>
      <c r="K69" s="34">
        <f t="shared" si="1"/>
        <v>0</v>
      </c>
      <c r="L69" s="35">
        <f>COUNTIF(SKUs!$C$6:$C$1997,B69)</f>
        <v>1</v>
      </c>
      <c r="M69" s="29">
        <v>10</v>
      </c>
      <c r="N69" s="29"/>
      <c r="O69" s="29"/>
      <c r="P69" s="29"/>
      <c r="Q69" s="29"/>
      <c r="R69" s="29"/>
      <c r="S69" s="29"/>
      <c r="T69" s="29"/>
      <c r="U69" s="30">
        <f t="shared" si="2"/>
        <v>10</v>
      </c>
      <c r="V69" s="31">
        <f t="shared" si="3"/>
        <v>0</v>
      </c>
    </row>
    <row r="70" spans="1:22" ht="14.25" hidden="1" customHeight="1" x14ac:dyDescent="0.3">
      <c r="A70" s="25">
        <v>63</v>
      </c>
      <c r="B70" s="26" t="s">
        <v>114</v>
      </c>
      <c r="C70" s="27" t="str">
        <f t="shared" si="0"/>
        <v>Masculino</v>
      </c>
      <c r="D70" s="2" t="str">
        <f>IFERROR(INDEX(SKUs!$E$6:$E$1997,MATCH(B70,SKUs!$C$6:$C$1997,0)),"")</f>
        <v>POLO</v>
      </c>
      <c r="E70" s="28" t="str">
        <f>IFERROR(VLOOKUP(D70,Configurações!$N$5:$O$46,2,FALSE()),"OUTROS")</f>
        <v>VESTUÁRIO</v>
      </c>
      <c r="F70" s="2" t="str">
        <f>IFERROR(INDEX(SKUs!$F$6:$F$1997,MATCH(B70,SKUs!$C$6:$C$1997,0)),"")</f>
        <v>POLO PIQUET MASC.</v>
      </c>
      <c r="G70" s="2" t="str">
        <f>IFERROR(INDEX(SKUs!$G$6:$G$1997,MATCH(B70,SKUs!$C$6:$C$1997,0)),"")</f>
        <v>BRANCA</v>
      </c>
      <c r="H70" s="25" t="str">
        <f>IFERROR(INDEX(SKUs!$H$6:$H$1997,MATCH(B70,SKUs!$C$6:$C$1997,0)),"")</f>
        <v>M</v>
      </c>
      <c r="I70" s="4" t="str">
        <f>IFERROR(INDEX(SKUs!#REF!,MATCH(B70,SKUs!$C$6:$C$1997,0)),"")</f>
        <v/>
      </c>
      <c r="J70" s="3">
        <f>SUMIFS(SKUs!$I$6:$I$1997,SKUs!$C$6:$C$1997,B70)</f>
        <v>0</v>
      </c>
      <c r="K70" s="4">
        <f t="shared" si="1"/>
        <v>0</v>
      </c>
      <c r="L70" s="3">
        <f>COUNTIF(SKUs!$C$6:$C$1997,B70)</f>
        <v>1</v>
      </c>
      <c r="M70" s="29">
        <v>28</v>
      </c>
      <c r="N70" s="29"/>
      <c r="O70" s="29"/>
      <c r="P70" s="29"/>
      <c r="Q70" s="29"/>
      <c r="R70" s="29"/>
      <c r="S70" s="29"/>
      <c r="T70" s="29"/>
      <c r="U70" s="30">
        <f t="shared" si="2"/>
        <v>28</v>
      </c>
      <c r="V70" s="31">
        <f t="shared" si="3"/>
        <v>0</v>
      </c>
    </row>
    <row r="71" spans="1:22" ht="14.25" hidden="1" customHeight="1" x14ac:dyDescent="0.3">
      <c r="A71" s="32">
        <v>64</v>
      </c>
      <c r="B71" s="26" t="s">
        <v>115</v>
      </c>
      <c r="C71" s="27" t="str">
        <f t="shared" si="0"/>
        <v>Masculino</v>
      </c>
      <c r="D71" s="33" t="str">
        <f>IFERROR(INDEX(SKUs!$E$6:$E$1997,MATCH(B71,SKUs!$C$6:$C$1997,0)),"")</f>
        <v>POLO</v>
      </c>
      <c r="E71" s="28" t="str">
        <f>IFERROR(VLOOKUP(D71,Configurações!$N$5:$O$46,2,FALSE()),"OUTROS")</f>
        <v>VESTUÁRIO</v>
      </c>
      <c r="F71" s="33" t="str">
        <f>IFERROR(INDEX(SKUs!$F$6:$F$1997,MATCH(B71,SKUs!$C$6:$C$1997,0)),"")</f>
        <v>POLO PIQUET MASC.</v>
      </c>
      <c r="G71" s="33" t="str">
        <f>IFERROR(INDEX(SKUs!$G$6:$G$1997,MATCH(B71,SKUs!$C$6:$C$1997,0)),"")</f>
        <v>BRANCA</v>
      </c>
      <c r="H71" s="32" t="str">
        <f>IFERROR(INDEX(SKUs!$H$6:$H$1997,MATCH(B71,SKUs!$C$6:$C$1997,0)),"")</f>
        <v>G</v>
      </c>
      <c r="I71" s="34" t="str">
        <f>IFERROR(INDEX(SKUs!#REF!,MATCH(B71,SKUs!$C$6:$C$1997,0)),"")</f>
        <v/>
      </c>
      <c r="J71" s="35">
        <f>SUMIFS(SKUs!$I$6:$I$1997,SKUs!$C$6:$C$1997,B71)</f>
        <v>0</v>
      </c>
      <c r="K71" s="34">
        <f t="shared" si="1"/>
        <v>0</v>
      </c>
      <c r="L71" s="35">
        <f>COUNTIF(SKUs!$C$6:$C$1997,B71)</f>
        <v>1</v>
      </c>
      <c r="M71" s="29">
        <v>15</v>
      </c>
      <c r="N71" s="29"/>
      <c r="O71" s="29"/>
      <c r="P71" s="29"/>
      <c r="Q71" s="29"/>
      <c r="R71" s="29"/>
      <c r="S71" s="29"/>
      <c r="T71" s="29"/>
      <c r="U71" s="30">
        <f t="shared" si="2"/>
        <v>15</v>
      </c>
      <c r="V71" s="31">
        <f t="shared" si="3"/>
        <v>0</v>
      </c>
    </row>
    <row r="72" spans="1:22" ht="14.25" hidden="1" customHeight="1" x14ac:dyDescent="0.3">
      <c r="A72" s="25">
        <v>65</v>
      </c>
      <c r="B72" s="26" t="s">
        <v>116</v>
      </c>
      <c r="C72" s="27" t="str">
        <f t="shared" ref="C72:C135" si="4">IF(B72="","",IFERROR(IF(TRIM(MID(SUBSTITUTE(B72,".",REPT(" ",50)),51,50))="01","Masculino",IF(TRIM(MID(SUBSTITUTE(B72,".",REPT(" ",50)),51,50))="02","Feminino",IF(TRIM(MID(SUBSTITUTE(B72,".",REPT(" ",50)),51,50))="03","Outros","—"))),"—"))</f>
        <v>Masculino</v>
      </c>
      <c r="D72" s="2" t="str">
        <f>IFERROR(INDEX(SKUs!$E$6:$E$1997,MATCH(B72,SKUs!$C$6:$C$1997,0)),"")</f>
        <v>POLO</v>
      </c>
      <c r="E72" s="28" t="str">
        <f>IFERROR(VLOOKUP(D72,Configurações!$N$5:$O$46,2,FALSE()),"OUTROS")</f>
        <v>VESTUÁRIO</v>
      </c>
      <c r="F72" s="2" t="str">
        <f>IFERROR(INDEX(SKUs!$F$6:$F$1997,MATCH(B72,SKUs!$C$6:$C$1997,0)),"")</f>
        <v>POLO PIQUET MASC.</v>
      </c>
      <c r="G72" s="2" t="str">
        <f>IFERROR(INDEX(SKUs!$G$6:$G$1997,MATCH(B72,SKUs!$C$6:$C$1997,0)),"")</f>
        <v>BRANCA</v>
      </c>
      <c r="H72" s="25" t="str">
        <f>IFERROR(INDEX(SKUs!$H$6:$H$1997,MATCH(B72,SKUs!$C$6:$C$1997,0)),"")</f>
        <v>GG</v>
      </c>
      <c r="I72" s="4" t="str">
        <f>IFERROR(INDEX(SKUs!#REF!,MATCH(B72,SKUs!$C$6:$C$1997,0)),"")</f>
        <v/>
      </c>
      <c r="J72" s="3">
        <f>SUMIFS(SKUs!$I$6:$I$1997,SKUs!$C$6:$C$1997,B72)</f>
        <v>0</v>
      </c>
      <c r="K72" s="4">
        <f t="shared" ref="K72:K135" si="5">IFERROR(I72*J72,0)</f>
        <v>0</v>
      </c>
      <c r="L72" s="3">
        <f>COUNTIF(SKUs!$C$6:$C$1997,B72)</f>
        <v>1</v>
      </c>
      <c r="M72" s="29">
        <v>10</v>
      </c>
      <c r="N72" s="29"/>
      <c r="O72" s="29"/>
      <c r="P72" s="29"/>
      <c r="Q72" s="29"/>
      <c r="R72" s="29"/>
      <c r="S72" s="29"/>
      <c r="T72" s="29"/>
      <c r="U72" s="30">
        <f t="shared" ref="U72:U135" si="6">SUM(M72:R72)</f>
        <v>10</v>
      </c>
      <c r="V72" s="31">
        <f t="shared" ref="V72:V135" si="7">IF(B72="","",J72)</f>
        <v>0</v>
      </c>
    </row>
    <row r="73" spans="1:22" ht="14.25" hidden="1" customHeight="1" x14ac:dyDescent="0.3">
      <c r="A73" s="32">
        <v>66</v>
      </c>
      <c r="B73" s="26" t="s">
        <v>117</v>
      </c>
      <c r="C73" s="27" t="str">
        <f t="shared" si="4"/>
        <v>Masculino</v>
      </c>
      <c r="D73" s="33" t="str">
        <f>IFERROR(INDEX(SKUs!$E$6:$E$1997,MATCH(B73,SKUs!$C$6:$C$1997,0)),"")</f>
        <v>POLO</v>
      </c>
      <c r="E73" s="28" t="str">
        <f>IFERROR(VLOOKUP(D73,Configurações!$N$5:$O$46,2,FALSE()),"OUTROS")</f>
        <v>VESTUÁRIO</v>
      </c>
      <c r="F73" s="33" t="str">
        <f>IFERROR(INDEX(SKUs!$F$6:$F$1997,MATCH(B73,SKUs!$C$6:$C$1997,0)),"")</f>
        <v>POLO PIQUET MASC.</v>
      </c>
      <c r="G73" s="33" t="str">
        <f>IFERROR(INDEX(SKUs!$G$6:$G$1997,MATCH(B73,SKUs!$C$6:$C$1997,0)),"")</f>
        <v>BRANCA</v>
      </c>
      <c r="H73" s="32" t="str">
        <f>IFERROR(INDEX(SKUs!$H$6:$H$1997,MATCH(B73,SKUs!$C$6:$C$1997,0)),"")</f>
        <v>XG</v>
      </c>
      <c r="I73" s="34" t="str">
        <f>IFERROR(INDEX(SKUs!#REF!,MATCH(B73,SKUs!$C$6:$C$1997,0)),"")</f>
        <v/>
      </c>
      <c r="J73" s="35">
        <f>SUMIFS(SKUs!$I$6:$I$1997,SKUs!$C$6:$C$1997,B73)</f>
        <v>0</v>
      </c>
      <c r="K73" s="34">
        <f t="shared" si="5"/>
        <v>0</v>
      </c>
      <c r="L73" s="35">
        <f>COUNTIF(SKUs!$C$6:$C$1997,B73)</f>
        <v>1</v>
      </c>
      <c r="M73" s="29">
        <v>8</v>
      </c>
      <c r="N73" s="29"/>
      <c r="O73" s="29"/>
      <c r="P73" s="29"/>
      <c r="Q73" s="29"/>
      <c r="R73" s="29"/>
      <c r="S73" s="29"/>
      <c r="T73" s="29"/>
      <c r="U73" s="30">
        <f t="shared" si="6"/>
        <v>8</v>
      </c>
      <c r="V73" s="31">
        <f t="shared" si="7"/>
        <v>0</v>
      </c>
    </row>
    <row r="74" spans="1:22" ht="14.25" hidden="1" customHeight="1" x14ac:dyDescent="0.3">
      <c r="A74" s="25">
        <v>67</v>
      </c>
      <c r="B74" s="26" t="s">
        <v>118</v>
      </c>
      <c r="C74" s="27" t="str">
        <f t="shared" si="4"/>
        <v>Masculino</v>
      </c>
      <c r="D74" s="2" t="str">
        <f>IFERROR(INDEX(SKUs!$E$6:$E$1997,MATCH(B74,SKUs!$C$6:$C$1997,0)),"")</f>
        <v>POLO</v>
      </c>
      <c r="E74" s="28" t="str">
        <f>IFERROR(VLOOKUP(D74,Configurações!$N$5:$O$46,2,FALSE()),"OUTROS")</f>
        <v>VESTUÁRIO</v>
      </c>
      <c r="F74" s="2" t="str">
        <f>IFERROR(INDEX(SKUs!$F$6:$F$1997,MATCH(B74,SKUs!$C$6:$C$1997,0)),"")</f>
        <v>POLO PIQUET MASC.</v>
      </c>
      <c r="G74" s="2" t="str">
        <f>IFERROR(INDEX(SKUs!$G$6:$G$1997,MATCH(B74,SKUs!$C$6:$C$1997,0)),"")</f>
        <v>INDIGO</v>
      </c>
      <c r="H74" s="25" t="str">
        <f>IFERROR(INDEX(SKUs!$H$6:$H$1997,MATCH(B74,SKUs!$C$6:$C$1997,0)),"")</f>
        <v>PP</v>
      </c>
      <c r="I74" s="4" t="str">
        <f>IFERROR(INDEX(SKUs!#REF!,MATCH(B74,SKUs!$C$6:$C$1997,0)),"")</f>
        <v/>
      </c>
      <c r="J74" s="3">
        <f>SUMIFS(SKUs!$I$6:$I$1997,SKUs!$C$6:$C$1997,B74)</f>
        <v>0</v>
      </c>
      <c r="K74" s="4">
        <f t="shared" si="5"/>
        <v>0</v>
      </c>
      <c r="L74" s="3">
        <f>COUNTIF(SKUs!$C$6:$C$1997,B74)</f>
        <v>1</v>
      </c>
      <c r="M74" s="29">
        <v>5</v>
      </c>
      <c r="N74" s="29"/>
      <c r="O74" s="29"/>
      <c r="P74" s="29"/>
      <c r="Q74" s="29"/>
      <c r="R74" s="29"/>
      <c r="S74" s="29"/>
      <c r="T74" s="29"/>
      <c r="U74" s="30">
        <f t="shared" si="6"/>
        <v>5</v>
      </c>
      <c r="V74" s="31">
        <f t="shared" si="7"/>
        <v>0</v>
      </c>
    </row>
    <row r="75" spans="1:22" ht="14.25" hidden="1" customHeight="1" x14ac:dyDescent="0.3">
      <c r="A75" s="32">
        <v>68</v>
      </c>
      <c r="B75" s="26" t="s">
        <v>119</v>
      </c>
      <c r="C75" s="27" t="str">
        <f t="shared" si="4"/>
        <v>Masculino</v>
      </c>
      <c r="D75" s="33" t="str">
        <f>IFERROR(INDEX(SKUs!$E$6:$E$1997,MATCH(B75,SKUs!$C$6:$C$1997,0)),"")</f>
        <v>POLO</v>
      </c>
      <c r="E75" s="28" t="str">
        <f>IFERROR(VLOOKUP(D75,Configurações!$N$5:$O$46,2,FALSE()),"OUTROS")</f>
        <v>VESTUÁRIO</v>
      </c>
      <c r="F75" s="33" t="str">
        <f>IFERROR(INDEX(SKUs!$F$6:$F$1997,MATCH(B75,SKUs!$C$6:$C$1997,0)),"")</f>
        <v>POLO PIQUET MASC.</v>
      </c>
      <c r="G75" s="33" t="str">
        <f>IFERROR(INDEX(SKUs!$G$6:$G$1997,MATCH(B75,SKUs!$C$6:$C$1997,0)),"")</f>
        <v>INDIGO</v>
      </c>
      <c r="H75" s="32" t="str">
        <f>IFERROR(INDEX(SKUs!$H$6:$H$1997,MATCH(B75,SKUs!$C$6:$C$1997,0)),"")</f>
        <v>P</v>
      </c>
      <c r="I75" s="34" t="str">
        <f>IFERROR(INDEX(SKUs!#REF!,MATCH(B75,SKUs!$C$6:$C$1997,0)),"")</f>
        <v/>
      </c>
      <c r="J75" s="35">
        <f>SUMIFS(SKUs!$I$6:$I$1997,SKUs!$C$6:$C$1997,B75)</f>
        <v>0</v>
      </c>
      <c r="K75" s="34">
        <f t="shared" si="5"/>
        <v>0</v>
      </c>
      <c r="L75" s="35">
        <f>COUNTIF(SKUs!$C$6:$C$1997,B75)</f>
        <v>2</v>
      </c>
      <c r="M75" s="29">
        <v>37</v>
      </c>
      <c r="N75" s="29"/>
      <c r="O75" s="29"/>
      <c r="P75" s="29"/>
      <c r="Q75" s="29"/>
      <c r="R75" s="29"/>
      <c r="S75" s="29"/>
      <c r="T75" s="29"/>
      <c r="U75" s="30">
        <f t="shared" si="6"/>
        <v>37</v>
      </c>
      <c r="V75" s="31">
        <f t="shared" si="7"/>
        <v>0</v>
      </c>
    </row>
    <row r="76" spans="1:22" ht="14.25" hidden="1" customHeight="1" x14ac:dyDescent="0.3">
      <c r="A76" s="25">
        <v>69</v>
      </c>
      <c r="B76" s="26" t="s">
        <v>120</v>
      </c>
      <c r="C76" s="27" t="str">
        <f t="shared" si="4"/>
        <v>Masculino</v>
      </c>
      <c r="D76" s="2" t="str">
        <f>IFERROR(INDEX(SKUs!$E$6:$E$1997,MATCH(B76,SKUs!$C$6:$C$1997,0)),"")</f>
        <v>POLO</v>
      </c>
      <c r="E76" s="28" t="str">
        <f>IFERROR(VLOOKUP(D76,Configurações!$N$5:$O$46,2,FALSE()),"OUTROS")</f>
        <v>VESTUÁRIO</v>
      </c>
      <c r="F76" s="2" t="str">
        <f>IFERROR(INDEX(SKUs!$F$6:$F$1997,MATCH(B76,SKUs!$C$6:$C$1997,0)),"")</f>
        <v>POLO PIQUET MASC.</v>
      </c>
      <c r="G76" s="2" t="str">
        <f>IFERROR(INDEX(SKUs!$G$6:$G$1997,MATCH(B76,SKUs!$C$6:$C$1997,0)),"")</f>
        <v>INDIGO</v>
      </c>
      <c r="H76" s="25" t="str">
        <f>IFERROR(INDEX(SKUs!$H$6:$H$1997,MATCH(B76,SKUs!$C$6:$C$1997,0)),"")</f>
        <v>M</v>
      </c>
      <c r="I76" s="4" t="str">
        <f>IFERROR(INDEX(SKUs!#REF!,MATCH(B76,SKUs!$C$6:$C$1997,0)),"")</f>
        <v/>
      </c>
      <c r="J76" s="3">
        <f>SUMIFS(SKUs!$I$6:$I$1997,SKUs!$C$6:$C$1997,B76)</f>
        <v>54</v>
      </c>
      <c r="K76" s="4">
        <f t="shared" si="5"/>
        <v>0</v>
      </c>
      <c r="L76" s="3">
        <f>COUNTIF(SKUs!$C$6:$C$1997,B76)</f>
        <v>2</v>
      </c>
      <c r="M76" s="29"/>
      <c r="N76" s="29"/>
      <c r="O76" s="29"/>
      <c r="P76" s="29"/>
      <c r="Q76" s="29"/>
      <c r="R76" s="29"/>
      <c r="S76" s="29"/>
      <c r="T76" s="29"/>
      <c r="U76" s="30">
        <f t="shared" si="6"/>
        <v>0</v>
      </c>
      <c r="V76" s="31">
        <f t="shared" si="7"/>
        <v>54</v>
      </c>
    </row>
    <row r="77" spans="1:22" ht="14.25" hidden="1" customHeight="1" x14ac:dyDescent="0.3">
      <c r="A77" s="32">
        <v>70</v>
      </c>
      <c r="B77" s="26" t="s">
        <v>121</v>
      </c>
      <c r="C77" s="27" t="str">
        <f t="shared" si="4"/>
        <v>Masculino</v>
      </c>
      <c r="D77" s="33" t="str">
        <f>IFERROR(INDEX(SKUs!$E$6:$E$1997,MATCH(B77,SKUs!$C$6:$C$1997,0)),"")</f>
        <v>POLO</v>
      </c>
      <c r="E77" s="28" t="str">
        <f>IFERROR(VLOOKUP(D77,Configurações!$N$5:$O$46,2,FALSE()),"OUTROS")</f>
        <v>VESTUÁRIO</v>
      </c>
      <c r="F77" s="33" t="str">
        <f>IFERROR(INDEX(SKUs!$F$6:$F$1997,MATCH(B77,SKUs!$C$6:$C$1997,0)),"")</f>
        <v>POLO PIQUET MASC.</v>
      </c>
      <c r="G77" s="33" t="str">
        <f>IFERROR(INDEX(SKUs!$G$6:$G$1997,MATCH(B77,SKUs!$C$6:$C$1997,0)),"")</f>
        <v>INDIGO</v>
      </c>
      <c r="H77" s="32" t="str">
        <f>IFERROR(INDEX(SKUs!$H$6:$H$1997,MATCH(B77,SKUs!$C$6:$C$1997,0)),"")</f>
        <v>G</v>
      </c>
      <c r="I77" s="34" t="str">
        <f>IFERROR(INDEX(SKUs!#REF!,MATCH(B77,SKUs!$C$6:$C$1997,0)),"")</f>
        <v/>
      </c>
      <c r="J77" s="35">
        <f>SUMIFS(SKUs!$I$6:$I$1997,SKUs!$C$6:$C$1997,B77)</f>
        <v>18</v>
      </c>
      <c r="K77" s="34">
        <f t="shared" si="5"/>
        <v>0</v>
      </c>
      <c r="L77" s="35">
        <f>COUNTIF(SKUs!$C$6:$C$1997,B77)</f>
        <v>1</v>
      </c>
      <c r="M77" s="29"/>
      <c r="N77" s="29"/>
      <c r="O77" s="29"/>
      <c r="P77" s="29"/>
      <c r="Q77" s="29"/>
      <c r="R77" s="29"/>
      <c r="S77" s="29"/>
      <c r="T77" s="29"/>
      <c r="U77" s="30">
        <f t="shared" si="6"/>
        <v>0</v>
      </c>
      <c r="V77" s="31">
        <f t="shared" si="7"/>
        <v>18</v>
      </c>
    </row>
    <row r="78" spans="1:22" ht="14.25" hidden="1" customHeight="1" x14ac:dyDescent="0.3">
      <c r="A78" s="25">
        <v>71</v>
      </c>
      <c r="B78" s="26" t="s">
        <v>122</v>
      </c>
      <c r="C78" s="27" t="str">
        <f t="shared" si="4"/>
        <v>Masculino</v>
      </c>
      <c r="D78" s="2" t="str">
        <f>IFERROR(INDEX(SKUs!$E$6:$E$1997,MATCH(B78,SKUs!$C$6:$C$1997,0)),"")</f>
        <v>POLO</v>
      </c>
      <c r="E78" s="28" t="str">
        <f>IFERROR(VLOOKUP(D78,Configurações!$N$5:$O$46,2,FALSE()),"OUTROS")</f>
        <v>VESTUÁRIO</v>
      </c>
      <c r="F78" s="2" t="str">
        <f>IFERROR(INDEX(SKUs!$F$6:$F$1997,MATCH(B78,SKUs!$C$6:$C$1997,0)),"")</f>
        <v>POLO PIQUET MASC.</v>
      </c>
      <c r="G78" s="2" t="str">
        <f>IFERROR(INDEX(SKUs!$G$6:$G$1997,MATCH(B78,SKUs!$C$6:$C$1997,0)),"")</f>
        <v>INDIGO</v>
      </c>
      <c r="H78" s="25" t="str">
        <f>IFERROR(INDEX(SKUs!$H$6:$H$1997,MATCH(B78,SKUs!$C$6:$C$1997,0)),"")</f>
        <v>GG</v>
      </c>
      <c r="I78" s="4" t="str">
        <f>IFERROR(INDEX(SKUs!#REF!,MATCH(B78,SKUs!$C$6:$C$1997,0)),"")</f>
        <v/>
      </c>
      <c r="J78" s="3">
        <f>SUMIFS(SKUs!$I$6:$I$1997,SKUs!$C$6:$C$1997,B78)</f>
        <v>0</v>
      </c>
      <c r="K78" s="4">
        <f t="shared" si="5"/>
        <v>0</v>
      </c>
      <c r="L78" s="3">
        <f>COUNTIF(SKUs!$C$6:$C$1997,B78)</f>
        <v>1</v>
      </c>
      <c r="M78" s="29">
        <v>1</v>
      </c>
      <c r="N78" s="29"/>
      <c r="O78" s="29"/>
      <c r="P78" s="29"/>
      <c r="Q78" s="29"/>
      <c r="R78" s="29"/>
      <c r="S78" s="29"/>
      <c r="T78" s="29"/>
      <c r="U78" s="30">
        <f t="shared" si="6"/>
        <v>1</v>
      </c>
      <c r="V78" s="31">
        <f t="shared" si="7"/>
        <v>0</v>
      </c>
    </row>
    <row r="79" spans="1:22" ht="14.25" hidden="1" customHeight="1" x14ac:dyDescent="0.3">
      <c r="A79" s="32">
        <v>72</v>
      </c>
      <c r="B79" s="26" t="s">
        <v>123</v>
      </c>
      <c r="C79" s="27" t="str">
        <f t="shared" si="4"/>
        <v>Masculino</v>
      </c>
      <c r="D79" s="33" t="str">
        <f>IFERROR(INDEX(SKUs!$E$6:$E$1997,MATCH(B79,SKUs!$C$6:$C$1997,0)),"")</f>
        <v>POLO</v>
      </c>
      <c r="E79" s="28" t="str">
        <f>IFERROR(VLOOKUP(D79,Configurações!$N$5:$O$46,2,FALSE()),"OUTROS")</f>
        <v>VESTUÁRIO</v>
      </c>
      <c r="F79" s="33" t="str">
        <f>IFERROR(INDEX(SKUs!$F$6:$F$1997,MATCH(B79,SKUs!$C$6:$C$1997,0)),"")</f>
        <v>POLO PIQUET MASC.</v>
      </c>
      <c r="G79" s="33" t="str">
        <f>IFERROR(INDEX(SKUs!$G$6:$G$1997,MATCH(B79,SKUs!$C$6:$C$1997,0)),"")</f>
        <v>INDIGO</v>
      </c>
      <c r="H79" s="32" t="str">
        <f>IFERROR(INDEX(SKUs!$H$6:$H$1997,MATCH(B79,SKUs!$C$6:$C$1997,0)),"")</f>
        <v>XG</v>
      </c>
      <c r="I79" s="34" t="str">
        <f>IFERROR(INDEX(SKUs!#REF!,MATCH(B79,SKUs!$C$6:$C$1997,0)),"")</f>
        <v/>
      </c>
      <c r="J79" s="35">
        <f>SUMIFS(SKUs!$I$6:$I$1997,SKUs!$C$6:$C$1997,B79)</f>
        <v>0</v>
      </c>
      <c r="K79" s="34">
        <f t="shared" si="5"/>
        <v>0</v>
      </c>
      <c r="L79" s="35">
        <f>COUNTIF(SKUs!$C$6:$C$1997,B79)</f>
        <v>1</v>
      </c>
      <c r="M79" s="29">
        <v>8</v>
      </c>
      <c r="N79" s="29"/>
      <c r="O79" s="29"/>
      <c r="P79" s="29"/>
      <c r="Q79" s="29"/>
      <c r="R79" s="29"/>
      <c r="S79" s="29"/>
      <c r="T79" s="29"/>
      <c r="U79" s="30">
        <f t="shared" si="6"/>
        <v>8</v>
      </c>
      <c r="V79" s="31">
        <f t="shared" si="7"/>
        <v>0</v>
      </c>
    </row>
    <row r="80" spans="1:22" ht="14.25" hidden="1" customHeight="1" x14ac:dyDescent="0.3">
      <c r="A80" s="25">
        <v>73</v>
      </c>
      <c r="B80" s="26" t="s">
        <v>124</v>
      </c>
      <c r="C80" s="27" t="str">
        <f t="shared" si="4"/>
        <v>Masculino</v>
      </c>
      <c r="D80" s="2" t="str">
        <f>IFERROR(INDEX(SKUs!$E$6:$E$1997,MATCH(B80,SKUs!$C$6:$C$1997,0)),"")</f>
        <v>POLO</v>
      </c>
      <c r="E80" s="28" t="str">
        <f>IFERROR(VLOOKUP(D80,Configurações!$N$5:$O$46,2,FALSE()),"OUTROS")</f>
        <v>VESTUÁRIO</v>
      </c>
      <c r="F80" s="2" t="str">
        <f>IFERROR(INDEX(SKUs!$F$6:$F$1997,MATCH(B80,SKUs!$C$6:$C$1997,0)),"")</f>
        <v>POLO PIMA MASC.</v>
      </c>
      <c r="G80" s="2" t="str">
        <f>IFERROR(INDEX(SKUs!$G$6:$G$1997,MATCH(B80,SKUs!$C$6:$C$1997,0)),"")</f>
        <v>MESCLA - AZUL</v>
      </c>
      <c r="H80" s="25" t="str">
        <f>IFERROR(INDEX(SKUs!$H$6:$H$1997,MATCH(B80,SKUs!$C$6:$C$1997,0)),"")</f>
        <v>PP</v>
      </c>
      <c r="I80" s="4" t="str">
        <f>IFERROR(INDEX(SKUs!#REF!,MATCH(B80,SKUs!$C$6:$C$1997,0)),"")</f>
        <v/>
      </c>
      <c r="J80" s="3">
        <f>SUMIFS(SKUs!$I$6:$I$1997,SKUs!$C$6:$C$1997,B80)</f>
        <v>0</v>
      </c>
      <c r="K80" s="4">
        <f t="shared" si="5"/>
        <v>0</v>
      </c>
      <c r="L80" s="3">
        <f>COUNTIF(SKUs!$C$6:$C$1997,B80)</f>
        <v>1</v>
      </c>
      <c r="M80" s="29">
        <v>5</v>
      </c>
      <c r="N80" s="29"/>
      <c r="O80" s="29"/>
      <c r="P80" s="29"/>
      <c r="Q80" s="29"/>
      <c r="R80" s="29"/>
      <c r="S80" s="29"/>
      <c r="T80" s="29"/>
      <c r="U80" s="30">
        <f t="shared" si="6"/>
        <v>5</v>
      </c>
      <c r="V80" s="31">
        <f t="shared" si="7"/>
        <v>0</v>
      </c>
    </row>
    <row r="81" spans="1:22" ht="14.25" hidden="1" customHeight="1" x14ac:dyDescent="0.3">
      <c r="A81" s="32">
        <v>74</v>
      </c>
      <c r="B81" s="26" t="s">
        <v>125</v>
      </c>
      <c r="C81" s="27" t="str">
        <f t="shared" si="4"/>
        <v>Masculino</v>
      </c>
      <c r="D81" s="33" t="str">
        <f>IFERROR(INDEX(SKUs!$E$6:$E$1997,MATCH(B81,SKUs!$C$6:$C$1997,0)),"")</f>
        <v>POLO</v>
      </c>
      <c r="E81" s="28" t="str">
        <f>IFERROR(VLOOKUP(D81,Configurações!$N$5:$O$46,2,FALSE()),"OUTROS")</f>
        <v>VESTUÁRIO</v>
      </c>
      <c r="F81" s="33" t="str">
        <f>IFERROR(INDEX(SKUs!$F$6:$F$1997,MATCH(B81,SKUs!$C$6:$C$1997,0)),"")</f>
        <v>POLO PIMA MASC.</v>
      </c>
      <c r="G81" s="33" t="str">
        <f>IFERROR(INDEX(SKUs!$G$6:$G$1997,MATCH(B81,SKUs!$C$6:$C$1997,0)),"")</f>
        <v>MESCLA - AZUL</v>
      </c>
      <c r="H81" s="32" t="str">
        <f>IFERROR(INDEX(SKUs!$H$6:$H$1997,MATCH(B81,SKUs!$C$6:$C$1997,0)),"")</f>
        <v>P</v>
      </c>
      <c r="I81" s="34" t="str">
        <f>IFERROR(INDEX(SKUs!#REF!,MATCH(B81,SKUs!$C$6:$C$1997,0)),"")</f>
        <v/>
      </c>
      <c r="J81" s="35">
        <f>SUMIFS(SKUs!$I$6:$I$1997,SKUs!$C$6:$C$1997,B81)</f>
        <v>0</v>
      </c>
      <c r="K81" s="34">
        <f t="shared" si="5"/>
        <v>0</v>
      </c>
      <c r="L81" s="35">
        <f>COUNTIF(SKUs!$C$6:$C$1997,B81)</f>
        <v>1</v>
      </c>
      <c r="M81" s="29">
        <v>14</v>
      </c>
      <c r="N81" s="29"/>
      <c r="O81" s="29"/>
      <c r="P81" s="29"/>
      <c r="Q81" s="29"/>
      <c r="R81" s="29"/>
      <c r="S81" s="29"/>
      <c r="T81" s="29"/>
      <c r="U81" s="30">
        <f t="shared" si="6"/>
        <v>14</v>
      </c>
      <c r="V81" s="31">
        <f t="shared" si="7"/>
        <v>0</v>
      </c>
    </row>
    <row r="82" spans="1:22" ht="14.25" hidden="1" customHeight="1" x14ac:dyDescent="0.3">
      <c r="A82" s="25">
        <v>75</v>
      </c>
      <c r="B82" s="26" t="s">
        <v>126</v>
      </c>
      <c r="C82" s="27" t="str">
        <f t="shared" si="4"/>
        <v>Masculino</v>
      </c>
      <c r="D82" s="2" t="str">
        <f>IFERROR(INDEX(SKUs!$E$6:$E$1997,MATCH(B82,SKUs!$C$6:$C$1997,0)),"")</f>
        <v>POLO</v>
      </c>
      <c r="E82" s="28" t="str">
        <f>IFERROR(VLOOKUP(D82,Configurações!$N$5:$O$46,2,FALSE()),"OUTROS")</f>
        <v>VESTUÁRIO</v>
      </c>
      <c r="F82" s="2" t="str">
        <f>IFERROR(INDEX(SKUs!$F$6:$F$1997,MATCH(B82,SKUs!$C$6:$C$1997,0)),"")</f>
        <v>POLO PIMA MASC.</v>
      </c>
      <c r="G82" s="2" t="str">
        <f>IFERROR(INDEX(SKUs!$G$6:$G$1997,MATCH(B82,SKUs!$C$6:$C$1997,0)),"")</f>
        <v>MESCLA - AZUL</v>
      </c>
      <c r="H82" s="25" t="str">
        <f>IFERROR(INDEX(SKUs!$H$6:$H$1997,MATCH(B82,SKUs!$C$6:$C$1997,0)),"")</f>
        <v>M</v>
      </c>
      <c r="I82" s="4" t="str">
        <f>IFERROR(INDEX(SKUs!#REF!,MATCH(B82,SKUs!$C$6:$C$1997,0)),"")</f>
        <v/>
      </c>
      <c r="J82" s="3">
        <f>SUMIFS(SKUs!$I$6:$I$1997,SKUs!$C$6:$C$1997,B82)</f>
        <v>0</v>
      </c>
      <c r="K82" s="4">
        <f t="shared" si="5"/>
        <v>0</v>
      </c>
      <c r="L82" s="3">
        <f>COUNTIF(SKUs!$C$6:$C$1997,B82)</f>
        <v>1</v>
      </c>
      <c r="M82" s="29">
        <v>24</v>
      </c>
      <c r="N82" s="29"/>
      <c r="O82" s="29"/>
      <c r="P82" s="29"/>
      <c r="Q82" s="29"/>
      <c r="R82" s="29"/>
      <c r="S82" s="29"/>
      <c r="T82" s="29"/>
      <c r="U82" s="30">
        <f t="shared" si="6"/>
        <v>24</v>
      </c>
      <c r="V82" s="31">
        <f t="shared" si="7"/>
        <v>0</v>
      </c>
    </row>
    <row r="83" spans="1:22" ht="14.25" hidden="1" customHeight="1" x14ac:dyDescent="0.3">
      <c r="A83" s="32">
        <v>76</v>
      </c>
      <c r="B83" s="26" t="s">
        <v>127</v>
      </c>
      <c r="C83" s="27" t="str">
        <f t="shared" si="4"/>
        <v>Masculino</v>
      </c>
      <c r="D83" s="33" t="str">
        <f>IFERROR(INDEX(SKUs!$E$6:$E$1997,MATCH(B83,SKUs!$C$6:$C$1997,0)),"")</f>
        <v>POLO</v>
      </c>
      <c r="E83" s="28" t="str">
        <f>IFERROR(VLOOKUP(D83,Configurações!$N$5:$O$46,2,FALSE()),"OUTROS")</f>
        <v>VESTUÁRIO</v>
      </c>
      <c r="F83" s="33" t="str">
        <f>IFERROR(INDEX(SKUs!$F$6:$F$1997,MATCH(B83,SKUs!$C$6:$C$1997,0)),"")</f>
        <v>POLO PIMA MASC.</v>
      </c>
      <c r="G83" s="33" t="str">
        <f>IFERROR(INDEX(SKUs!$G$6:$G$1997,MATCH(B83,SKUs!$C$6:$C$1997,0)),"")</f>
        <v>MESCLA - AZUL</v>
      </c>
      <c r="H83" s="32" t="str">
        <f>IFERROR(INDEX(SKUs!$H$6:$H$1997,MATCH(B83,SKUs!$C$6:$C$1997,0)),"")</f>
        <v>G</v>
      </c>
      <c r="I83" s="34" t="str">
        <f>IFERROR(INDEX(SKUs!#REF!,MATCH(B83,SKUs!$C$6:$C$1997,0)),"")</f>
        <v/>
      </c>
      <c r="J83" s="35">
        <f>SUMIFS(SKUs!$I$6:$I$1997,SKUs!$C$6:$C$1997,B83)</f>
        <v>0</v>
      </c>
      <c r="K83" s="34">
        <f t="shared" si="5"/>
        <v>0</v>
      </c>
      <c r="L83" s="35">
        <f>COUNTIF(SKUs!$C$6:$C$1997,B83)</f>
        <v>1</v>
      </c>
      <c r="M83" s="29">
        <v>4</v>
      </c>
      <c r="N83" s="29"/>
      <c r="O83" s="29"/>
      <c r="P83" s="29"/>
      <c r="Q83" s="29"/>
      <c r="R83" s="29"/>
      <c r="S83" s="29"/>
      <c r="T83" s="29"/>
      <c r="U83" s="30">
        <f t="shared" si="6"/>
        <v>4</v>
      </c>
      <c r="V83" s="31">
        <f t="shared" si="7"/>
        <v>0</v>
      </c>
    </row>
    <row r="84" spans="1:22" ht="14.25" hidden="1" customHeight="1" x14ac:dyDescent="0.3">
      <c r="A84" s="25">
        <v>77</v>
      </c>
      <c r="B84" s="26" t="s">
        <v>128</v>
      </c>
      <c r="C84" s="27" t="str">
        <f t="shared" si="4"/>
        <v>Masculino</v>
      </c>
      <c r="D84" s="2" t="str">
        <f>IFERROR(INDEX(SKUs!$E$6:$E$1997,MATCH(B84,SKUs!$C$6:$C$1997,0)),"")</f>
        <v>POLO</v>
      </c>
      <c r="E84" s="28" t="str">
        <f>IFERROR(VLOOKUP(D84,Configurações!$N$5:$O$46,2,FALSE()),"OUTROS")</f>
        <v>VESTUÁRIO</v>
      </c>
      <c r="F84" s="2" t="str">
        <f>IFERROR(INDEX(SKUs!$F$6:$F$1997,MATCH(B84,SKUs!$C$6:$C$1997,0)),"")</f>
        <v>POLO PIMA MASC.</v>
      </c>
      <c r="G84" s="2" t="str">
        <f>IFERROR(INDEX(SKUs!$G$6:$G$1997,MATCH(B84,SKUs!$C$6:$C$1997,0)),"")</f>
        <v>MESCLA - AZUL</v>
      </c>
      <c r="H84" s="25" t="str">
        <f>IFERROR(INDEX(SKUs!$H$6:$H$1997,MATCH(B84,SKUs!$C$6:$C$1997,0)),"")</f>
        <v>GG</v>
      </c>
      <c r="I84" s="4" t="str">
        <f>IFERROR(INDEX(SKUs!#REF!,MATCH(B84,SKUs!$C$6:$C$1997,0)),"")</f>
        <v/>
      </c>
      <c r="J84" s="3">
        <f>SUMIFS(SKUs!$I$6:$I$1997,SKUs!$C$6:$C$1997,B84)</f>
        <v>0</v>
      </c>
      <c r="K84" s="4">
        <f t="shared" si="5"/>
        <v>0</v>
      </c>
      <c r="L84" s="3">
        <f>COUNTIF(SKUs!$C$6:$C$1997,B84)</f>
        <v>1</v>
      </c>
      <c r="M84" s="29">
        <v>13</v>
      </c>
      <c r="N84" s="29"/>
      <c r="O84" s="29"/>
      <c r="P84" s="29"/>
      <c r="Q84" s="29"/>
      <c r="R84" s="29"/>
      <c r="S84" s="29"/>
      <c r="T84" s="29"/>
      <c r="U84" s="30">
        <f t="shared" si="6"/>
        <v>13</v>
      </c>
      <c r="V84" s="31">
        <f t="shared" si="7"/>
        <v>0</v>
      </c>
    </row>
    <row r="85" spans="1:22" ht="14.25" hidden="1" customHeight="1" x14ac:dyDescent="0.3">
      <c r="A85" s="32">
        <v>78</v>
      </c>
      <c r="B85" s="26" t="s">
        <v>129</v>
      </c>
      <c r="C85" s="27" t="str">
        <f t="shared" si="4"/>
        <v>Masculino</v>
      </c>
      <c r="D85" s="33" t="str">
        <f>IFERROR(INDEX(SKUs!$E$6:$E$1997,MATCH(B85,SKUs!$C$6:$C$1997,0)),"")</f>
        <v>POLO</v>
      </c>
      <c r="E85" s="28" t="str">
        <f>IFERROR(VLOOKUP(D85,Configurações!$N$5:$O$46,2,FALSE()),"OUTROS")</f>
        <v>VESTUÁRIO</v>
      </c>
      <c r="F85" s="33" t="str">
        <f>IFERROR(INDEX(SKUs!$F$6:$F$1997,MATCH(B85,SKUs!$C$6:$C$1997,0)),"")</f>
        <v>POLO PIMA MASC.</v>
      </c>
      <c r="G85" s="33" t="str">
        <f>IFERROR(INDEX(SKUs!$G$6:$G$1997,MATCH(B85,SKUs!$C$6:$C$1997,0)),"")</f>
        <v>MESCLA - AZUL</v>
      </c>
      <c r="H85" s="32" t="str">
        <f>IFERROR(INDEX(SKUs!$H$6:$H$1997,MATCH(B85,SKUs!$C$6:$C$1997,0)),"")</f>
        <v>XG</v>
      </c>
      <c r="I85" s="34" t="str">
        <f>IFERROR(INDEX(SKUs!#REF!,MATCH(B85,SKUs!$C$6:$C$1997,0)),"")</f>
        <v/>
      </c>
      <c r="J85" s="35">
        <f>SUMIFS(SKUs!$I$6:$I$1997,SKUs!$C$6:$C$1997,B85)</f>
        <v>0</v>
      </c>
      <c r="K85" s="34">
        <f t="shared" si="5"/>
        <v>0</v>
      </c>
      <c r="L85" s="35">
        <f>COUNTIF(SKUs!$C$6:$C$1997,B85)</f>
        <v>1</v>
      </c>
      <c r="M85" s="29">
        <v>7</v>
      </c>
      <c r="N85" s="29"/>
      <c r="O85" s="29"/>
      <c r="P85" s="29"/>
      <c r="Q85" s="29"/>
      <c r="R85" s="29"/>
      <c r="S85" s="29"/>
      <c r="T85" s="29"/>
      <c r="U85" s="30">
        <f t="shared" si="6"/>
        <v>7</v>
      </c>
      <c r="V85" s="31">
        <f t="shared" si="7"/>
        <v>0</v>
      </c>
    </row>
    <row r="86" spans="1:22" ht="14.25" hidden="1" customHeight="1" x14ac:dyDescent="0.3">
      <c r="A86" s="25">
        <v>79</v>
      </c>
      <c r="B86" s="26" t="s">
        <v>130</v>
      </c>
      <c r="C86" s="27" t="str">
        <f t="shared" si="4"/>
        <v>Masculino</v>
      </c>
      <c r="D86" s="2" t="str">
        <f>IFERROR(INDEX(SKUs!$E$6:$E$1997,MATCH(B86,SKUs!$C$6:$C$1997,0)),"")</f>
        <v>POLO</v>
      </c>
      <c r="E86" s="28" t="str">
        <f>IFERROR(VLOOKUP(D86,Configurações!$N$5:$O$46,2,FALSE()),"OUTROS")</f>
        <v>VESTUÁRIO</v>
      </c>
      <c r="F86" s="2" t="str">
        <f>IFERROR(INDEX(SKUs!$F$6:$F$1997,MATCH(B86,SKUs!$C$6:$C$1997,0)),"")</f>
        <v>POLO COTTON MASC.</v>
      </c>
      <c r="G86" s="2" t="str">
        <f>IFERROR(INDEX(SKUs!$G$6:$G$1997,MATCH(B86,SKUs!$C$6:$C$1997,0)),"")</f>
        <v>PRETA</v>
      </c>
      <c r="H86" s="25" t="str">
        <f>IFERROR(INDEX(SKUs!$H$6:$H$1997,MATCH(B86,SKUs!$C$6:$C$1997,0)),"")</f>
        <v>PP</v>
      </c>
      <c r="I86" s="4" t="str">
        <f>IFERROR(INDEX(SKUs!#REF!,MATCH(B86,SKUs!$C$6:$C$1997,0)),"")</f>
        <v/>
      </c>
      <c r="J86" s="3">
        <f>SUMIFS(SKUs!$I$6:$I$1997,SKUs!$C$6:$C$1997,B86)</f>
        <v>0</v>
      </c>
      <c r="K86" s="4">
        <f t="shared" si="5"/>
        <v>0</v>
      </c>
      <c r="L86" s="3">
        <f>COUNTIF(SKUs!$C$6:$C$1997,B86)</f>
        <v>1</v>
      </c>
      <c r="M86" s="29">
        <v>5</v>
      </c>
      <c r="N86" s="29"/>
      <c r="O86" s="29"/>
      <c r="P86" s="29"/>
      <c r="Q86" s="29"/>
      <c r="R86" s="29"/>
      <c r="S86" s="29"/>
      <c r="T86" s="29"/>
      <c r="U86" s="30">
        <f t="shared" si="6"/>
        <v>5</v>
      </c>
      <c r="V86" s="31">
        <f t="shared" si="7"/>
        <v>0</v>
      </c>
    </row>
    <row r="87" spans="1:22" ht="14.25" hidden="1" customHeight="1" x14ac:dyDescent="0.3">
      <c r="A87" s="32">
        <v>80</v>
      </c>
      <c r="B87" s="26" t="s">
        <v>131</v>
      </c>
      <c r="C87" s="27" t="str">
        <f t="shared" si="4"/>
        <v>Masculino</v>
      </c>
      <c r="D87" s="33" t="str">
        <f>IFERROR(INDEX(SKUs!$E$6:$E$1997,MATCH(B87,SKUs!$C$6:$C$1997,0)),"")</f>
        <v>POLO</v>
      </c>
      <c r="E87" s="28" t="str">
        <f>IFERROR(VLOOKUP(D87,Configurações!$N$5:$O$46,2,FALSE()),"OUTROS")</f>
        <v>VESTUÁRIO</v>
      </c>
      <c r="F87" s="33" t="str">
        <f>IFERROR(INDEX(SKUs!$F$6:$F$1997,MATCH(B87,SKUs!$C$6:$C$1997,0)),"")</f>
        <v>POLO COTTON MASC.</v>
      </c>
      <c r="G87" s="33" t="str">
        <f>IFERROR(INDEX(SKUs!$G$6:$G$1997,MATCH(B87,SKUs!$C$6:$C$1997,0)),"")</f>
        <v>PRETA</v>
      </c>
      <c r="H87" s="32" t="str">
        <f>IFERROR(INDEX(SKUs!$H$6:$H$1997,MATCH(B87,SKUs!$C$6:$C$1997,0)),"")</f>
        <v>P</v>
      </c>
      <c r="I87" s="34" t="str">
        <f>IFERROR(INDEX(SKUs!#REF!,MATCH(B87,SKUs!$C$6:$C$1997,0)),"")</f>
        <v/>
      </c>
      <c r="J87" s="35">
        <f>SUMIFS(SKUs!$I$6:$I$1997,SKUs!$C$6:$C$1997,B87)</f>
        <v>71</v>
      </c>
      <c r="K87" s="34">
        <f t="shared" si="5"/>
        <v>0</v>
      </c>
      <c r="L87" s="35">
        <f>COUNTIF(SKUs!$C$6:$C$1997,B87)</f>
        <v>4</v>
      </c>
      <c r="M87" s="29"/>
      <c r="N87" s="29"/>
      <c r="O87" s="29"/>
      <c r="P87" s="29"/>
      <c r="Q87" s="29"/>
      <c r="R87" s="29"/>
      <c r="S87" s="29"/>
      <c r="T87" s="29"/>
      <c r="U87" s="30">
        <f t="shared" si="6"/>
        <v>0</v>
      </c>
      <c r="V87" s="31">
        <f t="shared" si="7"/>
        <v>71</v>
      </c>
    </row>
    <row r="88" spans="1:22" ht="14.25" hidden="1" customHeight="1" x14ac:dyDescent="0.3">
      <c r="A88" s="25">
        <v>81</v>
      </c>
      <c r="B88" s="26" t="s">
        <v>132</v>
      </c>
      <c r="C88" s="27" t="str">
        <f t="shared" si="4"/>
        <v>Masculino</v>
      </c>
      <c r="D88" s="2" t="str">
        <f>IFERROR(INDEX(SKUs!$E$6:$E$1997,MATCH(B88,SKUs!$C$6:$C$1997,0)),"")</f>
        <v>POLO</v>
      </c>
      <c r="E88" s="28" t="str">
        <f>IFERROR(VLOOKUP(D88,Configurações!$N$5:$O$46,2,FALSE()),"OUTROS")</f>
        <v>VESTUÁRIO</v>
      </c>
      <c r="F88" s="2" t="str">
        <f>IFERROR(INDEX(SKUs!$F$6:$F$1997,MATCH(B88,SKUs!$C$6:$C$1997,0)),"")</f>
        <v>POLO COTTON MASC.</v>
      </c>
      <c r="G88" s="2" t="str">
        <f>IFERROR(INDEX(SKUs!$G$6:$G$1997,MATCH(B88,SKUs!$C$6:$C$1997,0)),"")</f>
        <v>PRETA</v>
      </c>
      <c r="H88" s="25" t="str">
        <f>IFERROR(INDEX(SKUs!$H$6:$H$1997,MATCH(B88,SKUs!$C$6:$C$1997,0)),"")</f>
        <v>M</v>
      </c>
      <c r="I88" s="4" t="str">
        <f>IFERROR(INDEX(SKUs!#REF!,MATCH(B88,SKUs!$C$6:$C$1997,0)),"")</f>
        <v/>
      </c>
      <c r="J88" s="3">
        <f>SUMIFS(SKUs!$I$6:$I$1997,SKUs!$C$6:$C$1997,B88)</f>
        <v>216</v>
      </c>
      <c r="K88" s="4">
        <f t="shared" si="5"/>
        <v>0</v>
      </c>
      <c r="L88" s="3">
        <f>COUNTIF(SKUs!$C$6:$C$1997,B88)</f>
        <v>7</v>
      </c>
      <c r="M88" s="29"/>
      <c r="N88" s="29"/>
      <c r="O88" s="29"/>
      <c r="P88" s="29"/>
      <c r="Q88" s="29"/>
      <c r="R88" s="29"/>
      <c r="S88" s="29"/>
      <c r="T88" s="29"/>
      <c r="U88" s="30">
        <f t="shared" si="6"/>
        <v>0</v>
      </c>
      <c r="V88" s="31">
        <f t="shared" si="7"/>
        <v>216</v>
      </c>
    </row>
    <row r="89" spans="1:22" ht="14.25" hidden="1" customHeight="1" x14ac:dyDescent="0.3">
      <c r="A89" s="32">
        <v>82</v>
      </c>
      <c r="B89" s="26" t="s">
        <v>133</v>
      </c>
      <c r="C89" s="27" t="str">
        <f t="shared" si="4"/>
        <v>Masculino</v>
      </c>
      <c r="D89" s="33" t="str">
        <f>IFERROR(INDEX(SKUs!$E$6:$E$1997,MATCH(B89,SKUs!$C$6:$C$1997,0)),"")</f>
        <v>POLO</v>
      </c>
      <c r="E89" s="28" t="str">
        <f>IFERROR(VLOOKUP(D89,Configurações!$N$5:$O$46,2,FALSE()),"OUTROS")</f>
        <v>VESTUÁRIO</v>
      </c>
      <c r="F89" s="33" t="str">
        <f>IFERROR(INDEX(SKUs!$F$6:$F$1997,MATCH(B89,SKUs!$C$6:$C$1997,0)),"")</f>
        <v>POLO COTTON MASC.</v>
      </c>
      <c r="G89" s="33" t="str">
        <f>IFERROR(INDEX(SKUs!$G$6:$G$1997,MATCH(B89,SKUs!$C$6:$C$1997,0)),"")</f>
        <v>PRETA</v>
      </c>
      <c r="H89" s="32" t="str">
        <f>IFERROR(INDEX(SKUs!$H$6:$H$1997,MATCH(B89,SKUs!$C$6:$C$1997,0)),"")</f>
        <v>G</v>
      </c>
      <c r="I89" s="34" t="str">
        <f>IFERROR(INDEX(SKUs!#REF!,MATCH(B89,SKUs!$C$6:$C$1997,0)),"")</f>
        <v/>
      </c>
      <c r="J89" s="35">
        <f>SUMIFS(SKUs!$I$6:$I$1997,SKUs!$C$6:$C$1997,B89)</f>
        <v>85</v>
      </c>
      <c r="K89" s="34">
        <f t="shared" si="5"/>
        <v>0</v>
      </c>
      <c r="L89" s="35">
        <f>COUNTIF(SKUs!$C$6:$C$1997,B89)</f>
        <v>4</v>
      </c>
      <c r="M89" s="29"/>
      <c r="N89" s="29"/>
      <c r="O89" s="29"/>
      <c r="P89" s="29"/>
      <c r="Q89" s="29"/>
      <c r="R89" s="29"/>
      <c r="S89" s="29"/>
      <c r="T89" s="29"/>
      <c r="U89" s="30">
        <f t="shared" si="6"/>
        <v>0</v>
      </c>
      <c r="V89" s="31">
        <f t="shared" si="7"/>
        <v>85</v>
      </c>
    </row>
    <row r="90" spans="1:22" ht="14.25" hidden="1" customHeight="1" x14ac:dyDescent="0.3">
      <c r="A90" s="25">
        <v>83</v>
      </c>
      <c r="B90" s="26" t="s">
        <v>134</v>
      </c>
      <c r="C90" s="27" t="str">
        <f t="shared" si="4"/>
        <v>Masculino</v>
      </c>
      <c r="D90" s="2" t="str">
        <f>IFERROR(INDEX(SKUs!$E$6:$E$1997,MATCH(B90,SKUs!$C$6:$C$1997,0)),"")</f>
        <v>POLO</v>
      </c>
      <c r="E90" s="28" t="str">
        <f>IFERROR(VLOOKUP(D90,Configurações!$N$5:$O$46,2,FALSE()),"OUTROS")</f>
        <v>VESTUÁRIO</v>
      </c>
      <c r="F90" s="2" t="str">
        <f>IFERROR(INDEX(SKUs!$F$6:$F$1997,MATCH(B90,SKUs!$C$6:$C$1997,0)),"")</f>
        <v>POLO COTTON MASC.</v>
      </c>
      <c r="G90" s="2" t="str">
        <f>IFERROR(INDEX(SKUs!$G$6:$G$1997,MATCH(B90,SKUs!$C$6:$C$1997,0)),"")</f>
        <v>PRETA</v>
      </c>
      <c r="H90" s="25" t="str">
        <f>IFERROR(INDEX(SKUs!$H$6:$H$1997,MATCH(B90,SKUs!$C$6:$C$1997,0)),"")</f>
        <v>GG</v>
      </c>
      <c r="I90" s="4" t="str">
        <f>IFERROR(INDEX(SKUs!#REF!,MATCH(B90,SKUs!$C$6:$C$1997,0)),"")</f>
        <v/>
      </c>
      <c r="J90" s="3">
        <f>SUMIFS(SKUs!$I$6:$I$1997,SKUs!$C$6:$C$1997,B90)</f>
        <v>0</v>
      </c>
      <c r="K90" s="4">
        <f t="shared" si="5"/>
        <v>0</v>
      </c>
      <c r="L90" s="3">
        <f>COUNTIF(SKUs!$C$6:$C$1997,B90)</f>
        <v>3</v>
      </c>
      <c r="M90" s="29">
        <v>21</v>
      </c>
      <c r="N90" s="29"/>
      <c r="O90" s="29"/>
      <c r="P90" s="29"/>
      <c r="Q90" s="29"/>
      <c r="R90" s="29"/>
      <c r="S90" s="29"/>
      <c r="T90" s="29"/>
      <c r="U90" s="30">
        <f t="shared" si="6"/>
        <v>21</v>
      </c>
      <c r="V90" s="31">
        <f t="shared" si="7"/>
        <v>0</v>
      </c>
    </row>
    <row r="91" spans="1:22" ht="14.25" hidden="1" customHeight="1" x14ac:dyDescent="0.3">
      <c r="A91" s="32">
        <v>84</v>
      </c>
      <c r="B91" s="26" t="s">
        <v>135</v>
      </c>
      <c r="C91" s="27" t="str">
        <f t="shared" si="4"/>
        <v>Masculino</v>
      </c>
      <c r="D91" s="33" t="str">
        <f>IFERROR(INDEX(SKUs!$E$6:$E$1997,MATCH(B91,SKUs!$C$6:$C$1997,0)),"")</f>
        <v>POLO</v>
      </c>
      <c r="E91" s="28" t="str">
        <f>IFERROR(VLOOKUP(D91,Configurações!$N$5:$O$46,2,FALSE()),"OUTROS")</f>
        <v>VESTUÁRIO</v>
      </c>
      <c r="F91" s="33" t="str">
        <f>IFERROR(INDEX(SKUs!$F$6:$F$1997,MATCH(B91,SKUs!$C$6:$C$1997,0)),"")</f>
        <v>POLO COTTON MASC.</v>
      </c>
      <c r="G91" s="33" t="str">
        <f>IFERROR(INDEX(SKUs!$G$6:$G$1997,MATCH(B91,SKUs!$C$6:$C$1997,0)),"")</f>
        <v>PRETA</v>
      </c>
      <c r="H91" s="32" t="str">
        <f>IFERROR(INDEX(SKUs!$H$6:$H$1997,MATCH(B91,SKUs!$C$6:$C$1997,0)),"")</f>
        <v>XG</v>
      </c>
      <c r="I91" s="34" t="str">
        <f>IFERROR(INDEX(SKUs!#REF!,MATCH(B91,SKUs!$C$6:$C$1997,0)),"")</f>
        <v/>
      </c>
      <c r="J91" s="35">
        <f>SUMIFS(SKUs!$I$6:$I$1997,SKUs!$C$6:$C$1997,B91)</f>
        <v>0</v>
      </c>
      <c r="K91" s="34">
        <f t="shared" si="5"/>
        <v>0</v>
      </c>
      <c r="L91" s="35">
        <f>COUNTIF(SKUs!$C$6:$C$1997,B91)</f>
        <v>3</v>
      </c>
      <c r="M91" s="29">
        <v>33</v>
      </c>
      <c r="N91" s="29"/>
      <c r="O91" s="29"/>
      <c r="P91" s="29"/>
      <c r="Q91" s="29"/>
      <c r="R91" s="29"/>
      <c r="S91" s="29"/>
      <c r="T91" s="29"/>
      <c r="U91" s="30">
        <f t="shared" si="6"/>
        <v>33</v>
      </c>
      <c r="V91" s="31">
        <f t="shared" si="7"/>
        <v>0</v>
      </c>
    </row>
    <row r="92" spans="1:22" ht="14.25" hidden="1" customHeight="1" x14ac:dyDescent="0.3">
      <c r="A92" s="25">
        <v>85</v>
      </c>
      <c r="B92" s="26" t="s">
        <v>136</v>
      </c>
      <c r="C92" s="27" t="str">
        <f t="shared" si="4"/>
        <v>Masculino</v>
      </c>
      <c r="D92" s="2" t="str">
        <f>IFERROR(INDEX(SKUs!$E$6:$E$1997,MATCH(B92,SKUs!$C$6:$C$1997,0)),"")</f>
        <v>POLO</v>
      </c>
      <c r="E92" s="28" t="str">
        <f>IFERROR(VLOOKUP(D92,Configurações!$N$5:$O$46,2,FALSE()),"OUTROS")</f>
        <v>VESTUÁRIO</v>
      </c>
      <c r="F92" s="2" t="str">
        <f>IFERROR(INDEX(SKUs!$F$6:$F$1997,MATCH(B92,SKUs!$C$6:$C$1997,0)),"")</f>
        <v>POLO PIMA MASC.</v>
      </c>
      <c r="G92" s="2" t="str">
        <f>IFERROR(INDEX(SKUs!$G$6:$G$1997,MATCH(B92,SKUs!$C$6:$C$1997,0)),"")</f>
        <v>PRETA</v>
      </c>
      <c r="H92" s="25" t="str">
        <f>IFERROR(INDEX(SKUs!$H$6:$H$1997,MATCH(B92,SKUs!$C$6:$C$1997,0)),"")</f>
        <v>PP</v>
      </c>
      <c r="I92" s="4" t="str">
        <f>IFERROR(INDEX(SKUs!#REF!,MATCH(B92,SKUs!$C$6:$C$1997,0)),"")</f>
        <v/>
      </c>
      <c r="J92" s="3">
        <f>SUMIFS(SKUs!$I$6:$I$1997,SKUs!$C$6:$C$1997,B92)</f>
        <v>0</v>
      </c>
      <c r="K92" s="4">
        <f t="shared" si="5"/>
        <v>0</v>
      </c>
      <c r="L92" s="3">
        <f>COUNTIF(SKUs!$C$6:$C$1997,B92)</f>
        <v>1</v>
      </c>
      <c r="M92" s="29">
        <v>5</v>
      </c>
      <c r="N92" s="29"/>
      <c r="O92" s="29"/>
      <c r="P92" s="29"/>
      <c r="Q92" s="29"/>
      <c r="R92" s="29"/>
      <c r="S92" s="29"/>
      <c r="T92" s="29"/>
      <c r="U92" s="30">
        <f t="shared" si="6"/>
        <v>5</v>
      </c>
      <c r="V92" s="31">
        <f t="shared" si="7"/>
        <v>0</v>
      </c>
    </row>
    <row r="93" spans="1:22" ht="14.25" hidden="1" customHeight="1" x14ac:dyDescent="0.3">
      <c r="A93" s="32">
        <v>86</v>
      </c>
      <c r="B93" s="26" t="s">
        <v>137</v>
      </c>
      <c r="C93" s="27" t="str">
        <f t="shared" si="4"/>
        <v>Masculino</v>
      </c>
      <c r="D93" s="33" t="str">
        <f>IFERROR(INDEX(SKUs!$E$6:$E$1997,MATCH(B93,SKUs!$C$6:$C$1997,0)),"")</f>
        <v>POLO</v>
      </c>
      <c r="E93" s="28" t="str">
        <f>IFERROR(VLOOKUP(D93,Configurações!$N$5:$O$46,2,FALSE()),"OUTROS")</f>
        <v>VESTUÁRIO</v>
      </c>
      <c r="F93" s="33" t="str">
        <f>IFERROR(INDEX(SKUs!$F$6:$F$1997,MATCH(B93,SKUs!$C$6:$C$1997,0)),"")</f>
        <v>POLO PIMA MASC.</v>
      </c>
      <c r="G93" s="33" t="str">
        <f>IFERROR(INDEX(SKUs!$G$6:$G$1997,MATCH(B93,SKUs!$C$6:$C$1997,0)),"")</f>
        <v>PRETA</v>
      </c>
      <c r="H93" s="32" t="str">
        <f>IFERROR(INDEX(SKUs!$H$6:$H$1997,MATCH(B93,SKUs!$C$6:$C$1997,0)),"")</f>
        <v>P</v>
      </c>
      <c r="I93" s="34" t="str">
        <f>IFERROR(INDEX(SKUs!#REF!,MATCH(B93,SKUs!$C$6:$C$1997,0)),"")</f>
        <v/>
      </c>
      <c r="J93" s="35">
        <f>SUMIFS(SKUs!$I$6:$I$1997,SKUs!$C$6:$C$1997,B93)</f>
        <v>0</v>
      </c>
      <c r="K93" s="34">
        <f t="shared" si="5"/>
        <v>0</v>
      </c>
      <c r="L93" s="35">
        <f>COUNTIF(SKUs!$C$6:$C$1997,B93)</f>
        <v>1</v>
      </c>
      <c r="M93" s="29">
        <v>4</v>
      </c>
      <c r="N93" s="29"/>
      <c r="O93" s="29"/>
      <c r="P93" s="29"/>
      <c r="Q93" s="29"/>
      <c r="R93" s="29"/>
      <c r="S93" s="29"/>
      <c r="T93" s="29"/>
      <c r="U93" s="30">
        <f t="shared" si="6"/>
        <v>4</v>
      </c>
      <c r="V93" s="31">
        <f t="shared" si="7"/>
        <v>0</v>
      </c>
    </row>
    <row r="94" spans="1:22" ht="14.25" hidden="1" customHeight="1" x14ac:dyDescent="0.3">
      <c r="A94" s="25">
        <v>87</v>
      </c>
      <c r="B94" s="26" t="s">
        <v>138</v>
      </c>
      <c r="C94" s="27" t="str">
        <f t="shared" si="4"/>
        <v>Masculino</v>
      </c>
      <c r="D94" s="2" t="str">
        <f>IFERROR(INDEX(SKUs!$E$6:$E$1997,MATCH(B94,SKUs!$C$6:$C$1997,0)),"")</f>
        <v>POLO</v>
      </c>
      <c r="E94" s="28" t="str">
        <f>IFERROR(VLOOKUP(D94,Configurações!$N$5:$O$46,2,FALSE()),"OUTROS")</f>
        <v>VESTUÁRIO</v>
      </c>
      <c r="F94" s="2" t="str">
        <f>IFERROR(INDEX(SKUs!$F$6:$F$1997,MATCH(B94,SKUs!$C$6:$C$1997,0)),"")</f>
        <v>POLO PIMA MASC.</v>
      </c>
      <c r="G94" s="2" t="str">
        <f>IFERROR(INDEX(SKUs!$G$6:$G$1997,MATCH(B94,SKUs!$C$6:$C$1997,0)),"")</f>
        <v>PRETA</v>
      </c>
      <c r="H94" s="25" t="str">
        <f>IFERROR(INDEX(SKUs!$H$6:$H$1997,MATCH(B94,SKUs!$C$6:$C$1997,0)),"")</f>
        <v>M</v>
      </c>
      <c r="I94" s="4" t="str">
        <f>IFERROR(INDEX(SKUs!#REF!,MATCH(B94,SKUs!$C$6:$C$1997,0)),"")</f>
        <v/>
      </c>
      <c r="J94" s="3">
        <f>SUMIFS(SKUs!$I$6:$I$1997,SKUs!$C$6:$C$1997,B94)</f>
        <v>0</v>
      </c>
      <c r="K94" s="4">
        <f t="shared" si="5"/>
        <v>0</v>
      </c>
      <c r="L94" s="3">
        <f>COUNTIF(SKUs!$C$6:$C$1997,B94)</f>
        <v>1</v>
      </c>
      <c r="M94" s="29">
        <v>9</v>
      </c>
      <c r="N94" s="29"/>
      <c r="O94" s="29"/>
      <c r="P94" s="29"/>
      <c r="Q94" s="29"/>
      <c r="R94" s="29"/>
      <c r="S94" s="29"/>
      <c r="T94" s="29"/>
      <c r="U94" s="30">
        <f t="shared" si="6"/>
        <v>9</v>
      </c>
      <c r="V94" s="31">
        <f t="shared" si="7"/>
        <v>0</v>
      </c>
    </row>
    <row r="95" spans="1:22" ht="14.25" hidden="1" customHeight="1" x14ac:dyDescent="0.3">
      <c r="A95" s="32">
        <v>88</v>
      </c>
      <c r="B95" s="26" t="s">
        <v>139</v>
      </c>
      <c r="C95" s="27" t="str">
        <f t="shared" si="4"/>
        <v>Masculino</v>
      </c>
      <c r="D95" s="33" t="str">
        <f>IFERROR(INDEX(SKUs!$E$6:$E$1997,MATCH(B95,SKUs!$C$6:$C$1997,0)),"")</f>
        <v>POLO</v>
      </c>
      <c r="E95" s="28" t="str">
        <f>IFERROR(VLOOKUP(D95,Configurações!$N$5:$O$46,2,FALSE()),"OUTROS")</f>
        <v>VESTUÁRIO</v>
      </c>
      <c r="F95" s="33" t="str">
        <f>IFERROR(INDEX(SKUs!$F$6:$F$1997,MATCH(B95,SKUs!$C$6:$C$1997,0)),"")</f>
        <v>POLO PIMA MASC.</v>
      </c>
      <c r="G95" s="33" t="str">
        <f>IFERROR(INDEX(SKUs!$G$6:$G$1997,MATCH(B95,SKUs!$C$6:$C$1997,0)),"")</f>
        <v>PRETA</v>
      </c>
      <c r="H95" s="32" t="str">
        <f>IFERROR(INDEX(SKUs!$H$6:$H$1997,MATCH(B95,SKUs!$C$6:$C$1997,0)),"")</f>
        <v>G</v>
      </c>
      <c r="I95" s="34" t="str">
        <f>IFERROR(INDEX(SKUs!#REF!,MATCH(B95,SKUs!$C$6:$C$1997,0)),"")</f>
        <v/>
      </c>
      <c r="J95" s="35">
        <f>SUMIFS(SKUs!$I$6:$I$1997,SKUs!$C$6:$C$1997,B95)</f>
        <v>0</v>
      </c>
      <c r="K95" s="34">
        <f t="shared" si="5"/>
        <v>0</v>
      </c>
      <c r="L95" s="35">
        <f>COUNTIF(SKUs!$C$6:$C$1997,B95)</f>
        <v>1</v>
      </c>
      <c r="M95" s="29">
        <v>10</v>
      </c>
      <c r="N95" s="29"/>
      <c r="O95" s="29"/>
      <c r="P95" s="29"/>
      <c r="Q95" s="29"/>
      <c r="R95" s="29"/>
      <c r="S95" s="29"/>
      <c r="T95" s="29"/>
      <c r="U95" s="30">
        <f t="shared" si="6"/>
        <v>10</v>
      </c>
      <c r="V95" s="31">
        <f t="shared" si="7"/>
        <v>0</v>
      </c>
    </row>
    <row r="96" spans="1:22" ht="14.25" hidden="1" customHeight="1" x14ac:dyDescent="0.3">
      <c r="A96" s="25">
        <v>89</v>
      </c>
      <c r="B96" s="26" t="s">
        <v>140</v>
      </c>
      <c r="C96" s="27" t="str">
        <f t="shared" si="4"/>
        <v>Masculino</v>
      </c>
      <c r="D96" s="2" t="str">
        <f>IFERROR(INDEX(SKUs!$E$6:$E$1997,MATCH(B96,SKUs!$C$6:$C$1997,0)),"")</f>
        <v>POLO</v>
      </c>
      <c r="E96" s="28" t="str">
        <f>IFERROR(VLOOKUP(D96,Configurações!$N$5:$O$46,2,FALSE()),"OUTROS")</f>
        <v>VESTUÁRIO</v>
      </c>
      <c r="F96" s="2" t="str">
        <f>IFERROR(INDEX(SKUs!$F$6:$F$1997,MATCH(B96,SKUs!$C$6:$C$1997,0)),"")</f>
        <v>POLO PIMA MASC.</v>
      </c>
      <c r="G96" s="2" t="str">
        <f>IFERROR(INDEX(SKUs!$G$6:$G$1997,MATCH(B96,SKUs!$C$6:$C$1997,0)),"")</f>
        <v>PRETA</v>
      </c>
      <c r="H96" s="25" t="str">
        <f>IFERROR(INDEX(SKUs!$H$6:$H$1997,MATCH(B96,SKUs!$C$6:$C$1997,0)),"")</f>
        <v>GG</v>
      </c>
      <c r="I96" s="4" t="str">
        <f>IFERROR(INDEX(SKUs!#REF!,MATCH(B96,SKUs!$C$6:$C$1997,0)),"")</f>
        <v/>
      </c>
      <c r="J96" s="3">
        <f>SUMIFS(SKUs!$I$6:$I$1997,SKUs!$C$6:$C$1997,B96)</f>
        <v>0</v>
      </c>
      <c r="K96" s="4">
        <f t="shared" si="5"/>
        <v>0</v>
      </c>
      <c r="L96" s="3">
        <f>COUNTIF(SKUs!$C$6:$C$1997,B96)</f>
        <v>1</v>
      </c>
      <c r="M96" s="29">
        <v>10</v>
      </c>
      <c r="N96" s="29"/>
      <c r="O96" s="29"/>
      <c r="P96" s="29"/>
      <c r="Q96" s="29"/>
      <c r="R96" s="29"/>
      <c r="S96" s="29"/>
      <c r="T96" s="29"/>
      <c r="U96" s="30">
        <f t="shared" si="6"/>
        <v>10</v>
      </c>
      <c r="V96" s="31">
        <f t="shared" si="7"/>
        <v>0</v>
      </c>
    </row>
    <row r="97" spans="1:22" ht="14.25" hidden="1" customHeight="1" x14ac:dyDescent="0.3">
      <c r="A97" s="32">
        <v>90</v>
      </c>
      <c r="B97" s="26" t="s">
        <v>141</v>
      </c>
      <c r="C97" s="27" t="str">
        <f t="shared" si="4"/>
        <v>Masculino</v>
      </c>
      <c r="D97" s="33" t="str">
        <f>IFERROR(INDEX(SKUs!$E$6:$E$1997,MATCH(B97,SKUs!$C$6:$C$1997,0)),"")</f>
        <v>POLO</v>
      </c>
      <c r="E97" s="28" t="str">
        <f>IFERROR(VLOOKUP(D97,Configurações!$N$5:$O$46,2,FALSE()),"OUTROS")</f>
        <v>VESTUÁRIO</v>
      </c>
      <c r="F97" s="33" t="str">
        <f>IFERROR(INDEX(SKUs!$F$6:$F$1997,MATCH(B97,SKUs!$C$6:$C$1997,0)),"")</f>
        <v>POLO PIMA MASC.</v>
      </c>
      <c r="G97" s="33" t="str">
        <f>IFERROR(INDEX(SKUs!$G$6:$G$1997,MATCH(B97,SKUs!$C$6:$C$1997,0)),"")</f>
        <v>PRETA</v>
      </c>
      <c r="H97" s="32" t="str">
        <f>IFERROR(INDEX(SKUs!$H$6:$H$1997,MATCH(B97,SKUs!$C$6:$C$1997,0)),"")</f>
        <v>XG</v>
      </c>
      <c r="I97" s="34" t="str">
        <f>IFERROR(INDEX(SKUs!#REF!,MATCH(B97,SKUs!$C$6:$C$1997,0)),"")</f>
        <v/>
      </c>
      <c r="J97" s="35">
        <f>SUMIFS(SKUs!$I$6:$I$1997,SKUs!$C$6:$C$1997,B97)</f>
        <v>0</v>
      </c>
      <c r="K97" s="34">
        <f t="shared" si="5"/>
        <v>0</v>
      </c>
      <c r="L97" s="35">
        <f>COUNTIF(SKUs!$C$6:$C$1997,B97)</f>
        <v>1</v>
      </c>
      <c r="M97" s="29">
        <v>3</v>
      </c>
      <c r="N97" s="29"/>
      <c r="O97" s="29"/>
      <c r="P97" s="29"/>
      <c r="Q97" s="29"/>
      <c r="R97" s="29"/>
      <c r="S97" s="29"/>
      <c r="T97" s="29"/>
      <c r="U97" s="30">
        <f t="shared" si="6"/>
        <v>3</v>
      </c>
      <c r="V97" s="31">
        <f t="shared" si="7"/>
        <v>0</v>
      </c>
    </row>
    <row r="98" spans="1:22" ht="14.25" hidden="1" customHeight="1" x14ac:dyDescent="0.3">
      <c r="A98" s="25">
        <v>91</v>
      </c>
      <c r="B98" s="26" t="s">
        <v>142</v>
      </c>
      <c r="C98" s="27" t="str">
        <f t="shared" si="4"/>
        <v>Masculino</v>
      </c>
      <c r="D98" s="2" t="str">
        <f>IFERROR(INDEX(SKUs!$E$6:$E$1997,MATCH(B98,SKUs!$C$6:$C$1997,0)),"")</f>
        <v>CAMISETA</v>
      </c>
      <c r="E98" s="28" t="str">
        <f>IFERROR(VLOOKUP(D98,Configurações!$N$5:$O$46,2,FALSE()),"OUTROS")</f>
        <v>VESTUÁRIO</v>
      </c>
      <c r="F98" s="2" t="str">
        <f>IFERROR(INDEX(SKUs!$F$6:$F$1997,MATCH(B98,SKUs!$C$6:$C$1997,0)),"")</f>
        <v>CAMISETA COPA MASC.</v>
      </c>
      <c r="G98" s="2" t="str">
        <f>IFERROR(INDEX(SKUs!$G$6:$G$1997,MATCH(B98,SKUs!$C$6:$C$1997,0)),"")</f>
        <v>VERDE</v>
      </c>
      <c r="H98" s="25" t="str">
        <f>IFERROR(INDEX(SKUs!$H$6:$H$1997,MATCH(B98,SKUs!$C$6:$C$1997,0)),"")</f>
        <v>P</v>
      </c>
      <c r="I98" s="4" t="str">
        <f>IFERROR(INDEX(SKUs!#REF!,MATCH(B98,SKUs!$C$6:$C$1997,0)),"")</f>
        <v/>
      </c>
      <c r="J98" s="3">
        <f>SUMIFS(SKUs!$I$6:$I$1997,SKUs!$C$6:$C$1997,B98)</f>
        <v>0</v>
      </c>
      <c r="K98" s="4">
        <f t="shared" si="5"/>
        <v>0</v>
      </c>
      <c r="L98" s="3">
        <f>COUNTIF(SKUs!$C$6:$C$1997,B98)</f>
        <v>1</v>
      </c>
      <c r="M98" s="29"/>
      <c r="N98" s="29"/>
      <c r="O98" s="29"/>
      <c r="P98" s="29"/>
      <c r="Q98" s="29"/>
      <c r="R98" s="29"/>
      <c r="S98" s="29"/>
      <c r="T98" s="29"/>
      <c r="U98" s="30">
        <f t="shared" si="6"/>
        <v>0</v>
      </c>
      <c r="V98" s="31">
        <f t="shared" si="7"/>
        <v>0</v>
      </c>
    </row>
    <row r="99" spans="1:22" ht="14.25" hidden="1" customHeight="1" x14ac:dyDescent="0.3">
      <c r="A99" s="32">
        <v>92</v>
      </c>
      <c r="B99" s="26" t="s">
        <v>143</v>
      </c>
      <c r="C99" s="27" t="str">
        <f t="shared" si="4"/>
        <v>Masculino</v>
      </c>
      <c r="D99" s="33" t="str">
        <f>IFERROR(INDEX(SKUs!$E$6:$E$1997,MATCH(B99,SKUs!$C$6:$C$1997,0)),"")</f>
        <v>CAMISETA</v>
      </c>
      <c r="E99" s="28" t="str">
        <f>IFERROR(VLOOKUP(D99,Configurações!$N$5:$O$46,2,FALSE()),"OUTROS")</f>
        <v>VESTUÁRIO</v>
      </c>
      <c r="F99" s="33" t="str">
        <f>IFERROR(INDEX(SKUs!$F$6:$F$1997,MATCH(B99,SKUs!$C$6:$C$1997,0)),"")</f>
        <v>CAMISETA COPA MASC.</v>
      </c>
      <c r="G99" s="33" t="str">
        <f>IFERROR(INDEX(SKUs!$G$6:$G$1997,MATCH(B99,SKUs!$C$6:$C$1997,0)),"")</f>
        <v>VERDE</v>
      </c>
      <c r="H99" s="32" t="str">
        <f>IFERROR(INDEX(SKUs!$H$6:$H$1997,MATCH(B99,SKUs!$C$6:$C$1997,0)),"")</f>
        <v>M</v>
      </c>
      <c r="I99" s="34" t="str">
        <f>IFERROR(INDEX(SKUs!#REF!,MATCH(B99,SKUs!$C$6:$C$1997,0)),"")</f>
        <v/>
      </c>
      <c r="J99" s="35">
        <f>SUMIFS(SKUs!$I$6:$I$1997,SKUs!$C$6:$C$1997,B99)</f>
        <v>0</v>
      </c>
      <c r="K99" s="34">
        <f t="shared" si="5"/>
        <v>0</v>
      </c>
      <c r="L99" s="35">
        <f>COUNTIF(SKUs!$C$6:$C$1997,B99)</f>
        <v>1</v>
      </c>
      <c r="M99" s="29"/>
      <c r="N99" s="29"/>
      <c r="O99" s="29"/>
      <c r="P99" s="29"/>
      <c r="Q99" s="29"/>
      <c r="R99" s="29"/>
      <c r="S99" s="29"/>
      <c r="T99" s="29"/>
      <c r="U99" s="30">
        <f t="shared" si="6"/>
        <v>0</v>
      </c>
      <c r="V99" s="31">
        <f t="shared" si="7"/>
        <v>0</v>
      </c>
    </row>
    <row r="100" spans="1:22" ht="14.25" hidden="1" customHeight="1" x14ac:dyDescent="0.3">
      <c r="A100" s="25">
        <v>93</v>
      </c>
      <c r="B100" s="26" t="s">
        <v>144</v>
      </c>
      <c r="C100" s="27" t="str">
        <f t="shared" si="4"/>
        <v>Masculino</v>
      </c>
      <c r="D100" s="2" t="str">
        <f>IFERROR(INDEX(SKUs!$E$6:$E$1997,MATCH(B100,SKUs!$C$6:$C$1997,0)),"")</f>
        <v>CAMISETA</v>
      </c>
      <c r="E100" s="28" t="str">
        <f>IFERROR(VLOOKUP(D100,Configurações!$N$5:$O$46,2,FALSE()),"OUTROS")</f>
        <v>VESTUÁRIO</v>
      </c>
      <c r="F100" s="2" t="str">
        <f>IFERROR(INDEX(SKUs!$F$6:$F$1997,MATCH(B100,SKUs!$C$6:$C$1997,0)),"")</f>
        <v>CAMISETA COPA MASC.</v>
      </c>
      <c r="G100" s="2" t="str">
        <f>IFERROR(INDEX(SKUs!$G$6:$G$1997,MATCH(B100,SKUs!$C$6:$C$1997,0)),"")</f>
        <v>VERDE</v>
      </c>
      <c r="H100" s="25" t="str">
        <f>IFERROR(INDEX(SKUs!$H$6:$H$1997,MATCH(B100,SKUs!$C$6:$C$1997,0)),"")</f>
        <v>G</v>
      </c>
      <c r="I100" s="4" t="str">
        <f>IFERROR(INDEX(SKUs!#REF!,MATCH(B100,SKUs!$C$6:$C$1997,0)),"")</f>
        <v/>
      </c>
      <c r="J100" s="3">
        <f>SUMIFS(SKUs!$I$6:$I$1997,SKUs!$C$6:$C$1997,B100)</f>
        <v>0</v>
      </c>
      <c r="K100" s="4">
        <f t="shared" si="5"/>
        <v>0</v>
      </c>
      <c r="L100" s="3">
        <f>COUNTIF(SKUs!$C$6:$C$1997,B100)</f>
        <v>1</v>
      </c>
      <c r="M100" s="29"/>
      <c r="N100" s="29"/>
      <c r="O100" s="29"/>
      <c r="P100" s="29"/>
      <c r="Q100" s="29"/>
      <c r="R100" s="29"/>
      <c r="S100" s="29"/>
      <c r="T100" s="29"/>
      <c r="U100" s="30">
        <f t="shared" si="6"/>
        <v>0</v>
      </c>
      <c r="V100" s="31">
        <f t="shared" si="7"/>
        <v>0</v>
      </c>
    </row>
    <row r="101" spans="1:22" ht="14.25" hidden="1" customHeight="1" x14ac:dyDescent="0.3">
      <c r="A101" s="32">
        <v>94</v>
      </c>
      <c r="B101" s="26" t="s">
        <v>145</v>
      </c>
      <c r="C101" s="27" t="str">
        <f t="shared" si="4"/>
        <v>Masculino</v>
      </c>
      <c r="D101" s="33" t="str">
        <f>IFERROR(INDEX(SKUs!$E$6:$E$1997,MATCH(B101,SKUs!$C$6:$C$1997,0)),"")</f>
        <v>CAMISETA</v>
      </c>
      <c r="E101" s="28" t="str">
        <f>IFERROR(VLOOKUP(D101,Configurações!$N$5:$O$46,2,FALSE()),"OUTROS")</f>
        <v>VESTUÁRIO</v>
      </c>
      <c r="F101" s="33" t="str">
        <f>IFERROR(INDEX(SKUs!$F$6:$F$1997,MATCH(B101,SKUs!$C$6:$C$1997,0)),"")</f>
        <v>CAMISETA COPA MASC.</v>
      </c>
      <c r="G101" s="33" t="str">
        <f>IFERROR(INDEX(SKUs!$G$6:$G$1997,MATCH(B101,SKUs!$C$6:$C$1997,0)),"")</f>
        <v>VERDE</v>
      </c>
      <c r="H101" s="32" t="str">
        <f>IFERROR(INDEX(SKUs!$H$6:$H$1997,MATCH(B101,SKUs!$C$6:$C$1997,0)),"")</f>
        <v>GG</v>
      </c>
      <c r="I101" s="34" t="str">
        <f>IFERROR(INDEX(SKUs!#REF!,MATCH(B101,SKUs!$C$6:$C$1997,0)),"")</f>
        <v/>
      </c>
      <c r="J101" s="35">
        <f>SUMIFS(SKUs!$I$6:$I$1997,SKUs!$C$6:$C$1997,B101)</f>
        <v>0</v>
      </c>
      <c r="K101" s="34">
        <f t="shared" si="5"/>
        <v>0</v>
      </c>
      <c r="L101" s="35">
        <f>COUNTIF(SKUs!$C$6:$C$1997,B101)</f>
        <v>1</v>
      </c>
      <c r="M101" s="29"/>
      <c r="N101" s="29"/>
      <c r="O101" s="29"/>
      <c r="P101" s="29"/>
      <c r="Q101" s="29"/>
      <c r="R101" s="29"/>
      <c r="S101" s="29"/>
      <c r="T101" s="29"/>
      <c r="U101" s="30">
        <f t="shared" si="6"/>
        <v>0</v>
      </c>
      <c r="V101" s="31">
        <f t="shared" si="7"/>
        <v>0</v>
      </c>
    </row>
    <row r="102" spans="1:22" ht="14.25" hidden="1" customHeight="1" x14ac:dyDescent="0.3">
      <c r="A102" s="25">
        <v>95</v>
      </c>
      <c r="B102" s="26" t="s">
        <v>146</v>
      </c>
      <c r="C102" s="27" t="str">
        <f t="shared" si="4"/>
        <v>Masculino</v>
      </c>
      <c r="D102" s="2" t="str">
        <f>IFERROR(INDEX(SKUs!$E$6:$E$1997,MATCH(B102,SKUs!$C$6:$C$1997,0)),"")</f>
        <v>CAMISETA</v>
      </c>
      <c r="E102" s="28" t="str">
        <f>IFERROR(VLOOKUP(D102,Configurações!$N$5:$O$46,2,FALSE()),"OUTROS")</f>
        <v>VESTUÁRIO</v>
      </c>
      <c r="F102" s="2" t="str">
        <f>IFERROR(INDEX(SKUs!$F$6:$F$1997,MATCH(B102,SKUs!$C$6:$C$1997,0)),"")</f>
        <v>CAMISETA COPA MASC.</v>
      </c>
      <c r="G102" s="2" t="str">
        <f>IFERROR(INDEX(SKUs!$G$6:$G$1997,MATCH(B102,SKUs!$C$6:$C$1997,0)),"")</f>
        <v>VERDE</v>
      </c>
      <c r="H102" s="25" t="str">
        <f>IFERROR(INDEX(SKUs!$H$6:$H$1997,MATCH(B102,SKUs!$C$6:$C$1997,0)),"")</f>
        <v>XG</v>
      </c>
      <c r="I102" s="4" t="str">
        <f>IFERROR(INDEX(SKUs!#REF!,MATCH(B102,SKUs!$C$6:$C$1997,0)),"")</f>
        <v/>
      </c>
      <c r="J102" s="3">
        <f>SUMIFS(SKUs!$I$6:$I$1997,SKUs!$C$6:$C$1997,B102)</f>
        <v>0</v>
      </c>
      <c r="K102" s="4">
        <f t="shared" si="5"/>
        <v>0</v>
      </c>
      <c r="L102" s="3">
        <f>COUNTIF(SKUs!$C$6:$C$1997,B102)</f>
        <v>1</v>
      </c>
      <c r="M102" s="29"/>
      <c r="N102" s="29"/>
      <c r="O102" s="29"/>
      <c r="P102" s="29"/>
      <c r="Q102" s="29"/>
      <c r="R102" s="29"/>
      <c r="S102" s="29"/>
      <c r="T102" s="29"/>
      <c r="U102" s="30">
        <f t="shared" si="6"/>
        <v>0</v>
      </c>
      <c r="V102" s="31">
        <f t="shared" si="7"/>
        <v>0</v>
      </c>
    </row>
    <row r="103" spans="1:22" ht="14.25" hidden="1" customHeight="1" x14ac:dyDescent="0.3">
      <c r="A103" s="32">
        <v>96</v>
      </c>
      <c r="B103" s="26" t="s">
        <v>147</v>
      </c>
      <c r="C103" s="27" t="str">
        <f t="shared" si="4"/>
        <v>Masculino</v>
      </c>
      <c r="D103" s="33" t="str">
        <f>IFERROR(INDEX(SKUs!$E$6:$E$1997,MATCH(B103,SKUs!$C$6:$C$1997,0)),"")</f>
        <v>CAMISETA</v>
      </c>
      <c r="E103" s="28" t="str">
        <f>IFERROR(VLOOKUP(D103,Configurações!$N$5:$O$46,2,FALSE()),"OUTROS")</f>
        <v>VESTUÁRIO</v>
      </c>
      <c r="F103" s="33" t="str">
        <f>IFERROR(INDEX(SKUs!$F$6:$F$1997,MATCH(B103,SKUs!$C$6:$C$1997,0)),"")</f>
        <v>CAMISETA COPA MASC.</v>
      </c>
      <c r="G103" s="33" t="str">
        <f>IFERROR(INDEX(SKUs!$G$6:$G$1997,MATCH(B103,SKUs!$C$6:$C$1997,0)),"")</f>
        <v>VERDE</v>
      </c>
      <c r="H103" s="32" t="str">
        <f>IFERROR(INDEX(SKUs!$H$6:$H$1997,MATCH(B103,SKUs!$C$6:$C$1997,0)),"")</f>
        <v>4G</v>
      </c>
      <c r="I103" s="34" t="str">
        <f>IFERROR(INDEX(SKUs!#REF!,MATCH(B103,SKUs!$C$6:$C$1997,0)),"")</f>
        <v/>
      </c>
      <c r="J103" s="35">
        <f>SUMIFS(SKUs!$I$6:$I$1997,SKUs!$C$6:$C$1997,B103)</f>
        <v>0</v>
      </c>
      <c r="K103" s="34">
        <f t="shared" si="5"/>
        <v>0</v>
      </c>
      <c r="L103" s="35">
        <f>COUNTIF(SKUs!$C$6:$C$1997,B103)</f>
        <v>1</v>
      </c>
      <c r="M103" s="29"/>
      <c r="N103" s="29"/>
      <c r="O103" s="29"/>
      <c r="P103" s="29"/>
      <c r="Q103" s="29"/>
      <c r="R103" s="29"/>
      <c r="S103" s="29"/>
      <c r="T103" s="29"/>
      <c r="U103" s="30">
        <f t="shared" si="6"/>
        <v>0</v>
      </c>
      <c r="V103" s="31">
        <f t="shared" si="7"/>
        <v>0</v>
      </c>
    </row>
    <row r="104" spans="1:22" ht="14.25" hidden="1" customHeight="1" x14ac:dyDescent="0.3">
      <c r="A104" s="25">
        <v>97</v>
      </c>
      <c r="B104" s="26" t="s">
        <v>148</v>
      </c>
      <c r="C104" s="27" t="str">
        <f t="shared" si="4"/>
        <v>Feminino</v>
      </c>
      <c r="D104" s="2" t="str">
        <f>IFERROR(INDEX(SKUs!$E$6:$E$1997,MATCH(B104,SKUs!$C$6:$C$1997,0)),"")</f>
        <v>POLO</v>
      </c>
      <c r="E104" s="28" t="str">
        <f>IFERROR(VLOOKUP(D104,Configurações!$N$5:$O$46,2,FALSE()),"OUTROS")</f>
        <v>VESTUÁRIO</v>
      </c>
      <c r="F104" s="2" t="str">
        <f>IFERROR(INDEX(SKUs!$F$6:$F$1997,MATCH(B104,SKUs!$C$6:$C$1997,0)),"")</f>
        <v>POLO PIQUET FEM.</v>
      </c>
      <c r="G104" s="2" t="str">
        <f>IFERROR(INDEX(SKUs!$G$6:$G$1997,MATCH(B104,SKUs!$C$6:$C$1997,0)),"")</f>
        <v>MARINHO-RISCOS</v>
      </c>
      <c r="H104" s="25" t="str">
        <f>IFERROR(INDEX(SKUs!$H$6:$H$1997,MATCH(B104,SKUs!$C$6:$C$1997,0)),"")</f>
        <v>PP</v>
      </c>
      <c r="I104" s="4" t="str">
        <f>IFERROR(INDEX(SKUs!#REF!,MATCH(B104,SKUs!$C$6:$C$1997,0)),"")</f>
        <v/>
      </c>
      <c r="J104" s="3">
        <f>SUMIFS(SKUs!$I$6:$I$1997,SKUs!$C$6:$C$1997,B104)</f>
        <v>0</v>
      </c>
      <c r="K104" s="4">
        <f t="shared" si="5"/>
        <v>0</v>
      </c>
      <c r="L104" s="3">
        <f>COUNTIF(SKUs!$C$6:$C$1997,B104)</f>
        <v>1</v>
      </c>
      <c r="M104" s="29">
        <v>10</v>
      </c>
      <c r="N104" s="29"/>
      <c r="O104" s="29"/>
      <c r="P104" s="29"/>
      <c r="Q104" s="29"/>
      <c r="R104" s="29"/>
      <c r="S104" s="29"/>
      <c r="T104" s="29"/>
      <c r="U104" s="30">
        <f t="shared" si="6"/>
        <v>10</v>
      </c>
      <c r="V104" s="31">
        <f t="shared" si="7"/>
        <v>0</v>
      </c>
    </row>
    <row r="105" spans="1:22" ht="14.25" hidden="1" customHeight="1" x14ac:dyDescent="0.3">
      <c r="A105" s="32">
        <v>98</v>
      </c>
      <c r="B105" s="26" t="s">
        <v>149</v>
      </c>
      <c r="C105" s="27" t="str">
        <f t="shared" si="4"/>
        <v>Feminino</v>
      </c>
      <c r="D105" s="33" t="str">
        <f>IFERROR(INDEX(SKUs!$E$6:$E$1997,MATCH(B105,SKUs!$C$6:$C$1997,0)),"")</f>
        <v>POLO</v>
      </c>
      <c r="E105" s="28" t="str">
        <f>IFERROR(VLOOKUP(D105,Configurações!$N$5:$O$46,2,FALSE()),"OUTROS")</f>
        <v>VESTUÁRIO</v>
      </c>
      <c r="F105" s="33" t="str">
        <f>IFERROR(INDEX(SKUs!$F$6:$F$1997,MATCH(B105,SKUs!$C$6:$C$1997,0)),"")</f>
        <v>POLO PIQUET FEM.</v>
      </c>
      <c r="G105" s="33" t="str">
        <f>IFERROR(INDEX(SKUs!$G$6:$G$1997,MATCH(B105,SKUs!$C$6:$C$1997,0)),"")</f>
        <v>MARINHO-RISCOS</v>
      </c>
      <c r="H105" s="32" t="str">
        <f>IFERROR(INDEX(SKUs!$H$6:$H$1997,MATCH(B105,SKUs!$C$6:$C$1997,0)),"")</f>
        <v>P</v>
      </c>
      <c r="I105" s="34" t="str">
        <f>IFERROR(INDEX(SKUs!#REF!,MATCH(B105,SKUs!$C$6:$C$1997,0)),"")</f>
        <v/>
      </c>
      <c r="J105" s="35">
        <f>SUMIFS(SKUs!$I$6:$I$1997,SKUs!$C$6:$C$1997,B105)</f>
        <v>0</v>
      </c>
      <c r="K105" s="34">
        <f t="shared" si="5"/>
        <v>0</v>
      </c>
      <c r="L105" s="35">
        <f>COUNTIF(SKUs!$C$6:$C$1997,B105)</f>
        <v>1</v>
      </c>
      <c r="M105" s="29">
        <v>13</v>
      </c>
      <c r="N105" s="29"/>
      <c r="O105" s="29"/>
      <c r="P105" s="29"/>
      <c r="Q105" s="29"/>
      <c r="R105" s="29"/>
      <c r="S105" s="29"/>
      <c r="T105" s="29"/>
      <c r="U105" s="30">
        <f t="shared" si="6"/>
        <v>13</v>
      </c>
      <c r="V105" s="31">
        <f t="shared" si="7"/>
        <v>0</v>
      </c>
    </row>
    <row r="106" spans="1:22" ht="14.25" hidden="1" customHeight="1" x14ac:dyDescent="0.3">
      <c r="A106" s="25">
        <v>99</v>
      </c>
      <c r="B106" s="26" t="s">
        <v>150</v>
      </c>
      <c r="C106" s="27" t="str">
        <f t="shared" si="4"/>
        <v>Feminino</v>
      </c>
      <c r="D106" s="2" t="str">
        <f>IFERROR(INDEX(SKUs!$E$6:$E$1997,MATCH(B106,SKUs!$C$6:$C$1997,0)),"")</f>
        <v>POLO</v>
      </c>
      <c r="E106" s="28" t="str">
        <f>IFERROR(VLOOKUP(D106,Configurações!$N$5:$O$46,2,FALSE()),"OUTROS")</f>
        <v>VESTUÁRIO</v>
      </c>
      <c r="F106" s="2" t="str">
        <f>IFERROR(INDEX(SKUs!$F$6:$F$1997,MATCH(B106,SKUs!$C$6:$C$1997,0)),"")</f>
        <v>POLO PIQUET FEM.</v>
      </c>
      <c r="G106" s="2" t="str">
        <f>IFERROR(INDEX(SKUs!$G$6:$G$1997,MATCH(B106,SKUs!$C$6:$C$1997,0)),"")</f>
        <v>MARINHO-RISCOS</v>
      </c>
      <c r="H106" s="25" t="str">
        <f>IFERROR(INDEX(SKUs!$H$6:$H$1997,MATCH(B106,SKUs!$C$6:$C$1997,0)),"")</f>
        <v>M</v>
      </c>
      <c r="I106" s="4" t="str">
        <f>IFERROR(INDEX(SKUs!#REF!,MATCH(B106,SKUs!$C$6:$C$1997,0)),"")</f>
        <v/>
      </c>
      <c r="J106" s="3">
        <f>SUMIFS(SKUs!$I$6:$I$1997,SKUs!$C$6:$C$1997,B106)</f>
        <v>0</v>
      </c>
      <c r="K106" s="4">
        <f t="shared" si="5"/>
        <v>0</v>
      </c>
      <c r="L106" s="3">
        <f>COUNTIF(SKUs!$C$6:$C$1997,B106)</f>
        <v>1</v>
      </c>
      <c r="M106" s="29">
        <v>15</v>
      </c>
      <c r="N106" s="29"/>
      <c r="O106" s="29"/>
      <c r="P106" s="29"/>
      <c r="Q106" s="29"/>
      <c r="R106" s="29"/>
      <c r="S106" s="29"/>
      <c r="T106" s="29"/>
      <c r="U106" s="30">
        <f t="shared" si="6"/>
        <v>15</v>
      </c>
      <c r="V106" s="31">
        <f t="shared" si="7"/>
        <v>0</v>
      </c>
    </row>
    <row r="107" spans="1:22" ht="14.25" hidden="1" customHeight="1" x14ac:dyDescent="0.3">
      <c r="A107" s="32">
        <v>100</v>
      </c>
      <c r="B107" s="26" t="s">
        <v>151</v>
      </c>
      <c r="C107" s="27" t="str">
        <f t="shared" si="4"/>
        <v>Feminino</v>
      </c>
      <c r="D107" s="33" t="str">
        <f>IFERROR(INDEX(SKUs!$E$6:$E$1997,MATCH(B107,SKUs!$C$6:$C$1997,0)),"")</f>
        <v>POLO</v>
      </c>
      <c r="E107" s="28" t="str">
        <f>IFERROR(VLOOKUP(D107,Configurações!$N$5:$O$46,2,FALSE()),"OUTROS")</f>
        <v>VESTUÁRIO</v>
      </c>
      <c r="F107" s="33" t="str">
        <f>IFERROR(INDEX(SKUs!$F$6:$F$1997,MATCH(B107,SKUs!$C$6:$C$1997,0)),"")</f>
        <v>POLO PIQUET FEM.</v>
      </c>
      <c r="G107" s="33" t="str">
        <f>IFERROR(INDEX(SKUs!$G$6:$G$1997,MATCH(B107,SKUs!$C$6:$C$1997,0)),"")</f>
        <v>MARINHO-RISCOS</v>
      </c>
      <c r="H107" s="32" t="str">
        <f>IFERROR(INDEX(SKUs!$H$6:$H$1997,MATCH(B107,SKUs!$C$6:$C$1997,0)),"")</f>
        <v>G</v>
      </c>
      <c r="I107" s="34" t="str">
        <f>IFERROR(INDEX(SKUs!#REF!,MATCH(B107,SKUs!$C$6:$C$1997,0)),"")</f>
        <v/>
      </c>
      <c r="J107" s="35">
        <f>SUMIFS(SKUs!$I$6:$I$1997,SKUs!$C$6:$C$1997,B107)</f>
        <v>0</v>
      </c>
      <c r="K107" s="34">
        <f t="shared" si="5"/>
        <v>0</v>
      </c>
      <c r="L107" s="35">
        <f>COUNTIF(SKUs!$C$6:$C$1997,B107)</f>
        <v>1</v>
      </c>
      <c r="M107" s="29">
        <v>9</v>
      </c>
      <c r="N107" s="29"/>
      <c r="O107" s="29"/>
      <c r="P107" s="29"/>
      <c r="Q107" s="29"/>
      <c r="R107" s="29"/>
      <c r="S107" s="29"/>
      <c r="T107" s="29"/>
      <c r="U107" s="30">
        <f t="shared" si="6"/>
        <v>9</v>
      </c>
      <c r="V107" s="31">
        <f t="shared" si="7"/>
        <v>0</v>
      </c>
    </row>
    <row r="108" spans="1:22" ht="14.25" hidden="1" customHeight="1" x14ac:dyDescent="0.3">
      <c r="A108" s="25">
        <v>101</v>
      </c>
      <c r="B108" s="26" t="s">
        <v>152</v>
      </c>
      <c r="C108" s="27" t="str">
        <f t="shared" si="4"/>
        <v>Feminino</v>
      </c>
      <c r="D108" s="2" t="str">
        <f>IFERROR(INDEX(SKUs!$E$6:$E$1997,MATCH(B108,SKUs!$C$6:$C$1997,0)),"")</f>
        <v>POLO</v>
      </c>
      <c r="E108" s="28" t="str">
        <f>IFERROR(VLOOKUP(D108,Configurações!$N$5:$O$46,2,FALSE()),"OUTROS")</f>
        <v>VESTUÁRIO</v>
      </c>
      <c r="F108" s="2" t="str">
        <f>IFERROR(INDEX(SKUs!$F$6:$F$1997,MATCH(B108,SKUs!$C$6:$C$1997,0)),"")</f>
        <v>POLO PIQUET FEM.</v>
      </c>
      <c r="G108" s="2" t="str">
        <f>IFERROR(INDEX(SKUs!$G$6:$G$1997,MATCH(B108,SKUs!$C$6:$C$1997,0)),"")</f>
        <v>MARINHO-RISCOS</v>
      </c>
      <c r="H108" s="25" t="str">
        <f>IFERROR(INDEX(SKUs!$H$6:$H$1997,MATCH(B108,SKUs!$C$6:$C$1997,0)),"")</f>
        <v>GG</v>
      </c>
      <c r="I108" s="4" t="str">
        <f>IFERROR(INDEX(SKUs!#REF!,MATCH(B108,SKUs!$C$6:$C$1997,0)),"")</f>
        <v/>
      </c>
      <c r="J108" s="3">
        <f>SUMIFS(SKUs!$I$6:$I$1997,SKUs!$C$6:$C$1997,B108)</f>
        <v>0</v>
      </c>
      <c r="K108" s="4">
        <f t="shared" si="5"/>
        <v>0</v>
      </c>
      <c r="L108" s="3">
        <f>COUNTIF(SKUs!$C$6:$C$1997,B108)</f>
        <v>1</v>
      </c>
      <c r="M108" s="29">
        <v>5</v>
      </c>
      <c r="N108" s="29"/>
      <c r="O108" s="29"/>
      <c r="P108" s="29"/>
      <c r="Q108" s="29"/>
      <c r="R108" s="29"/>
      <c r="S108" s="29"/>
      <c r="T108" s="29"/>
      <c r="U108" s="30">
        <f t="shared" si="6"/>
        <v>5</v>
      </c>
      <c r="V108" s="31">
        <f t="shared" si="7"/>
        <v>0</v>
      </c>
    </row>
    <row r="109" spans="1:22" ht="14.25" hidden="1" customHeight="1" x14ac:dyDescent="0.3">
      <c r="A109" s="32">
        <v>102</v>
      </c>
      <c r="B109" s="26" t="s">
        <v>153</v>
      </c>
      <c r="C109" s="27" t="str">
        <f t="shared" si="4"/>
        <v>Feminino</v>
      </c>
      <c r="D109" s="33" t="str">
        <f>IFERROR(INDEX(SKUs!$E$6:$E$1997,MATCH(B109,SKUs!$C$6:$C$1997,0)),"")</f>
        <v>POLO</v>
      </c>
      <c r="E109" s="28" t="str">
        <f>IFERROR(VLOOKUP(D109,Configurações!$N$5:$O$46,2,FALSE()),"OUTROS")</f>
        <v>VESTUÁRIO</v>
      </c>
      <c r="F109" s="33" t="str">
        <f>IFERROR(INDEX(SKUs!$F$6:$F$1997,MATCH(B109,SKUs!$C$6:$C$1997,0)),"")</f>
        <v>POLO PIQUET FEM.</v>
      </c>
      <c r="G109" s="33" t="str">
        <f>IFERROR(INDEX(SKUs!$G$6:$G$1997,MATCH(B109,SKUs!$C$6:$C$1997,0)),"")</f>
        <v>MARINHO-RISCOS</v>
      </c>
      <c r="H109" s="32" t="str">
        <f>IFERROR(INDEX(SKUs!$H$6:$H$1997,MATCH(B109,SKUs!$C$6:$C$1997,0)),"")</f>
        <v>XG</v>
      </c>
      <c r="I109" s="34" t="str">
        <f>IFERROR(INDEX(SKUs!#REF!,MATCH(B109,SKUs!$C$6:$C$1997,0)),"")</f>
        <v/>
      </c>
      <c r="J109" s="35">
        <f>SUMIFS(SKUs!$I$6:$I$1997,SKUs!$C$6:$C$1997,B109)</f>
        <v>0</v>
      </c>
      <c r="K109" s="34">
        <f t="shared" si="5"/>
        <v>0</v>
      </c>
      <c r="L109" s="35">
        <f>COUNTIF(SKUs!$C$6:$C$1997,B109)</f>
        <v>1</v>
      </c>
      <c r="M109" s="29">
        <v>5</v>
      </c>
      <c r="N109" s="29"/>
      <c r="O109" s="29"/>
      <c r="P109" s="29"/>
      <c r="Q109" s="29"/>
      <c r="R109" s="29"/>
      <c r="S109" s="29"/>
      <c r="T109" s="29"/>
      <c r="U109" s="30">
        <f t="shared" si="6"/>
        <v>5</v>
      </c>
      <c r="V109" s="31">
        <f t="shared" si="7"/>
        <v>0</v>
      </c>
    </row>
    <row r="110" spans="1:22" ht="14.25" hidden="1" customHeight="1" x14ac:dyDescent="0.3">
      <c r="A110" s="25">
        <v>103</v>
      </c>
      <c r="B110" s="26" t="s">
        <v>154</v>
      </c>
      <c r="C110" s="27" t="str">
        <f t="shared" si="4"/>
        <v>Feminino</v>
      </c>
      <c r="D110" s="2" t="str">
        <f>IFERROR(INDEX(SKUs!$E$6:$E$1997,MATCH(B110,SKUs!$C$6:$C$1997,0)),"")</f>
        <v>POLO</v>
      </c>
      <c r="E110" s="28" t="str">
        <f>IFERROR(VLOOKUP(D110,Configurações!$N$5:$O$46,2,FALSE()),"OUTROS")</f>
        <v>VESTUÁRIO</v>
      </c>
      <c r="F110" s="2" t="str">
        <f>IFERROR(INDEX(SKUs!$F$6:$F$1997,MATCH(B110,SKUs!$C$6:$C$1997,0)),"")</f>
        <v>POLO PIMA FEM.</v>
      </c>
      <c r="G110" s="2" t="str">
        <f>IFERROR(INDEX(SKUs!$G$6:$G$1997,MATCH(B110,SKUs!$C$6:$C$1997,0)),"")</f>
        <v>MESCLA - AZUL</v>
      </c>
      <c r="H110" s="25" t="str">
        <f>IFERROR(INDEX(SKUs!$H$6:$H$1997,MATCH(B110,SKUs!$C$6:$C$1997,0)),"")</f>
        <v>PP</v>
      </c>
      <c r="I110" s="4" t="str">
        <f>IFERROR(INDEX(SKUs!#REF!,MATCH(B110,SKUs!$C$6:$C$1997,0)),"")</f>
        <v/>
      </c>
      <c r="J110" s="3">
        <f>SUMIFS(SKUs!$I$6:$I$1997,SKUs!$C$6:$C$1997,B110)</f>
        <v>0</v>
      </c>
      <c r="K110" s="4">
        <f t="shared" si="5"/>
        <v>0</v>
      </c>
      <c r="L110" s="3">
        <f>COUNTIF(SKUs!$C$6:$C$1997,B110)</f>
        <v>1</v>
      </c>
      <c r="M110" s="29">
        <v>8</v>
      </c>
      <c r="N110" s="29"/>
      <c r="O110" s="29"/>
      <c r="P110" s="29"/>
      <c r="Q110" s="29"/>
      <c r="R110" s="29"/>
      <c r="S110" s="29"/>
      <c r="T110" s="29"/>
      <c r="U110" s="30">
        <f t="shared" si="6"/>
        <v>8</v>
      </c>
      <c r="V110" s="31">
        <f t="shared" si="7"/>
        <v>0</v>
      </c>
    </row>
    <row r="111" spans="1:22" ht="14.25" hidden="1" customHeight="1" x14ac:dyDescent="0.3">
      <c r="A111" s="32">
        <v>104</v>
      </c>
      <c r="B111" s="26" t="s">
        <v>155</v>
      </c>
      <c r="C111" s="27" t="str">
        <f t="shared" si="4"/>
        <v>Feminino</v>
      </c>
      <c r="D111" s="33" t="str">
        <f>IFERROR(INDEX(SKUs!$E$6:$E$1997,MATCH(B111,SKUs!$C$6:$C$1997,0)),"")</f>
        <v>POLO</v>
      </c>
      <c r="E111" s="28" t="str">
        <f>IFERROR(VLOOKUP(D111,Configurações!$N$5:$O$46,2,FALSE()),"OUTROS")</f>
        <v>VESTUÁRIO</v>
      </c>
      <c r="F111" s="33" t="str">
        <f>IFERROR(INDEX(SKUs!$F$6:$F$1997,MATCH(B111,SKUs!$C$6:$C$1997,0)),"")</f>
        <v>POLO PIMA FEM.</v>
      </c>
      <c r="G111" s="33" t="str">
        <f>IFERROR(INDEX(SKUs!$G$6:$G$1997,MATCH(B111,SKUs!$C$6:$C$1997,0)),"")</f>
        <v>MESCLA - AZUL</v>
      </c>
      <c r="H111" s="32" t="str">
        <f>IFERROR(INDEX(SKUs!$H$6:$H$1997,MATCH(B111,SKUs!$C$6:$C$1997,0)),"")</f>
        <v>PP</v>
      </c>
      <c r="I111" s="34" t="str">
        <f>IFERROR(INDEX(SKUs!#REF!,MATCH(B111,SKUs!$C$6:$C$1997,0)),"")</f>
        <v/>
      </c>
      <c r="J111" s="35">
        <f>SUMIFS(SKUs!$I$6:$I$1997,SKUs!$C$6:$C$1997,B111)</f>
        <v>0</v>
      </c>
      <c r="K111" s="34">
        <f t="shared" si="5"/>
        <v>0</v>
      </c>
      <c r="L111" s="35">
        <f>COUNTIF(SKUs!$C$6:$C$1997,B111)</f>
        <v>1</v>
      </c>
      <c r="M111" s="29">
        <v>11</v>
      </c>
      <c r="N111" s="29"/>
      <c r="O111" s="29"/>
      <c r="P111" s="29"/>
      <c r="Q111" s="29"/>
      <c r="R111" s="29"/>
      <c r="S111" s="29"/>
      <c r="T111" s="29"/>
      <c r="U111" s="30">
        <f t="shared" si="6"/>
        <v>11</v>
      </c>
      <c r="V111" s="31">
        <f t="shared" si="7"/>
        <v>0</v>
      </c>
    </row>
    <row r="112" spans="1:22" ht="14.25" hidden="1" customHeight="1" x14ac:dyDescent="0.3">
      <c r="A112" s="25">
        <v>105</v>
      </c>
      <c r="B112" s="26" t="s">
        <v>156</v>
      </c>
      <c r="C112" s="27" t="str">
        <f t="shared" si="4"/>
        <v>Feminino</v>
      </c>
      <c r="D112" s="2" t="str">
        <f>IFERROR(INDEX(SKUs!$E$6:$E$1997,MATCH(B112,SKUs!$C$6:$C$1997,0)),"")</f>
        <v>POLO</v>
      </c>
      <c r="E112" s="28" t="str">
        <f>IFERROR(VLOOKUP(D112,Configurações!$N$5:$O$46,2,FALSE()),"OUTROS")</f>
        <v>VESTUÁRIO</v>
      </c>
      <c r="F112" s="2" t="str">
        <f>IFERROR(INDEX(SKUs!$F$6:$F$1997,MATCH(B112,SKUs!$C$6:$C$1997,0)),"")</f>
        <v>POLO PIMA FEM.</v>
      </c>
      <c r="G112" s="2" t="str">
        <f>IFERROR(INDEX(SKUs!$G$6:$G$1997,MATCH(B112,SKUs!$C$6:$C$1997,0)),"")</f>
        <v>MESCLA - AZUL</v>
      </c>
      <c r="H112" s="25" t="str">
        <f>IFERROR(INDEX(SKUs!$H$6:$H$1997,MATCH(B112,SKUs!$C$6:$C$1997,0)),"")</f>
        <v>M</v>
      </c>
      <c r="I112" s="4" t="str">
        <f>IFERROR(INDEX(SKUs!#REF!,MATCH(B112,SKUs!$C$6:$C$1997,0)),"")</f>
        <v/>
      </c>
      <c r="J112" s="3">
        <f>SUMIFS(SKUs!$I$6:$I$1997,SKUs!$C$6:$C$1997,B112)</f>
        <v>0</v>
      </c>
      <c r="K112" s="4">
        <f t="shared" si="5"/>
        <v>0</v>
      </c>
      <c r="L112" s="3">
        <f>COUNTIF(SKUs!$C$6:$C$1997,B112)</f>
        <v>1</v>
      </c>
      <c r="M112" s="29">
        <v>14</v>
      </c>
      <c r="N112" s="29"/>
      <c r="O112" s="29"/>
      <c r="P112" s="29"/>
      <c r="Q112" s="29"/>
      <c r="R112" s="29"/>
      <c r="S112" s="29"/>
      <c r="T112" s="29"/>
      <c r="U112" s="30">
        <f t="shared" si="6"/>
        <v>14</v>
      </c>
      <c r="V112" s="31">
        <f t="shared" si="7"/>
        <v>0</v>
      </c>
    </row>
    <row r="113" spans="1:22" ht="14.25" hidden="1" customHeight="1" x14ac:dyDescent="0.3">
      <c r="A113" s="32">
        <v>106</v>
      </c>
      <c r="B113" s="26" t="s">
        <v>157</v>
      </c>
      <c r="C113" s="27" t="str">
        <f t="shared" si="4"/>
        <v>Feminino</v>
      </c>
      <c r="D113" s="33" t="str">
        <f>IFERROR(INDEX(SKUs!$E$6:$E$1997,MATCH(B113,SKUs!$C$6:$C$1997,0)),"")</f>
        <v>POLO</v>
      </c>
      <c r="E113" s="28" t="str">
        <f>IFERROR(VLOOKUP(D113,Configurações!$N$5:$O$46,2,FALSE()),"OUTROS")</f>
        <v>VESTUÁRIO</v>
      </c>
      <c r="F113" s="33" t="str">
        <f>IFERROR(INDEX(SKUs!$F$6:$F$1997,MATCH(B113,SKUs!$C$6:$C$1997,0)),"")</f>
        <v>POLO PIMA FEM.</v>
      </c>
      <c r="G113" s="33" t="str">
        <f>IFERROR(INDEX(SKUs!$G$6:$G$1997,MATCH(B113,SKUs!$C$6:$C$1997,0)),"")</f>
        <v>MESCLA - AZUL</v>
      </c>
      <c r="H113" s="32" t="str">
        <f>IFERROR(INDEX(SKUs!$H$6:$H$1997,MATCH(B113,SKUs!$C$6:$C$1997,0)),"")</f>
        <v>G</v>
      </c>
      <c r="I113" s="34" t="str">
        <f>IFERROR(INDEX(SKUs!#REF!,MATCH(B113,SKUs!$C$6:$C$1997,0)),"")</f>
        <v/>
      </c>
      <c r="J113" s="35">
        <f>SUMIFS(SKUs!$I$6:$I$1997,SKUs!$C$6:$C$1997,B113)</f>
        <v>0</v>
      </c>
      <c r="K113" s="34">
        <f t="shared" si="5"/>
        <v>0</v>
      </c>
      <c r="L113" s="35">
        <f>COUNTIF(SKUs!$C$6:$C$1997,B113)</f>
        <v>1</v>
      </c>
      <c r="M113" s="29">
        <v>11</v>
      </c>
      <c r="N113" s="29"/>
      <c r="O113" s="29"/>
      <c r="P113" s="29"/>
      <c r="Q113" s="29"/>
      <c r="R113" s="29"/>
      <c r="S113" s="29"/>
      <c r="T113" s="29"/>
      <c r="U113" s="30">
        <f t="shared" si="6"/>
        <v>11</v>
      </c>
      <c r="V113" s="31">
        <f t="shared" si="7"/>
        <v>0</v>
      </c>
    </row>
    <row r="114" spans="1:22" ht="14.25" hidden="1" customHeight="1" x14ac:dyDescent="0.3">
      <c r="A114" s="25">
        <v>107</v>
      </c>
      <c r="B114" s="26" t="s">
        <v>158</v>
      </c>
      <c r="C114" s="27" t="str">
        <f t="shared" si="4"/>
        <v>Feminino</v>
      </c>
      <c r="D114" s="2" t="str">
        <f>IFERROR(INDEX(SKUs!$E$6:$E$1997,MATCH(B114,SKUs!$C$6:$C$1997,0)),"")</f>
        <v>POLO</v>
      </c>
      <c r="E114" s="28" t="str">
        <f>IFERROR(VLOOKUP(D114,Configurações!$N$5:$O$46,2,FALSE()),"OUTROS")</f>
        <v>VESTUÁRIO</v>
      </c>
      <c r="F114" s="2" t="str">
        <f>IFERROR(INDEX(SKUs!$F$6:$F$1997,MATCH(B114,SKUs!$C$6:$C$1997,0)),"")</f>
        <v>POLO PIMA FEM.</v>
      </c>
      <c r="G114" s="2" t="str">
        <f>IFERROR(INDEX(SKUs!$G$6:$G$1997,MATCH(B114,SKUs!$C$6:$C$1997,0)),"")</f>
        <v>MESCLA - AZUL</v>
      </c>
      <c r="H114" s="25" t="str">
        <f>IFERROR(INDEX(SKUs!$H$6:$H$1997,MATCH(B114,SKUs!$C$6:$C$1997,0)),"")</f>
        <v>GG</v>
      </c>
      <c r="I114" s="4" t="str">
        <f>IFERROR(INDEX(SKUs!#REF!,MATCH(B114,SKUs!$C$6:$C$1997,0)),"")</f>
        <v/>
      </c>
      <c r="J114" s="3">
        <f>SUMIFS(SKUs!$I$6:$I$1997,SKUs!$C$6:$C$1997,B114)</f>
        <v>0</v>
      </c>
      <c r="K114" s="4">
        <f t="shared" si="5"/>
        <v>0</v>
      </c>
      <c r="L114" s="3">
        <f>COUNTIF(SKUs!$C$6:$C$1997,B114)</f>
        <v>1</v>
      </c>
      <c r="M114" s="29">
        <v>6</v>
      </c>
      <c r="N114" s="29"/>
      <c r="O114" s="29"/>
      <c r="P114" s="29"/>
      <c r="Q114" s="29"/>
      <c r="R114" s="29"/>
      <c r="S114" s="29"/>
      <c r="T114" s="29"/>
      <c r="U114" s="30">
        <f t="shared" si="6"/>
        <v>6</v>
      </c>
      <c r="V114" s="31">
        <f t="shared" si="7"/>
        <v>0</v>
      </c>
    </row>
    <row r="115" spans="1:22" ht="14.25" hidden="1" customHeight="1" x14ac:dyDescent="0.3">
      <c r="A115" s="32">
        <v>108</v>
      </c>
      <c r="B115" s="26" t="s">
        <v>159</v>
      </c>
      <c r="C115" s="27" t="str">
        <f t="shared" si="4"/>
        <v>Feminino</v>
      </c>
      <c r="D115" s="33" t="str">
        <f>IFERROR(INDEX(SKUs!$E$6:$E$1997,MATCH(B115,SKUs!$C$6:$C$1997,0)),"")</f>
        <v>POLO</v>
      </c>
      <c r="E115" s="28" t="str">
        <f>IFERROR(VLOOKUP(D115,Configurações!$N$5:$O$46,2,FALSE()),"OUTROS")</f>
        <v>VESTUÁRIO</v>
      </c>
      <c r="F115" s="33" t="str">
        <f>IFERROR(INDEX(SKUs!$F$6:$F$1997,MATCH(B115,SKUs!$C$6:$C$1997,0)),"")</f>
        <v>POLO PIMA FEM.</v>
      </c>
      <c r="G115" s="33" t="str">
        <f>IFERROR(INDEX(SKUs!$G$6:$G$1997,MATCH(B115,SKUs!$C$6:$C$1997,0)),"")</f>
        <v>MESCLA - AZUL</v>
      </c>
      <c r="H115" s="32" t="str">
        <f>IFERROR(INDEX(SKUs!$H$6:$H$1997,MATCH(B115,SKUs!$C$6:$C$1997,0)),"")</f>
        <v>XG</v>
      </c>
      <c r="I115" s="34" t="str">
        <f>IFERROR(INDEX(SKUs!#REF!,MATCH(B115,SKUs!$C$6:$C$1997,0)),"")</f>
        <v/>
      </c>
      <c r="J115" s="35">
        <f>SUMIFS(SKUs!$I$6:$I$1997,SKUs!$C$6:$C$1997,B115)</f>
        <v>0</v>
      </c>
      <c r="K115" s="34">
        <f t="shared" si="5"/>
        <v>0</v>
      </c>
      <c r="L115" s="35">
        <f>COUNTIF(SKUs!$C$6:$C$1997,B115)</f>
        <v>1</v>
      </c>
      <c r="M115" s="29">
        <v>4</v>
      </c>
      <c r="N115" s="29"/>
      <c r="O115" s="29"/>
      <c r="P115" s="29"/>
      <c r="Q115" s="29"/>
      <c r="R115" s="29"/>
      <c r="S115" s="29"/>
      <c r="T115" s="29"/>
      <c r="U115" s="30">
        <f t="shared" si="6"/>
        <v>4</v>
      </c>
      <c r="V115" s="31">
        <f t="shared" si="7"/>
        <v>0</v>
      </c>
    </row>
    <row r="116" spans="1:22" ht="14.25" hidden="1" customHeight="1" x14ac:dyDescent="0.3">
      <c r="A116" s="25">
        <v>109</v>
      </c>
      <c r="B116" s="26" t="s">
        <v>160</v>
      </c>
      <c r="C116" s="27" t="str">
        <f t="shared" si="4"/>
        <v>Masculino</v>
      </c>
      <c r="D116" s="2" t="str">
        <f>IFERROR(INDEX(SKUs!$E$6:$E$1997,MATCH(B116,SKUs!$C$6:$C$1997,0)),"")</f>
        <v>CAMISETA</v>
      </c>
      <c r="E116" s="28" t="str">
        <f>IFERROR(VLOOKUP(D116,Configurações!$N$5:$O$46,2,FALSE()),"OUTROS")</f>
        <v>VESTUÁRIO</v>
      </c>
      <c r="F116" s="2" t="str">
        <f>IFERROR(INDEX(SKUs!$F$6:$F$1997,MATCH(B116,SKUs!$C$6:$C$1997,0)),"")</f>
        <v>CAMISETA CICLISMO UNISSEX</v>
      </c>
      <c r="G116" s="2" t="str">
        <f>IFERROR(INDEX(SKUs!$G$6:$G$1997,MATCH(B116,SKUs!$C$6:$C$1997,0)),"")</f>
        <v>AZUL</v>
      </c>
      <c r="H116" s="25" t="str">
        <f>IFERROR(INDEX(SKUs!$H$6:$H$1997,MATCH(B116,SKUs!$C$6:$C$1997,0)),"")</f>
        <v>PP</v>
      </c>
      <c r="I116" s="4" t="str">
        <f>IFERROR(INDEX(SKUs!#REF!,MATCH(B116,SKUs!$C$6:$C$1997,0)),"")</f>
        <v/>
      </c>
      <c r="J116" s="3">
        <f>SUMIFS(SKUs!$I$6:$I$1997,SKUs!$C$6:$C$1997,B116)</f>
        <v>0</v>
      </c>
      <c r="K116" s="4">
        <f t="shared" si="5"/>
        <v>0</v>
      </c>
      <c r="L116" s="3">
        <f>COUNTIF(SKUs!$C$6:$C$1997,B116)</f>
        <v>1</v>
      </c>
      <c r="M116" s="29">
        <v>8</v>
      </c>
      <c r="N116" s="29"/>
      <c r="O116" s="29"/>
      <c r="P116" s="29"/>
      <c r="Q116" s="29"/>
      <c r="R116" s="29"/>
      <c r="S116" s="29"/>
      <c r="T116" s="29"/>
      <c r="U116" s="30">
        <f t="shared" si="6"/>
        <v>8</v>
      </c>
      <c r="V116" s="31">
        <f t="shared" si="7"/>
        <v>0</v>
      </c>
    </row>
    <row r="117" spans="1:22" ht="14.25" hidden="1" customHeight="1" x14ac:dyDescent="0.3">
      <c r="A117" s="32">
        <v>110</v>
      </c>
      <c r="B117" s="26" t="s">
        <v>161</v>
      </c>
      <c r="C117" s="27" t="str">
        <f t="shared" si="4"/>
        <v>Masculino</v>
      </c>
      <c r="D117" s="33" t="str">
        <f>IFERROR(INDEX(SKUs!$E$6:$E$1997,MATCH(B117,SKUs!$C$6:$C$1997,0)),"")</f>
        <v>CAMISETA</v>
      </c>
      <c r="E117" s="28" t="str">
        <f>IFERROR(VLOOKUP(D117,Configurações!$N$5:$O$46,2,FALSE()),"OUTROS")</f>
        <v>VESTUÁRIO</v>
      </c>
      <c r="F117" s="33" t="str">
        <f>IFERROR(INDEX(SKUs!$F$6:$F$1997,MATCH(B117,SKUs!$C$6:$C$1997,0)),"")</f>
        <v>CAMISETA CICLISMO UNISSEX</v>
      </c>
      <c r="G117" s="33" t="str">
        <f>IFERROR(INDEX(SKUs!$G$6:$G$1997,MATCH(B117,SKUs!$C$6:$C$1997,0)),"")</f>
        <v>AZUL</v>
      </c>
      <c r="H117" s="32" t="str">
        <f>IFERROR(INDEX(SKUs!$H$6:$H$1997,MATCH(B117,SKUs!$C$6:$C$1997,0)),"")</f>
        <v>P</v>
      </c>
      <c r="I117" s="34" t="str">
        <f>IFERROR(INDEX(SKUs!#REF!,MATCH(B117,SKUs!$C$6:$C$1997,0)),"")</f>
        <v/>
      </c>
      <c r="J117" s="35">
        <f>SUMIFS(SKUs!$I$6:$I$1997,SKUs!$C$6:$C$1997,B117)</f>
        <v>0</v>
      </c>
      <c r="K117" s="34">
        <f t="shared" si="5"/>
        <v>0</v>
      </c>
      <c r="L117" s="35">
        <f>COUNTIF(SKUs!$C$6:$C$1997,B117)</f>
        <v>1</v>
      </c>
      <c r="M117" s="29">
        <v>10</v>
      </c>
      <c r="N117" s="29"/>
      <c r="O117" s="29"/>
      <c r="P117" s="29"/>
      <c r="Q117" s="29"/>
      <c r="R117" s="29"/>
      <c r="S117" s="29"/>
      <c r="T117" s="29"/>
      <c r="U117" s="30">
        <f t="shared" si="6"/>
        <v>10</v>
      </c>
      <c r="V117" s="31">
        <f t="shared" si="7"/>
        <v>0</v>
      </c>
    </row>
    <row r="118" spans="1:22" ht="14.25" hidden="1" customHeight="1" x14ac:dyDescent="0.3">
      <c r="A118" s="25">
        <v>111</v>
      </c>
      <c r="B118" s="26" t="s">
        <v>162</v>
      </c>
      <c r="C118" s="27" t="str">
        <f t="shared" si="4"/>
        <v>Masculino</v>
      </c>
      <c r="D118" s="2" t="str">
        <f>IFERROR(INDEX(SKUs!$E$6:$E$1997,MATCH(B118,SKUs!$C$6:$C$1997,0)),"")</f>
        <v>CAMISETA</v>
      </c>
      <c r="E118" s="28" t="str">
        <f>IFERROR(VLOOKUP(D118,Configurações!$N$5:$O$46,2,FALSE()),"OUTROS")</f>
        <v>VESTUÁRIO</v>
      </c>
      <c r="F118" s="2" t="str">
        <f>IFERROR(INDEX(SKUs!$F$6:$F$1997,MATCH(B118,SKUs!$C$6:$C$1997,0)),"")</f>
        <v>CAMISETA CICLISMO UNISSEX</v>
      </c>
      <c r="G118" s="2" t="str">
        <f>IFERROR(INDEX(SKUs!$G$6:$G$1997,MATCH(B118,SKUs!$C$6:$C$1997,0)),"")</f>
        <v>AZUL</v>
      </c>
      <c r="H118" s="25" t="str">
        <f>IFERROR(INDEX(SKUs!$H$6:$H$1997,MATCH(B118,SKUs!$C$6:$C$1997,0)),"")</f>
        <v>M</v>
      </c>
      <c r="I118" s="4" t="str">
        <f>IFERROR(INDEX(SKUs!#REF!,MATCH(B118,SKUs!$C$6:$C$1997,0)),"")</f>
        <v/>
      </c>
      <c r="J118" s="3">
        <f>SUMIFS(SKUs!$I$6:$I$1997,SKUs!$C$6:$C$1997,B118)</f>
        <v>0</v>
      </c>
      <c r="K118" s="4">
        <f t="shared" si="5"/>
        <v>0</v>
      </c>
      <c r="L118" s="3">
        <f>COUNTIF(SKUs!$C$6:$C$1997,B118)</f>
        <v>1</v>
      </c>
      <c r="M118" s="29">
        <v>11</v>
      </c>
      <c r="N118" s="29"/>
      <c r="O118" s="29"/>
      <c r="P118" s="29"/>
      <c r="Q118" s="29"/>
      <c r="R118" s="29"/>
      <c r="S118" s="29"/>
      <c r="T118" s="29"/>
      <c r="U118" s="30">
        <f t="shared" si="6"/>
        <v>11</v>
      </c>
      <c r="V118" s="31">
        <f t="shared" si="7"/>
        <v>0</v>
      </c>
    </row>
    <row r="119" spans="1:22" ht="14.25" hidden="1" customHeight="1" x14ac:dyDescent="0.3">
      <c r="A119" s="32">
        <v>112</v>
      </c>
      <c r="B119" s="26" t="s">
        <v>163</v>
      </c>
      <c r="C119" s="27" t="str">
        <f t="shared" si="4"/>
        <v>Masculino</v>
      </c>
      <c r="D119" s="33" t="str">
        <f>IFERROR(INDEX(SKUs!$E$6:$E$1997,MATCH(B119,SKUs!$C$6:$C$1997,0)),"")</f>
        <v>CAMISETA</v>
      </c>
      <c r="E119" s="28" t="str">
        <f>IFERROR(VLOOKUP(D119,Configurações!$N$5:$O$46,2,FALSE()),"OUTROS")</f>
        <v>VESTUÁRIO</v>
      </c>
      <c r="F119" s="33" t="str">
        <f>IFERROR(INDEX(SKUs!$F$6:$F$1997,MATCH(B119,SKUs!$C$6:$C$1997,0)),"")</f>
        <v>CAMISETA CICLISMO UNISSEX</v>
      </c>
      <c r="G119" s="33" t="str">
        <f>IFERROR(INDEX(SKUs!$G$6:$G$1997,MATCH(B119,SKUs!$C$6:$C$1997,0)),"")</f>
        <v>AZUL</v>
      </c>
      <c r="H119" s="32" t="str">
        <f>IFERROR(INDEX(SKUs!$H$6:$H$1997,MATCH(B119,SKUs!$C$6:$C$1997,0)),"")</f>
        <v>G</v>
      </c>
      <c r="I119" s="34" t="str">
        <f>IFERROR(INDEX(SKUs!#REF!,MATCH(B119,SKUs!$C$6:$C$1997,0)),"")</f>
        <v/>
      </c>
      <c r="J119" s="35">
        <f>SUMIFS(SKUs!$I$6:$I$1997,SKUs!$C$6:$C$1997,B119)</f>
        <v>0</v>
      </c>
      <c r="K119" s="34">
        <f t="shared" si="5"/>
        <v>0</v>
      </c>
      <c r="L119" s="35">
        <f>COUNTIF(SKUs!$C$6:$C$1997,B119)</f>
        <v>1</v>
      </c>
      <c r="M119" s="29">
        <v>11</v>
      </c>
      <c r="N119" s="29"/>
      <c r="O119" s="29"/>
      <c r="P119" s="29"/>
      <c r="Q119" s="29"/>
      <c r="R119" s="29"/>
      <c r="S119" s="29"/>
      <c r="T119" s="29"/>
      <c r="U119" s="30">
        <f t="shared" si="6"/>
        <v>11</v>
      </c>
      <c r="V119" s="31">
        <f t="shared" si="7"/>
        <v>0</v>
      </c>
    </row>
    <row r="120" spans="1:22" ht="14.25" hidden="1" customHeight="1" x14ac:dyDescent="0.3">
      <c r="A120" s="25">
        <v>113</v>
      </c>
      <c r="B120" s="26" t="s">
        <v>164</v>
      </c>
      <c r="C120" s="27" t="str">
        <f t="shared" si="4"/>
        <v>Masculino</v>
      </c>
      <c r="D120" s="2" t="str">
        <f>IFERROR(INDEX(SKUs!$E$6:$E$1997,MATCH(B120,SKUs!$C$6:$C$1997,0)),"")</f>
        <v>CAMISETA</v>
      </c>
      <c r="E120" s="28" t="str">
        <f>IFERROR(VLOOKUP(D120,Configurações!$N$5:$O$46,2,FALSE()),"OUTROS")</f>
        <v>VESTUÁRIO</v>
      </c>
      <c r="F120" s="2" t="str">
        <f>IFERROR(INDEX(SKUs!$F$6:$F$1997,MATCH(B120,SKUs!$C$6:$C$1997,0)),"")</f>
        <v>CAMISETA CICLISMO UNISSEX</v>
      </c>
      <c r="G120" s="2" t="str">
        <f>IFERROR(INDEX(SKUs!$G$6:$G$1997,MATCH(B120,SKUs!$C$6:$C$1997,0)),"")</f>
        <v>AZUL</v>
      </c>
      <c r="H120" s="25" t="str">
        <f>IFERROR(INDEX(SKUs!$H$6:$H$1997,MATCH(B120,SKUs!$C$6:$C$1997,0)),"")</f>
        <v>GG</v>
      </c>
      <c r="I120" s="4" t="str">
        <f>IFERROR(INDEX(SKUs!#REF!,MATCH(B120,SKUs!$C$6:$C$1997,0)),"")</f>
        <v/>
      </c>
      <c r="J120" s="3">
        <f>SUMIFS(SKUs!$I$6:$I$1997,SKUs!$C$6:$C$1997,B120)</f>
        <v>0</v>
      </c>
      <c r="K120" s="4">
        <f t="shared" si="5"/>
        <v>0</v>
      </c>
      <c r="L120" s="3">
        <f>COUNTIF(SKUs!$C$6:$C$1997,B120)</f>
        <v>1</v>
      </c>
      <c r="M120" s="29">
        <v>10</v>
      </c>
      <c r="N120" s="29"/>
      <c r="O120" s="29"/>
      <c r="P120" s="29"/>
      <c r="Q120" s="29"/>
      <c r="R120" s="29"/>
      <c r="S120" s="29"/>
      <c r="T120" s="29"/>
      <c r="U120" s="30">
        <f t="shared" si="6"/>
        <v>10</v>
      </c>
      <c r="V120" s="31">
        <f t="shared" si="7"/>
        <v>0</v>
      </c>
    </row>
    <row r="121" spans="1:22" ht="14.25" hidden="1" customHeight="1" x14ac:dyDescent="0.3">
      <c r="A121" s="32">
        <v>114</v>
      </c>
      <c r="B121" s="26" t="s">
        <v>165</v>
      </c>
      <c r="C121" s="27" t="str">
        <f t="shared" si="4"/>
        <v>Masculino</v>
      </c>
      <c r="D121" s="33" t="str">
        <f>IFERROR(INDEX(SKUs!$E$6:$E$1997,MATCH(B121,SKUs!$C$6:$C$1997,0)),"")</f>
        <v>CAMISETA</v>
      </c>
      <c r="E121" s="28" t="str">
        <f>IFERROR(VLOOKUP(D121,Configurações!$N$5:$O$46,2,FALSE()),"OUTROS")</f>
        <v>VESTUÁRIO</v>
      </c>
      <c r="F121" s="33" t="str">
        <f>IFERROR(INDEX(SKUs!$F$6:$F$1997,MATCH(B121,SKUs!$C$6:$C$1997,0)),"")</f>
        <v>CAMISETA CICLISMO UNISSEX</v>
      </c>
      <c r="G121" s="33" t="str">
        <f>IFERROR(INDEX(SKUs!$G$6:$G$1997,MATCH(B121,SKUs!$C$6:$C$1997,0)),"")</f>
        <v>AZUL</v>
      </c>
      <c r="H121" s="32" t="str">
        <f>IFERROR(INDEX(SKUs!$H$6:$H$1997,MATCH(B121,SKUs!$C$6:$C$1997,0)),"")</f>
        <v>3G</v>
      </c>
      <c r="I121" s="34" t="str">
        <f>IFERROR(INDEX(SKUs!#REF!,MATCH(B121,SKUs!$C$6:$C$1997,0)),"")</f>
        <v/>
      </c>
      <c r="J121" s="35">
        <f>SUMIFS(SKUs!$I$6:$I$1997,SKUs!$C$6:$C$1997,B121)</f>
        <v>0</v>
      </c>
      <c r="K121" s="34">
        <f t="shared" si="5"/>
        <v>0</v>
      </c>
      <c r="L121" s="35">
        <f>COUNTIF(SKUs!$C$6:$C$1997,B121)</f>
        <v>1</v>
      </c>
      <c r="M121" s="29">
        <v>8</v>
      </c>
      <c r="N121" s="29"/>
      <c r="O121" s="29"/>
      <c r="P121" s="29"/>
      <c r="Q121" s="29"/>
      <c r="R121" s="29"/>
      <c r="S121" s="29"/>
      <c r="T121" s="29"/>
      <c r="U121" s="30">
        <f t="shared" si="6"/>
        <v>8</v>
      </c>
      <c r="V121" s="31">
        <f t="shared" si="7"/>
        <v>0</v>
      </c>
    </row>
    <row r="122" spans="1:22" ht="14.25" hidden="1" customHeight="1" x14ac:dyDescent="0.3">
      <c r="A122" s="25">
        <v>115</v>
      </c>
      <c r="B122" s="26" t="s">
        <v>166</v>
      </c>
      <c r="C122" s="27" t="str">
        <f t="shared" si="4"/>
        <v>Masculino</v>
      </c>
      <c r="D122" s="2" t="str">
        <f>IFERROR(INDEX(SKUs!$E$6:$E$1997,MATCH(B122,SKUs!$C$6:$C$1997,0)),"")</f>
        <v>CAMISETA</v>
      </c>
      <c r="E122" s="28" t="str">
        <f>IFERROR(VLOOKUP(D122,Configurações!$N$5:$O$46,2,FALSE()),"OUTROS")</f>
        <v>VESTUÁRIO</v>
      </c>
      <c r="F122" s="2" t="str">
        <f>IFERROR(INDEX(SKUs!$F$6:$F$1997,MATCH(B122,SKUs!$C$6:$C$1997,0)),"")</f>
        <v>CAMISETA CICLISMO UNISSEX</v>
      </c>
      <c r="G122" s="2" t="str">
        <f>IFERROR(INDEX(SKUs!$G$6:$G$1997,MATCH(B122,SKUs!$C$6:$C$1997,0)),"")</f>
        <v xml:space="preserve"> BRANCA</v>
      </c>
      <c r="H122" s="25" t="str">
        <f>IFERROR(INDEX(SKUs!$H$6:$H$1997,MATCH(B122,SKUs!$C$6:$C$1997,0)),"")</f>
        <v>PP</v>
      </c>
      <c r="I122" s="4" t="str">
        <f>IFERROR(INDEX(SKUs!#REF!,MATCH(B122,SKUs!$C$6:$C$1997,0)),"")</f>
        <v/>
      </c>
      <c r="J122" s="3">
        <f>SUMIFS(SKUs!$I$6:$I$1997,SKUs!$C$6:$C$1997,B122)</f>
        <v>0</v>
      </c>
      <c r="K122" s="4">
        <f t="shared" si="5"/>
        <v>0</v>
      </c>
      <c r="L122" s="3">
        <f>COUNTIF(SKUs!$C$6:$C$1997,B122)</f>
        <v>1</v>
      </c>
      <c r="M122" s="29">
        <v>8</v>
      </c>
      <c r="N122" s="29"/>
      <c r="O122" s="29"/>
      <c r="P122" s="29"/>
      <c r="Q122" s="29"/>
      <c r="R122" s="29"/>
      <c r="S122" s="29"/>
      <c r="T122" s="29"/>
      <c r="U122" s="30">
        <f t="shared" si="6"/>
        <v>8</v>
      </c>
      <c r="V122" s="31">
        <f t="shared" si="7"/>
        <v>0</v>
      </c>
    </row>
    <row r="123" spans="1:22" ht="14.25" hidden="1" customHeight="1" x14ac:dyDescent="0.3">
      <c r="A123" s="32">
        <v>116</v>
      </c>
      <c r="B123" s="26" t="s">
        <v>167</v>
      </c>
      <c r="C123" s="27" t="str">
        <f t="shared" si="4"/>
        <v>Masculino</v>
      </c>
      <c r="D123" s="33" t="str">
        <f>IFERROR(INDEX(SKUs!$E$6:$E$1997,MATCH(B123,SKUs!$C$6:$C$1997,0)),"")</f>
        <v>CAMISETA</v>
      </c>
      <c r="E123" s="28" t="str">
        <f>IFERROR(VLOOKUP(D123,Configurações!$N$5:$O$46,2,FALSE()),"OUTROS")</f>
        <v>VESTUÁRIO</v>
      </c>
      <c r="F123" s="33" t="str">
        <f>IFERROR(INDEX(SKUs!$F$6:$F$1997,MATCH(B123,SKUs!$C$6:$C$1997,0)),"")</f>
        <v>CAMISETA CICLISMO UNISSEX</v>
      </c>
      <c r="G123" s="33" t="str">
        <f>IFERROR(INDEX(SKUs!$G$6:$G$1997,MATCH(B123,SKUs!$C$6:$C$1997,0)),"")</f>
        <v>BRANCA</v>
      </c>
      <c r="H123" s="32" t="str">
        <f>IFERROR(INDEX(SKUs!$H$6:$H$1997,MATCH(B123,SKUs!$C$6:$C$1997,0)),"")</f>
        <v>P</v>
      </c>
      <c r="I123" s="34" t="str">
        <f>IFERROR(INDEX(SKUs!#REF!,MATCH(B123,SKUs!$C$6:$C$1997,0)),"")</f>
        <v/>
      </c>
      <c r="J123" s="35">
        <f>SUMIFS(SKUs!$I$6:$I$1997,SKUs!$C$6:$C$1997,B123)</f>
        <v>0</v>
      </c>
      <c r="K123" s="34">
        <f t="shared" si="5"/>
        <v>0</v>
      </c>
      <c r="L123" s="35">
        <f>COUNTIF(SKUs!$C$6:$C$1997,B123)</f>
        <v>1</v>
      </c>
      <c r="M123" s="29">
        <v>11</v>
      </c>
      <c r="N123" s="29"/>
      <c r="O123" s="29"/>
      <c r="P123" s="29"/>
      <c r="Q123" s="29"/>
      <c r="R123" s="29"/>
      <c r="S123" s="29"/>
      <c r="T123" s="29"/>
      <c r="U123" s="30">
        <f t="shared" si="6"/>
        <v>11</v>
      </c>
      <c r="V123" s="31">
        <f t="shared" si="7"/>
        <v>0</v>
      </c>
    </row>
    <row r="124" spans="1:22" ht="14.25" hidden="1" customHeight="1" x14ac:dyDescent="0.3">
      <c r="A124" s="25">
        <v>117</v>
      </c>
      <c r="B124" s="26" t="s">
        <v>168</v>
      </c>
      <c r="C124" s="27" t="str">
        <f t="shared" si="4"/>
        <v>Masculino</v>
      </c>
      <c r="D124" s="2" t="str">
        <f>IFERROR(INDEX(SKUs!$E$6:$E$1997,MATCH(B124,SKUs!$C$6:$C$1997,0)),"")</f>
        <v>CAMISETA</v>
      </c>
      <c r="E124" s="28" t="str">
        <f>IFERROR(VLOOKUP(D124,Configurações!$N$5:$O$46,2,FALSE()),"OUTROS")</f>
        <v>VESTUÁRIO</v>
      </c>
      <c r="F124" s="2" t="str">
        <f>IFERROR(INDEX(SKUs!$F$6:$F$1997,MATCH(B124,SKUs!$C$6:$C$1997,0)),"")</f>
        <v>CAMISETA CICLISMO UNISSEX</v>
      </c>
      <c r="G124" s="2" t="str">
        <f>IFERROR(INDEX(SKUs!$G$6:$G$1997,MATCH(B124,SKUs!$C$6:$C$1997,0)),"")</f>
        <v>BRANCA</v>
      </c>
      <c r="H124" s="25" t="str">
        <f>IFERROR(INDEX(SKUs!$H$6:$H$1997,MATCH(B124,SKUs!$C$6:$C$1997,0)),"")</f>
        <v>M</v>
      </c>
      <c r="I124" s="4" t="str">
        <f>IFERROR(INDEX(SKUs!#REF!,MATCH(B124,SKUs!$C$6:$C$1997,0)),"")</f>
        <v/>
      </c>
      <c r="J124" s="3">
        <f>SUMIFS(SKUs!$I$6:$I$1997,SKUs!$C$6:$C$1997,B124)</f>
        <v>0</v>
      </c>
      <c r="K124" s="4">
        <f t="shared" si="5"/>
        <v>0</v>
      </c>
      <c r="L124" s="3">
        <f>COUNTIF(SKUs!$C$6:$C$1997,B124)</f>
        <v>1</v>
      </c>
      <c r="M124" s="29">
        <v>12</v>
      </c>
      <c r="N124" s="29"/>
      <c r="O124" s="29"/>
      <c r="P124" s="29"/>
      <c r="Q124" s="29"/>
      <c r="R124" s="29"/>
      <c r="S124" s="29"/>
      <c r="T124" s="29"/>
      <c r="U124" s="30">
        <f t="shared" si="6"/>
        <v>12</v>
      </c>
      <c r="V124" s="31">
        <f t="shared" si="7"/>
        <v>0</v>
      </c>
    </row>
    <row r="125" spans="1:22" ht="14.25" hidden="1" customHeight="1" x14ac:dyDescent="0.3">
      <c r="A125" s="32">
        <v>118</v>
      </c>
      <c r="B125" s="26" t="s">
        <v>169</v>
      </c>
      <c r="C125" s="27" t="str">
        <f t="shared" si="4"/>
        <v>Masculino</v>
      </c>
      <c r="D125" s="33" t="str">
        <f>IFERROR(INDEX(SKUs!$E$6:$E$1997,MATCH(B125,SKUs!$C$6:$C$1997,0)),"")</f>
        <v>CAMISETA</v>
      </c>
      <c r="E125" s="28" t="str">
        <f>IFERROR(VLOOKUP(D125,Configurações!$N$5:$O$46,2,FALSE()),"OUTROS")</f>
        <v>VESTUÁRIO</v>
      </c>
      <c r="F125" s="33" t="str">
        <f>IFERROR(INDEX(SKUs!$F$6:$F$1997,MATCH(B125,SKUs!$C$6:$C$1997,0)),"")</f>
        <v>CAMISETA CICLISMO UNISSEX</v>
      </c>
      <c r="G125" s="33" t="str">
        <f>IFERROR(INDEX(SKUs!$G$6:$G$1997,MATCH(B125,SKUs!$C$6:$C$1997,0)),"")</f>
        <v>BRANCA</v>
      </c>
      <c r="H125" s="32" t="str">
        <f>IFERROR(INDEX(SKUs!$H$6:$H$1997,MATCH(B125,SKUs!$C$6:$C$1997,0)),"")</f>
        <v>G</v>
      </c>
      <c r="I125" s="34" t="str">
        <f>IFERROR(INDEX(SKUs!#REF!,MATCH(B125,SKUs!$C$6:$C$1997,0)),"")</f>
        <v/>
      </c>
      <c r="J125" s="35">
        <f>SUMIFS(SKUs!$I$6:$I$1997,SKUs!$C$6:$C$1997,B125)</f>
        <v>0</v>
      </c>
      <c r="K125" s="34">
        <f t="shared" si="5"/>
        <v>0</v>
      </c>
      <c r="L125" s="35">
        <f>COUNTIF(SKUs!$C$6:$C$1997,B125)</f>
        <v>1</v>
      </c>
      <c r="M125" s="29">
        <v>11</v>
      </c>
      <c r="N125" s="29"/>
      <c r="O125" s="29"/>
      <c r="P125" s="29"/>
      <c r="Q125" s="29"/>
      <c r="R125" s="29"/>
      <c r="S125" s="29"/>
      <c r="T125" s="29"/>
      <c r="U125" s="30">
        <f t="shared" si="6"/>
        <v>11</v>
      </c>
      <c r="V125" s="31">
        <f t="shared" si="7"/>
        <v>0</v>
      </c>
    </row>
    <row r="126" spans="1:22" ht="14.25" hidden="1" customHeight="1" x14ac:dyDescent="0.3">
      <c r="A126" s="25">
        <v>119</v>
      </c>
      <c r="B126" s="26" t="s">
        <v>170</v>
      </c>
      <c r="C126" s="27" t="str">
        <f t="shared" si="4"/>
        <v>Masculino</v>
      </c>
      <c r="D126" s="2" t="str">
        <f>IFERROR(INDEX(SKUs!$E$6:$E$1997,MATCH(B126,SKUs!$C$6:$C$1997,0)),"")</f>
        <v>CAMISETA</v>
      </c>
      <c r="E126" s="28" t="str">
        <f>IFERROR(VLOOKUP(D126,Configurações!$N$5:$O$46,2,FALSE()),"OUTROS")</f>
        <v>VESTUÁRIO</v>
      </c>
      <c r="F126" s="2" t="str">
        <f>IFERROR(INDEX(SKUs!$F$6:$F$1997,MATCH(B126,SKUs!$C$6:$C$1997,0)),"")</f>
        <v>CAMISETA CICLISMO UNISSEX</v>
      </c>
      <c r="G126" s="2" t="str">
        <f>IFERROR(INDEX(SKUs!$G$6:$G$1997,MATCH(B126,SKUs!$C$6:$C$1997,0)),"")</f>
        <v>BRANCA</v>
      </c>
      <c r="H126" s="25" t="str">
        <f>IFERROR(INDEX(SKUs!$H$6:$H$1997,MATCH(B126,SKUs!$C$6:$C$1997,0)),"")</f>
        <v>GG</v>
      </c>
      <c r="I126" s="4" t="str">
        <f>IFERROR(INDEX(SKUs!#REF!,MATCH(B126,SKUs!$C$6:$C$1997,0)),"")</f>
        <v/>
      </c>
      <c r="J126" s="3">
        <f>SUMIFS(SKUs!$I$6:$I$1997,SKUs!$C$6:$C$1997,B126)</f>
        <v>0</v>
      </c>
      <c r="K126" s="4">
        <f t="shared" si="5"/>
        <v>0</v>
      </c>
      <c r="L126" s="3">
        <f>COUNTIF(SKUs!$C$6:$C$1997,B126)</f>
        <v>1</v>
      </c>
      <c r="M126" s="29">
        <v>10</v>
      </c>
      <c r="N126" s="29"/>
      <c r="O126" s="29"/>
      <c r="P126" s="29"/>
      <c r="Q126" s="29"/>
      <c r="R126" s="29"/>
      <c r="S126" s="29"/>
      <c r="T126" s="29"/>
      <c r="U126" s="30">
        <f t="shared" si="6"/>
        <v>10</v>
      </c>
      <c r="V126" s="31">
        <f t="shared" si="7"/>
        <v>0</v>
      </c>
    </row>
    <row r="127" spans="1:22" ht="14.25" hidden="1" customHeight="1" x14ac:dyDescent="0.3">
      <c r="A127" s="32">
        <v>120</v>
      </c>
      <c r="B127" s="26" t="s">
        <v>171</v>
      </c>
      <c r="C127" s="27" t="str">
        <f t="shared" si="4"/>
        <v>Masculino</v>
      </c>
      <c r="D127" s="33" t="str">
        <f>IFERROR(INDEX(SKUs!$E$6:$E$1997,MATCH(B127,SKUs!$C$6:$C$1997,0)),"")</f>
        <v>CAMISETA</v>
      </c>
      <c r="E127" s="28" t="str">
        <f>IFERROR(VLOOKUP(D127,Configurações!$N$5:$O$46,2,FALSE()),"OUTROS")</f>
        <v>VESTUÁRIO</v>
      </c>
      <c r="F127" s="33" t="str">
        <f>IFERROR(INDEX(SKUs!$F$6:$F$1997,MATCH(B127,SKUs!$C$6:$C$1997,0)),"")</f>
        <v>CAMISETA CICLISMO UNISSEX</v>
      </c>
      <c r="G127" s="33" t="str">
        <f>IFERROR(INDEX(SKUs!$G$6:$G$1997,MATCH(B127,SKUs!$C$6:$C$1997,0)),"")</f>
        <v>BRANCA</v>
      </c>
      <c r="H127" s="32" t="str">
        <f>IFERROR(INDEX(SKUs!$H$6:$H$1997,MATCH(B127,SKUs!$C$6:$C$1997,0)),"")</f>
        <v>3G</v>
      </c>
      <c r="I127" s="34" t="str">
        <f>IFERROR(INDEX(SKUs!#REF!,MATCH(B127,SKUs!$C$6:$C$1997,0)),"")</f>
        <v/>
      </c>
      <c r="J127" s="35">
        <f>SUMIFS(SKUs!$I$6:$I$1997,SKUs!$C$6:$C$1997,B127)</f>
        <v>0</v>
      </c>
      <c r="K127" s="34">
        <f t="shared" si="5"/>
        <v>0</v>
      </c>
      <c r="L127" s="35">
        <f>COUNTIF(SKUs!$C$6:$C$1997,B127)</f>
        <v>1</v>
      </c>
      <c r="M127" s="29">
        <v>11</v>
      </c>
      <c r="N127" s="29"/>
      <c r="O127" s="29"/>
      <c r="P127" s="29"/>
      <c r="Q127" s="29"/>
      <c r="R127" s="29"/>
      <c r="S127" s="29"/>
      <c r="T127" s="29"/>
      <c r="U127" s="30">
        <f t="shared" si="6"/>
        <v>11</v>
      </c>
      <c r="V127" s="31">
        <f t="shared" si="7"/>
        <v>0</v>
      </c>
    </row>
    <row r="128" spans="1:22" ht="14.25" hidden="1" customHeight="1" x14ac:dyDescent="0.3">
      <c r="A128" s="25">
        <v>121</v>
      </c>
      <c r="B128" s="26" t="s">
        <v>172</v>
      </c>
      <c r="C128" s="27" t="str">
        <f t="shared" si="4"/>
        <v>Feminino</v>
      </c>
      <c r="D128" s="2" t="str">
        <f>IFERROR(INDEX(SKUs!$E$6:$E$1997,MATCH(B128,SKUs!$C$6:$C$1997,0)),"")</f>
        <v>CAMISETA</v>
      </c>
      <c r="E128" s="28" t="str">
        <f>IFERROR(VLOOKUP(D128,Configurações!$N$5:$O$46,2,FALSE()),"OUTROS")</f>
        <v>VESTUÁRIO</v>
      </c>
      <c r="F128" s="2" t="str">
        <f>IFERROR(INDEX(SKUs!$F$6:$F$1997,MATCH(B128,SKUs!$C$6:$C$1997,0)),"")</f>
        <v>CAMISETA COPA FEM.</v>
      </c>
      <c r="G128" s="2" t="str">
        <f>IFERROR(INDEX(SKUs!$G$6:$G$1997,MATCH(B128,SKUs!$C$6:$C$1997,0)),"")</f>
        <v>BRANCA</v>
      </c>
      <c r="H128" s="25" t="str">
        <f>IFERROR(INDEX(SKUs!$H$6:$H$1997,MATCH(B128,SKUs!$C$6:$C$1997,0)),"")</f>
        <v>P</v>
      </c>
      <c r="I128" s="4" t="str">
        <f>IFERROR(INDEX(SKUs!#REF!,MATCH(B128,SKUs!$C$6:$C$1997,0)),"")</f>
        <v/>
      </c>
      <c r="J128" s="3">
        <f>SUMIFS(SKUs!$I$6:$I$1997,SKUs!$C$6:$C$1997,B128)</f>
        <v>0</v>
      </c>
      <c r="K128" s="4">
        <f t="shared" si="5"/>
        <v>0</v>
      </c>
      <c r="L128" s="3">
        <f>COUNTIF(SKUs!$C$6:$C$1997,B128)</f>
        <v>1</v>
      </c>
      <c r="M128" s="29">
        <v>9</v>
      </c>
      <c r="N128" s="29"/>
      <c r="O128" s="29"/>
      <c r="P128" s="29"/>
      <c r="Q128" s="29"/>
      <c r="R128" s="29"/>
      <c r="S128" s="29"/>
      <c r="T128" s="29"/>
      <c r="U128" s="30">
        <f t="shared" si="6"/>
        <v>9</v>
      </c>
      <c r="V128" s="31">
        <f t="shared" si="7"/>
        <v>0</v>
      </c>
    </row>
    <row r="129" spans="1:22" ht="14.25" hidden="1" customHeight="1" x14ac:dyDescent="0.3">
      <c r="A129" s="32">
        <v>122</v>
      </c>
      <c r="B129" s="26" t="s">
        <v>173</v>
      </c>
      <c r="C129" s="27" t="str">
        <f t="shared" si="4"/>
        <v>Feminino</v>
      </c>
      <c r="D129" s="33" t="str">
        <f>IFERROR(INDEX(SKUs!$E$6:$E$1997,MATCH(B129,SKUs!$C$6:$C$1997,0)),"")</f>
        <v>CAMISETA</v>
      </c>
      <c r="E129" s="28" t="str">
        <f>IFERROR(VLOOKUP(D129,Configurações!$N$5:$O$46,2,FALSE()),"OUTROS")</f>
        <v>VESTUÁRIO</v>
      </c>
      <c r="F129" s="33" t="str">
        <f>IFERROR(INDEX(SKUs!$F$6:$F$1997,MATCH(B129,SKUs!$C$6:$C$1997,0)),"")</f>
        <v>CAMISETA COPA FEM.</v>
      </c>
      <c r="G129" s="33" t="str">
        <f>IFERROR(INDEX(SKUs!$G$6:$G$1997,MATCH(B129,SKUs!$C$6:$C$1997,0)),"")</f>
        <v>BRANCA</v>
      </c>
      <c r="H129" s="32" t="str">
        <f>IFERROR(INDEX(SKUs!$H$6:$H$1997,MATCH(B129,SKUs!$C$6:$C$1997,0)),"")</f>
        <v>M</v>
      </c>
      <c r="I129" s="34" t="str">
        <f>IFERROR(INDEX(SKUs!#REF!,MATCH(B129,SKUs!$C$6:$C$1997,0)),"")</f>
        <v/>
      </c>
      <c r="J129" s="35">
        <f>SUMIFS(SKUs!$I$6:$I$1997,SKUs!$C$6:$C$1997,B129)</f>
        <v>0</v>
      </c>
      <c r="K129" s="34">
        <f t="shared" si="5"/>
        <v>0</v>
      </c>
      <c r="L129" s="35">
        <f>COUNTIF(SKUs!$C$6:$C$1997,B129)</f>
        <v>1</v>
      </c>
      <c r="M129" s="29">
        <v>5</v>
      </c>
      <c r="N129" s="29"/>
      <c r="O129" s="29"/>
      <c r="P129" s="29"/>
      <c r="Q129" s="29"/>
      <c r="R129" s="29"/>
      <c r="S129" s="29"/>
      <c r="T129" s="29"/>
      <c r="U129" s="30">
        <f t="shared" si="6"/>
        <v>5</v>
      </c>
      <c r="V129" s="31">
        <f t="shared" si="7"/>
        <v>0</v>
      </c>
    </row>
    <row r="130" spans="1:22" ht="14.25" hidden="1" customHeight="1" x14ac:dyDescent="0.3">
      <c r="A130" s="25">
        <v>123</v>
      </c>
      <c r="B130" s="26" t="s">
        <v>174</v>
      </c>
      <c r="C130" s="27" t="str">
        <f t="shared" si="4"/>
        <v>Feminino</v>
      </c>
      <c r="D130" s="2" t="str">
        <f>IFERROR(INDEX(SKUs!$E$6:$E$1997,MATCH(B130,SKUs!$C$6:$C$1997,0)),"")</f>
        <v>CAMISETA</v>
      </c>
      <c r="E130" s="28" t="str">
        <f>IFERROR(VLOOKUP(D130,Configurações!$N$5:$O$46,2,FALSE()),"OUTROS")</f>
        <v>VESTUÁRIO</v>
      </c>
      <c r="F130" s="2" t="str">
        <f>IFERROR(INDEX(SKUs!$F$6:$F$1997,MATCH(B130,SKUs!$C$6:$C$1997,0)),"")</f>
        <v>CAMISETA COPA FEM.</v>
      </c>
      <c r="G130" s="2" t="str">
        <f>IFERROR(INDEX(SKUs!$G$6:$G$1997,MATCH(B130,SKUs!$C$6:$C$1997,0)),"")</f>
        <v>BRANCA</v>
      </c>
      <c r="H130" s="25" t="str">
        <f>IFERROR(INDEX(SKUs!$H$6:$H$1997,MATCH(B130,SKUs!$C$6:$C$1997,0)),"")</f>
        <v>G</v>
      </c>
      <c r="I130" s="4" t="str">
        <f>IFERROR(INDEX(SKUs!#REF!,MATCH(B130,SKUs!$C$6:$C$1997,0)),"")</f>
        <v/>
      </c>
      <c r="J130" s="3">
        <f>SUMIFS(SKUs!$I$6:$I$1997,SKUs!$C$6:$C$1997,B130)</f>
        <v>0</v>
      </c>
      <c r="K130" s="4">
        <f t="shared" si="5"/>
        <v>0</v>
      </c>
      <c r="L130" s="3">
        <f>COUNTIF(SKUs!$C$6:$C$1997,B130)</f>
        <v>1</v>
      </c>
      <c r="M130" s="29">
        <v>12</v>
      </c>
      <c r="N130" s="29"/>
      <c r="O130" s="29"/>
      <c r="P130" s="29"/>
      <c r="Q130" s="29"/>
      <c r="R130" s="29"/>
      <c r="S130" s="29"/>
      <c r="T130" s="29"/>
      <c r="U130" s="30">
        <f t="shared" si="6"/>
        <v>12</v>
      </c>
      <c r="V130" s="31">
        <f t="shared" si="7"/>
        <v>0</v>
      </c>
    </row>
    <row r="131" spans="1:22" ht="14.25" hidden="1" customHeight="1" x14ac:dyDescent="0.3">
      <c r="A131" s="32">
        <v>124</v>
      </c>
      <c r="B131" s="26" t="s">
        <v>175</v>
      </c>
      <c r="C131" s="27" t="str">
        <f t="shared" si="4"/>
        <v>Feminino</v>
      </c>
      <c r="D131" s="33" t="str">
        <f>IFERROR(INDEX(SKUs!$E$6:$E$1997,MATCH(B131,SKUs!$C$6:$C$1997,0)),"")</f>
        <v>CAMISETA</v>
      </c>
      <c r="E131" s="28" t="str">
        <f>IFERROR(VLOOKUP(D131,Configurações!$N$5:$O$46,2,FALSE()),"OUTROS")</f>
        <v>VESTUÁRIO</v>
      </c>
      <c r="F131" s="33" t="str">
        <f>IFERROR(INDEX(SKUs!$F$6:$F$1997,MATCH(B131,SKUs!$C$6:$C$1997,0)),"")</f>
        <v>CAMISETA COPA FEM.</v>
      </c>
      <c r="G131" s="33" t="str">
        <f>IFERROR(INDEX(SKUs!$G$6:$G$1997,MATCH(B131,SKUs!$C$6:$C$1997,0)),"")</f>
        <v>BRANCA</v>
      </c>
      <c r="H131" s="32" t="str">
        <f>IFERROR(INDEX(SKUs!$H$6:$H$1997,MATCH(B131,SKUs!$C$6:$C$1997,0)),"")</f>
        <v>GG</v>
      </c>
      <c r="I131" s="34" t="str">
        <f>IFERROR(INDEX(SKUs!#REF!,MATCH(B131,SKUs!$C$6:$C$1997,0)),"")</f>
        <v/>
      </c>
      <c r="J131" s="35">
        <f>SUMIFS(SKUs!$I$6:$I$1997,SKUs!$C$6:$C$1997,B131)</f>
        <v>0</v>
      </c>
      <c r="K131" s="34">
        <f t="shared" si="5"/>
        <v>0</v>
      </c>
      <c r="L131" s="35">
        <f>COUNTIF(SKUs!$C$6:$C$1997,B131)</f>
        <v>1</v>
      </c>
      <c r="M131" s="29">
        <v>6</v>
      </c>
      <c r="N131" s="29"/>
      <c r="O131" s="29"/>
      <c r="P131" s="29"/>
      <c r="Q131" s="29"/>
      <c r="R131" s="29"/>
      <c r="S131" s="29"/>
      <c r="T131" s="29"/>
      <c r="U131" s="30">
        <f t="shared" si="6"/>
        <v>6</v>
      </c>
      <c r="V131" s="31">
        <f t="shared" si="7"/>
        <v>0</v>
      </c>
    </row>
    <row r="132" spans="1:22" ht="14.25" hidden="1" customHeight="1" x14ac:dyDescent="0.3">
      <c r="A132" s="25">
        <v>125</v>
      </c>
      <c r="B132" s="26" t="s">
        <v>176</v>
      </c>
      <c r="C132" s="27" t="str">
        <f t="shared" si="4"/>
        <v>Feminino</v>
      </c>
      <c r="D132" s="2" t="str">
        <f>IFERROR(INDEX(SKUs!$E$6:$E$1997,MATCH(B132,SKUs!$C$6:$C$1997,0)),"")</f>
        <v>CAMISETA</v>
      </c>
      <c r="E132" s="28" t="str">
        <f>IFERROR(VLOOKUP(D132,Configurações!$N$5:$O$46,2,FALSE()),"OUTROS")</f>
        <v>VESTUÁRIO</v>
      </c>
      <c r="F132" s="2" t="str">
        <f>IFERROR(INDEX(SKUs!$F$6:$F$1997,MATCH(B132,SKUs!$C$6:$C$1997,0)),"")</f>
        <v>CAMISETA COPA FEM.</v>
      </c>
      <c r="G132" s="2" t="str">
        <f>IFERROR(INDEX(SKUs!$G$6:$G$1997,MATCH(B132,SKUs!$C$6:$C$1997,0)),"")</f>
        <v>BRANCA</v>
      </c>
      <c r="H132" s="25" t="str">
        <f>IFERROR(INDEX(SKUs!$H$6:$H$1997,MATCH(B132,SKUs!$C$6:$C$1997,0)),"")</f>
        <v>XG</v>
      </c>
      <c r="I132" s="4" t="str">
        <f>IFERROR(INDEX(SKUs!#REF!,MATCH(B132,SKUs!$C$6:$C$1997,0)),"")</f>
        <v/>
      </c>
      <c r="J132" s="3">
        <f>SUMIFS(SKUs!$I$6:$I$1997,SKUs!$C$6:$C$1997,B132)</f>
        <v>0</v>
      </c>
      <c r="K132" s="4">
        <f t="shared" si="5"/>
        <v>0</v>
      </c>
      <c r="L132" s="3">
        <f>COUNTIF(SKUs!$C$6:$C$1997,B132)</f>
        <v>1</v>
      </c>
      <c r="M132" s="29">
        <v>7</v>
      </c>
      <c r="N132" s="29"/>
      <c r="O132" s="29"/>
      <c r="P132" s="29"/>
      <c r="Q132" s="29"/>
      <c r="R132" s="29"/>
      <c r="S132" s="29"/>
      <c r="T132" s="29"/>
      <c r="U132" s="30">
        <f t="shared" si="6"/>
        <v>7</v>
      </c>
      <c r="V132" s="31">
        <f t="shared" si="7"/>
        <v>0</v>
      </c>
    </row>
    <row r="133" spans="1:22" ht="14.25" hidden="1" customHeight="1" x14ac:dyDescent="0.3">
      <c r="A133" s="32">
        <v>126</v>
      </c>
      <c r="B133" s="26" t="s">
        <v>177</v>
      </c>
      <c r="C133" s="27" t="str">
        <f t="shared" si="4"/>
        <v>Feminino</v>
      </c>
      <c r="D133" s="33" t="str">
        <f>IFERROR(INDEX(SKUs!$E$6:$E$1997,MATCH(B133,SKUs!$C$6:$C$1997,0)),"")</f>
        <v>POLO</v>
      </c>
      <c r="E133" s="28" t="str">
        <f>IFERROR(VLOOKUP(D133,Configurações!$N$5:$O$46,2,FALSE()),"OUTROS")</f>
        <v>VESTUÁRIO</v>
      </c>
      <c r="F133" s="33" t="str">
        <f>IFERROR(INDEX(SKUs!$F$6:$F$1997,MATCH(B133,SKUs!$C$6:$C$1997,0)),"")</f>
        <v>POLO PIQUET FEM.</v>
      </c>
      <c r="G133" s="33" t="str">
        <f>IFERROR(INDEX(SKUs!$G$6:$G$1997,MATCH(B133,SKUs!$C$6:$C$1997,0)),"")</f>
        <v>BRANCA</v>
      </c>
      <c r="H133" s="32" t="str">
        <f>IFERROR(INDEX(SKUs!$H$6:$H$1997,MATCH(B133,SKUs!$C$6:$C$1997,0)),"")</f>
        <v>PP</v>
      </c>
      <c r="I133" s="34" t="str">
        <f>IFERROR(INDEX(SKUs!#REF!,MATCH(B133,SKUs!$C$6:$C$1997,0)),"")</f>
        <v/>
      </c>
      <c r="J133" s="35">
        <f>SUMIFS(SKUs!$I$6:$I$1997,SKUs!$C$6:$C$1997,B133)</f>
        <v>0</v>
      </c>
      <c r="K133" s="34">
        <f t="shared" si="5"/>
        <v>0</v>
      </c>
      <c r="L133" s="35">
        <f>COUNTIF(SKUs!$C$6:$C$1997,B133)</f>
        <v>1</v>
      </c>
      <c r="M133" s="29">
        <v>8</v>
      </c>
      <c r="N133" s="29"/>
      <c r="O133" s="29"/>
      <c r="P133" s="29"/>
      <c r="Q133" s="29"/>
      <c r="R133" s="29"/>
      <c r="S133" s="29"/>
      <c r="T133" s="29"/>
      <c r="U133" s="30">
        <f t="shared" si="6"/>
        <v>8</v>
      </c>
      <c r="V133" s="31">
        <f t="shared" si="7"/>
        <v>0</v>
      </c>
    </row>
    <row r="134" spans="1:22" ht="14.25" hidden="1" customHeight="1" x14ac:dyDescent="0.3">
      <c r="A134" s="25">
        <v>127</v>
      </c>
      <c r="B134" s="26" t="s">
        <v>178</v>
      </c>
      <c r="C134" s="27" t="str">
        <f t="shared" si="4"/>
        <v>Feminino</v>
      </c>
      <c r="D134" s="2" t="str">
        <f>IFERROR(INDEX(SKUs!$E$6:$E$1997,MATCH(B134,SKUs!$C$6:$C$1997,0)),"")</f>
        <v>POLO</v>
      </c>
      <c r="E134" s="28" t="str">
        <f>IFERROR(VLOOKUP(D134,Configurações!$N$5:$O$46,2,FALSE()),"OUTROS")</f>
        <v>VESTUÁRIO</v>
      </c>
      <c r="F134" s="2" t="str">
        <f>IFERROR(INDEX(SKUs!$F$6:$F$1997,MATCH(B134,SKUs!$C$6:$C$1997,0)),"")</f>
        <v>POLO PIQUET FEM.</v>
      </c>
      <c r="G134" s="2" t="str">
        <f>IFERROR(INDEX(SKUs!$G$6:$G$1997,MATCH(B134,SKUs!$C$6:$C$1997,0)),"")</f>
        <v>BRANCA</v>
      </c>
      <c r="H134" s="25" t="str">
        <f>IFERROR(INDEX(SKUs!$H$6:$H$1997,MATCH(B134,SKUs!$C$6:$C$1997,0)),"")</f>
        <v>P</v>
      </c>
      <c r="I134" s="4" t="str">
        <f>IFERROR(INDEX(SKUs!#REF!,MATCH(B134,SKUs!$C$6:$C$1997,0)),"")</f>
        <v/>
      </c>
      <c r="J134" s="3">
        <f>SUMIFS(SKUs!$I$6:$I$1997,SKUs!$C$6:$C$1997,B134)</f>
        <v>0</v>
      </c>
      <c r="K134" s="4">
        <f t="shared" si="5"/>
        <v>0</v>
      </c>
      <c r="L134" s="3">
        <f>COUNTIF(SKUs!$C$6:$C$1997,B134)</f>
        <v>1</v>
      </c>
      <c r="M134" s="29">
        <v>13</v>
      </c>
      <c r="N134" s="29"/>
      <c r="O134" s="29"/>
      <c r="P134" s="29"/>
      <c r="Q134" s="29"/>
      <c r="R134" s="29"/>
      <c r="S134" s="29"/>
      <c r="T134" s="29"/>
      <c r="U134" s="30">
        <f t="shared" si="6"/>
        <v>13</v>
      </c>
      <c r="V134" s="31">
        <f t="shared" si="7"/>
        <v>0</v>
      </c>
    </row>
    <row r="135" spans="1:22" ht="14.25" hidden="1" customHeight="1" x14ac:dyDescent="0.3">
      <c r="A135" s="32">
        <v>128</v>
      </c>
      <c r="B135" s="26" t="s">
        <v>179</v>
      </c>
      <c r="C135" s="27" t="str">
        <f t="shared" si="4"/>
        <v>Feminino</v>
      </c>
      <c r="D135" s="33" t="str">
        <f>IFERROR(INDEX(SKUs!$E$6:$E$1997,MATCH(B135,SKUs!$C$6:$C$1997,0)),"")</f>
        <v>POLO</v>
      </c>
      <c r="E135" s="28" t="str">
        <f>IFERROR(VLOOKUP(D135,Configurações!$N$5:$O$46,2,FALSE()),"OUTROS")</f>
        <v>VESTUÁRIO</v>
      </c>
      <c r="F135" s="33" t="str">
        <f>IFERROR(INDEX(SKUs!$F$6:$F$1997,MATCH(B135,SKUs!$C$6:$C$1997,0)),"")</f>
        <v>POLO PIQUET FEM.</v>
      </c>
      <c r="G135" s="33" t="str">
        <f>IFERROR(INDEX(SKUs!$G$6:$G$1997,MATCH(B135,SKUs!$C$6:$C$1997,0)),"")</f>
        <v>BRANCA</v>
      </c>
      <c r="H135" s="32" t="str">
        <f>IFERROR(INDEX(SKUs!$H$6:$H$1997,MATCH(B135,SKUs!$C$6:$C$1997,0)),"")</f>
        <v>M</v>
      </c>
      <c r="I135" s="34" t="str">
        <f>IFERROR(INDEX(SKUs!#REF!,MATCH(B135,SKUs!$C$6:$C$1997,0)),"")</f>
        <v/>
      </c>
      <c r="J135" s="35">
        <f>SUMIFS(SKUs!$I$6:$I$1997,SKUs!$C$6:$C$1997,B135)</f>
        <v>0</v>
      </c>
      <c r="K135" s="34">
        <f t="shared" si="5"/>
        <v>0</v>
      </c>
      <c r="L135" s="35">
        <f>COUNTIF(SKUs!$C$6:$C$1997,B135)</f>
        <v>1</v>
      </c>
      <c r="M135" s="29">
        <v>15</v>
      </c>
      <c r="N135" s="29"/>
      <c r="O135" s="29"/>
      <c r="P135" s="29"/>
      <c r="Q135" s="29"/>
      <c r="R135" s="29"/>
      <c r="S135" s="29"/>
      <c r="T135" s="29"/>
      <c r="U135" s="30">
        <f t="shared" si="6"/>
        <v>15</v>
      </c>
      <c r="V135" s="31">
        <f t="shared" si="7"/>
        <v>0</v>
      </c>
    </row>
    <row r="136" spans="1:22" ht="14.25" hidden="1" customHeight="1" x14ac:dyDescent="0.3">
      <c r="A136" s="25">
        <v>129</v>
      </c>
      <c r="B136" s="26" t="s">
        <v>180</v>
      </c>
      <c r="C136" s="27" t="str">
        <f t="shared" ref="C136:C199" si="8">IF(B136="","",IFERROR(IF(TRIM(MID(SUBSTITUTE(B136,".",REPT(" ",50)),51,50))="01","Masculino",IF(TRIM(MID(SUBSTITUTE(B136,".",REPT(" ",50)),51,50))="02","Feminino",IF(TRIM(MID(SUBSTITUTE(B136,".",REPT(" ",50)),51,50))="03","Outros","—"))),"—"))</f>
        <v>Feminino</v>
      </c>
      <c r="D136" s="2" t="str">
        <f>IFERROR(INDEX(SKUs!$E$6:$E$1997,MATCH(B136,SKUs!$C$6:$C$1997,0)),"")</f>
        <v>POLO</v>
      </c>
      <c r="E136" s="28" t="str">
        <f>IFERROR(VLOOKUP(D136,Configurações!$N$5:$O$46,2,FALSE()),"OUTROS")</f>
        <v>VESTUÁRIO</v>
      </c>
      <c r="F136" s="2" t="str">
        <f>IFERROR(INDEX(SKUs!$F$6:$F$1997,MATCH(B136,SKUs!$C$6:$C$1997,0)),"")</f>
        <v>POLO PIQUET FEM.</v>
      </c>
      <c r="G136" s="2" t="str">
        <f>IFERROR(INDEX(SKUs!$G$6:$G$1997,MATCH(B136,SKUs!$C$6:$C$1997,0)),"")</f>
        <v>BRANCA</v>
      </c>
      <c r="H136" s="25" t="str">
        <f>IFERROR(INDEX(SKUs!$H$6:$H$1997,MATCH(B136,SKUs!$C$6:$C$1997,0)),"")</f>
        <v>G</v>
      </c>
      <c r="I136" s="4" t="str">
        <f>IFERROR(INDEX(SKUs!#REF!,MATCH(B136,SKUs!$C$6:$C$1997,0)),"")</f>
        <v/>
      </c>
      <c r="J136" s="3">
        <f>SUMIFS(SKUs!$I$6:$I$1997,SKUs!$C$6:$C$1997,B136)</f>
        <v>0</v>
      </c>
      <c r="K136" s="4">
        <f t="shared" ref="K136:K199" si="9">IFERROR(I136*J136,0)</f>
        <v>0</v>
      </c>
      <c r="L136" s="3">
        <f>COUNTIF(SKUs!$C$6:$C$1997,B136)</f>
        <v>1</v>
      </c>
      <c r="M136" s="29">
        <v>8</v>
      </c>
      <c r="N136" s="29"/>
      <c r="O136" s="29"/>
      <c r="P136" s="29"/>
      <c r="Q136" s="29"/>
      <c r="R136" s="29"/>
      <c r="S136" s="29"/>
      <c r="T136" s="29"/>
      <c r="U136" s="30">
        <f t="shared" ref="U136:U199" si="10">SUM(M136:R136)</f>
        <v>8</v>
      </c>
      <c r="V136" s="31">
        <f t="shared" ref="V136:V199" si="11">IF(B136="","",J136)</f>
        <v>0</v>
      </c>
    </row>
    <row r="137" spans="1:22" ht="14.25" hidden="1" customHeight="1" x14ac:dyDescent="0.3">
      <c r="A137" s="32">
        <v>130</v>
      </c>
      <c r="B137" s="26" t="s">
        <v>181</v>
      </c>
      <c r="C137" s="27" t="str">
        <f t="shared" si="8"/>
        <v>Feminino</v>
      </c>
      <c r="D137" s="33" t="str">
        <f>IFERROR(INDEX(SKUs!$E$6:$E$1997,MATCH(B137,SKUs!$C$6:$C$1997,0)),"")</f>
        <v>POLO</v>
      </c>
      <c r="E137" s="28" t="str">
        <f>IFERROR(VLOOKUP(D137,Configurações!$N$5:$O$46,2,FALSE()),"OUTROS")</f>
        <v>VESTUÁRIO</v>
      </c>
      <c r="F137" s="33" t="str">
        <f>IFERROR(INDEX(SKUs!$F$6:$F$1997,MATCH(B137,SKUs!$C$6:$C$1997,0)),"")</f>
        <v>POLO PIQUET FEM.</v>
      </c>
      <c r="G137" s="33" t="str">
        <f>IFERROR(INDEX(SKUs!$G$6:$G$1997,MATCH(B137,SKUs!$C$6:$C$1997,0)),"")</f>
        <v>BRANCA</v>
      </c>
      <c r="H137" s="32" t="str">
        <f>IFERROR(INDEX(SKUs!$H$6:$H$1997,MATCH(B137,SKUs!$C$6:$C$1997,0)),"")</f>
        <v>GG</v>
      </c>
      <c r="I137" s="34" t="str">
        <f>IFERROR(INDEX(SKUs!#REF!,MATCH(B137,SKUs!$C$6:$C$1997,0)),"")</f>
        <v/>
      </c>
      <c r="J137" s="35">
        <f>SUMIFS(SKUs!$I$6:$I$1997,SKUs!$C$6:$C$1997,B137)</f>
        <v>0</v>
      </c>
      <c r="K137" s="34">
        <f t="shared" si="9"/>
        <v>0</v>
      </c>
      <c r="L137" s="35">
        <f>COUNTIF(SKUs!$C$6:$C$1997,B137)</f>
        <v>1</v>
      </c>
      <c r="M137" s="29">
        <v>4</v>
      </c>
      <c r="N137" s="29"/>
      <c r="O137" s="29"/>
      <c r="P137" s="29"/>
      <c r="Q137" s="29"/>
      <c r="R137" s="29"/>
      <c r="S137" s="29"/>
      <c r="T137" s="29"/>
      <c r="U137" s="30">
        <f t="shared" si="10"/>
        <v>4</v>
      </c>
      <c r="V137" s="31">
        <f t="shared" si="11"/>
        <v>0</v>
      </c>
    </row>
    <row r="138" spans="1:22" ht="14.25" hidden="1" customHeight="1" x14ac:dyDescent="0.3">
      <c r="A138" s="25">
        <v>131</v>
      </c>
      <c r="B138" s="26" t="s">
        <v>182</v>
      </c>
      <c r="C138" s="27" t="str">
        <f t="shared" si="8"/>
        <v>Feminino</v>
      </c>
      <c r="D138" s="2" t="str">
        <f>IFERROR(INDEX(SKUs!$E$6:$E$1997,MATCH(B138,SKUs!$C$6:$C$1997,0)),"")</f>
        <v>POLO</v>
      </c>
      <c r="E138" s="28" t="str">
        <f>IFERROR(VLOOKUP(D138,Configurações!$N$5:$O$46,2,FALSE()),"OUTROS")</f>
        <v>VESTUÁRIO</v>
      </c>
      <c r="F138" s="2" t="str">
        <f>IFERROR(INDEX(SKUs!$F$6:$F$1997,MATCH(B138,SKUs!$C$6:$C$1997,0)),"")</f>
        <v>POLO PIQUET FEM.</v>
      </c>
      <c r="G138" s="2" t="str">
        <f>IFERROR(INDEX(SKUs!$G$6:$G$1997,MATCH(B138,SKUs!$C$6:$C$1997,0)),"")</f>
        <v>BRANCA</v>
      </c>
      <c r="H138" s="25" t="str">
        <f>IFERROR(INDEX(SKUs!$H$6:$H$1997,MATCH(B138,SKUs!$C$6:$C$1997,0)),"")</f>
        <v>XG</v>
      </c>
      <c r="I138" s="4" t="str">
        <f>IFERROR(INDEX(SKUs!#REF!,MATCH(B138,SKUs!$C$6:$C$1997,0)),"")</f>
        <v/>
      </c>
      <c r="J138" s="3">
        <f>SUMIFS(SKUs!$I$6:$I$1997,SKUs!$C$6:$C$1997,B138)</f>
        <v>0</v>
      </c>
      <c r="K138" s="4">
        <f t="shared" si="9"/>
        <v>0</v>
      </c>
      <c r="L138" s="3">
        <f>COUNTIF(SKUs!$C$6:$C$1997,B138)</f>
        <v>1</v>
      </c>
      <c r="M138" s="29">
        <v>5</v>
      </c>
      <c r="N138" s="29"/>
      <c r="O138" s="29"/>
      <c r="P138" s="29"/>
      <c r="Q138" s="29"/>
      <c r="R138" s="29"/>
      <c r="S138" s="29"/>
      <c r="T138" s="29"/>
      <c r="U138" s="30">
        <f t="shared" si="10"/>
        <v>5</v>
      </c>
      <c r="V138" s="31">
        <f t="shared" si="11"/>
        <v>0</v>
      </c>
    </row>
    <row r="139" spans="1:22" ht="14.25" hidden="1" customHeight="1" x14ac:dyDescent="0.3">
      <c r="A139" s="32">
        <v>132</v>
      </c>
      <c r="B139" s="26" t="s">
        <v>183</v>
      </c>
      <c r="C139" s="27" t="str">
        <f t="shared" si="8"/>
        <v>Masculino</v>
      </c>
      <c r="D139" s="33" t="str">
        <f>IFERROR(INDEX(SKUs!$E$6:$E$1997,MATCH(B139,SKUs!$C$6:$C$1997,0)),"")</f>
        <v>JAQUETA</v>
      </c>
      <c r="E139" s="28" t="str">
        <f>IFERROR(VLOOKUP(D139,Configurações!$N$5:$O$46,2,FALSE()),"OUTROS")</f>
        <v>VESTUÁRIO</v>
      </c>
      <c r="F139" s="33" t="str">
        <f>IFERROR(INDEX(SKUs!$F$6:$F$1997,MATCH(B139,SKUs!$C$6:$C$1997,0)),"")</f>
        <v>JAQUETA CAPUZ EMBUTIDO</v>
      </c>
      <c r="G139" s="33" t="str">
        <f>IFERROR(INDEX(SKUs!$G$6:$G$1997,MATCH(B139,SKUs!$C$6:$C$1997,0)),"")</f>
        <v>AZUL</v>
      </c>
      <c r="H139" s="32" t="str">
        <f>IFERROR(INDEX(SKUs!$H$6:$H$1997,MATCH(B139,SKUs!$C$6:$C$1997,0)),"")</f>
        <v>G</v>
      </c>
      <c r="I139" s="34" t="str">
        <f>IFERROR(INDEX(SKUs!#REF!,MATCH(B139,SKUs!$C$6:$C$1997,0)),"")</f>
        <v/>
      </c>
      <c r="J139" s="35">
        <f>SUMIFS(SKUs!$I$6:$I$1997,SKUs!$C$6:$C$1997,B139)</f>
        <v>16</v>
      </c>
      <c r="K139" s="34">
        <f t="shared" si="9"/>
        <v>0</v>
      </c>
      <c r="L139" s="35">
        <f>COUNTIF(SKUs!$C$6:$C$1997,B139)</f>
        <v>4</v>
      </c>
      <c r="M139" s="29"/>
      <c r="N139" s="29"/>
      <c r="O139" s="29"/>
      <c r="P139" s="29"/>
      <c r="Q139" s="29"/>
      <c r="R139" s="29"/>
      <c r="S139" s="29"/>
      <c r="T139" s="29"/>
      <c r="U139" s="30">
        <f t="shared" si="10"/>
        <v>0</v>
      </c>
      <c r="V139" s="31">
        <f t="shared" si="11"/>
        <v>16</v>
      </c>
    </row>
    <row r="140" spans="1:22" ht="14.25" hidden="1" customHeight="1" x14ac:dyDescent="0.3">
      <c r="A140" s="25">
        <v>133</v>
      </c>
      <c r="B140" s="26" t="s">
        <v>184</v>
      </c>
      <c r="C140" s="27" t="str">
        <f t="shared" si="8"/>
        <v>Masculino</v>
      </c>
      <c r="D140" s="2" t="str">
        <f>IFERROR(INDEX(SKUs!$E$6:$E$1997,MATCH(B140,SKUs!$C$6:$C$1997,0)),"")</f>
        <v>JAQUETA</v>
      </c>
      <c r="E140" s="28" t="str">
        <f>IFERROR(VLOOKUP(D140,Configurações!$N$5:$O$46,2,FALSE()),"OUTROS")</f>
        <v>VESTUÁRIO</v>
      </c>
      <c r="F140" s="2" t="str">
        <f>IFERROR(INDEX(SKUs!$F$6:$F$1997,MATCH(B140,SKUs!$C$6:$C$1997,0)),"")</f>
        <v>JAQUETA CAPUZ EMBUTIDO</v>
      </c>
      <c r="G140" s="2" t="str">
        <f>IFERROR(INDEX(SKUs!$G$6:$G$1997,MATCH(B140,SKUs!$C$6:$C$1997,0)),"")</f>
        <v>AZUL</v>
      </c>
      <c r="H140" s="25" t="str">
        <f>IFERROR(INDEX(SKUs!$H$6:$H$1997,MATCH(B140,SKUs!$C$6:$C$1997,0)),"")</f>
        <v>GG</v>
      </c>
      <c r="I140" s="4" t="str">
        <f>IFERROR(INDEX(SKUs!#REF!,MATCH(B140,SKUs!$C$6:$C$1997,0)),"")</f>
        <v/>
      </c>
      <c r="J140" s="3">
        <f>SUMIFS(SKUs!$I$6:$I$1997,SKUs!$C$6:$C$1997,B140)</f>
        <v>8</v>
      </c>
      <c r="K140" s="4">
        <f t="shared" si="9"/>
        <v>0</v>
      </c>
      <c r="L140" s="3">
        <f>COUNTIF(SKUs!$C$6:$C$1997,B140)</f>
        <v>4</v>
      </c>
      <c r="M140" s="29"/>
      <c r="N140" s="29"/>
      <c r="O140" s="29"/>
      <c r="P140" s="29"/>
      <c r="Q140" s="29"/>
      <c r="R140" s="29"/>
      <c r="S140" s="29"/>
      <c r="T140" s="29"/>
      <c r="U140" s="30">
        <f t="shared" si="10"/>
        <v>0</v>
      </c>
      <c r="V140" s="31">
        <f t="shared" si="11"/>
        <v>8</v>
      </c>
    </row>
    <row r="141" spans="1:22" ht="14.25" hidden="1" customHeight="1" x14ac:dyDescent="0.3">
      <c r="A141" s="32">
        <v>134</v>
      </c>
      <c r="B141" s="26" t="s">
        <v>185</v>
      </c>
      <c r="C141" s="27" t="str">
        <f t="shared" si="8"/>
        <v>Feminino</v>
      </c>
      <c r="D141" s="33" t="str">
        <f>IFERROR(INDEX(SKUs!$E$6:$E$1997,MATCH(B141,SKUs!$C$6:$C$1997,0)),"")</f>
        <v>JAQUETA</v>
      </c>
      <c r="E141" s="28" t="str">
        <f>IFERROR(VLOOKUP(D141,Configurações!$N$5:$O$46,2,FALSE()),"OUTROS")</f>
        <v>VESTUÁRIO</v>
      </c>
      <c r="F141" s="33" t="str">
        <f>IFERROR(INDEX(SKUs!$F$6:$F$1997,MATCH(B141,SKUs!$C$6:$C$1997,0)),"")</f>
        <v>JAQUETA COPA FEM.</v>
      </c>
      <c r="G141" s="33" t="str">
        <f>IFERROR(INDEX(SKUs!$G$6:$G$1997,MATCH(B141,SKUs!$C$6:$C$1997,0)),"")</f>
        <v>AZUL</v>
      </c>
      <c r="H141" s="32" t="str">
        <f>IFERROR(INDEX(SKUs!$H$6:$H$1997,MATCH(B141,SKUs!$C$6:$C$1997,0)),"")</f>
        <v>P</v>
      </c>
      <c r="I141" s="34" t="str">
        <f>IFERROR(INDEX(SKUs!#REF!,MATCH(B141,SKUs!$C$6:$C$1997,0)),"")</f>
        <v/>
      </c>
      <c r="J141" s="35">
        <f>SUMIFS(SKUs!$I$6:$I$1997,SKUs!$C$6:$C$1997,B141)</f>
        <v>8</v>
      </c>
      <c r="K141" s="34">
        <f t="shared" si="9"/>
        <v>0</v>
      </c>
      <c r="L141" s="35">
        <f>COUNTIF(SKUs!$C$6:$C$1997,B141)</f>
        <v>1</v>
      </c>
      <c r="M141" s="29"/>
      <c r="N141" s="29"/>
      <c r="O141" s="29"/>
      <c r="P141" s="29"/>
      <c r="Q141" s="29"/>
      <c r="R141" s="29"/>
      <c r="S141" s="29"/>
      <c r="T141" s="29"/>
      <c r="U141" s="30">
        <f t="shared" si="10"/>
        <v>0</v>
      </c>
      <c r="V141" s="31">
        <f t="shared" si="11"/>
        <v>8</v>
      </c>
    </row>
    <row r="142" spans="1:22" ht="14.25" hidden="1" customHeight="1" x14ac:dyDescent="0.3">
      <c r="A142" s="25">
        <v>135</v>
      </c>
      <c r="B142" s="26" t="s">
        <v>186</v>
      </c>
      <c r="C142" s="27" t="str">
        <f t="shared" si="8"/>
        <v>Feminino</v>
      </c>
      <c r="D142" s="2" t="str">
        <f>IFERROR(INDEX(SKUs!$E$6:$E$1997,MATCH(B142,SKUs!$C$6:$C$1997,0)),"")</f>
        <v>JAQUETA</v>
      </c>
      <c r="E142" s="28" t="str">
        <f>IFERROR(VLOOKUP(D142,Configurações!$N$5:$O$46,2,FALSE()),"OUTROS")</f>
        <v>VESTUÁRIO</v>
      </c>
      <c r="F142" s="2" t="str">
        <f>IFERROR(INDEX(SKUs!$F$6:$F$1997,MATCH(B142,SKUs!$C$6:$C$1997,0)),"")</f>
        <v>JAQUETA COPA FEM.</v>
      </c>
      <c r="G142" s="2" t="str">
        <f>IFERROR(INDEX(SKUs!$G$6:$G$1997,MATCH(B142,SKUs!$C$6:$C$1997,0)),"")</f>
        <v>AZUL</v>
      </c>
      <c r="H142" s="25" t="str">
        <f>IFERROR(INDEX(SKUs!$H$6:$H$1997,MATCH(B142,SKUs!$C$6:$C$1997,0)),"")</f>
        <v>M</v>
      </c>
      <c r="I142" s="4" t="str">
        <f>IFERROR(INDEX(SKUs!#REF!,MATCH(B142,SKUs!$C$6:$C$1997,0)),"")</f>
        <v/>
      </c>
      <c r="J142" s="3">
        <f>SUMIFS(SKUs!$I$6:$I$1997,SKUs!$C$6:$C$1997,B142)</f>
        <v>8</v>
      </c>
      <c r="K142" s="4">
        <f t="shared" si="9"/>
        <v>0</v>
      </c>
      <c r="L142" s="3">
        <f>COUNTIF(SKUs!$C$6:$C$1997,B142)</f>
        <v>1</v>
      </c>
      <c r="M142" s="29"/>
      <c r="N142" s="29"/>
      <c r="O142" s="29"/>
      <c r="P142" s="29"/>
      <c r="Q142" s="29"/>
      <c r="R142" s="29"/>
      <c r="S142" s="29"/>
      <c r="T142" s="29"/>
      <c r="U142" s="30">
        <f t="shared" si="10"/>
        <v>0</v>
      </c>
      <c r="V142" s="31">
        <f t="shared" si="11"/>
        <v>8</v>
      </c>
    </row>
    <row r="143" spans="1:22" ht="14.25" hidden="1" customHeight="1" x14ac:dyDescent="0.3">
      <c r="A143" s="32">
        <v>136</v>
      </c>
      <c r="B143" s="26" t="s">
        <v>187</v>
      </c>
      <c r="C143" s="27" t="str">
        <f t="shared" si="8"/>
        <v>Feminino</v>
      </c>
      <c r="D143" s="33" t="str">
        <f>IFERROR(INDEX(SKUs!$E$6:$E$1997,MATCH(B143,SKUs!$C$6:$C$1997,0)),"")</f>
        <v>JAQUETA</v>
      </c>
      <c r="E143" s="28" t="str">
        <f>IFERROR(VLOOKUP(D143,Configurações!$N$5:$O$46,2,FALSE()),"OUTROS")</f>
        <v>VESTUÁRIO</v>
      </c>
      <c r="F143" s="33" t="str">
        <f>IFERROR(INDEX(SKUs!$F$6:$F$1997,MATCH(B143,SKUs!$C$6:$C$1997,0)),"")</f>
        <v>JAQUETA COPA FEM.</v>
      </c>
      <c r="G143" s="33" t="str">
        <f>IFERROR(INDEX(SKUs!$G$6:$G$1997,MATCH(B143,SKUs!$C$6:$C$1997,0)),"")</f>
        <v>AZUL</v>
      </c>
      <c r="H143" s="32" t="str">
        <f>IFERROR(INDEX(SKUs!$H$6:$H$1997,MATCH(B143,SKUs!$C$6:$C$1997,0)),"")</f>
        <v>G</v>
      </c>
      <c r="I143" s="34" t="str">
        <f>IFERROR(INDEX(SKUs!#REF!,MATCH(B143,SKUs!$C$6:$C$1997,0)),"")</f>
        <v/>
      </c>
      <c r="J143" s="35">
        <f>SUMIFS(SKUs!$I$6:$I$1997,SKUs!$C$6:$C$1997,B143)</f>
        <v>9</v>
      </c>
      <c r="K143" s="34">
        <f t="shared" si="9"/>
        <v>0</v>
      </c>
      <c r="L143" s="35">
        <f>COUNTIF(SKUs!$C$6:$C$1997,B143)</f>
        <v>1</v>
      </c>
      <c r="M143" s="29"/>
      <c r="N143" s="29"/>
      <c r="O143" s="29"/>
      <c r="P143" s="29"/>
      <c r="Q143" s="29"/>
      <c r="R143" s="29"/>
      <c r="S143" s="29"/>
      <c r="T143" s="29"/>
      <c r="U143" s="30">
        <f t="shared" si="10"/>
        <v>0</v>
      </c>
      <c r="V143" s="31">
        <f t="shared" si="11"/>
        <v>9</v>
      </c>
    </row>
    <row r="144" spans="1:22" ht="14.25" hidden="1" customHeight="1" x14ac:dyDescent="0.3">
      <c r="A144" s="25">
        <v>137</v>
      </c>
      <c r="B144" s="26" t="s">
        <v>188</v>
      </c>
      <c r="C144" s="27" t="str">
        <f t="shared" si="8"/>
        <v>Feminino</v>
      </c>
      <c r="D144" s="2" t="str">
        <f>IFERROR(INDEX(SKUs!$E$6:$E$1997,MATCH(B144,SKUs!$C$6:$C$1997,0)),"")</f>
        <v>JAQUETA</v>
      </c>
      <c r="E144" s="28" t="str">
        <f>IFERROR(VLOOKUP(D144,Configurações!$N$5:$O$46,2,FALSE()),"OUTROS")</f>
        <v>VESTUÁRIO</v>
      </c>
      <c r="F144" s="2" t="str">
        <f>IFERROR(INDEX(SKUs!$F$6:$F$1997,MATCH(B144,SKUs!$C$6:$C$1997,0)),"")</f>
        <v>JAQUETA COPA FEM.</v>
      </c>
      <c r="G144" s="2" t="str">
        <f>IFERROR(INDEX(SKUs!$G$6:$G$1997,MATCH(B144,SKUs!$C$6:$C$1997,0)),"")</f>
        <v>AZUL</v>
      </c>
      <c r="H144" s="25" t="str">
        <f>IFERROR(INDEX(SKUs!$H$6:$H$1997,MATCH(B144,SKUs!$C$6:$C$1997,0)),"")</f>
        <v>GG</v>
      </c>
      <c r="I144" s="4" t="str">
        <f>IFERROR(INDEX(SKUs!#REF!,MATCH(B144,SKUs!$C$6:$C$1997,0)),"")</f>
        <v/>
      </c>
      <c r="J144" s="3">
        <f>SUMIFS(SKUs!$I$6:$I$1997,SKUs!$C$6:$C$1997,B144)</f>
        <v>0</v>
      </c>
      <c r="K144" s="4">
        <f t="shared" si="9"/>
        <v>0</v>
      </c>
      <c r="L144" s="3">
        <f>COUNTIF(SKUs!$C$6:$C$1997,B144)</f>
        <v>2</v>
      </c>
      <c r="M144" s="29">
        <v>8</v>
      </c>
      <c r="N144" s="29"/>
      <c r="O144" s="29"/>
      <c r="P144" s="29"/>
      <c r="Q144" s="29"/>
      <c r="R144" s="29"/>
      <c r="S144" s="29"/>
      <c r="T144" s="29"/>
      <c r="U144" s="30">
        <f t="shared" si="10"/>
        <v>8</v>
      </c>
      <c r="V144" s="31">
        <f t="shared" si="11"/>
        <v>0</v>
      </c>
    </row>
    <row r="145" spans="1:22" ht="14.25" hidden="1" customHeight="1" x14ac:dyDescent="0.3">
      <c r="A145" s="32">
        <v>138</v>
      </c>
      <c r="B145" s="26" t="s">
        <v>189</v>
      </c>
      <c r="C145" s="27" t="str">
        <f t="shared" si="8"/>
        <v>Feminino</v>
      </c>
      <c r="D145" s="33" t="str">
        <f>IFERROR(INDEX(SKUs!$E$6:$E$1997,MATCH(B145,SKUs!$C$6:$C$1997,0)),"")</f>
        <v>JAQUETA</v>
      </c>
      <c r="E145" s="28" t="str">
        <f>IFERROR(VLOOKUP(D145,Configurações!$N$5:$O$46,2,FALSE()),"OUTROS")</f>
        <v>VESTUÁRIO</v>
      </c>
      <c r="F145" s="33" t="str">
        <f>IFERROR(INDEX(SKUs!$F$6:$F$1997,MATCH(B145,SKUs!$C$6:$C$1997,0)),"")</f>
        <v>JAQUETA COPA FEM.</v>
      </c>
      <c r="G145" s="33" t="str">
        <f>IFERROR(INDEX(SKUs!$G$6:$G$1997,MATCH(B145,SKUs!$C$6:$C$1997,0)),"")</f>
        <v>AZUL</v>
      </c>
      <c r="H145" s="32" t="str">
        <f>IFERROR(INDEX(SKUs!$H$6:$H$1997,MATCH(B145,SKUs!$C$6:$C$1997,0)),"")</f>
        <v>XG</v>
      </c>
      <c r="I145" s="34" t="str">
        <f>IFERROR(INDEX(SKUs!#REF!,MATCH(B145,SKUs!$C$6:$C$1997,0)),"")</f>
        <v/>
      </c>
      <c r="J145" s="35">
        <f>SUMIFS(SKUs!$I$6:$I$1997,SKUs!$C$6:$C$1997,B145)</f>
        <v>0</v>
      </c>
      <c r="K145" s="34">
        <f t="shared" si="9"/>
        <v>0</v>
      </c>
      <c r="L145" s="35">
        <f>COUNTIF(SKUs!$C$6:$C$1997,B145)</f>
        <v>1</v>
      </c>
      <c r="M145" s="29">
        <v>1</v>
      </c>
      <c r="N145" s="29"/>
      <c r="O145" s="29"/>
      <c r="P145" s="29"/>
      <c r="Q145" s="29"/>
      <c r="R145" s="29"/>
      <c r="S145" s="29"/>
      <c r="T145" s="29"/>
      <c r="U145" s="30">
        <f t="shared" si="10"/>
        <v>1</v>
      </c>
      <c r="V145" s="31">
        <f t="shared" si="11"/>
        <v>0</v>
      </c>
    </row>
    <row r="146" spans="1:22" ht="14.25" hidden="1" customHeight="1" x14ac:dyDescent="0.3">
      <c r="A146" s="25">
        <v>139</v>
      </c>
      <c r="B146" s="26" t="s">
        <v>190</v>
      </c>
      <c r="C146" s="27" t="str">
        <f t="shared" si="8"/>
        <v>Feminino</v>
      </c>
      <c r="D146" s="2" t="str">
        <f>IFERROR(INDEX(SKUs!$E$6:$E$1997,MATCH(B146,SKUs!$C$6:$C$1997,0)),"")</f>
        <v>JAQUETA</v>
      </c>
      <c r="E146" s="28" t="str">
        <f>IFERROR(VLOOKUP(D146,Configurações!$N$5:$O$46,2,FALSE()),"OUTROS")</f>
        <v>VESTUÁRIO</v>
      </c>
      <c r="F146" s="2" t="str">
        <f>IFERROR(INDEX(SKUs!$F$6:$F$1997,MATCH(B146,SKUs!$C$6:$C$1997,0)),"")</f>
        <v>JAQUETA COPA FEM.</v>
      </c>
      <c r="G146" s="2" t="str">
        <f>IFERROR(INDEX(SKUs!$G$6:$G$1997,MATCH(B146,SKUs!$C$6:$C$1997,0)),"")</f>
        <v>VERDE</v>
      </c>
      <c r="H146" s="25" t="str">
        <f>IFERROR(INDEX(SKUs!$H$6:$H$1997,MATCH(B146,SKUs!$C$6:$C$1997,0)),"")</f>
        <v>GG</v>
      </c>
      <c r="I146" s="4" t="str">
        <f>IFERROR(INDEX(SKUs!#REF!,MATCH(B146,SKUs!$C$6:$C$1997,0)),"")</f>
        <v/>
      </c>
      <c r="J146" s="3">
        <f>SUMIFS(SKUs!$I$6:$I$1997,SKUs!$C$6:$C$1997,B146)</f>
        <v>0</v>
      </c>
      <c r="K146" s="4">
        <f t="shared" si="9"/>
        <v>0</v>
      </c>
      <c r="L146" s="3">
        <f>COUNTIF(SKUs!$C$6:$C$1997,B146)</f>
        <v>2</v>
      </c>
      <c r="M146" s="29">
        <v>8</v>
      </c>
      <c r="N146" s="29"/>
      <c r="O146" s="29"/>
      <c r="P146" s="29"/>
      <c r="Q146" s="29"/>
      <c r="R146" s="29"/>
      <c r="S146" s="29"/>
      <c r="T146" s="29"/>
      <c r="U146" s="30">
        <f t="shared" si="10"/>
        <v>8</v>
      </c>
      <c r="V146" s="31">
        <f t="shared" si="11"/>
        <v>0</v>
      </c>
    </row>
    <row r="147" spans="1:22" ht="14.25" hidden="1" customHeight="1" x14ac:dyDescent="0.3">
      <c r="A147" s="32">
        <v>140</v>
      </c>
      <c r="B147" s="26" t="s">
        <v>191</v>
      </c>
      <c r="C147" s="27" t="str">
        <f t="shared" si="8"/>
        <v>Feminino</v>
      </c>
      <c r="D147" s="33" t="str">
        <f>IFERROR(INDEX(SKUs!$E$6:$E$1997,MATCH(B147,SKUs!$C$6:$C$1997,0)),"")</f>
        <v>JAQUETA</v>
      </c>
      <c r="E147" s="28" t="str">
        <f>IFERROR(VLOOKUP(D147,Configurações!$N$5:$O$46,2,FALSE()),"OUTROS")</f>
        <v>VESTUÁRIO</v>
      </c>
      <c r="F147" s="33" t="str">
        <f>IFERROR(INDEX(SKUs!$F$6:$F$1997,MATCH(B147,SKUs!$C$6:$C$1997,0)),"")</f>
        <v>JAQUETA COPA FEM.</v>
      </c>
      <c r="G147" s="33" t="str">
        <f>IFERROR(INDEX(SKUs!$G$6:$G$1997,MATCH(B147,SKUs!$C$6:$C$1997,0)),"")</f>
        <v>VERDE</v>
      </c>
      <c r="H147" s="32" t="str">
        <f>IFERROR(INDEX(SKUs!$H$6:$H$1997,MATCH(B147,SKUs!$C$6:$C$1997,0)),"")</f>
        <v>XG</v>
      </c>
      <c r="I147" s="34" t="str">
        <f>IFERROR(INDEX(SKUs!#REF!,MATCH(B147,SKUs!$C$6:$C$1997,0)),"")</f>
        <v/>
      </c>
      <c r="J147" s="35">
        <f>SUMIFS(SKUs!$I$6:$I$1997,SKUs!$C$6:$C$1997,B147)</f>
        <v>0</v>
      </c>
      <c r="K147" s="34">
        <f t="shared" si="9"/>
        <v>0</v>
      </c>
      <c r="L147" s="35">
        <f>COUNTIF(SKUs!$C$6:$C$1997,B147)</f>
        <v>2</v>
      </c>
      <c r="M147" s="29">
        <v>6</v>
      </c>
      <c r="N147" s="29"/>
      <c r="O147" s="29"/>
      <c r="P147" s="29"/>
      <c r="Q147" s="29"/>
      <c r="R147" s="29"/>
      <c r="S147" s="29"/>
      <c r="T147" s="29"/>
      <c r="U147" s="30">
        <f t="shared" si="10"/>
        <v>6</v>
      </c>
      <c r="V147" s="31">
        <f t="shared" si="11"/>
        <v>0</v>
      </c>
    </row>
    <row r="148" spans="1:22" ht="14.25" hidden="1" customHeight="1" x14ac:dyDescent="0.3">
      <c r="A148" s="25">
        <v>141</v>
      </c>
      <c r="B148" s="26" t="s">
        <v>192</v>
      </c>
      <c r="C148" s="27" t="str">
        <f t="shared" si="8"/>
        <v>Feminino</v>
      </c>
      <c r="D148" s="2" t="str">
        <f>IFERROR(INDEX(SKUs!$E$6:$E$1997,MATCH(B148,SKUs!$C$6:$C$1997,0)),"")</f>
        <v>POLO</v>
      </c>
      <c r="E148" s="28" t="str">
        <f>IFERROR(VLOOKUP(D148,Configurações!$N$5:$O$46,2,FALSE()),"OUTROS")</f>
        <v>VESTUÁRIO</v>
      </c>
      <c r="F148" s="2" t="str">
        <f>IFERROR(INDEX(SKUs!$F$6:$F$1997,MATCH(B148,SKUs!$C$6:$C$1997,0)),"")</f>
        <v>POLO PIQUET FEM.</v>
      </c>
      <c r="G148" s="2" t="str">
        <f>IFERROR(INDEX(SKUs!$G$6:$G$1997,MATCH(B148,SKUs!$C$6:$C$1997,0)),"")</f>
        <v>CINZA</v>
      </c>
      <c r="H148" s="25" t="str">
        <f>IFERROR(INDEX(SKUs!$H$6:$H$1997,MATCH(B148,SKUs!$C$6:$C$1997,0)),"")</f>
        <v>PP</v>
      </c>
      <c r="I148" s="4" t="str">
        <f>IFERROR(INDEX(SKUs!#REF!,MATCH(B148,SKUs!$C$6:$C$1997,0)),"")</f>
        <v/>
      </c>
      <c r="J148" s="3">
        <f>SUMIFS(SKUs!$I$6:$I$1997,SKUs!$C$6:$C$1997,B148)</f>
        <v>0</v>
      </c>
      <c r="K148" s="4">
        <f t="shared" si="9"/>
        <v>0</v>
      </c>
      <c r="L148" s="3">
        <f>COUNTIF(SKUs!$C$6:$C$1997,B148)</f>
        <v>1</v>
      </c>
      <c r="M148" s="29">
        <v>10</v>
      </c>
      <c r="N148" s="29"/>
      <c r="O148" s="29"/>
      <c r="P148" s="29"/>
      <c r="Q148" s="29"/>
      <c r="R148" s="29"/>
      <c r="S148" s="29"/>
      <c r="T148" s="29"/>
      <c r="U148" s="30">
        <f t="shared" si="10"/>
        <v>10</v>
      </c>
      <c r="V148" s="31">
        <f t="shared" si="11"/>
        <v>0</v>
      </c>
    </row>
    <row r="149" spans="1:22" ht="14.25" hidden="1" customHeight="1" x14ac:dyDescent="0.3">
      <c r="A149" s="32">
        <v>142</v>
      </c>
      <c r="B149" s="26" t="s">
        <v>193</v>
      </c>
      <c r="C149" s="27" t="str">
        <f t="shared" si="8"/>
        <v>Feminino</v>
      </c>
      <c r="D149" s="33" t="str">
        <f>IFERROR(INDEX(SKUs!$E$6:$E$1997,MATCH(B149,SKUs!$C$6:$C$1997,0)),"")</f>
        <v>POLO</v>
      </c>
      <c r="E149" s="28" t="str">
        <f>IFERROR(VLOOKUP(D149,Configurações!$N$5:$O$46,2,FALSE()),"OUTROS")</f>
        <v>VESTUÁRIO</v>
      </c>
      <c r="F149" s="33" t="str">
        <f>IFERROR(INDEX(SKUs!$F$6:$F$1997,MATCH(B149,SKUs!$C$6:$C$1997,0)),"")</f>
        <v>POLO PIQUET FEM.</v>
      </c>
      <c r="G149" s="33" t="str">
        <f>IFERROR(INDEX(SKUs!$G$6:$G$1997,MATCH(B149,SKUs!$C$6:$C$1997,0)),"")</f>
        <v>CINZA</v>
      </c>
      <c r="H149" s="32" t="str">
        <f>IFERROR(INDEX(SKUs!$H$6:$H$1997,MATCH(B149,SKUs!$C$6:$C$1997,0)),"")</f>
        <v>P</v>
      </c>
      <c r="I149" s="34" t="str">
        <f>IFERROR(INDEX(SKUs!#REF!,MATCH(B149,SKUs!$C$6:$C$1997,0)),"")</f>
        <v/>
      </c>
      <c r="J149" s="35">
        <f>SUMIFS(SKUs!$I$6:$I$1997,SKUs!$C$6:$C$1997,B149)</f>
        <v>0</v>
      </c>
      <c r="K149" s="34">
        <f t="shared" si="9"/>
        <v>0</v>
      </c>
      <c r="L149" s="35">
        <f>COUNTIF(SKUs!$C$6:$C$1997,B149)</f>
        <v>1</v>
      </c>
      <c r="M149" s="29">
        <v>13</v>
      </c>
      <c r="N149" s="29"/>
      <c r="O149" s="29"/>
      <c r="P149" s="29"/>
      <c r="Q149" s="29"/>
      <c r="R149" s="29"/>
      <c r="S149" s="29"/>
      <c r="T149" s="29"/>
      <c r="U149" s="30">
        <f t="shared" si="10"/>
        <v>13</v>
      </c>
      <c r="V149" s="31">
        <f t="shared" si="11"/>
        <v>0</v>
      </c>
    </row>
    <row r="150" spans="1:22" ht="14.25" hidden="1" customHeight="1" x14ac:dyDescent="0.3">
      <c r="A150" s="25">
        <v>143</v>
      </c>
      <c r="B150" s="26" t="s">
        <v>194</v>
      </c>
      <c r="C150" s="27" t="str">
        <f t="shared" si="8"/>
        <v>Feminino</v>
      </c>
      <c r="D150" s="2" t="str">
        <f>IFERROR(INDEX(SKUs!$E$6:$E$1997,MATCH(B150,SKUs!$C$6:$C$1997,0)),"")</f>
        <v>POLO</v>
      </c>
      <c r="E150" s="28" t="str">
        <f>IFERROR(VLOOKUP(D150,Configurações!$N$5:$O$46,2,FALSE()),"OUTROS")</f>
        <v>VESTUÁRIO</v>
      </c>
      <c r="F150" s="2" t="str">
        <f>IFERROR(INDEX(SKUs!$F$6:$F$1997,MATCH(B150,SKUs!$C$6:$C$1997,0)),"")</f>
        <v>POLO PIQUET FEM.</v>
      </c>
      <c r="G150" s="2" t="str">
        <f>IFERROR(INDEX(SKUs!$G$6:$G$1997,MATCH(B150,SKUs!$C$6:$C$1997,0)),"")</f>
        <v>CINZA</v>
      </c>
      <c r="H150" s="25" t="str">
        <f>IFERROR(INDEX(SKUs!$H$6:$H$1997,MATCH(B150,SKUs!$C$6:$C$1997,0)),"")</f>
        <v>M</v>
      </c>
      <c r="I150" s="4" t="str">
        <f>IFERROR(INDEX(SKUs!#REF!,MATCH(B150,SKUs!$C$6:$C$1997,0)),"")</f>
        <v/>
      </c>
      <c r="J150" s="3">
        <f>SUMIFS(SKUs!$I$6:$I$1997,SKUs!$C$6:$C$1997,B150)</f>
        <v>0</v>
      </c>
      <c r="K150" s="4">
        <f t="shared" si="9"/>
        <v>0</v>
      </c>
      <c r="L150" s="3">
        <f>COUNTIF(SKUs!$C$6:$C$1997,B150)</f>
        <v>1</v>
      </c>
      <c r="M150" s="29">
        <v>15</v>
      </c>
      <c r="N150" s="29"/>
      <c r="O150" s="29"/>
      <c r="P150" s="29"/>
      <c r="Q150" s="29"/>
      <c r="R150" s="29"/>
      <c r="S150" s="29"/>
      <c r="T150" s="29"/>
      <c r="U150" s="30">
        <f t="shared" si="10"/>
        <v>15</v>
      </c>
      <c r="V150" s="31">
        <f t="shared" si="11"/>
        <v>0</v>
      </c>
    </row>
    <row r="151" spans="1:22" ht="14.25" hidden="1" customHeight="1" x14ac:dyDescent="0.3">
      <c r="A151" s="32">
        <v>144</v>
      </c>
      <c r="B151" s="26" t="s">
        <v>195</v>
      </c>
      <c r="C151" s="27" t="str">
        <f t="shared" si="8"/>
        <v>Feminino</v>
      </c>
      <c r="D151" s="33" t="str">
        <f>IFERROR(INDEX(SKUs!$E$6:$E$1997,MATCH(B151,SKUs!$C$6:$C$1997,0)),"")</f>
        <v>POLO</v>
      </c>
      <c r="E151" s="28" t="str">
        <f>IFERROR(VLOOKUP(D151,Configurações!$N$5:$O$46,2,FALSE()),"OUTROS")</f>
        <v>VESTUÁRIO</v>
      </c>
      <c r="F151" s="33" t="str">
        <f>IFERROR(INDEX(SKUs!$F$6:$F$1997,MATCH(B151,SKUs!$C$6:$C$1997,0)),"")</f>
        <v>POLO PIQUET FEM.</v>
      </c>
      <c r="G151" s="33" t="str">
        <f>IFERROR(INDEX(SKUs!$G$6:$G$1997,MATCH(B151,SKUs!$C$6:$C$1997,0)),"")</f>
        <v>CINZA</v>
      </c>
      <c r="H151" s="32" t="str">
        <f>IFERROR(INDEX(SKUs!$H$6:$H$1997,MATCH(B151,SKUs!$C$6:$C$1997,0)),"")</f>
        <v>G</v>
      </c>
      <c r="I151" s="34" t="str">
        <f>IFERROR(INDEX(SKUs!#REF!,MATCH(B151,SKUs!$C$6:$C$1997,0)),"")</f>
        <v/>
      </c>
      <c r="J151" s="35">
        <f>SUMIFS(SKUs!$I$6:$I$1997,SKUs!$C$6:$C$1997,B151)</f>
        <v>0</v>
      </c>
      <c r="K151" s="34">
        <f t="shared" si="9"/>
        <v>0</v>
      </c>
      <c r="L151" s="35">
        <f>COUNTIF(SKUs!$C$6:$C$1997,B151)</f>
        <v>1</v>
      </c>
      <c r="M151" s="29">
        <v>9</v>
      </c>
      <c r="N151" s="29"/>
      <c r="O151" s="29"/>
      <c r="P151" s="29"/>
      <c r="Q151" s="29"/>
      <c r="R151" s="29"/>
      <c r="S151" s="29"/>
      <c r="T151" s="29"/>
      <c r="U151" s="30">
        <f t="shared" si="10"/>
        <v>9</v>
      </c>
      <c r="V151" s="31">
        <f t="shared" si="11"/>
        <v>0</v>
      </c>
    </row>
    <row r="152" spans="1:22" ht="14.25" hidden="1" customHeight="1" x14ac:dyDescent="0.3">
      <c r="A152" s="25">
        <v>145</v>
      </c>
      <c r="B152" s="26" t="s">
        <v>196</v>
      </c>
      <c r="C152" s="27" t="str">
        <f t="shared" si="8"/>
        <v>Feminino</v>
      </c>
      <c r="D152" s="2" t="str">
        <f>IFERROR(INDEX(SKUs!$E$6:$E$1997,MATCH(B152,SKUs!$C$6:$C$1997,0)),"")</f>
        <v>POLO</v>
      </c>
      <c r="E152" s="28" t="str">
        <f>IFERROR(VLOOKUP(D152,Configurações!$N$5:$O$46,2,FALSE()),"OUTROS")</f>
        <v>VESTUÁRIO</v>
      </c>
      <c r="F152" s="2" t="str">
        <f>IFERROR(INDEX(SKUs!$F$6:$F$1997,MATCH(B152,SKUs!$C$6:$C$1997,0)),"")</f>
        <v>POLO PIQUET FEM.</v>
      </c>
      <c r="G152" s="2" t="str">
        <f>IFERROR(INDEX(SKUs!$G$6:$G$1997,MATCH(B152,SKUs!$C$6:$C$1997,0)),"")</f>
        <v>CINZA</v>
      </c>
      <c r="H152" s="25" t="str">
        <f>IFERROR(INDEX(SKUs!$H$6:$H$1997,MATCH(B152,SKUs!$C$6:$C$1997,0)),"")</f>
        <v>GG</v>
      </c>
      <c r="I152" s="4" t="str">
        <f>IFERROR(INDEX(SKUs!#REF!,MATCH(B152,SKUs!$C$6:$C$1997,0)),"")</f>
        <v/>
      </c>
      <c r="J152" s="3">
        <f>SUMIFS(SKUs!$I$6:$I$1997,SKUs!$C$6:$C$1997,B152)</f>
        <v>0</v>
      </c>
      <c r="K152" s="4">
        <f t="shared" si="9"/>
        <v>0</v>
      </c>
      <c r="L152" s="3">
        <f>COUNTIF(SKUs!$C$6:$C$1997,B152)</f>
        <v>1</v>
      </c>
      <c r="M152" s="29">
        <v>5</v>
      </c>
      <c r="N152" s="29"/>
      <c r="O152" s="29"/>
      <c r="P152" s="29"/>
      <c r="Q152" s="29"/>
      <c r="R152" s="29"/>
      <c r="S152" s="29"/>
      <c r="T152" s="29"/>
      <c r="U152" s="30">
        <f t="shared" si="10"/>
        <v>5</v>
      </c>
      <c r="V152" s="31">
        <f t="shared" si="11"/>
        <v>0</v>
      </c>
    </row>
    <row r="153" spans="1:22" ht="14.25" hidden="1" customHeight="1" x14ac:dyDescent="0.3">
      <c r="A153" s="32">
        <v>146</v>
      </c>
      <c r="B153" s="26" t="s">
        <v>197</v>
      </c>
      <c r="C153" s="27" t="str">
        <f t="shared" si="8"/>
        <v>Feminino</v>
      </c>
      <c r="D153" s="33" t="str">
        <f>IFERROR(INDEX(SKUs!$E$6:$E$1997,MATCH(B153,SKUs!$C$6:$C$1997,0)),"")</f>
        <v>POLO</v>
      </c>
      <c r="E153" s="28" t="str">
        <f>IFERROR(VLOOKUP(D153,Configurações!$N$5:$O$46,2,FALSE()),"OUTROS")</f>
        <v>VESTUÁRIO</v>
      </c>
      <c r="F153" s="33" t="str">
        <f>IFERROR(INDEX(SKUs!$F$6:$F$1997,MATCH(B153,SKUs!$C$6:$C$1997,0)),"")</f>
        <v>POLO PIQUET FEM.</v>
      </c>
      <c r="G153" s="33" t="str">
        <f>IFERROR(INDEX(SKUs!$G$6:$G$1997,MATCH(B153,SKUs!$C$6:$C$1997,0)),"")</f>
        <v>CINZA</v>
      </c>
      <c r="H153" s="32" t="str">
        <f>IFERROR(INDEX(SKUs!$H$6:$H$1997,MATCH(B153,SKUs!$C$6:$C$1997,0)),"")</f>
        <v>XG</v>
      </c>
      <c r="I153" s="34" t="str">
        <f>IFERROR(INDEX(SKUs!#REF!,MATCH(B153,SKUs!$C$6:$C$1997,0)),"")</f>
        <v/>
      </c>
      <c r="J153" s="35">
        <f>SUMIFS(SKUs!$I$6:$I$1997,SKUs!$C$6:$C$1997,B153)</f>
        <v>0</v>
      </c>
      <c r="K153" s="34">
        <f t="shared" si="9"/>
        <v>0</v>
      </c>
      <c r="L153" s="35">
        <f>COUNTIF(SKUs!$C$6:$C$1997,B153)</f>
        <v>1</v>
      </c>
      <c r="M153" s="29">
        <v>5</v>
      </c>
      <c r="N153" s="29"/>
      <c r="O153" s="29"/>
      <c r="P153" s="29"/>
      <c r="Q153" s="29"/>
      <c r="R153" s="29"/>
      <c r="S153" s="29"/>
      <c r="T153" s="29"/>
      <c r="U153" s="30">
        <f t="shared" si="10"/>
        <v>5</v>
      </c>
      <c r="V153" s="31">
        <f t="shared" si="11"/>
        <v>0</v>
      </c>
    </row>
    <row r="154" spans="1:22" ht="14.25" hidden="1" customHeight="1" x14ac:dyDescent="0.3">
      <c r="A154" s="25">
        <v>147</v>
      </c>
      <c r="B154" s="26" t="s">
        <v>198</v>
      </c>
      <c r="C154" s="27" t="str">
        <f t="shared" si="8"/>
        <v>Feminino</v>
      </c>
      <c r="D154" s="2" t="str">
        <f>IFERROR(INDEX(SKUs!$E$6:$E$1997,MATCH(B154,SKUs!$C$6:$C$1997,0)),"")</f>
        <v>POLO</v>
      </c>
      <c r="E154" s="28" t="str">
        <f>IFERROR(VLOOKUP(D154,Configurações!$N$5:$O$46,2,FALSE()),"OUTROS")</f>
        <v>VESTUÁRIO</v>
      </c>
      <c r="F154" s="2" t="str">
        <f>IFERROR(INDEX(SKUs!$F$6:$F$1997,MATCH(B154,SKUs!$C$6:$C$1997,0)),"")</f>
        <v>POLO PIMA FEM.</v>
      </c>
      <c r="G154" s="2" t="str">
        <f>IFERROR(INDEX(SKUs!$G$6:$G$1997,MATCH(B154,SKUs!$C$6:$C$1997,0)),"")</f>
        <v>PRETA</v>
      </c>
      <c r="H154" s="25" t="str">
        <f>IFERROR(INDEX(SKUs!$H$6:$H$1997,MATCH(B154,SKUs!$C$6:$C$1997,0)),"")</f>
        <v>PP</v>
      </c>
      <c r="I154" s="4" t="str">
        <f>IFERROR(INDEX(SKUs!#REF!,MATCH(B154,SKUs!$C$6:$C$1997,0)),"")</f>
        <v/>
      </c>
      <c r="J154" s="3">
        <f>SUMIFS(SKUs!$I$6:$I$1997,SKUs!$C$6:$C$1997,B154)</f>
        <v>0</v>
      </c>
      <c r="K154" s="4">
        <f t="shared" si="9"/>
        <v>0</v>
      </c>
      <c r="L154" s="3">
        <f>COUNTIF(SKUs!$C$6:$C$1997,B154)</f>
        <v>1</v>
      </c>
      <c r="M154" s="29">
        <v>5</v>
      </c>
      <c r="N154" s="29"/>
      <c r="O154" s="29"/>
      <c r="P154" s="29"/>
      <c r="Q154" s="29"/>
      <c r="R154" s="29"/>
      <c r="S154" s="29"/>
      <c r="T154" s="29"/>
      <c r="U154" s="30">
        <f t="shared" si="10"/>
        <v>5</v>
      </c>
      <c r="V154" s="31">
        <f t="shared" si="11"/>
        <v>0</v>
      </c>
    </row>
    <row r="155" spans="1:22" ht="14.25" hidden="1" customHeight="1" x14ac:dyDescent="0.3">
      <c r="A155" s="32">
        <v>148</v>
      </c>
      <c r="B155" s="26" t="s">
        <v>199</v>
      </c>
      <c r="C155" s="27" t="str">
        <f t="shared" si="8"/>
        <v>Feminino</v>
      </c>
      <c r="D155" s="33" t="str">
        <f>IFERROR(INDEX(SKUs!$E$6:$E$1997,MATCH(B155,SKUs!$C$6:$C$1997,0)),"")</f>
        <v>POLO</v>
      </c>
      <c r="E155" s="28" t="str">
        <f>IFERROR(VLOOKUP(D155,Configurações!$N$5:$O$46,2,FALSE()),"OUTROS")</f>
        <v>VESTUÁRIO</v>
      </c>
      <c r="F155" s="33" t="str">
        <f>IFERROR(INDEX(SKUs!$F$6:$F$1997,MATCH(B155,SKUs!$C$6:$C$1997,0)),"")</f>
        <v>POLO PIMA FEM.</v>
      </c>
      <c r="G155" s="33" t="str">
        <f>IFERROR(INDEX(SKUs!$G$6:$G$1997,MATCH(B155,SKUs!$C$6:$C$1997,0)),"")</f>
        <v>PRETA</v>
      </c>
      <c r="H155" s="32" t="str">
        <f>IFERROR(INDEX(SKUs!$H$6:$H$1997,MATCH(B155,SKUs!$C$6:$C$1997,0)),"")</f>
        <v>P</v>
      </c>
      <c r="I155" s="34" t="str">
        <f>IFERROR(INDEX(SKUs!#REF!,MATCH(B155,SKUs!$C$6:$C$1997,0)),"")</f>
        <v/>
      </c>
      <c r="J155" s="35">
        <f>SUMIFS(SKUs!$I$6:$I$1997,SKUs!$C$6:$C$1997,B155)</f>
        <v>0</v>
      </c>
      <c r="K155" s="34">
        <f t="shared" si="9"/>
        <v>0</v>
      </c>
      <c r="L155" s="35">
        <f>COUNTIF(SKUs!$C$6:$C$1997,B155)</f>
        <v>1</v>
      </c>
      <c r="M155" s="29">
        <v>10</v>
      </c>
      <c r="N155" s="29"/>
      <c r="O155" s="29"/>
      <c r="P155" s="29"/>
      <c r="Q155" s="29"/>
      <c r="R155" s="29"/>
      <c r="S155" s="29"/>
      <c r="T155" s="29"/>
      <c r="U155" s="30">
        <f t="shared" si="10"/>
        <v>10</v>
      </c>
      <c r="V155" s="31">
        <f t="shared" si="11"/>
        <v>0</v>
      </c>
    </row>
    <row r="156" spans="1:22" ht="14.25" hidden="1" customHeight="1" x14ac:dyDescent="0.3">
      <c r="A156" s="25">
        <v>149</v>
      </c>
      <c r="B156" s="26" t="s">
        <v>200</v>
      </c>
      <c r="C156" s="27" t="str">
        <f t="shared" si="8"/>
        <v>Feminino</v>
      </c>
      <c r="D156" s="2" t="str">
        <f>IFERROR(INDEX(SKUs!$E$6:$E$1997,MATCH(B156,SKUs!$C$6:$C$1997,0)),"")</f>
        <v>POLO</v>
      </c>
      <c r="E156" s="28" t="str">
        <f>IFERROR(VLOOKUP(D156,Configurações!$N$5:$O$46,2,FALSE()),"OUTROS")</f>
        <v>VESTUÁRIO</v>
      </c>
      <c r="F156" s="2" t="str">
        <f>IFERROR(INDEX(SKUs!$F$6:$F$1997,MATCH(B156,SKUs!$C$6:$C$1997,0)),"")</f>
        <v>POLO PIMA FEM.</v>
      </c>
      <c r="G156" s="2" t="str">
        <f>IFERROR(INDEX(SKUs!$G$6:$G$1997,MATCH(B156,SKUs!$C$6:$C$1997,0)),"")</f>
        <v>PRETA</v>
      </c>
      <c r="H156" s="25" t="str">
        <f>IFERROR(INDEX(SKUs!$H$6:$H$1997,MATCH(B156,SKUs!$C$6:$C$1997,0)),"")</f>
        <v>M</v>
      </c>
      <c r="I156" s="4" t="str">
        <f>IFERROR(INDEX(SKUs!#REF!,MATCH(B156,SKUs!$C$6:$C$1997,0)),"")</f>
        <v/>
      </c>
      <c r="J156" s="3">
        <f>SUMIFS(SKUs!$I$6:$I$1997,SKUs!$C$6:$C$1997,B156)</f>
        <v>0</v>
      </c>
      <c r="K156" s="4">
        <f t="shared" si="9"/>
        <v>0</v>
      </c>
      <c r="L156" s="3">
        <f>COUNTIF(SKUs!$C$6:$C$1997,B156)</f>
        <v>1</v>
      </c>
      <c r="M156" s="29">
        <v>10</v>
      </c>
      <c r="N156" s="29"/>
      <c r="O156" s="29"/>
      <c r="P156" s="29"/>
      <c r="Q156" s="29"/>
      <c r="R156" s="29"/>
      <c r="S156" s="29"/>
      <c r="T156" s="29"/>
      <c r="U156" s="30">
        <f t="shared" si="10"/>
        <v>10</v>
      </c>
      <c r="V156" s="31">
        <f t="shared" si="11"/>
        <v>0</v>
      </c>
    </row>
    <row r="157" spans="1:22" ht="14.25" hidden="1" customHeight="1" x14ac:dyDescent="0.3">
      <c r="A157" s="32">
        <v>150</v>
      </c>
      <c r="B157" s="26" t="s">
        <v>201</v>
      </c>
      <c r="C157" s="27" t="str">
        <f t="shared" si="8"/>
        <v>Feminino</v>
      </c>
      <c r="D157" s="33" t="str">
        <f>IFERROR(INDEX(SKUs!$E$6:$E$1997,MATCH(B157,SKUs!$C$6:$C$1997,0)),"")</f>
        <v>POLO</v>
      </c>
      <c r="E157" s="28" t="str">
        <f>IFERROR(VLOOKUP(D157,Configurações!$N$5:$O$46,2,FALSE()),"OUTROS")</f>
        <v>VESTUÁRIO</v>
      </c>
      <c r="F157" s="33" t="str">
        <f>IFERROR(INDEX(SKUs!$F$6:$F$1997,MATCH(B157,SKUs!$C$6:$C$1997,0)),"")</f>
        <v>POLO PIMA FEM.</v>
      </c>
      <c r="G157" s="33" t="str">
        <f>IFERROR(INDEX(SKUs!$G$6:$G$1997,MATCH(B157,SKUs!$C$6:$C$1997,0)),"")</f>
        <v>PRETA</v>
      </c>
      <c r="H157" s="32" t="str">
        <f>IFERROR(INDEX(SKUs!$H$6:$H$1997,MATCH(B157,SKUs!$C$6:$C$1997,0)),"")</f>
        <v>G</v>
      </c>
      <c r="I157" s="34" t="str">
        <f>IFERROR(INDEX(SKUs!#REF!,MATCH(B157,SKUs!$C$6:$C$1997,0)),"")</f>
        <v/>
      </c>
      <c r="J157" s="35">
        <f>SUMIFS(SKUs!$I$6:$I$1997,SKUs!$C$6:$C$1997,B157)</f>
        <v>0</v>
      </c>
      <c r="K157" s="34">
        <f t="shared" si="9"/>
        <v>0</v>
      </c>
      <c r="L157" s="35">
        <f>COUNTIF(SKUs!$C$6:$C$1997,B157)</f>
        <v>1</v>
      </c>
      <c r="M157" s="29">
        <v>5</v>
      </c>
      <c r="N157" s="29"/>
      <c r="O157" s="29"/>
      <c r="P157" s="29"/>
      <c r="Q157" s="29"/>
      <c r="R157" s="29"/>
      <c r="S157" s="29"/>
      <c r="T157" s="29"/>
      <c r="U157" s="30">
        <f t="shared" si="10"/>
        <v>5</v>
      </c>
      <c r="V157" s="31">
        <f t="shared" si="11"/>
        <v>0</v>
      </c>
    </row>
    <row r="158" spans="1:22" ht="14.25" hidden="1" customHeight="1" x14ac:dyDescent="0.3">
      <c r="A158" s="25">
        <v>151</v>
      </c>
      <c r="B158" s="26" t="s">
        <v>202</v>
      </c>
      <c r="C158" s="27" t="str">
        <f t="shared" si="8"/>
        <v>Feminino</v>
      </c>
      <c r="D158" s="2" t="str">
        <f>IFERROR(INDEX(SKUs!$E$6:$E$1997,MATCH(B158,SKUs!$C$6:$C$1997,0)),"")</f>
        <v>POLO</v>
      </c>
      <c r="E158" s="28" t="str">
        <f>IFERROR(VLOOKUP(D158,Configurações!$N$5:$O$46,2,FALSE()),"OUTROS")</f>
        <v>VESTUÁRIO</v>
      </c>
      <c r="F158" s="2" t="str">
        <f>IFERROR(INDEX(SKUs!$F$6:$F$1997,MATCH(B158,SKUs!$C$6:$C$1997,0)),"")</f>
        <v>POLO PIMA FEM.</v>
      </c>
      <c r="G158" s="2" t="str">
        <f>IFERROR(INDEX(SKUs!$G$6:$G$1997,MATCH(B158,SKUs!$C$6:$C$1997,0)),"")</f>
        <v>PRETA</v>
      </c>
      <c r="H158" s="25" t="str">
        <f>IFERROR(INDEX(SKUs!$H$6:$H$1997,MATCH(B158,SKUs!$C$6:$C$1997,0)),"")</f>
        <v>GG</v>
      </c>
      <c r="I158" s="4" t="str">
        <f>IFERROR(INDEX(SKUs!#REF!,MATCH(B158,SKUs!$C$6:$C$1997,0)),"")</f>
        <v/>
      </c>
      <c r="J158" s="3">
        <f>SUMIFS(SKUs!$I$6:$I$1997,SKUs!$C$6:$C$1997,B158)</f>
        <v>0</v>
      </c>
      <c r="K158" s="4">
        <f t="shared" si="9"/>
        <v>0</v>
      </c>
      <c r="L158" s="3">
        <f>COUNTIF(SKUs!$C$6:$C$1997,B158)</f>
        <v>1</v>
      </c>
      <c r="M158" s="29">
        <v>5</v>
      </c>
      <c r="N158" s="29"/>
      <c r="O158" s="29"/>
      <c r="P158" s="29"/>
      <c r="Q158" s="29"/>
      <c r="R158" s="29"/>
      <c r="S158" s="29"/>
      <c r="T158" s="29"/>
      <c r="U158" s="30">
        <f t="shared" si="10"/>
        <v>5</v>
      </c>
      <c r="V158" s="31">
        <f t="shared" si="11"/>
        <v>0</v>
      </c>
    </row>
    <row r="159" spans="1:22" ht="14.25" hidden="1" customHeight="1" x14ac:dyDescent="0.3">
      <c r="A159" s="32">
        <v>152</v>
      </c>
      <c r="B159" s="26" t="s">
        <v>203</v>
      </c>
      <c r="C159" s="27" t="str">
        <f t="shared" si="8"/>
        <v>Feminino</v>
      </c>
      <c r="D159" s="33" t="str">
        <f>IFERROR(INDEX(SKUs!$E$6:$E$1997,MATCH(B159,SKUs!$C$6:$C$1997,0)),"")</f>
        <v>POLO</v>
      </c>
      <c r="E159" s="28" t="str">
        <f>IFERROR(VLOOKUP(D159,Configurações!$N$5:$O$46,2,FALSE()),"OUTROS")</f>
        <v>VESTUÁRIO</v>
      </c>
      <c r="F159" s="33" t="str">
        <f>IFERROR(INDEX(SKUs!$F$6:$F$1997,MATCH(B159,SKUs!$C$6:$C$1997,0)),"")</f>
        <v>POLO PIMA FEM.</v>
      </c>
      <c r="G159" s="33" t="str">
        <f>IFERROR(INDEX(SKUs!$G$6:$G$1997,MATCH(B159,SKUs!$C$6:$C$1997,0)),"")</f>
        <v>PRETA</v>
      </c>
      <c r="H159" s="32" t="str">
        <f>IFERROR(INDEX(SKUs!$H$6:$H$1997,MATCH(B159,SKUs!$C$6:$C$1997,0)),"")</f>
        <v>XG</v>
      </c>
      <c r="I159" s="34" t="str">
        <f>IFERROR(INDEX(SKUs!#REF!,MATCH(B159,SKUs!$C$6:$C$1997,0)),"")</f>
        <v/>
      </c>
      <c r="J159" s="35">
        <f>SUMIFS(SKUs!$I$6:$I$1997,SKUs!$C$6:$C$1997,B159)</f>
        <v>0</v>
      </c>
      <c r="K159" s="34">
        <f t="shared" si="9"/>
        <v>0</v>
      </c>
      <c r="L159" s="35">
        <f>COUNTIF(SKUs!$C$6:$C$1997,B159)</f>
        <v>1</v>
      </c>
      <c r="M159" s="29">
        <v>5</v>
      </c>
      <c r="N159" s="29"/>
      <c r="O159" s="29"/>
      <c r="P159" s="29"/>
      <c r="Q159" s="29"/>
      <c r="R159" s="29"/>
      <c r="S159" s="29"/>
      <c r="T159" s="29"/>
      <c r="U159" s="30">
        <f t="shared" si="10"/>
        <v>5</v>
      </c>
      <c r="V159" s="31">
        <f t="shared" si="11"/>
        <v>0</v>
      </c>
    </row>
    <row r="160" spans="1:22" ht="14.25" hidden="1" customHeight="1" x14ac:dyDescent="0.3">
      <c r="A160" s="25">
        <v>153</v>
      </c>
      <c r="B160" s="26" t="s">
        <v>204</v>
      </c>
      <c r="C160" s="27" t="str">
        <f t="shared" si="8"/>
        <v>Feminino</v>
      </c>
      <c r="D160" s="2" t="str">
        <f>IFERROR(INDEX(SKUs!$E$6:$E$1997,MATCH(B160,SKUs!$C$6:$C$1997,0)),"")</f>
        <v>CAMISETA</v>
      </c>
      <c r="E160" s="28" t="str">
        <f>IFERROR(VLOOKUP(D160,Configurações!$N$5:$O$46,2,FALSE()),"OUTROS")</f>
        <v>VESTUÁRIO</v>
      </c>
      <c r="F160" s="2" t="str">
        <f>IFERROR(INDEX(SKUs!$F$6:$F$1997,MATCH(B160,SKUs!$C$6:$C$1997,0)),"")</f>
        <v>CAMISETA COPA FEM.</v>
      </c>
      <c r="G160" s="2" t="str">
        <f>IFERROR(INDEX(SKUs!$G$6:$G$1997,MATCH(B160,SKUs!$C$6:$C$1997,0)),"")</f>
        <v>AMARELA</v>
      </c>
      <c r="H160" s="25" t="str">
        <f>IFERROR(INDEX(SKUs!$H$6:$H$1997,MATCH(B160,SKUs!$C$6:$C$1997,0)),"")</f>
        <v>P</v>
      </c>
      <c r="I160" s="4" t="str">
        <f>IFERROR(INDEX(SKUs!#REF!,MATCH(B160,SKUs!$C$6:$C$1997,0)),"")</f>
        <v/>
      </c>
      <c r="J160" s="3">
        <f>SUMIFS(SKUs!$I$6:$I$1997,SKUs!$C$6:$C$1997,B160)</f>
        <v>0</v>
      </c>
      <c r="K160" s="4">
        <f t="shared" si="9"/>
        <v>0</v>
      </c>
      <c r="L160" s="3">
        <f>COUNTIF(SKUs!$C$6:$C$1997,B160)</f>
        <v>1</v>
      </c>
      <c r="M160" s="29">
        <v>9</v>
      </c>
      <c r="N160" s="29"/>
      <c r="O160" s="29"/>
      <c r="P160" s="29"/>
      <c r="Q160" s="29"/>
      <c r="R160" s="29"/>
      <c r="S160" s="29"/>
      <c r="T160" s="29"/>
      <c r="U160" s="30">
        <f t="shared" si="10"/>
        <v>9</v>
      </c>
      <c r="V160" s="31">
        <f t="shared" si="11"/>
        <v>0</v>
      </c>
    </row>
    <row r="161" spans="1:22" ht="14.25" hidden="1" customHeight="1" x14ac:dyDescent="0.3">
      <c r="A161" s="32">
        <v>154</v>
      </c>
      <c r="B161" s="26" t="s">
        <v>205</v>
      </c>
      <c r="C161" s="27" t="str">
        <f t="shared" si="8"/>
        <v>Feminino</v>
      </c>
      <c r="D161" s="33" t="str">
        <f>IFERROR(INDEX(SKUs!$E$6:$E$1997,MATCH(B161,SKUs!$C$6:$C$1997,0)),"")</f>
        <v>CAMISETA</v>
      </c>
      <c r="E161" s="28" t="str">
        <f>IFERROR(VLOOKUP(D161,Configurações!$N$5:$O$46,2,FALSE()),"OUTROS")</f>
        <v>VESTUÁRIO</v>
      </c>
      <c r="F161" s="33" t="str">
        <f>IFERROR(INDEX(SKUs!$F$6:$F$1997,MATCH(B161,SKUs!$C$6:$C$1997,0)),"")</f>
        <v>CAMISETA COPA FEM.</v>
      </c>
      <c r="G161" s="33" t="str">
        <f>IFERROR(INDEX(SKUs!$G$6:$G$1997,MATCH(B161,SKUs!$C$6:$C$1997,0)),"")</f>
        <v>AMARELA</v>
      </c>
      <c r="H161" s="32" t="str">
        <f>IFERROR(INDEX(SKUs!$H$6:$H$1997,MATCH(B161,SKUs!$C$6:$C$1997,0)),"")</f>
        <v>M</v>
      </c>
      <c r="I161" s="34" t="str">
        <f>IFERROR(INDEX(SKUs!#REF!,MATCH(B161,SKUs!$C$6:$C$1997,0)),"")</f>
        <v/>
      </c>
      <c r="J161" s="35">
        <f>SUMIFS(SKUs!$I$6:$I$1997,SKUs!$C$6:$C$1997,B161)</f>
        <v>0</v>
      </c>
      <c r="K161" s="34">
        <f t="shared" si="9"/>
        <v>0</v>
      </c>
      <c r="L161" s="35">
        <f>COUNTIF(SKUs!$C$6:$C$1997,B161)</f>
        <v>1</v>
      </c>
      <c r="M161" s="29">
        <v>10</v>
      </c>
      <c r="N161" s="29"/>
      <c r="O161" s="29"/>
      <c r="P161" s="29"/>
      <c r="Q161" s="29"/>
      <c r="R161" s="29"/>
      <c r="S161" s="29"/>
      <c r="T161" s="29"/>
      <c r="U161" s="30">
        <f t="shared" si="10"/>
        <v>10</v>
      </c>
      <c r="V161" s="31">
        <f t="shared" si="11"/>
        <v>0</v>
      </c>
    </row>
    <row r="162" spans="1:22" ht="14.25" hidden="1" customHeight="1" x14ac:dyDescent="0.3">
      <c r="A162" s="25">
        <v>155</v>
      </c>
      <c r="B162" s="26" t="s">
        <v>206</v>
      </c>
      <c r="C162" s="27" t="str">
        <f t="shared" si="8"/>
        <v>Feminino</v>
      </c>
      <c r="D162" s="2" t="str">
        <f>IFERROR(INDEX(SKUs!$E$6:$E$1997,MATCH(B162,SKUs!$C$6:$C$1997,0)),"")</f>
        <v>CAMISETA</v>
      </c>
      <c r="E162" s="28" t="str">
        <f>IFERROR(VLOOKUP(D162,Configurações!$N$5:$O$46,2,FALSE()),"OUTROS")</f>
        <v>VESTUÁRIO</v>
      </c>
      <c r="F162" s="2" t="str">
        <f>IFERROR(INDEX(SKUs!$F$6:$F$1997,MATCH(B162,SKUs!$C$6:$C$1997,0)),"")</f>
        <v>CAMISETA COPA FEM.</v>
      </c>
      <c r="G162" s="2" t="str">
        <f>IFERROR(INDEX(SKUs!$G$6:$G$1997,MATCH(B162,SKUs!$C$6:$C$1997,0)),"")</f>
        <v>AMARELA</v>
      </c>
      <c r="H162" s="25" t="str">
        <f>IFERROR(INDEX(SKUs!$H$6:$H$1997,MATCH(B162,SKUs!$C$6:$C$1997,0)),"")</f>
        <v>G</v>
      </c>
      <c r="I162" s="4" t="str">
        <f>IFERROR(INDEX(SKUs!#REF!,MATCH(B162,SKUs!$C$6:$C$1997,0)),"")</f>
        <v/>
      </c>
      <c r="J162" s="3">
        <f>SUMIFS(SKUs!$I$6:$I$1997,SKUs!$C$6:$C$1997,B162)</f>
        <v>0</v>
      </c>
      <c r="K162" s="4">
        <f t="shared" si="9"/>
        <v>0</v>
      </c>
      <c r="L162" s="3">
        <f>COUNTIF(SKUs!$C$6:$C$1997,B162)</f>
        <v>1</v>
      </c>
      <c r="M162" s="29">
        <v>10</v>
      </c>
      <c r="N162" s="29"/>
      <c r="O162" s="29"/>
      <c r="P162" s="29"/>
      <c r="Q162" s="29"/>
      <c r="R162" s="29"/>
      <c r="S162" s="29"/>
      <c r="T162" s="29"/>
      <c r="U162" s="30">
        <f t="shared" si="10"/>
        <v>10</v>
      </c>
      <c r="V162" s="31">
        <f t="shared" si="11"/>
        <v>0</v>
      </c>
    </row>
    <row r="163" spans="1:22" ht="14.25" hidden="1" customHeight="1" x14ac:dyDescent="0.3">
      <c r="A163" s="32">
        <v>156</v>
      </c>
      <c r="B163" s="26" t="s">
        <v>207</v>
      </c>
      <c r="C163" s="27" t="str">
        <f t="shared" si="8"/>
        <v>Feminino</v>
      </c>
      <c r="D163" s="33" t="str">
        <f>IFERROR(INDEX(SKUs!$E$6:$E$1997,MATCH(B163,SKUs!$C$6:$C$1997,0)),"")</f>
        <v>CAMISETA</v>
      </c>
      <c r="E163" s="28" t="str">
        <f>IFERROR(VLOOKUP(D163,Configurações!$N$5:$O$46,2,FALSE()),"OUTROS")</f>
        <v>VESTUÁRIO</v>
      </c>
      <c r="F163" s="33" t="str">
        <f>IFERROR(INDEX(SKUs!$F$6:$F$1997,MATCH(B163,SKUs!$C$6:$C$1997,0)),"")</f>
        <v>CAMISETA COPA FEM.</v>
      </c>
      <c r="G163" s="33" t="str">
        <f>IFERROR(INDEX(SKUs!$G$6:$G$1997,MATCH(B163,SKUs!$C$6:$C$1997,0)),"")</f>
        <v>AMARELA</v>
      </c>
      <c r="H163" s="32" t="str">
        <f>IFERROR(INDEX(SKUs!$H$6:$H$1997,MATCH(B163,SKUs!$C$6:$C$1997,0)),"")</f>
        <v>GG</v>
      </c>
      <c r="I163" s="34" t="str">
        <f>IFERROR(INDEX(SKUs!#REF!,MATCH(B163,SKUs!$C$6:$C$1997,0)),"")</f>
        <v/>
      </c>
      <c r="J163" s="35">
        <f>SUMIFS(SKUs!$I$6:$I$1997,SKUs!$C$6:$C$1997,B163)</f>
        <v>0</v>
      </c>
      <c r="K163" s="34">
        <f t="shared" si="9"/>
        <v>0</v>
      </c>
      <c r="L163" s="35">
        <f>COUNTIF(SKUs!$C$6:$C$1997,B163)</f>
        <v>1</v>
      </c>
      <c r="M163" s="29">
        <v>10</v>
      </c>
      <c r="N163" s="29"/>
      <c r="O163" s="29"/>
      <c r="P163" s="29"/>
      <c r="Q163" s="29"/>
      <c r="R163" s="29"/>
      <c r="S163" s="29"/>
      <c r="T163" s="29"/>
      <c r="U163" s="30">
        <f t="shared" si="10"/>
        <v>10</v>
      </c>
      <c r="V163" s="31">
        <f t="shared" si="11"/>
        <v>0</v>
      </c>
    </row>
    <row r="164" spans="1:22" ht="14.25" hidden="1" customHeight="1" x14ac:dyDescent="0.3">
      <c r="A164" s="25">
        <v>157</v>
      </c>
      <c r="B164" s="26" t="s">
        <v>208</v>
      </c>
      <c r="C164" s="27" t="str">
        <f t="shared" si="8"/>
        <v>Feminino</v>
      </c>
      <c r="D164" s="2" t="str">
        <f>IFERROR(INDEX(SKUs!$E$6:$E$1997,MATCH(B164,SKUs!$C$6:$C$1997,0)),"")</f>
        <v>CAMISETA</v>
      </c>
      <c r="E164" s="28" t="str">
        <f>IFERROR(VLOOKUP(D164,Configurações!$N$5:$O$46,2,FALSE()),"OUTROS")</f>
        <v>VESTUÁRIO</v>
      </c>
      <c r="F164" s="2" t="str">
        <f>IFERROR(INDEX(SKUs!$F$6:$F$1997,MATCH(B164,SKUs!$C$6:$C$1997,0)),"")</f>
        <v>CAMISETA COPA FEM.</v>
      </c>
      <c r="G164" s="2" t="str">
        <f>IFERROR(INDEX(SKUs!$G$6:$G$1997,MATCH(B164,SKUs!$C$6:$C$1997,0)),"")</f>
        <v>AMARELA</v>
      </c>
      <c r="H164" s="25" t="str">
        <f>IFERROR(INDEX(SKUs!$H$6:$H$1997,MATCH(B164,SKUs!$C$6:$C$1997,0)),"")</f>
        <v>XG</v>
      </c>
      <c r="I164" s="4" t="str">
        <f>IFERROR(INDEX(SKUs!#REF!,MATCH(B164,SKUs!$C$6:$C$1997,0)),"")</f>
        <v/>
      </c>
      <c r="J164" s="3">
        <f>SUMIFS(SKUs!$I$6:$I$1997,SKUs!$C$6:$C$1997,B164)</f>
        <v>0</v>
      </c>
      <c r="K164" s="4">
        <f t="shared" si="9"/>
        <v>0</v>
      </c>
      <c r="L164" s="3">
        <f>COUNTIF(SKUs!$C$6:$C$1997,B164)</f>
        <v>1</v>
      </c>
      <c r="M164" s="29">
        <v>7</v>
      </c>
      <c r="N164" s="29"/>
      <c r="O164" s="29"/>
      <c r="P164" s="29"/>
      <c r="Q164" s="29"/>
      <c r="R164" s="29"/>
      <c r="S164" s="29"/>
      <c r="T164" s="29"/>
      <c r="U164" s="30">
        <f t="shared" si="10"/>
        <v>7</v>
      </c>
      <c r="V164" s="31">
        <f t="shared" si="11"/>
        <v>0</v>
      </c>
    </row>
    <row r="165" spans="1:22" ht="14.25" hidden="1" customHeight="1" x14ac:dyDescent="0.3">
      <c r="A165" s="32">
        <v>158</v>
      </c>
      <c r="B165" s="26" t="s">
        <v>209</v>
      </c>
      <c r="C165" s="27" t="str">
        <f t="shared" si="8"/>
        <v>Feminino</v>
      </c>
      <c r="D165" s="33" t="str">
        <f>IFERROR(INDEX(SKUs!$E$6:$E$1997,MATCH(B165,SKUs!$C$6:$C$1997,0)),"")</f>
        <v>CAMISETA</v>
      </c>
      <c r="E165" s="28" t="str">
        <f>IFERROR(VLOOKUP(D165,Configurações!$N$5:$O$46,2,FALSE()),"OUTROS")</f>
        <v>VESTUÁRIO</v>
      </c>
      <c r="F165" s="33" t="str">
        <f>IFERROR(INDEX(SKUs!$F$6:$F$1997,MATCH(B165,SKUs!$C$6:$C$1997,0)),"")</f>
        <v>CAMISETA COPA FEM.</v>
      </c>
      <c r="G165" s="33" t="str">
        <f>IFERROR(INDEX(SKUs!$G$6:$G$1997,MATCH(B165,SKUs!$C$6:$C$1997,0)),"")</f>
        <v>VERDE</v>
      </c>
      <c r="H165" s="32" t="str">
        <f>IFERROR(INDEX(SKUs!$H$6:$H$1997,MATCH(B165,SKUs!$C$6:$C$1997,0)),"")</f>
        <v>M</v>
      </c>
      <c r="I165" s="34" t="str">
        <f>IFERROR(INDEX(SKUs!#REF!,MATCH(B165,SKUs!$C$6:$C$1997,0)),"")</f>
        <v/>
      </c>
      <c r="J165" s="35">
        <f>SUMIFS(SKUs!$I$6:$I$1997,SKUs!$C$6:$C$1997,B165)</f>
        <v>0</v>
      </c>
      <c r="K165" s="34">
        <f t="shared" si="9"/>
        <v>0</v>
      </c>
      <c r="L165" s="35">
        <f>COUNTIF(SKUs!$C$6:$C$1997,B165)</f>
        <v>1</v>
      </c>
      <c r="M165" s="29">
        <v>9</v>
      </c>
      <c r="N165" s="29"/>
      <c r="O165" s="29"/>
      <c r="P165" s="29"/>
      <c r="Q165" s="29"/>
      <c r="R165" s="29"/>
      <c r="S165" s="29"/>
      <c r="T165" s="29"/>
      <c r="U165" s="30">
        <f t="shared" si="10"/>
        <v>9</v>
      </c>
      <c r="V165" s="31">
        <f t="shared" si="11"/>
        <v>0</v>
      </c>
    </row>
    <row r="166" spans="1:22" ht="14.25" hidden="1" customHeight="1" x14ac:dyDescent="0.3">
      <c r="A166" s="25">
        <v>159</v>
      </c>
      <c r="B166" s="26" t="s">
        <v>210</v>
      </c>
      <c r="C166" s="27" t="str">
        <f t="shared" si="8"/>
        <v>Feminino</v>
      </c>
      <c r="D166" s="2" t="str">
        <f>IFERROR(INDEX(SKUs!$E$6:$E$1997,MATCH(B166,SKUs!$C$6:$C$1997,0)),"")</f>
        <v>CAMISETA</v>
      </c>
      <c r="E166" s="28" t="str">
        <f>IFERROR(VLOOKUP(D166,Configurações!$N$5:$O$46,2,FALSE()),"OUTROS")</f>
        <v>VESTUÁRIO</v>
      </c>
      <c r="F166" s="2" t="str">
        <f>IFERROR(INDEX(SKUs!$F$6:$F$1997,MATCH(B166,SKUs!$C$6:$C$1997,0)),"")</f>
        <v>CAMISETA COPA FEM.</v>
      </c>
      <c r="G166" s="2" t="str">
        <f>IFERROR(INDEX(SKUs!$G$6:$G$1997,MATCH(B166,SKUs!$C$6:$C$1997,0)),"")</f>
        <v>VERDE</v>
      </c>
      <c r="H166" s="25" t="str">
        <f>IFERROR(INDEX(SKUs!$H$6:$H$1997,MATCH(B166,SKUs!$C$6:$C$1997,0)),"")</f>
        <v>G</v>
      </c>
      <c r="I166" s="4" t="str">
        <f>IFERROR(INDEX(SKUs!#REF!,MATCH(B166,SKUs!$C$6:$C$1997,0)),"")</f>
        <v/>
      </c>
      <c r="J166" s="3">
        <f>SUMIFS(SKUs!$I$6:$I$1997,SKUs!$C$6:$C$1997,B166)</f>
        <v>0</v>
      </c>
      <c r="K166" s="4">
        <f t="shared" si="9"/>
        <v>0</v>
      </c>
      <c r="L166" s="3">
        <f>COUNTIF(SKUs!$C$6:$C$1997,B166)</f>
        <v>1</v>
      </c>
      <c r="M166" s="29">
        <v>4</v>
      </c>
      <c r="N166" s="29"/>
      <c r="O166" s="29"/>
      <c r="P166" s="29"/>
      <c r="Q166" s="29"/>
      <c r="R166" s="29"/>
      <c r="S166" s="29"/>
      <c r="T166" s="29"/>
      <c r="U166" s="30">
        <f t="shared" si="10"/>
        <v>4</v>
      </c>
      <c r="V166" s="31">
        <f t="shared" si="11"/>
        <v>0</v>
      </c>
    </row>
    <row r="167" spans="1:22" ht="14.25" hidden="1" customHeight="1" x14ac:dyDescent="0.3">
      <c r="A167" s="32">
        <v>160</v>
      </c>
      <c r="B167" s="26" t="s">
        <v>211</v>
      </c>
      <c r="C167" s="27" t="str">
        <f t="shared" si="8"/>
        <v>Feminino</v>
      </c>
      <c r="D167" s="33" t="str">
        <f>IFERROR(INDEX(SKUs!$E$6:$E$1997,MATCH(B167,SKUs!$C$6:$C$1997,0)),"")</f>
        <v>CAMISETA</v>
      </c>
      <c r="E167" s="28" t="str">
        <f>IFERROR(VLOOKUP(D167,Configurações!$N$5:$O$46,2,FALSE()),"OUTROS")</f>
        <v>VESTUÁRIO</v>
      </c>
      <c r="F167" s="33" t="str">
        <f>IFERROR(INDEX(SKUs!$F$6:$F$1997,MATCH(B167,SKUs!$C$6:$C$1997,0)),"")</f>
        <v>CAMISETA COPA FEM.</v>
      </c>
      <c r="G167" s="33" t="str">
        <f>IFERROR(INDEX(SKUs!$G$6:$G$1997,MATCH(B167,SKUs!$C$6:$C$1997,0)),"")</f>
        <v>VERDE</v>
      </c>
      <c r="H167" s="32" t="str">
        <f>IFERROR(INDEX(SKUs!$H$6:$H$1997,MATCH(B167,SKUs!$C$6:$C$1997,0)),"")</f>
        <v>GG</v>
      </c>
      <c r="I167" s="34" t="str">
        <f>IFERROR(INDEX(SKUs!#REF!,MATCH(B167,SKUs!$C$6:$C$1997,0)),"")</f>
        <v/>
      </c>
      <c r="J167" s="35">
        <f>SUMIFS(SKUs!$I$6:$I$1997,SKUs!$C$6:$C$1997,B167)</f>
        <v>0</v>
      </c>
      <c r="K167" s="34">
        <f t="shared" si="9"/>
        <v>0</v>
      </c>
      <c r="L167" s="35">
        <f>COUNTIF(SKUs!$C$6:$C$1997,B167)</f>
        <v>1</v>
      </c>
      <c r="M167" s="29">
        <v>5</v>
      </c>
      <c r="N167" s="29"/>
      <c r="O167" s="29"/>
      <c r="P167" s="29"/>
      <c r="Q167" s="29"/>
      <c r="R167" s="29"/>
      <c r="S167" s="29"/>
      <c r="T167" s="29"/>
      <c r="U167" s="30">
        <f t="shared" si="10"/>
        <v>5</v>
      </c>
      <c r="V167" s="31">
        <f t="shared" si="11"/>
        <v>0</v>
      </c>
    </row>
    <row r="168" spans="1:22" ht="14.25" hidden="1" customHeight="1" x14ac:dyDescent="0.3">
      <c r="A168" s="25">
        <v>161</v>
      </c>
      <c r="B168" s="26" t="s">
        <v>212</v>
      </c>
      <c r="C168" s="27" t="str">
        <f t="shared" si="8"/>
        <v>Feminino</v>
      </c>
      <c r="D168" s="2" t="str">
        <f>IFERROR(INDEX(SKUs!$E$6:$E$1997,MATCH(B168,SKUs!$C$6:$C$1997,0)),"")</f>
        <v>CAMISETA</v>
      </c>
      <c r="E168" s="28" t="str">
        <f>IFERROR(VLOOKUP(D168,Configurações!$N$5:$O$46,2,FALSE()),"OUTROS")</f>
        <v>VESTUÁRIO</v>
      </c>
      <c r="F168" s="2" t="str">
        <f>IFERROR(INDEX(SKUs!$F$6:$F$1997,MATCH(B168,SKUs!$C$6:$C$1997,0)),"")</f>
        <v>CAMISETA COPA FEM.</v>
      </c>
      <c r="G168" s="2" t="str">
        <f>IFERROR(INDEX(SKUs!$G$6:$G$1997,MATCH(B168,SKUs!$C$6:$C$1997,0)),"")</f>
        <v>VERDE</v>
      </c>
      <c r="H168" s="25" t="str">
        <f>IFERROR(INDEX(SKUs!$H$6:$H$1997,MATCH(B168,SKUs!$C$6:$C$1997,0)),"")</f>
        <v>XG</v>
      </c>
      <c r="I168" s="4" t="str">
        <f>IFERROR(INDEX(SKUs!#REF!,MATCH(B168,SKUs!$C$6:$C$1997,0)),"")</f>
        <v/>
      </c>
      <c r="J168" s="3">
        <f>SUMIFS(SKUs!$I$6:$I$1997,SKUs!$C$6:$C$1997,B168)</f>
        <v>0</v>
      </c>
      <c r="K168" s="4">
        <f t="shared" si="9"/>
        <v>0</v>
      </c>
      <c r="L168" s="3">
        <f>COUNTIF(SKUs!$C$6:$C$1997,B168)</f>
        <v>1</v>
      </c>
      <c r="M168" s="29">
        <v>6</v>
      </c>
      <c r="N168" s="29"/>
      <c r="O168" s="29"/>
      <c r="P168" s="29"/>
      <c r="Q168" s="29"/>
      <c r="R168" s="29"/>
      <c r="S168" s="29"/>
      <c r="T168" s="29"/>
      <c r="U168" s="30">
        <f t="shared" si="10"/>
        <v>6</v>
      </c>
      <c r="V168" s="31">
        <f t="shared" si="11"/>
        <v>0</v>
      </c>
    </row>
    <row r="169" spans="1:22" ht="14.25" hidden="1" customHeight="1" x14ac:dyDescent="0.3">
      <c r="A169" s="32">
        <v>162</v>
      </c>
      <c r="B169" s="26" t="s">
        <v>213</v>
      </c>
      <c r="C169" s="27" t="str">
        <f t="shared" si="8"/>
        <v>Feminino</v>
      </c>
      <c r="D169" s="33" t="str">
        <f>IFERROR(INDEX(SKUs!$E$6:$E$1997,MATCH(B169,SKUs!$C$6:$C$1997,0)),"")</f>
        <v>POLO</v>
      </c>
      <c r="E169" s="28" t="str">
        <f>IFERROR(VLOOKUP(D169,Configurações!$N$5:$O$46,2,FALSE()),"OUTROS")</f>
        <v>VESTUÁRIO</v>
      </c>
      <c r="F169" s="33" t="str">
        <f>IFERROR(INDEX(SKUs!$F$6:$F$1997,MATCH(B169,SKUs!$C$6:$C$1997,0)),"")</f>
        <v>POLO BTG EM COTTON</v>
      </c>
      <c r="G169" s="33" t="str">
        <f>IFERROR(INDEX(SKUs!$G$6:$G$1997,MATCH(B169,SKUs!$C$6:$C$1997,0)),"")</f>
        <v>PRETA</v>
      </c>
      <c r="H169" s="32" t="str">
        <f>IFERROR(INDEX(SKUs!$H$6:$H$1997,MATCH(B169,SKUs!$C$6:$C$1997,0)),"")</f>
        <v>PP</v>
      </c>
      <c r="I169" s="34" t="str">
        <f>IFERROR(INDEX(SKUs!#REF!,MATCH(B169,SKUs!$C$6:$C$1997,0)),"")</f>
        <v/>
      </c>
      <c r="J169" s="35">
        <f>SUMIFS(SKUs!$I$6:$I$1997,SKUs!$C$6:$C$1997,B169)</f>
        <v>0</v>
      </c>
      <c r="K169" s="34">
        <f t="shared" si="9"/>
        <v>0</v>
      </c>
      <c r="L169" s="35">
        <f>COUNTIF(SKUs!$C$6:$C$1997,B169)</f>
        <v>1</v>
      </c>
      <c r="M169" s="29">
        <v>7</v>
      </c>
      <c r="N169" s="29"/>
      <c r="O169" s="29"/>
      <c r="P169" s="29"/>
      <c r="Q169" s="29"/>
      <c r="R169" s="29"/>
      <c r="S169" s="29"/>
      <c r="T169" s="29"/>
      <c r="U169" s="30">
        <f t="shared" si="10"/>
        <v>7</v>
      </c>
      <c r="V169" s="31">
        <f t="shared" si="11"/>
        <v>0</v>
      </c>
    </row>
    <row r="170" spans="1:22" ht="14.25" hidden="1" customHeight="1" x14ac:dyDescent="0.3">
      <c r="A170" s="25">
        <v>163</v>
      </c>
      <c r="B170" s="26" t="s">
        <v>214</v>
      </c>
      <c r="C170" s="27" t="str">
        <f t="shared" si="8"/>
        <v>Feminino</v>
      </c>
      <c r="D170" s="2" t="str">
        <f>IFERROR(INDEX(SKUs!$E$6:$E$1997,MATCH(B170,SKUs!$C$6:$C$1997,0)),"")</f>
        <v>POLO</v>
      </c>
      <c r="E170" s="28" t="str">
        <f>IFERROR(VLOOKUP(D170,Configurações!$N$5:$O$46,2,FALSE()),"OUTROS")</f>
        <v>VESTUÁRIO</v>
      </c>
      <c r="F170" s="2" t="str">
        <f>IFERROR(INDEX(SKUs!$F$6:$F$1997,MATCH(B170,SKUs!$C$6:$C$1997,0)),"")</f>
        <v>POLO BTG EM COTTON</v>
      </c>
      <c r="G170" s="2" t="str">
        <f>IFERROR(INDEX(SKUs!$G$6:$G$1997,MATCH(B170,SKUs!$C$6:$C$1997,0)),"")</f>
        <v>PRETA</v>
      </c>
      <c r="H170" s="25" t="str">
        <f>IFERROR(INDEX(SKUs!$H$6:$H$1997,MATCH(B170,SKUs!$C$6:$C$1997,0)),"")</f>
        <v>PP</v>
      </c>
      <c r="I170" s="4" t="str">
        <f>IFERROR(INDEX(SKUs!#REF!,MATCH(B170,SKUs!$C$6:$C$1997,0)),"")</f>
        <v/>
      </c>
      <c r="J170" s="3">
        <f>SUMIFS(SKUs!$I$6:$I$1997,SKUs!$C$6:$C$1997,B170)</f>
        <v>0</v>
      </c>
      <c r="K170" s="4">
        <f t="shared" si="9"/>
        <v>0</v>
      </c>
      <c r="L170" s="3">
        <f>COUNTIF(SKUs!$C$6:$C$1997,B170)</f>
        <v>1</v>
      </c>
      <c r="M170" s="29">
        <v>13</v>
      </c>
      <c r="N170" s="29"/>
      <c r="O170" s="29"/>
      <c r="P170" s="29"/>
      <c r="Q170" s="29"/>
      <c r="R170" s="29"/>
      <c r="S170" s="29"/>
      <c r="T170" s="29"/>
      <c r="U170" s="30">
        <f t="shared" si="10"/>
        <v>13</v>
      </c>
      <c r="V170" s="31">
        <f t="shared" si="11"/>
        <v>0</v>
      </c>
    </row>
    <row r="171" spans="1:22" ht="14.25" hidden="1" customHeight="1" x14ac:dyDescent="0.3">
      <c r="A171" s="32">
        <v>164</v>
      </c>
      <c r="B171" s="26" t="s">
        <v>215</v>
      </c>
      <c r="C171" s="27" t="str">
        <f t="shared" si="8"/>
        <v>Feminino</v>
      </c>
      <c r="D171" s="33" t="str">
        <f>IFERROR(INDEX(SKUs!$E$6:$E$1997,MATCH(B171,SKUs!$C$6:$C$1997,0)),"")</f>
        <v>POLO</v>
      </c>
      <c r="E171" s="28" t="str">
        <f>IFERROR(VLOOKUP(D171,Configurações!$N$5:$O$46,2,FALSE()),"OUTROS")</f>
        <v>VESTUÁRIO</v>
      </c>
      <c r="F171" s="33" t="str">
        <f>IFERROR(INDEX(SKUs!$F$6:$F$1997,MATCH(B171,SKUs!$C$6:$C$1997,0)),"")</f>
        <v>POLO BTG EM COTTON</v>
      </c>
      <c r="G171" s="33" t="str">
        <f>IFERROR(INDEX(SKUs!$G$6:$G$1997,MATCH(B171,SKUs!$C$6:$C$1997,0)),"")</f>
        <v>PRETA</v>
      </c>
      <c r="H171" s="32" t="str">
        <f>IFERROR(INDEX(SKUs!$H$6:$H$1997,MATCH(B171,SKUs!$C$6:$C$1997,0)),"")</f>
        <v>M</v>
      </c>
      <c r="I171" s="34" t="str">
        <f>IFERROR(INDEX(SKUs!#REF!,MATCH(B171,SKUs!$C$6:$C$1997,0)),"")</f>
        <v/>
      </c>
      <c r="J171" s="35">
        <f>SUMIFS(SKUs!$I$6:$I$1997,SKUs!$C$6:$C$1997,B171)</f>
        <v>0</v>
      </c>
      <c r="K171" s="34">
        <f t="shared" si="9"/>
        <v>0</v>
      </c>
      <c r="L171" s="35">
        <f>COUNTIF(SKUs!$C$6:$C$1997,B171)</f>
        <v>1</v>
      </c>
      <c r="M171" s="29">
        <v>14</v>
      </c>
      <c r="N171" s="29"/>
      <c r="O171" s="29"/>
      <c r="P171" s="29"/>
      <c r="Q171" s="29"/>
      <c r="R171" s="29"/>
      <c r="S171" s="29"/>
      <c r="T171" s="29"/>
      <c r="U171" s="30">
        <f t="shared" si="10"/>
        <v>14</v>
      </c>
      <c r="V171" s="31">
        <f t="shared" si="11"/>
        <v>0</v>
      </c>
    </row>
    <row r="172" spans="1:22" ht="14.25" hidden="1" customHeight="1" x14ac:dyDescent="0.3">
      <c r="A172" s="25">
        <v>165</v>
      </c>
      <c r="B172" s="26" t="s">
        <v>216</v>
      </c>
      <c r="C172" s="27" t="str">
        <f t="shared" si="8"/>
        <v>Feminino</v>
      </c>
      <c r="D172" s="2" t="str">
        <f>IFERROR(INDEX(SKUs!$E$6:$E$1997,MATCH(B172,SKUs!$C$6:$C$1997,0)),"")</f>
        <v>POLO</v>
      </c>
      <c r="E172" s="28" t="str">
        <f>IFERROR(VLOOKUP(D172,Configurações!$N$5:$O$46,2,FALSE()),"OUTROS")</f>
        <v>VESTUÁRIO</v>
      </c>
      <c r="F172" s="2" t="str">
        <f>IFERROR(INDEX(SKUs!$F$6:$F$1997,MATCH(B172,SKUs!$C$6:$C$1997,0)),"")</f>
        <v>POLO BTG EM COTTON</v>
      </c>
      <c r="G172" s="2" t="str">
        <f>IFERROR(INDEX(SKUs!$G$6:$G$1997,MATCH(B172,SKUs!$C$6:$C$1997,0)),"")</f>
        <v>PRETA</v>
      </c>
      <c r="H172" s="25" t="str">
        <f>IFERROR(INDEX(SKUs!$H$6:$H$1997,MATCH(B172,SKUs!$C$6:$C$1997,0)),"")</f>
        <v>G</v>
      </c>
      <c r="I172" s="4" t="str">
        <f>IFERROR(INDEX(SKUs!#REF!,MATCH(B172,SKUs!$C$6:$C$1997,0)),"")</f>
        <v/>
      </c>
      <c r="J172" s="3">
        <f>SUMIFS(SKUs!$I$6:$I$1997,SKUs!$C$6:$C$1997,B172)</f>
        <v>0</v>
      </c>
      <c r="K172" s="4">
        <f t="shared" si="9"/>
        <v>0</v>
      </c>
      <c r="L172" s="3">
        <f>COUNTIF(SKUs!$C$6:$C$1997,B172)</f>
        <v>1</v>
      </c>
      <c r="M172" s="29">
        <v>9</v>
      </c>
      <c r="N172" s="29"/>
      <c r="O172" s="29"/>
      <c r="P172" s="29"/>
      <c r="Q172" s="29"/>
      <c r="R172" s="29"/>
      <c r="S172" s="29"/>
      <c r="T172" s="29"/>
      <c r="U172" s="30">
        <f t="shared" si="10"/>
        <v>9</v>
      </c>
      <c r="V172" s="31">
        <f t="shared" si="11"/>
        <v>0</v>
      </c>
    </row>
    <row r="173" spans="1:22" ht="14.25" hidden="1" customHeight="1" x14ac:dyDescent="0.3">
      <c r="A173" s="32">
        <v>166</v>
      </c>
      <c r="B173" s="26" t="s">
        <v>217</v>
      </c>
      <c r="C173" s="27" t="str">
        <f t="shared" si="8"/>
        <v>Feminino</v>
      </c>
      <c r="D173" s="33" t="str">
        <f>IFERROR(INDEX(SKUs!$E$6:$E$1997,MATCH(B173,SKUs!$C$6:$C$1997,0)),"")</f>
        <v>POLO</v>
      </c>
      <c r="E173" s="28" t="str">
        <f>IFERROR(VLOOKUP(D173,Configurações!$N$5:$O$46,2,FALSE()),"OUTROS")</f>
        <v>VESTUÁRIO</v>
      </c>
      <c r="F173" s="33" t="str">
        <f>IFERROR(INDEX(SKUs!$F$6:$F$1997,MATCH(B173,SKUs!$C$6:$C$1997,0)),"")</f>
        <v>POLO BTG EM COTTON</v>
      </c>
      <c r="G173" s="33" t="str">
        <f>IFERROR(INDEX(SKUs!$G$6:$G$1997,MATCH(B173,SKUs!$C$6:$C$1997,0)),"")</f>
        <v>PRETA</v>
      </c>
      <c r="H173" s="32" t="str">
        <f>IFERROR(INDEX(SKUs!$H$6:$H$1997,MATCH(B173,SKUs!$C$6:$C$1997,0)),"")</f>
        <v>GG</v>
      </c>
      <c r="I173" s="34" t="str">
        <f>IFERROR(INDEX(SKUs!#REF!,MATCH(B173,SKUs!$C$6:$C$1997,0)),"")</f>
        <v/>
      </c>
      <c r="J173" s="35">
        <f>SUMIFS(SKUs!$I$6:$I$1997,SKUs!$C$6:$C$1997,B173)</f>
        <v>0</v>
      </c>
      <c r="K173" s="34">
        <f t="shared" si="9"/>
        <v>0</v>
      </c>
      <c r="L173" s="35">
        <f>COUNTIF(SKUs!$C$6:$C$1997,B173)</f>
        <v>1</v>
      </c>
      <c r="M173" s="29">
        <v>5</v>
      </c>
      <c r="N173" s="29"/>
      <c r="O173" s="29"/>
      <c r="P173" s="29"/>
      <c r="Q173" s="29"/>
      <c r="R173" s="29"/>
      <c r="S173" s="29"/>
      <c r="T173" s="29"/>
      <c r="U173" s="30">
        <f t="shared" si="10"/>
        <v>5</v>
      </c>
      <c r="V173" s="31">
        <f t="shared" si="11"/>
        <v>0</v>
      </c>
    </row>
    <row r="174" spans="1:22" ht="14.25" hidden="1" customHeight="1" x14ac:dyDescent="0.3">
      <c r="A174" s="25">
        <v>167</v>
      </c>
      <c r="B174" s="26" t="s">
        <v>218</v>
      </c>
      <c r="C174" s="27" t="str">
        <f t="shared" si="8"/>
        <v>Feminino</v>
      </c>
      <c r="D174" s="2" t="str">
        <f>IFERROR(INDEX(SKUs!$E$6:$E$1997,MATCH(B174,SKUs!$C$6:$C$1997,0)),"")</f>
        <v>POLO</v>
      </c>
      <c r="E174" s="28" t="str">
        <f>IFERROR(VLOOKUP(D174,Configurações!$N$5:$O$46,2,FALSE()),"OUTROS")</f>
        <v>VESTUÁRIO</v>
      </c>
      <c r="F174" s="2" t="str">
        <f>IFERROR(INDEX(SKUs!$F$6:$F$1997,MATCH(B174,SKUs!$C$6:$C$1997,0)),"")</f>
        <v>POLO BTG EM COTTON</v>
      </c>
      <c r="G174" s="2" t="str">
        <f>IFERROR(INDEX(SKUs!$G$6:$G$1997,MATCH(B174,SKUs!$C$6:$C$1997,0)),"")</f>
        <v>PRETA</v>
      </c>
      <c r="H174" s="25" t="str">
        <f>IFERROR(INDEX(SKUs!$H$6:$H$1997,MATCH(B174,SKUs!$C$6:$C$1997,0)),"")</f>
        <v>XG</v>
      </c>
      <c r="I174" s="4" t="str">
        <f>IFERROR(INDEX(SKUs!#REF!,MATCH(B174,SKUs!$C$6:$C$1997,0)),"")</f>
        <v/>
      </c>
      <c r="J174" s="3">
        <f>SUMIFS(SKUs!$I$6:$I$1997,SKUs!$C$6:$C$1997,B174)</f>
        <v>3</v>
      </c>
      <c r="K174" s="4">
        <f t="shared" si="9"/>
        <v>0</v>
      </c>
      <c r="L174" s="3">
        <f>COUNTIF(SKUs!$C$6:$C$1997,B174)</f>
        <v>1</v>
      </c>
      <c r="M174" s="29">
        <v>5</v>
      </c>
      <c r="N174" s="29"/>
      <c r="O174" s="29"/>
      <c r="P174" s="29"/>
      <c r="Q174" s="29"/>
      <c r="R174" s="29"/>
      <c r="S174" s="29"/>
      <c r="T174" s="29"/>
      <c r="U174" s="30">
        <f t="shared" si="10"/>
        <v>5</v>
      </c>
      <c r="V174" s="31">
        <f t="shared" si="11"/>
        <v>3</v>
      </c>
    </row>
    <row r="175" spans="1:22" ht="14.25" hidden="1" customHeight="1" x14ac:dyDescent="0.3">
      <c r="A175" s="32">
        <v>168</v>
      </c>
      <c r="B175" s="26" t="s">
        <v>219</v>
      </c>
      <c r="C175" s="27" t="str">
        <f t="shared" si="8"/>
        <v>Feminino</v>
      </c>
      <c r="D175" s="33" t="str">
        <f>IFERROR(INDEX(SKUs!$E$6:$E$1997,MATCH(B175,SKUs!$C$6:$C$1997,0)),"")</f>
        <v>POLO</v>
      </c>
      <c r="E175" s="28" t="str">
        <f>IFERROR(VLOOKUP(D175,Configurações!$N$5:$O$46,2,FALSE()),"OUTROS")</f>
        <v>VESTUÁRIO</v>
      </c>
      <c r="F175" s="33" t="str">
        <f>IFERROR(INDEX(SKUs!$F$6:$F$1997,MATCH(B175,SKUs!$C$6:$C$1997,0)),"")</f>
        <v>POLO PIQUET FEM.</v>
      </c>
      <c r="G175" s="33" t="str">
        <f>IFERROR(INDEX(SKUs!$G$6:$G$1997,MATCH(B175,SKUs!$C$6:$C$1997,0)),"")</f>
        <v>INDIGO</v>
      </c>
      <c r="H175" s="32" t="str">
        <f>IFERROR(INDEX(SKUs!$H$6:$H$1997,MATCH(B175,SKUs!$C$6:$C$1997,0)),"")</f>
        <v>PP</v>
      </c>
      <c r="I175" s="34" t="str">
        <f>IFERROR(INDEX(SKUs!#REF!,MATCH(B175,SKUs!$C$6:$C$1997,0)),"")</f>
        <v/>
      </c>
      <c r="J175" s="35">
        <f>SUMIFS(SKUs!$I$6:$I$1997,SKUs!$C$6:$C$1997,B175)</f>
        <v>0</v>
      </c>
      <c r="K175" s="34">
        <f t="shared" si="9"/>
        <v>0</v>
      </c>
      <c r="L175" s="35">
        <f>COUNTIF(SKUs!$C$6:$C$1997,B175)</f>
        <v>1</v>
      </c>
      <c r="M175" s="29">
        <v>13</v>
      </c>
      <c r="N175" s="29"/>
      <c r="O175" s="29"/>
      <c r="P175" s="29"/>
      <c r="Q175" s="29"/>
      <c r="R175" s="29"/>
      <c r="S175" s="29"/>
      <c r="T175" s="29"/>
      <c r="U175" s="30">
        <f t="shared" si="10"/>
        <v>13</v>
      </c>
      <c r="V175" s="31">
        <f t="shared" si="11"/>
        <v>0</v>
      </c>
    </row>
    <row r="176" spans="1:22" ht="14.25" hidden="1" customHeight="1" x14ac:dyDescent="0.3">
      <c r="A176" s="25">
        <v>169</v>
      </c>
      <c r="B176" s="26" t="s">
        <v>220</v>
      </c>
      <c r="C176" s="27" t="str">
        <f t="shared" si="8"/>
        <v>Feminino</v>
      </c>
      <c r="D176" s="2" t="str">
        <f>IFERROR(INDEX(SKUs!$E$6:$E$1997,MATCH(B176,SKUs!$C$6:$C$1997,0)),"")</f>
        <v>POLO</v>
      </c>
      <c r="E176" s="28" t="str">
        <f>IFERROR(VLOOKUP(D176,Configurações!$N$5:$O$46,2,FALSE()),"OUTROS")</f>
        <v>VESTUÁRIO</v>
      </c>
      <c r="F176" s="2" t="str">
        <f>IFERROR(INDEX(SKUs!$F$6:$F$1997,MATCH(B176,SKUs!$C$6:$C$1997,0)),"")</f>
        <v>POLO PIQUET FEM.</v>
      </c>
      <c r="G176" s="2" t="str">
        <f>IFERROR(INDEX(SKUs!$G$6:$G$1997,MATCH(B176,SKUs!$C$6:$C$1997,0)),"")</f>
        <v>INDIGO</v>
      </c>
      <c r="H176" s="25" t="str">
        <f>IFERROR(INDEX(SKUs!$H$6:$H$1997,MATCH(B176,SKUs!$C$6:$C$1997,0)),"")</f>
        <v>P</v>
      </c>
      <c r="I176" s="4" t="str">
        <f>IFERROR(INDEX(SKUs!#REF!,MATCH(B176,SKUs!$C$6:$C$1997,0)),"")</f>
        <v/>
      </c>
      <c r="J176" s="3">
        <f>SUMIFS(SKUs!$I$6:$I$1997,SKUs!$C$6:$C$1997,B176)</f>
        <v>0</v>
      </c>
      <c r="K176" s="4">
        <f t="shared" si="9"/>
        <v>0</v>
      </c>
      <c r="L176" s="3">
        <f>COUNTIF(SKUs!$C$6:$C$1997,B176)</f>
        <v>1</v>
      </c>
      <c r="M176" s="29">
        <v>11</v>
      </c>
      <c r="N176" s="29"/>
      <c r="O176" s="29"/>
      <c r="P176" s="29"/>
      <c r="Q176" s="29"/>
      <c r="R176" s="29"/>
      <c r="S176" s="29"/>
      <c r="T176" s="29"/>
      <c r="U176" s="30">
        <f t="shared" si="10"/>
        <v>11</v>
      </c>
      <c r="V176" s="31">
        <f t="shared" si="11"/>
        <v>0</v>
      </c>
    </row>
    <row r="177" spans="1:22" ht="14.25" hidden="1" customHeight="1" x14ac:dyDescent="0.3">
      <c r="A177" s="32">
        <v>170</v>
      </c>
      <c r="B177" s="26" t="s">
        <v>221</v>
      </c>
      <c r="C177" s="27" t="str">
        <f t="shared" si="8"/>
        <v>Feminino</v>
      </c>
      <c r="D177" s="33" t="str">
        <f>IFERROR(INDEX(SKUs!$E$6:$E$1997,MATCH(B177,SKUs!$C$6:$C$1997,0)),"")</f>
        <v>POLO</v>
      </c>
      <c r="E177" s="28" t="str">
        <f>IFERROR(VLOOKUP(D177,Configurações!$N$5:$O$46,2,FALSE()),"OUTROS")</f>
        <v>VESTUÁRIO</v>
      </c>
      <c r="F177" s="33" t="str">
        <f>IFERROR(INDEX(SKUs!$F$6:$F$1997,MATCH(B177,SKUs!$C$6:$C$1997,0)),"")</f>
        <v>POLO PIQUET FEM.</v>
      </c>
      <c r="G177" s="33" t="str">
        <f>IFERROR(INDEX(SKUs!$G$6:$G$1997,MATCH(B177,SKUs!$C$6:$C$1997,0)),"")</f>
        <v>INDIGO</v>
      </c>
      <c r="H177" s="32" t="str">
        <f>IFERROR(INDEX(SKUs!$H$6:$H$1997,MATCH(B177,SKUs!$C$6:$C$1997,0)),"")</f>
        <v>M</v>
      </c>
      <c r="I177" s="34" t="str">
        <f>IFERROR(INDEX(SKUs!#REF!,MATCH(B177,SKUs!$C$6:$C$1997,0)),"")</f>
        <v/>
      </c>
      <c r="J177" s="35">
        <f>SUMIFS(SKUs!$I$6:$I$1997,SKUs!$C$6:$C$1997,B177)</f>
        <v>0</v>
      </c>
      <c r="K177" s="34">
        <f t="shared" si="9"/>
        <v>0</v>
      </c>
      <c r="L177" s="35">
        <f>COUNTIF(SKUs!$C$6:$C$1997,B177)</f>
        <v>1</v>
      </c>
      <c r="M177" s="29">
        <v>10</v>
      </c>
      <c r="N177" s="29"/>
      <c r="O177" s="29"/>
      <c r="P177" s="29"/>
      <c r="Q177" s="29"/>
      <c r="R177" s="29"/>
      <c r="S177" s="29"/>
      <c r="T177" s="29"/>
      <c r="U177" s="30">
        <f t="shared" si="10"/>
        <v>10</v>
      </c>
      <c r="V177" s="31">
        <f t="shared" si="11"/>
        <v>0</v>
      </c>
    </row>
    <row r="178" spans="1:22" ht="14.25" hidden="1" customHeight="1" x14ac:dyDescent="0.3">
      <c r="A178" s="25">
        <v>171</v>
      </c>
      <c r="B178" s="26" t="s">
        <v>222</v>
      </c>
      <c r="C178" s="27" t="str">
        <f t="shared" si="8"/>
        <v>Feminino</v>
      </c>
      <c r="D178" s="2" t="str">
        <f>IFERROR(INDEX(SKUs!$E$6:$E$1997,MATCH(B178,SKUs!$C$6:$C$1997,0)),"")</f>
        <v>POLO</v>
      </c>
      <c r="E178" s="28" t="str">
        <f>IFERROR(VLOOKUP(D178,Configurações!$N$5:$O$46,2,FALSE()),"OUTROS")</f>
        <v>VESTUÁRIO</v>
      </c>
      <c r="F178" s="2" t="str">
        <f>IFERROR(INDEX(SKUs!$F$6:$F$1997,MATCH(B178,SKUs!$C$6:$C$1997,0)),"")</f>
        <v>POLO PIQUET FEM.</v>
      </c>
      <c r="G178" s="2" t="str">
        <f>IFERROR(INDEX(SKUs!$G$6:$G$1997,MATCH(B178,SKUs!$C$6:$C$1997,0)),"")</f>
        <v>INDIGO</v>
      </c>
      <c r="H178" s="25" t="str">
        <f>IFERROR(INDEX(SKUs!$H$6:$H$1997,MATCH(B178,SKUs!$C$6:$C$1997,0)),"")</f>
        <v>G</v>
      </c>
      <c r="I178" s="4" t="str">
        <f>IFERROR(INDEX(SKUs!#REF!,MATCH(B178,SKUs!$C$6:$C$1997,0)),"")</f>
        <v/>
      </c>
      <c r="J178" s="3">
        <f>SUMIFS(SKUs!$I$6:$I$1997,SKUs!$C$6:$C$1997,B178)</f>
        <v>0</v>
      </c>
      <c r="K178" s="4">
        <f t="shared" si="9"/>
        <v>0</v>
      </c>
      <c r="L178" s="3">
        <f>COUNTIF(SKUs!$C$6:$C$1997,B178)</f>
        <v>1</v>
      </c>
      <c r="M178" s="29">
        <v>12</v>
      </c>
      <c r="N178" s="29"/>
      <c r="O178" s="29"/>
      <c r="P178" s="29"/>
      <c r="Q178" s="29"/>
      <c r="R178" s="29"/>
      <c r="S178" s="29"/>
      <c r="T178" s="29"/>
      <c r="U178" s="30">
        <f t="shared" si="10"/>
        <v>12</v>
      </c>
      <c r="V178" s="31">
        <f t="shared" si="11"/>
        <v>0</v>
      </c>
    </row>
    <row r="179" spans="1:22" ht="14.25" hidden="1" customHeight="1" x14ac:dyDescent="0.3">
      <c r="A179" s="32">
        <v>172</v>
      </c>
      <c r="B179" s="26" t="s">
        <v>223</v>
      </c>
      <c r="C179" s="27" t="str">
        <f t="shared" si="8"/>
        <v>Feminino</v>
      </c>
      <c r="D179" s="33" t="str">
        <f>IFERROR(INDEX(SKUs!$E$6:$E$1997,MATCH(B179,SKUs!$C$6:$C$1997,0)),"")</f>
        <v>POLO</v>
      </c>
      <c r="E179" s="28" t="str">
        <f>IFERROR(VLOOKUP(D179,Configurações!$N$5:$O$46,2,FALSE()),"OUTROS")</f>
        <v>VESTUÁRIO</v>
      </c>
      <c r="F179" s="33" t="str">
        <f>IFERROR(INDEX(SKUs!$F$6:$F$1997,MATCH(B179,SKUs!$C$6:$C$1997,0)),"")</f>
        <v>POLO PIQUET FEM.</v>
      </c>
      <c r="G179" s="33" t="str">
        <f>IFERROR(INDEX(SKUs!$G$6:$G$1997,MATCH(B179,SKUs!$C$6:$C$1997,0)),"")</f>
        <v>INDIGO</v>
      </c>
      <c r="H179" s="32" t="str">
        <f>IFERROR(INDEX(SKUs!$H$6:$H$1997,MATCH(B179,SKUs!$C$6:$C$1997,0)),"")</f>
        <v>GG</v>
      </c>
      <c r="I179" s="34" t="str">
        <f>IFERROR(INDEX(SKUs!#REF!,MATCH(B179,SKUs!$C$6:$C$1997,0)),"")</f>
        <v/>
      </c>
      <c r="J179" s="35">
        <f>SUMIFS(SKUs!$I$6:$I$1997,SKUs!$C$6:$C$1997,B179)</f>
        <v>0</v>
      </c>
      <c r="K179" s="34">
        <f t="shared" si="9"/>
        <v>0</v>
      </c>
      <c r="L179" s="35">
        <f>COUNTIF(SKUs!$C$6:$C$1997,B179)</f>
        <v>1</v>
      </c>
      <c r="M179" s="29">
        <v>8</v>
      </c>
      <c r="N179" s="29"/>
      <c r="O179" s="29"/>
      <c r="P179" s="29"/>
      <c r="Q179" s="29"/>
      <c r="R179" s="29"/>
      <c r="S179" s="29"/>
      <c r="T179" s="29"/>
      <c r="U179" s="30">
        <f t="shared" si="10"/>
        <v>8</v>
      </c>
      <c r="V179" s="31">
        <f t="shared" si="11"/>
        <v>0</v>
      </c>
    </row>
    <row r="180" spans="1:22" ht="14.25" hidden="1" customHeight="1" x14ac:dyDescent="0.3">
      <c r="A180" s="25">
        <v>173</v>
      </c>
      <c r="B180" s="26" t="s">
        <v>224</v>
      </c>
      <c r="C180" s="27" t="str">
        <f t="shared" si="8"/>
        <v>Feminino</v>
      </c>
      <c r="D180" s="2" t="str">
        <f>IFERROR(INDEX(SKUs!$E$6:$E$1997,MATCH(B180,SKUs!$C$6:$C$1997,0)),"")</f>
        <v>POLO</v>
      </c>
      <c r="E180" s="28" t="str">
        <f>IFERROR(VLOOKUP(D180,Configurações!$N$5:$O$46,2,FALSE()),"OUTROS")</f>
        <v>VESTUÁRIO</v>
      </c>
      <c r="F180" s="2" t="str">
        <f>IFERROR(INDEX(SKUs!$F$6:$F$1997,MATCH(B180,SKUs!$C$6:$C$1997,0)),"")</f>
        <v>POLO PIQUET FEM.</v>
      </c>
      <c r="G180" s="2" t="str">
        <f>IFERROR(INDEX(SKUs!$G$6:$G$1997,MATCH(B180,SKUs!$C$6:$C$1997,0)),"")</f>
        <v>INDIGO</v>
      </c>
      <c r="H180" s="25" t="str">
        <f>IFERROR(INDEX(SKUs!$H$6:$H$1997,MATCH(B180,SKUs!$C$6:$C$1997,0)),"")</f>
        <v>XG</v>
      </c>
      <c r="I180" s="4" t="str">
        <f>IFERROR(INDEX(SKUs!#REF!,MATCH(B180,SKUs!$C$6:$C$1997,0)),"")</f>
        <v/>
      </c>
      <c r="J180" s="3">
        <f>SUMIFS(SKUs!$I$6:$I$1997,SKUs!$C$6:$C$1997,B180)</f>
        <v>0</v>
      </c>
      <c r="K180" s="4">
        <f t="shared" si="9"/>
        <v>0</v>
      </c>
      <c r="L180" s="3">
        <f>COUNTIF(SKUs!$C$6:$C$1997,B180)</f>
        <v>1</v>
      </c>
      <c r="M180" s="29">
        <v>10</v>
      </c>
      <c r="N180" s="29"/>
      <c r="O180" s="29"/>
      <c r="P180" s="29"/>
      <c r="Q180" s="29"/>
      <c r="R180" s="29"/>
      <c r="S180" s="29"/>
      <c r="T180" s="29"/>
      <c r="U180" s="30">
        <f t="shared" si="10"/>
        <v>10</v>
      </c>
      <c r="V180" s="31">
        <f t="shared" si="11"/>
        <v>0</v>
      </c>
    </row>
    <row r="181" spans="1:22" ht="14.25" hidden="1" customHeight="1" x14ac:dyDescent="0.3">
      <c r="A181" s="32">
        <v>174</v>
      </c>
      <c r="B181" s="26" t="s">
        <v>225</v>
      </c>
      <c r="C181" s="27" t="str">
        <f t="shared" si="8"/>
        <v>Feminino</v>
      </c>
      <c r="D181" s="33" t="str">
        <f>IFERROR(INDEX(SKUs!$E$6:$E$1997,MATCH(B181,SKUs!$C$6:$C$1997,0)),"")</f>
        <v>POLO</v>
      </c>
      <c r="E181" s="28" t="str">
        <f>IFERROR(VLOOKUP(D181,Configurações!$N$5:$O$46,2,FALSE()),"OUTROS")</f>
        <v>VESTUÁRIO</v>
      </c>
      <c r="F181" s="33" t="str">
        <f>IFERROR(INDEX(SKUs!$F$6:$F$1997,MATCH(B181,SKUs!$C$6:$C$1997,0)),"")</f>
        <v>POLO BATA FEM.</v>
      </c>
      <c r="G181" s="33" t="str">
        <f>IFERROR(INDEX(SKUs!$G$6:$G$1997,MATCH(B181,SKUs!$C$6:$C$1997,0)),"")</f>
        <v>BRANCA</v>
      </c>
      <c r="H181" s="32" t="str">
        <f>IFERROR(INDEX(SKUs!$H$6:$H$1997,MATCH(B181,SKUs!$C$6:$C$1997,0)),"")</f>
        <v>PP</v>
      </c>
      <c r="I181" s="34" t="str">
        <f>IFERROR(INDEX(SKUs!#REF!,MATCH(B181,SKUs!$C$6:$C$1997,0)),"")</f>
        <v/>
      </c>
      <c r="J181" s="35">
        <f>SUMIFS(SKUs!$I$6:$I$1997,SKUs!$C$6:$C$1997,B181)</f>
        <v>5</v>
      </c>
      <c r="K181" s="34">
        <f t="shared" si="9"/>
        <v>0</v>
      </c>
      <c r="L181" s="35">
        <f>COUNTIF(SKUs!$C$6:$C$1997,B181)</f>
        <v>1</v>
      </c>
      <c r="M181" s="29"/>
      <c r="N181" s="29"/>
      <c r="O181" s="29"/>
      <c r="P181" s="29"/>
      <c r="Q181" s="29"/>
      <c r="R181" s="29"/>
      <c r="S181" s="29"/>
      <c r="T181" s="29"/>
      <c r="U181" s="30">
        <f t="shared" si="10"/>
        <v>0</v>
      </c>
      <c r="V181" s="31">
        <f t="shared" si="11"/>
        <v>5</v>
      </c>
    </row>
    <row r="182" spans="1:22" ht="14.25" hidden="1" customHeight="1" x14ac:dyDescent="0.3">
      <c r="A182" s="25">
        <v>175</v>
      </c>
      <c r="B182" s="26" t="s">
        <v>226</v>
      </c>
      <c r="C182" s="27" t="str">
        <f t="shared" si="8"/>
        <v>Feminino</v>
      </c>
      <c r="D182" s="2" t="str">
        <f>IFERROR(INDEX(SKUs!$E$6:$E$1997,MATCH(B182,SKUs!$C$6:$C$1997,0)),"")</f>
        <v>POLO</v>
      </c>
      <c r="E182" s="28" t="str">
        <f>IFERROR(VLOOKUP(D182,Configurações!$N$5:$O$46,2,FALSE()),"OUTROS")</f>
        <v>VESTUÁRIO</v>
      </c>
      <c r="F182" s="2" t="str">
        <f>IFERROR(INDEX(SKUs!$F$6:$F$1997,MATCH(B182,SKUs!$C$6:$C$1997,0)),"")</f>
        <v>POLO BATA FEM.</v>
      </c>
      <c r="G182" s="2" t="str">
        <f>IFERROR(INDEX(SKUs!$G$6:$G$1997,MATCH(B182,SKUs!$C$6:$C$1997,0)),"")</f>
        <v>BRANCA</v>
      </c>
      <c r="H182" s="25" t="str">
        <f>IFERROR(INDEX(SKUs!$H$6:$H$1997,MATCH(B182,SKUs!$C$6:$C$1997,0)),"")</f>
        <v>P</v>
      </c>
      <c r="I182" s="4" t="str">
        <f>IFERROR(INDEX(SKUs!#REF!,MATCH(B182,SKUs!$C$6:$C$1997,0)),"")</f>
        <v/>
      </c>
      <c r="J182" s="3">
        <f>SUMIFS(SKUs!$I$6:$I$1997,SKUs!$C$6:$C$1997,B182)</f>
        <v>10</v>
      </c>
      <c r="K182" s="4">
        <f t="shared" si="9"/>
        <v>0</v>
      </c>
      <c r="L182" s="3">
        <f>COUNTIF(SKUs!$C$6:$C$1997,B182)</f>
        <v>1</v>
      </c>
      <c r="M182" s="29"/>
      <c r="N182" s="29"/>
      <c r="O182" s="29"/>
      <c r="P182" s="29"/>
      <c r="Q182" s="29"/>
      <c r="R182" s="29"/>
      <c r="S182" s="29"/>
      <c r="T182" s="29"/>
      <c r="U182" s="30">
        <f t="shared" si="10"/>
        <v>0</v>
      </c>
      <c r="V182" s="31">
        <f t="shared" si="11"/>
        <v>10</v>
      </c>
    </row>
    <row r="183" spans="1:22" ht="14.25" hidden="1" customHeight="1" x14ac:dyDescent="0.3">
      <c r="A183" s="32">
        <v>176</v>
      </c>
      <c r="B183" s="26" t="s">
        <v>227</v>
      </c>
      <c r="C183" s="27" t="str">
        <f t="shared" si="8"/>
        <v>Feminino</v>
      </c>
      <c r="D183" s="33" t="str">
        <f>IFERROR(INDEX(SKUs!$E$6:$E$1997,MATCH(B183,SKUs!$C$6:$C$1997,0)),"")</f>
        <v>POLO</v>
      </c>
      <c r="E183" s="28" t="str">
        <f>IFERROR(VLOOKUP(D183,Configurações!$N$5:$O$46,2,FALSE()),"OUTROS")</f>
        <v>VESTUÁRIO</v>
      </c>
      <c r="F183" s="33" t="str">
        <f>IFERROR(INDEX(SKUs!$F$6:$F$1997,MATCH(B183,SKUs!$C$6:$C$1997,0)),"")</f>
        <v>POLO BATA FEM.</v>
      </c>
      <c r="G183" s="33" t="str">
        <f>IFERROR(INDEX(SKUs!$G$6:$G$1997,MATCH(B183,SKUs!$C$6:$C$1997,0)),"")</f>
        <v>BRANCA</v>
      </c>
      <c r="H183" s="32" t="str">
        <f>IFERROR(INDEX(SKUs!$H$6:$H$1997,MATCH(B183,SKUs!$C$6:$C$1997,0)),"")</f>
        <v>M</v>
      </c>
      <c r="I183" s="34" t="str">
        <f>IFERROR(INDEX(SKUs!#REF!,MATCH(B183,SKUs!$C$6:$C$1997,0)),"")</f>
        <v/>
      </c>
      <c r="J183" s="35">
        <f>SUMIFS(SKUs!$I$6:$I$1997,SKUs!$C$6:$C$1997,B183)</f>
        <v>9</v>
      </c>
      <c r="K183" s="34">
        <f t="shared" si="9"/>
        <v>0</v>
      </c>
      <c r="L183" s="35">
        <f>COUNTIF(SKUs!$C$6:$C$1997,B183)</f>
        <v>1</v>
      </c>
      <c r="M183" s="29"/>
      <c r="N183" s="29"/>
      <c r="O183" s="29"/>
      <c r="P183" s="29"/>
      <c r="Q183" s="29"/>
      <c r="R183" s="29"/>
      <c r="S183" s="29"/>
      <c r="T183" s="29"/>
      <c r="U183" s="30">
        <f t="shared" si="10"/>
        <v>0</v>
      </c>
      <c r="V183" s="31">
        <f t="shared" si="11"/>
        <v>9</v>
      </c>
    </row>
    <row r="184" spans="1:22" ht="14.25" hidden="1" customHeight="1" x14ac:dyDescent="0.3">
      <c r="A184" s="25">
        <v>177</v>
      </c>
      <c r="B184" s="26" t="s">
        <v>228</v>
      </c>
      <c r="C184" s="27" t="str">
        <f t="shared" si="8"/>
        <v>Feminino</v>
      </c>
      <c r="D184" s="2" t="str">
        <f>IFERROR(INDEX(SKUs!$E$6:$E$1997,MATCH(B184,SKUs!$C$6:$C$1997,0)),"")</f>
        <v>POLO</v>
      </c>
      <c r="E184" s="28" t="str">
        <f>IFERROR(VLOOKUP(D184,Configurações!$N$5:$O$46,2,FALSE()),"OUTROS")</f>
        <v>VESTUÁRIO</v>
      </c>
      <c r="F184" s="2" t="str">
        <f>IFERROR(INDEX(SKUs!$F$6:$F$1997,MATCH(B184,SKUs!$C$6:$C$1997,0)),"")</f>
        <v>POLO BATA FEM.</v>
      </c>
      <c r="G184" s="2" t="str">
        <f>IFERROR(INDEX(SKUs!$G$6:$G$1997,MATCH(B184,SKUs!$C$6:$C$1997,0)),"")</f>
        <v>BRANCA</v>
      </c>
      <c r="H184" s="25" t="str">
        <f>IFERROR(INDEX(SKUs!$H$6:$H$1997,MATCH(B184,SKUs!$C$6:$C$1997,0)),"")</f>
        <v>G</v>
      </c>
      <c r="I184" s="4" t="str">
        <f>IFERROR(INDEX(SKUs!#REF!,MATCH(B184,SKUs!$C$6:$C$1997,0)),"")</f>
        <v/>
      </c>
      <c r="J184" s="3">
        <f>SUMIFS(SKUs!$I$6:$I$1997,SKUs!$C$6:$C$1997,B184)</f>
        <v>4</v>
      </c>
      <c r="K184" s="4">
        <f t="shared" si="9"/>
        <v>0</v>
      </c>
      <c r="L184" s="3">
        <f>COUNTIF(SKUs!$C$6:$C$1997,B184)</f>
        <v>1</v>
      </c>
      <c r="M184" s="29"/>
      <c r="N184" s="29"/>
      <c r="O184" s="29"/>
      <c r="P184" s="29"/>
      <c r="Q184" s="29"/>
      <c r="R184" s="29"/>
      <c r="S184" s="29"/>
      <c r="T184" s="29"/>
      <c r="U184" s="30">
        <f t="shared" si="10"/>
        <v>0</v>
      </c>
      <c r="V184" s="31">
        <f t="shared" si="11"/>
        <v>4</v>
      </c>
    </row>
    <row r="185" spans="1:22" ht="14.25" hidden="1" customHeight="1" x14ac:dyDescent="0.3">
      <c r="A185" s="32">
        <v>178</v>
      </c>
      <c r="B185" s="26" t="s">
        <v>229</v>
      </c>
      <c r="C185" s="27" t="str">
        <f t="shared" si="8"/>
        <v>Feminino</v>
      </c>
      <c r="D185" s="33" t="str">
        <f>IFERROR(INDEX(SKUs!$E$6:$E$1997,MATCH(B185,SKUs!$C$6:$C$1997,0)),"")</f>
        <v>POLO</v>
      </c>
      <c r="E185" s="28" t="str">
        <f>IFERROR(VLOOKUP(D185,Configurações!$N$5:$O$46,2,FALSE()),"OUTROS")</f>
        <v>VESTUÁRIO</v>
      </c>
      <c r="F185" s="33" t="str">
        <f>IFERROR(INDEX(SKUs!$F$6:$F$1997,MATCH(B185,SKUs!$C$6:$C$1997,0)),"")</f>
        <v>POLO BATA FEM.</v>
      </c>
      <c r="G185" s="33" t="str">
        <f>IFERROR(INDEX(SKUs!$G$6:$G$1997,MATCH(B185,SKUs!$C$6:$C$1997,0)),"")</f>
        <v>BRANCA</v>
      </c>
      <c r="H185" s="32" t="str">
        <f>IFERROR(INDEX(SKUs!$H$6:$H$1997,MATCH(B185,SKUs!$C$6:$C$1997,0)),"")</f>
        <v>GG</v>
      </c>
      <c r="I185" s="34" t="str">
        <f>IFERROR(INDEX(SKUs!#REF!,MATCH(B185,SKUs!$C$6:$C$1997,0)),"")</f>
        <v/>
      </c>
      <c r="J185" s="35">
        <f>SUMIFS(SKUs!$I$6:$I$1997,SKUs!$C$6:$C$1997,B185)</f>
        <v>5</v>
      </c>
      <c r="K185" s="34">
        <f t="shared" si="9"/>
        <v>0</v>
      </c>
      <c r="L185" s="35">
        <f>COUNTIF(SKUs!$C$6:$C$1997,B185)</f>
        <v>1</v>
      </c>
      <c r="M185" s="29"/>
      <c r="N185" s="29"/>
      <c r="O185" s="29"/>
      <c r="P185" s="29"/>
      <c r="Q185" s="29"/>
      <c r="R185" s="29"/>
      <c r="S185" s="29"/>
      <c r="T185" s="29"/>
      <c r="U185" s="30">
        <f t="shared" si="10"/>
        <v>0</v>
      </c>
      <c r="V185" s="31">
        <f t="shared" si="11"/>
        <v>5</v>
      </c>
    </row>
    <row r="186" spans="1:22" ht="14.25" hidden="1" customHeight="1" x14ac:dyDescent="0.3">
      <c r="A186" s="25">
        <v>179</v>
      </c>
      <c r="B186" s="26" t="s">
        <v>230</v>
      </c>
      <c r="C186" s="27" t="str">
        <f t="shared" si="8"/>
        <v>Feminino</v>
      </c>
      <c r="D186" s="2" t="str">
        <f>IFERROR(INDEX(SKUs!$E$6:$E$1997,MATCH(B186,SKUs!$C$6:$C$1997,0)),"")</f>
        <v>POLO</v>
      </c>
      <c r="E186" s="28" t="str">
        <f>IFERROR(VLOOKUP(D186,Configurações!$N$5:$O$46,2,FALSE()),"OUTROS")</f>
        <v>VESTUÁRIO</v>
      </c>
      <c r="F186" s="2" t="str">
        <f>IFERROR(INDEX(SKUs!$F$6:$F$1997,MATCH(B186,SKUs!$C$6:$C$1997,0)),"")</f>
        <v>POLO BATA FEM.</v>
      </c>
      <c r="G186" s="2" t="str">
        <f>IFERROR(INDEX(SKUs!$G$6:$G$1997,MATCH(B186,SKUs!$C$6:$C$1997,0)),"")</f>
        <v>BRANCA</v>
      </c>
      <c r="H186" s="25" t="str">
        <f>IFERROR(INDEX(SKUs!$H$6:$H$1997,MATCH(B186,SKUs!$C$6:$C$1997,0)),"")</f>
        <v>XG</v>
      </c>
      <c r="I186" s="4" t="str">
        <f>IFERROR(INDEX(SKUs!#REF!,MATCH(B186,SKUs!$C$6:$C$1997,0)),"")</f>
        <v/>
      </c>
      <c r="J186" s="3">
        <f>SUMIFS(SKUs!$I$6:$I$1997,SKUs!$C$6:$C$1997,B186)</f>
        <v>4</v>
      </c>
      <c r="K186" s="4">
        <f t="shared" si="9"/>
        <v>0</v>
      </c>
      <c r="L186" s="3">
        <f>COUNTIF(SKUs!$C$6:$C$1997,B186)</f>
        <v>1</v>
      </c>
      <c r="M186" s="29"/>
      <c r="N186" s="29"/>
      <c r="O186" s="29"/>
      <c r="P186" s="29"/>
      <c r="Q186" s="29"/>
      <c r="R186" s="29"/>
      <c r="S186" s="29"/>
      <c r="T186" s="29"/>
      <c r="U186" s="30">
        <f t="shared" si="10"/>
        <v>0</v>
      </c>
      <c r="V186" s="31">
        <f t="shared" si="11"/>
        <v>4</v>
      </c>
    </row>
    <row r="187" spans="1:22" ht="14.25" hidden="1" customHeight="1" x14ac:dyDescent="0.3">
      <c r="A187" s="32">
        <v>180</v>
      </c>
      <c r="B187" s="26" t="s">
        <v>231</v>
      </c>
      <c r="C187" s="27" t="str">
        <f t="shared" si="8"/>
        <v>Feminino</v>
      </c>
      <c r="D187" s="33" t="str">
        <f>IFERROR(INDEX(SKUs!$E$6:$E$1997,MATCH(B187,SKUs!$C$6:$C$1997,0)),"")</f>
        <v>JAQUETA</v>
      </c>
      <c r="E187" s="28" t="str">
        <f>IFERROR(VLOOKUP(D187,Configurações!$N$5:$O$46,2,FALSE()),"OUTROS")</f>
        <v>VESTUÁRIO</v>
      </c>
      <c r="F187" s="33" t="str">
        <f>IFERROR(INDEX(SKUs!$F$6:$F$1997,MATCH(B187,SKUs!$C$6:$C$1997,0)),"")</f>
        <v>JAQUETA COPA FEM.</v>
      </c>
      <c r="G187" s="33" t="str">
        <f>IFERROR(INDEX(SKUs!$G$6:$G$1997,MATCH(B187,SKUs!$C$6:$C$1997,0)),"")</f>
        <v>AMARELA</v>
      </c>
      <c r="H187" s="32" t="str">
        <f>IFERROR(INDEX(SKUs!$H$6:$H$1997,MATCH(B187,SKUs!$C$6:$C$1997,0)),"")</f>
        <v>P</v>
      </c>
      <c r="I187" s="34" t="str">
        <f>IFERROR(INDEX(SKUs!#REF!,MATCH(B187,SKUs!$C$6:$C$1997,0)),"")</f>
        <v/>
      </c>
      <c r="J187" s="35">
        <f>SUMIFS(SKUs!$I$6:$I$1997,SKUs!$C$6:$C$1997,B187)</f>
        <v>8</v>
      </c>
      <c r="K187" s="34">
        <f t="shared" si="9"/>
        <v>0</v>
      </c>
      <c r="L187" s="35">
        <f>COUNTIF(SKUs!$C$6:$C$1997,B187)</f>
        <v>1</v>
      </c>
      <c r="M187" s="29"/>
      <c r="N187" s="29"/>
      <c r="O187" s="29"/>
      <c r="P187" s="29"/>
      <c r="Q187" s="29"/>
      <c r="R187" s="29"/>
      <c r="S187" s="29"/>
      <c r="T187" s="29"/>
      <c r="U187" s="30">
        <f t="shared" si="10"/>
        <v>0</v>
      </c>
      <c r="V187" s="31">
        <f t="shared" si="11"/>
        <v>8</v>
      </c>
    </row>
    <row r="188" spans="1:22" ht="14.25" hidden="1" customHeight="1" x14ac:dyDescent="0.3">
      <c r="A188" s="25">
        <v>181</v>
      </c>
      <c r="B188" s="26" t="s">
        <v>232</v>
      </c>
      <c r="C188" s="27" t="str">
        <f t="shared" si="8"/>
        <v>Feminino</v>
      </c>
      <c r="D188" s="2" t="str">
        <f>IFERROR(INDEX(SKUs!$E$6:$E$1997,MATCH(B188,SKUs!$C$6:$C$1997,0)),"")</f>
        <v>JAQUETA</v>
      </c>
      <c r="E188" s="28" t="str">
        <f>IFERROR(VLOOKUP(D188,Configurações!$N$5:$O$46,2,FALSE()),"OUTROS")</f>
        <v>VESTUÁRIO</v>
      </c>
      <c r="F188" s="2" t="str">
        <f>IFERROR(INDEX(SKUs!$F$6:$F$1997,MATCH(B188,SKUs!$C$6:$C$1997,0)),"")</f>
        <v>JAQUETA COPA FEM.</v>
      </c>
      <c r="G188" s="2" t="str">
        <f>IFERROR(INDEX(SKUs!$G$6:$G$1997,MATCH(B188,SKUs!$C$6:$C$1997,0)),"")</f>
        <v>AMARELA</v>
      </c>
      <c r="H188" s="25" t="str">
        <f>IFERROR(INDEX(SKUs!$H$6:$H$1997,MATCH(B188,SKUs!$C$6:$C$1997,0)),"")</f>
        <v>M</v>
      </c>
      <c r="I188" s="4" t="str">
        <f>IFERROR(INDEX(SKUs!#REF!,MATCH(B188,SKUs!$C$6:$C$1997,0)),"")</f>
        <v/>
      </c>
      <c r="J188" s="3">
        <f>SUMIFS(SKUs!$I$6:$I$1997,SKUs!$C$6:$C$1997,B188)</f>
        <v>7</v>
      </c>
      <c r="K188" s="4">
        <f t="shared" si="9"/>
        <v>0</v>
      </c>
      <c r="L188" s="3">
        <f>COUNTIF(SKUs!$C$6:$C$1997,B188)</f>
        <v>1</v>
      </c>
      <c r="M188" s="29"/>
      <c r="N188" s="29"/>
      <c r="O188" s="29"/>
      <c r="P188" s="29"/>
      <c r="Q188" s="29"/>
      <c r="R188" s="29"/>
      <c r="S188" s="29"/>
      <c r="T188" s="29"/>
      <c r="U188" s="30">
        <f t="shared" si="10"/>
        <v>0</v>
      </c>
      <c r="V188" s="31">
        <f t="shared" si="11"/>
        <v>7</v>
      </c>
    </row>
    <row r="189" spans="1:22" ht="14.25" hidden="1" customHeight="1" x14ac:dyDescent="0.3">
      <c r="A189" s="32">
        <v>182</v>
      </c>
      <c r="B189" s="26" t="s">
        <v>233</v>
      </c>
      <c r="C189" s="27" t="str">
        <f t="shared" si="8"/>
        <v>Feminino</v>
      </c>
      <c r="D189" s="33" t="str">
        <f>IFERROR(INDEX(SKUs!$E$6:$E$1997,MATCH(B189,SKUs!$C$6:$C$1997,0)),"")</f>
        <v>JAQUETA</v>
      </c>
      <c r="E189" s="28" t="str">
        <f>IFERROR(VLOOKUP(D189,Configurações!$N$5:$O$46,2,FALSE()),"OUTROS")</f>
        <v>VESTUÁRIO</v>
      </c>
      <c r="F189" s="33" t="str">
        <f>IFERROR(INDEX(SKUs!$F$6:$F$1997,MATCH(B189,SKUs!$C$6:$C$1997,0)),"")</f>
        <v>JAQUETA COPA FEM.</v>
      </c>
      <c r="G189" s="33" t="str">
        <f>IFERROR(INDEX(SKUs!$G$6:$G$1997,MATCH(B189,SKUs!$C$6:$C$1997,0)),"")</f>
        <v>AMARELA</v>
      </c>
      <c r="H189" s="32" t="str">
        <f>IFERROR(INDEX(SKUs!$H$6:$H$1997,MATCH(B189,SKUs!$C$6:$C$1997,0)),"")</f>
        <v>G</v>
      </c>
      <c r="I189" s="34" t="str">
        <f>IFERROR(INDEX(SKUs!#REF!,MATCH(B189,SKUs!$C$6:$C$1997,0)),"")</f>
        <v/>
      </c>
      <c r="J189" s="35">
        <f>SUMIFS(SKUs!$I$6:$I$1997,SKUs!$C$6:$C$1997,B189)</f>
        <v>8</v>
      </c>
      <c r="K189" s="34">
        <f t="shared" si="9"/>
        <v>0</v>
      </c>
      <c r="L189" s="35">
        <f>COUNTIF(SKUs!$C$6:$C$1997,B189)</f>
        <v>2</v>
      </c>
      <c r="M189" s="29"/>
      <c r="N189" s="29"/>
      <c r="O189" s="29"/>
      <c r="P189" s="29"/>
      <c r="Q189" s="29"/>
      <c r="R189" s="29"/>
      <c r="S189" s="29"/>
      <c r="T189" s="29"/>
      <c r="U189" s="30">
        <f t="shared" si="10"/>
        <v>0</v>
      </c>
      <c r="V189" s="31">
        <f t="shared" si="11"/>
        <v>8</v>
      </c>
    </row>
    <row r="190" spans="1:22" ht="14.25" hidden="1" customHeight="1" x14ac:dyDescent="0.3">
      <c r="A190" s="25">
        <v>183</v>
      </c>
      <c r="B190" s="26" t="s">
        <v>234</v>
      </c>
      <c r="C190" s="27" t="str">
        <f t="shared" si="8"/>
        <v>Feminino</v>
      </c>
      <c r="D190" s="2" t="str">
        <f>IFERROR(INDEX(SKUs!$E$6:$E$1997,MATCH(B190,SKUs!$C$6:$C$1997,0)),"")</f>
        <v>JAQUETA</v>
      </c>
      <c r="E190" s="28" t="str">
        <f>IFERROR(VLOOKUP(D190,Configurações!$N$5:$O$46,2,FALSE()),"OUTROS")</f>
        <v>VESTUÁRIO</v>
      </c>
      <c r="F190" s="2" t="str">
        <f>IFERROR(INDEX(SKUs!$F$6:$F$1997,MATCH(B190,SKUs!$C$6:$C$1997,0)),"")</f>
        <v>JAQUETA COPA FEM.</v>
      </c>
      <c r="G190" s="2" t="str">
        <f>IFERROR(INDEX(SKUs!$G$6:$G$1997,MATCH(B190,SKUs!$C$6:$C$1997,0)),"")</f>
        <v>AMARELA</v>
      </c>
      <c r="H190" s="25" t="str">
        <f>IFERROR(INDEX(SKUs!$H$6:$H$1997,MATCH(B190,SKUs!$C$6:$C$1997,0)),"")</f>
        <v>XG</v>
      </c>
      <c r="I190" s="4" t="str">
        <f>IFERROR(INDEX(SKUs!#REF!,MATCH(B190,SKUs!$C$6:$C$1997,0)),"")</f>
        <v/>
      </c>
      <c r="J190" s="3">
        <f>SUMIFS(SKUs!$I$6:$I$1997,SKUs!$C$6:$C$1997,B190)</f>
        <v>0</v>
      </c>
      <c r="K190" s="4">
        <f t="shared" si="9"/>
        <v>0</v>
      </c>
      <c r="L190" s="3">
        <f>COUNTIF(SKUs!$C$6:$C$1997,B190)</f>
        <v>1</v>
      </c>
      <c r="M190" s="29">
        <v>1</v>
      </c>
      <c r="N190" s="29"/>
      <c r="O190" s="29"/>
      <c r="P190" s="29"/>
      <c r="Q190" s="29"/>
      <c r="R190" s="29"/>
      <c r="S190" s="29"/>
      <c r="T190" s="29"/>
      <c r="U190" s="30">
        <f t="shared" si="10"/>
        <v>1</v>
      </c>
      <c r="V190" s="31">
        <f t="shared" si="11"/>
        <v>0</v>
      </c>
    </row>
    <row r="191" spans="1:22" ht="14.25" hidden="1" customHeight="1" x14ac:dyDescent="0.3">
      <c r="A191" s="32">
        <v>184</v>
      </c>
      <c r="B191" s="26" t="s">
        <v>235</v>
      </c>
      <c r="C191" s="27" t="str">
        <f t="shared" si="8"/>
        <v>Feminino</v>
      </c>
      <c r="D191" s="33" t="str">
        <f>IFERROR(INDEX(SKUs!$E$6:$E$1997,MATCH(B191,SKUs!$C$6:$C$1997,0)),"")</f>
        <v>JAQUETA</v>
      </c>
      <c r="E191" s="28" t="str">
        <f>IFERROR(VLOOKUP(D191,Configurações!$N$5:$O$46,2,FALSE()),"OUTROS")</f>
        <v>VESTUÁRIO</v>
      </c>
      <c r="F191" s="33" t="str">
        <f>IFERROR(INDEX(SKUs!$F$6:$F$1997,MATCH(B191,SKUs!$C$6:$C$1997,0)),"")</f>
        <v>JAQUETA COPA FEM.</v>
      </c>
      <c r="G191" s="33" t="str">
        <f>IFERROR(INDEX(SKUs!$G$6:$G$1997,MATCH(B191,SKUs!$C$6:$C$1997,0)),"")</f>
        <v>BRANCA</v>
      </c>
      <c r="H191" s="32" t="str">
        <f>IFERROR(INDEX(SKUs!$H$6:$H$1997,MATCH(B191,SKUs!$C$6:$C$1997,0)),"")</f>
        <v>G</v>
      </c>
      <c r="I191" s="34" t="str">
        <f>IFERROR(INDEX(SKUs!#REF!,MATCH(B191,SKUs!$C$6:$C$1997,0)),"")</f>
        <v/>
      </c>
      <c r="J191" s="35">
        <f>SUMIFS(SKUs!$I$6:$I$1997,SKUs!$C$6:$C$1997,B191)</f>
        <v>10</v>
      </c>
      <c r="K191" s="34">
        <f t="shared" si="9"/>
        <v>0</v>
      </c>
      <c r="L191" s="35">
        <f>COUNTIF(SKUs!$C$6:$C$1997,B191)</f>
        <v>2</v>
      </c>
      <c r="M191" s="29"/>
      <c r="N191" s="29"/>
      <c r="O191" s="29"/>
      <c r="P191" s="29"/>
      <c r="Q191" s="29"/>
      <c r="R191" s="29"/>
      <c r="S191" s="29"/>
      <c r="T191" s="29"/>
      <c r="U191" s="30">
        <f t="shared" si="10"/>
        <v>0</v>
      </c>
      <c r="V191" s="31">
        <f t="shared" si="11"/>
        <v>10</v>
      </c>
    </row>
    <row r="192" spans="1:22" ht="14.25" hidden="1" customHeight="1" x14ac:dyDescent="0.3">
      <c r="A192" s="25">
        <v>185</v>
      </c>
      <c r="B192" s="26" t="s">
        <v>236</v>
      </c>
      <c r="C192" s="27" t="str">
        <f t="shared" si="8"/>
        <v>Feminino</v>
      </c>
      <c r="D192" s="2" t="str">
        <f>IFERROR(INDEX(SKUs!$E$6:$E$1997,MATCH(B192,SKUs!$C$6:$C$1997,0)),"")</f>
        <v>JAQUETA</v>
      </c>
      <c r="E192" s="28" t="str">
        <f>IFERROR(VLOOKUP(D192,Configurações!$N$5:$O$46,2,FALSE()),"OUTROS")</f>
        <v>VESTUÁRIO</v>
      </c>
      <c r="F192" s="2" t="str">
        <f>IFERROR(INDEX(SKUs!$F$6:$F$1997,MATCH(B192,SKUs!$C$6:$C$1997,0)),"")</f>
        <v>JAQUETA COPA FEM.</v>
      </c>
      <c r="G192" s="2" t="str">
        <f>IFERROR(INDEX(SKUs!$G$6:$G$1997,MATCH(B192,SKUs!$C$6:$C$1997,0)),"")</f>
        <v>BRANCA</v>
      </c>
      <c r="H192" s="25" t="str">
        <f>IFERROR(INDEX(SKUs!$H$6:$H$1997,MATCH(B192,SKUs!$C$6:$C$1997,0)),"")</f>
        <v>GG</v>
      </c>
      <c r="I192" s="4" t="str">
        <f>IFERROR(INDEX(SKUs!#REF!,MATCH(B192,SKUs!$C$6:$C$1997,0)),"")</f>
        <v/>
      </c>
      <c r="J192" s="3">
        <f>SUMIFS(SKUs!$I$6:$I$1997,SKUs!$C$6:$C$1997,B192)</f>
        <v>7</v>
      </c>
      <c r="K192" s="4">
        <f t="shared" si="9"/>
        <v>0</v>
      </c>
      <c r="L192" s="3">
        <f>COUNTIF(SKUs!$C$6:$C$1997,B192)</f>
        <v>1</v>
      </c>
      <c r="M192" s="29"/>
      <c r="N192" s="29"/>
      <c r="O192" s="29"/>
      <c r="P192" s="29"/>
      <c r="Q192" s="29"/>
      <c r="R192" s="29"/>
      <c r="S192" s="29"/>
      <c r="T192" s="29"/>
      <c r="U192" s="30">
        <f t="shared" si="10"/>
        <v>0</v>
      </c>
      <c r="V192" s="31">
        <f t="shared" si="11"/>
        <v>7</v>
      </c>
    </row>
    <row r="193" spans="1:22" ht="14.25" hidden="1" customHeight="1" x14ac:dyDescent="0.3">
      <c r="A193" s="32">
        <v>186</v>
      </c>
      <c r="B193" s="26" t="s">
        <v>237</v>
      </c>
      <c r="C193" s="27" t="str">
        <f t="shared" si="8"/>
        <v>Feminino</v>
      </c>
      <c r="D193" s="33" t="str">
        <f>IFERROR(INDEX(SKUs!$E$6:$E$1997,MATCH(B193,SKUs!$C$6:$C$1997,0)),"")</f>
        <v>JAQUETA</v>
      </c>
      <c r="E193" s="28" t="str">
        <f>IFERROR(VLOOKUP(D193,Configurações!$N$5:$O$46,2,FALSE()),"OUTROS")</f>
        <v>VESTUÁRIO</v>
      </c>
      <c r="F193" s="33" t="str">
        <f>IFERROR(INDEX(SKUs!$F$6:$F$1997,MATCH(B193,SKUs!$C$6:$C$1997,0)),"")</f>
        <v>JAQUETA COPA FEM.</v>
      </c>
      <c r="G193" s="33" t="str">
        <f>IFERROR(INDEX(SKUs!$G$6:$G$1997,MATCH(B193,SKUs!$C$6:$C$1997,0)),"")</f>
        <v>BRANCA</v>
      </c>
      <c r="H193" s="32" t="str">
        <f>IFERROR(INDEX(SKUs!$H$6:$H$1997,MATCH(B193,SKUs!$C$6:$C$1997,0)),"")</f>
        <v>XG</v>
      </c>
      <c r="I193" s="34" t="str">
        <f>IFERROR(INDEX(SKUs!#REF!,MATCH(B193,SKUs!$C$6:$C$1997,0)),"")</f>
        <v/>
      </c>
      <c r="J193" s="35">
        <f>SUMIFS(SKUs!$I$6:$I$1997,SKUs!$C$6:$C$1997,B193)</f>
        <v>7</v>
      </c>
      <c r="K193" s="34">
        <f t="shared" si="9"/>
        <v>0</v>
      </c>
      <c r="L193" s="35">
        <f>COUNTIF(SKUs!$C$6:$C$1997,B193)</f>
        <v>1</v>
      </c>
      <c r="M193" s="29"/>
      <c r="N193" s="29"/>
      <c r="O193" s="29"/>
      <c r="P193" s="29"/>
      <c r="Q193" s="29"/>
      <c r="R193" s="29"/>
      <c r="S193" s="29"/>
      <c r="T193" s="29"/>
      <c r="U193" s="30">
        <f t="shared" si="10"/>
        <v>0</v>
      </c>
      <c r="V193" s="31">
        <f t="shared" si="11"/>
        <v>7</v>
      </c>
    </row>
    <row r="194" spans="1:22" ht="14.25" hidden="1" customHeight="1" x14ac:dyDescent="0.3">
      <c r="A194" s="25">
        <v>187</v>
      </c>
      <c r="B194" s="26" t="s">
        <v>238</v>
      </c>
      <c r="C194" s="27" t="str">
        <f t="shared" si="8"/>
        <v>Feminino</v>
      </c>
      <c r="D194" s="2" t="str">
        <f>IFERROR(INDEX(SKUs!$E$6:$E$1997,MATCH(B194,SKUs!$C$6:$C$1997,0)),"")</f>
        <v>JAQUETA</v>
      </c>
      <c r="E194" s="28" t="str">
        <f>IFERROR(VLOOKUP(D194,Configurações!$N$5:$O$46,2,FALSE()),"OUTROS")</f>
        <v>VESTUÁRIO</v>
      </c>
      <c r="F194" s="2" t="str">
        <f>IFERROR(INDEX(SKUs!$F$6:$F$1997,MATCH(B194,SKUs!$C$6:$C$1997,0)),"")</f>
        <v>JAQUETA COPA FEM.</v>
      </c>
      <c r="G194" s="2" t="str">
        <f>IFERROR(INDEX(SKUs!$G$6:$G$1997,MATCH(B194,SKUs!$C$6:$C$1997,0)),"")</f>
        <v>BRANCA</v>
      </c>
      <c r="H194" s="25" t="str">
        <f>IFERROR(INDEX(SKUs!$H$6:$H$1997,MATCH(B194,SKUs!$C$6:$C$1997,0)),"")</f>
        <v>P</v>
      </c>
      <c r="I194" s="4" t="str">
        <f>IFERROR(INDEX(SKUs!#REF!,MATCH(B194,SKUs!$C$6:$C$1997,0)),"")</f>
        <v/>
      </c>
      <c r="J194" s="3">
        <f>SUMIFS(SKUs!$I$6:$I$1997,SKUs!$C$6:$C$1997,B194)</f>
        <v>4</v>
      </c>
      <c r="K194" s="4">
        <f t="shared" si="9"/>
        <v>0</v>
      </c>
      <c r="L194" s="3">
        <f>COUNTIF(SKUs!$C$6:$C$1997,B194)</f>
        <v>1</v>
      </c>
      <c r="M194" s="29"/>
      <c r="N194" s="29"/>
      <c r="O194" s="29"/>
      <c r="P194" s="29"/>
      <c r="Q194" s="29"/>
      <c r="R194" s="29"/>
      <c r="S194" s="29"/>
      <c r="T194" s="29"/>
      <c r="U194" s="30">
        <f t="shared" si="10"/>
        <v>0</v>
      </c>
      <c r="V194" s="31">
        <f t="shared" si="11"/>
        <v>4</v>
      </c>
    </row>
    <row r="195" spans="1:22" ht="14.25" hidden="1" customHeight="1" x14ac:dyDescent="0.3">
      <c r="A195" s="32">
        <v>188</v>
      </c>
      <c r="B195" s="26" t="s">
        <v>239</v>
      </c>
      <c r="C195" s="27" t="str">
        <f t="shared" si="8"/>
        <v>Feminino</v>
      </c>
      <c r="D195" s="33" t="str">
        <f>IFERROR(INDEX(SKUs!$E$6:$E$1997,MATCH(B195,SKUs!$C$6:$C$1997,0)),"")</f>
        <v>JAQUETA</v>
      </c>
      <c r="E195" s="28" t="str">
        <f>IFERROR(VLOOKUP(D195,Configurações!$N$5:$O$46,2,FALSE()),"OUTROS")</f>
        <v>VESTUÁRIO</v>
      </c>
      <c r="F195" s="33" t="str">
        <f>IFERROR(INDEX(SKUs!$F$6:$F$1997,MATCH(B195,SKUs!$C$6:$C$1997,0)),"")</f>
        <v>JAQUETA COPA FEM.</v>
      </c>
      <c r="G195" s="33" t="str">
        <f>IFERROR(INDEX(SKUs!$G$6:$G$1997,MATCH(B195,SKUs!$C$6:$C$1997,0)),"")</f>
        <v>BRANCA</v>
      </c>
      <c r="H195" s="32" t="str">
        <f>IFERROR(INDEX(SKUs!$H$6:$H$1997,MATCH(B195,SKUs!$C$6:$C$1997,0)),"")</f>
        <v>M</v>
      </c>
      <c r="I195" s="34" t="str">
        <f>IFERROR(INDEX(SKUs!#REF!,MATCH(B195,SKUs!$C$6:$C$1997,0)),"")</f>
        <v/>
      </c>
      <c r="J195" s="35">
        <f>SUMIFS(SKUs!$I$6:$I$1997,SKUs!$C$6:$C$1997,B195)</f>
        <v>0</v>
      </c>
      <c r="K195" s="34">
        <f t="shared" si="9"/>
        <v>0</v>
      </c>
      <c r="L195" s="35">
        <f>COUNTIF(SKUs!$C$6:$C$1997,B195)</f>
        <v>1</v>
      </c>
      <c r="M195" s="29">
        <v>8</v>
      </c>
      <c r="N195" s="29"/>
      <c r="O195" s="29"/>
      <c r="P195" s="29"/>
      <c r="Q195" s="29"/>
      <c r="R195" s="29"/>
      <c r="S195" s="29"/>
      <c r="T195" s="29"/>
      <c r="U195" s="30">
        <f t="shared" si="10"/>
        <v>8</v>
      </c>
      <c r="V195" s="31">
        <f t="shared" si="11"/>
        <v>0</v>
      </c>
    </row>
    <row r="196" spans="1:22" ht="14.25" hidden="1" customHeight="1" x14ac:dyDescent="0.3">
      <c r="A196" s="25">
        <v>189</v>
      </c>
      <c r="B196" s="26" t="s">
        <v>240</v>
      </c>
      <c r="C196" s="27" t="str">
        <f t="shared" si="8"/>
        <v>Feminino</v>
      </c>
      <c r="D196" s="2" t="str">
        <f>IFERROR(INDEX(SKUs!$E$6:$E$1997,MATCH(B196,SKUs!$C$6:$C$1997,0)),"")</f>
        <v>JAQUETA</v>
      </c>
      <c r="E196" s="28" t="str">
        <f>IFERROR(VLOOKUP(D196,Configurações!$N$5:$O$46,2,FALSE()),"OUTROS")</f>
        <v>VESTUÁRIO</v>
      </c>
      <c r="F196" s="2" t="str">
        <f>IFERROR(INDEX(SKUs!$F$6:$F$1997,MATCH(B196,SKUs!$C$6:$C$1997,0)),"")</f>
        <v>JAQUETA COPA FEM.</v>
      </c>
      <c r="G196" s="2" t="str">
        <f>IFERROR(INDEX(SKUs!$G$6:$G$1997,MATCH(B196,SKUs!$C$6:$C$1997,0)),"")</f>
        <v>VERDE</v>
      </c>
      <c r="H196" s="25" t="str">
        <f>IFERROR(INDEX(SKUs!$H$6:$H$1997,MATCH(B196,SKUs!$C$6:$C$1997,0)),"")</f>
        <v>P</v>
      </c>
      <c r="I196" s="4" t="str">
        <f>IFERROR(INDEX(SKUs!#REF!,MATCH(B196,SKUs!$C$6:$C$1997,0)),"")</f>
        <v/>
      </c>
      <c r="J196" s="3">
        <f>SUMIFS(SKUs!$I$6:$I$1997,SKUs!$C$6:$C$1997,B196)</f>
        <v>5</v>
      </c>
      <c r="K196" s="4">
        <f t="shared" si="9"/>
        <v>0</v>
      </c>
      <c r="L196" s="3">
        <f>COUNTIF(SKUs!$C$6:$C$1997,B196)</f>
        <v>1</v>
      </c>
      <c r="M196" s="29"/>
      <c r="N196" s="29"/>
      <c r="O196" s="29"/>
      <c r="P196" s="29"/>
      <c r="Q196" s="29"/>
      <c r="R196" s="29"/>
      <c r="S196" s="29"/>
      <c r="T196" s="29"/>
      <c r="U196" s="30">
        <f t="shared" si="10"/>
        <v>0</v>
      </c>
      <c r="V196" s="31">
        <f t="shared" si="11"/>
        <v>5</v>
      </c>
    </row>
    <row r="197" spans="1:22" ht="14.25" hidden="1" customHeight="1" x14ac:dyDescent="0.3">
      <c r="A197" s="32">
        <v>190</v>
      </c>
      <c r="B197" s="26" t="s">
        <v>241</v>
      </c>
      <c r="C197" s="27" t="str">
        <f t="shared" si="8"/>
        <v>Feminino</v>
      </c>
      <c r="D197" s="33" t="str">
        <f>IFERROR(INDEX(SKUs!$E$6:$E$1997,MATCH(B197,SKUs!$C$6:$C$1997,0)),"")</f>
        <v>JAQUETA</v>
      </c>
      <c r="E197" s="28" t="str">
        <f>IFERROR(VLOOKUP(D197,Configurações!$N$5:$O$46,2,FALSE()),"OUTROS")</f>
        <v>VESTUÁRIO</v>
      </c>
      <c r="F197" s="33" t="str">
        <f>IFERROR(INDEX(SKUs!$F$6:$F$1997,MATCH(B197,SKUs!$C$6:$C$1997,0)),"")</f>
        <v>JAQUETA COPA FEM.</v>
      </c>
      <c r="G197" s="33" t="str">
        <f>IFERROR(INDEX(SKUs!$G$6:$G$1997,MATCH(B197,SKUs!$C$6:$C$1997,0)),"")</f>
        <v>VERDE</v>
      </c>
      <c r="H197" s="32" t="str">
        <f>IFERROR(INDEX(SKUs!$H$6:$H$1997,MATCH(B197,SKUs!$C$6:$C$1997,0)),"")</f>
        <v>M</v>
      </c>
      <c r="I197" s="34" t="str">
        <f>IFERROR(INDEX(SKUs!#REF!,MATCH(B197,SKUs!$C$6:$C$1997,0)),"")</f>
        <v/>
      </c>
      <c r="J197" s="35">
        <f>SUMIFS(SKUs!$I$6:$I$1997,SKUs!$C$6:$C$1997,B197)</f>
        <v>0</v>
      </c>
      <c r="K197" s="34">
        <f t="shared" si="9"/>
        <v>0</v>
      </c>
      <c r="L197" s="35">
        <f>COUNTIF(SKUs!$C$6:$C$1997,B197)</f>
        <v>2</v>
      </c>
      <c r="M197" s="29">
        <v>8</v>
      </c>
      <c r="N197" s="29"/>
      <c r="O197" s="29"/>
      <c r="P197" s="29"/>
      <c r="Q197" s="29"/>
      <c r="R197" s="29"/>
      <c r="S197" s="29"/>
      <c r="T197" s="29"/>
      <c r="U197" s="30">
        <f t="shared" si="10"/>
        <v>8</v>
      </c>
      <c r="V197" s="31">
        <f t="shared" si="11"/>
        <v>0</v>
      </c>
    </row>
    <row r="198" spans="1:22" ht="14.25" hidden="1" customHeight="1" x14ac:dyDescent="0.3">
      <c r="A198" s="25">
        <v>191</v>
      </c>
      <c r="B198" s="26" t="s">
        <v>242</v>
      </c>
      <c r="C198" s="27" t="str">
        <f t="shared" si="8"/>
        <v>Feminino</v>
      </c>
      <c r="D198" s="2" t="str">
        <f>IFERROR(INDEX(SKUs!$E$6:$E$1997,MATCH(B198,SKUs!$C$6:$C$1997,0)),"")</f>
        <v>JAQUETA</v>
      </c>
      <c r="E198" s="28" t="str">
        <f>IFERROR(VLOOKUP(D198,Configurações!$N$5:$O$46,2,FALSE()),"OUTROS")</f>
        <v>VESTUÁRIO</v>
      </c>
      <c r="F198" s="2" t="str">
        <f>IFERROR(INDEX(SKUs!$F$6:$F$1997,MATCH(B198,SKUs!$C$6:$C$1997,0)),"")</f>
        <v>JAQUETA COPA FEM.</v>
      </c>
      <c r="G198" s="2" t="str">
        <f>IFERROR(INDEX(SKUs!$G$6:$G$1997,MATCH(B198,SKUs!$C$6:$C$1997,0)),"")</f>
        <v>VERDE</v>
      </c>
      <c r="H198" s="25" t="str">
        <f>IFERROR(INDEX(SKUs!$H$6:$H$1997,MATCH(B198,SKUs!$C$6:$C$1997,0)),"")</f>
        <v>G</v>
      </c>
      <c r="I198" s="4" t="str">
        <f>IFERROR(INDEX(SKUs!#REF!,MATCH(B198,SKUs!$C$6:$C$1997,0)),"")</f>
        <v/>
      </c>
      <c r="J198" s="3">
        <f>SUMIFS(SKUs!$I$6:$I$1997,SKUs!$C$6:$C$1997,B198)</f>
        <v>8</v>
      </c>
      <c r="K198" s="4">
        <f t="shared" si="9"/>
        <v>0</v>
      </c>
      <c r="L198" s="3">
        <f>COUNTIF(SKUs!$C$6:$C$1997,B198)</f>
        <v>1</v>
      </c>
      <c r="M198" s="29"/>
      <c r="N198" s="29"/>
      <c r="O198" s="29"/>
      <c r="P198" s="29"/>
      <c r="Q198" s="29"/>
      <c r="R198" s="29"/>
      <c r="S198" s="29"/>
      <c r="T198" s="29"/>
      <c r="U198" s="30">
        <f t="shared" si="10"/>
        <v>0</v>
      </c>
      <c r="V198" s="31">
        <f t="shared" si="11"/>
        <v>8</v>
      </c>
    </row>
    <row r="199" spans="1:22" ht="14.25" hidden="1" customHeight="1" x14ac:dyDescent="0.3">
      <c r="A199" s="32">
        <v>192</v>
      </c>
      <c r="B199" s="26" t="s">
        <v>243</v>
      </c>
      <c r="C199" s="27" t="str">
        <f t="shared" si="8"/>
        <v>Feminino</v>
      </c>
      <c r="D199" s="33" t="str">
        <f>IFERROR(INDEX(SKUs!$E$6:$E$1997,MATCH(B199,SKUs!$C$6:$C$1997,0)),"")</f>
        <v>CAMISETA</v>
      </c>
      <c r="E199" s="28" t="str">
        <f>IFERROR(VLOOKUP(D199,Configurações!$N$5:$O$46,2,FALSE()),"OUTROS")</f>
        <v>VESTUÁRIO</v>
      </c>
      <c r="F199" s="33" t="str">
        <f>IFERROR(INDEX(SKUs!$F$6:$F$1997,MATCH(B199,SKUs!$C$6:$C$1997,0)),"")</f>
        <v>CAMISETA COPA FEM.</v>
      </c>
      <c r="G199" s="33" t="str">
        <f>IFERROR(INDEX(SKUs!$G$6:$G$1997,MATCH(B199,SKUs!$C$6:$C$1997,0)),"")</f>
        <v>AZUL</v>
      </c>
      <c r="H199" s="32" t="str">
        <f>IFERROR(INDEX(SKUs!$H$6:$H$1997,MATCH(B199,SKUs!$C$6:$C$1997,0)),"")</f>
        <v>G</v>
      </c>
      <c r="I199" s="34" t="str">
        <f>IFERROR(INDEX(SKUs!#REF!,MATCH(B199,SKUs!$C$6:$C$1997,0)),"")</f>
        <v/>
      </c>
      <c r="J199" s="35">
        <f>SUMIFS(SKUs!$I$6:$I$1997,SKUs!$C$6:$C$1997,B199)</f>
        <v>0</v>
      </c>
      <c r="K199" s="34">
        <f t="shared" si="9"/>
        <v>0</v>
      </c>
      <c r="L199" s="35">
        <f>COUNTIF(SKUs!$C$6:$C$1997,B199)</f>
        <v>1</v>
      </c>
      <c r="M199" s="29">
        <v>10</v>
      </c>
      <c r="N199" s="29"/>
      <c r="O199" s="29"/>
      <c r="P199" s="29"/>
      <c r="Q199" s="29"/>
      <c r="R199" s="29"/>
      <c r="S199" s="29"/>
      <c r="T199" s="29"/>
      <c r="U199" s="30">
        <f t="shared" si="10"/>
        <v>10</v>
      </c>
      <c r="V199" s="31">
        <f t="shared" si="11"/>
        <v>0</v>
      </c>
    </row>
    <row r="200" spans="1:22" ht="14.25" hidden="1" customHeight="1" x14ac:dyDescent="0.3">
      <c r="A200" s="25">
        <v>193</v>
      </c>
      <c r="B200" s="26" t="s">
        <v>244</v>
      </c>
      <c r="C200" s="27" t="str">
        <f t="shared" ref="C200:C263" si="12">IF(B200="","",IFERROR(IF(TRIM(MID(SUBSTITUTE(B200,".",REPT(" ",50)),51,50))="01","Masculino",IF(TRIM(MID(SUBSTITUTE(B200,".",REPT(" ",50)),51,50))="02","Feminino",IF(TRIM(MID(SUBSTITUTE(B200,".",REPT(" ",50)),51,50))="03","Outros","—"))),"—"))</f>
        <v>Feminino</v>
      </c>
      <c r="D200" s="2" t="str">
        <f>IFERROR(INDEX(SKUs!$E$6:$E$1997,MATCH(B200,SKUs!$C$6:$C$1997,0)),"")</f>
        <v>CAMISETA</v>
      </c>
      <c r="E200" s="28" t="str">
        <f>IFERROR(VLOOKUP(D200,Configurações!$N$5:$O$46,2,FALSE()),"OUTROS")</f>
        <v>VESTUÁRIO</v>
      </c>
      <c r="F200" s="2" t="str">
        <f>IFERROR(INDEX(SKUs!$F$6:$F$1997,MATCH(B200,SKUs!$C$6:$C$1997,0)),"")</f>
        <v>CAMISETA COPA FEM.</v>
      </c>
      <c r="G200" s="2" t="str">
        <f>IFERROR(INDEX(SKUs!$G$6:$G$1997,MATCH(B200,SKUs!$C$6:$C$1997,0)),"")</f>
        <v>AZUL</v>
      </c>
      <c r="H200" s="25" t="str">
        <f>IFERROR(INDEX(SKUs!$H$6:$H$1997,MATCH(B200,SKUs!$C$6:$C$1997,0)),"")</f>
        <v>GG</v>
      </c>
      <c r="I200" s="4" t="str">
        <f>IFERROR(INDEX(SKUs!#REF!,MATCH(B200,SKUs!$C$6:$C$1997,0)),"")</f>
        <v/>
      </c>
      <c r="J200" s="3">
        <f>SUMIFS(SKUs!$I$6:$I$1997,SKUs!$C$6:$C$1997,B200)</f>
        <v>0</v>
      </c>
      <c r="K200" s="4">
        <f t="shared" ref="K200:K263" si="13">IFERROR(I200*J200,0)</f>
        <v>0</v>
      </c>
      <c r="L200" s="3">
        <f>COUNTIF(SKUs!$C$6:$C$1997,B200)</f>
        <v>1</v>
      </c>
      <c r="M200" s="29">
        <v>9</v>
      </c>
      <c r="N200" s="29"/>
      <c r="O200" s="29"/>
      <c r="P200" s="29"/>
      <c r="Q200" s="29"/>
      <c r="R200" s="29"/>
      <c r="S200" s="29"/>
      <c r="T200" s="29"/>
      <c r="U200" s="30">
        <f t="shared" ref="U200:U263" si="14">SUM(M200:R200)</f>
        <v>9</v>
      </c>
      <c r="V200" s="31">
        <f t="shared" ref="V200:V263" si="15">IF(B200="","",J200)</f>
        <v>0</v>
      </c>
    </row>
    <row r="201" spans="1:22" ht="14.25" hidden="1" customHeight="1" x14ac:dyDescent="0.3">
      <c r="A201" s="32">
        <v>194</v>
      </c>
      <c r="B201" s="26" t="s">
        <v>245</v>
      </c>
      <c r="C201" s="27" t="str">
        <f t="shared" si="12"/>
        <v>Feminino</v>
      </c>
      <c r="D201" s="33" t="str">
        <f>IFERROR(INDEX(SKUs!$E$6:$E$1997,MATCH(B201,SKUs!$C$6:$C$1997,0)),"")</f>
        <v>CAMISETA</v>
      </c>
      <c r="E201" s="28" t="str">
        <f>IFERROR(VLOOKUP(D201,Configurações!$N$5:$O$46,2,FALSE()),"OUTROS")</f>
        <v>VESTUÁRIO</v>
      </c>
      <c r="F201" s="33" t="str">
        <f>IFERROR(INDEX(SKUs!$F$6:$F$1997,MATCH(B201,SKUs!$C$6:$C$1997,0)),"")</f>
        <v>CAMISETA COPA FEM.</v>
      </c>
      <c r="G201" s="33" t="str">
        <f>IFERROR(INDEX(SKUs!$G$6:$G$1997,MATCH(B201,SKUs!$C$6:$C$1997,0)),"")</f>
        <v>AZUL</v>
      </c>
      <c r="H201" s="32" t="str">
        <f>IFERROR(INDEX(SKUs!$H$6:$H$1997,MATCH(B201,SKUs!$C$6:$C$1997,0)),"")</f>
        <v>XG</v>
      </c>
      <c r="I201" s="34" t="str">
        <f>IFERROR(INDEX(SKUs!#REF!,MATCH(B201,SKUs!$C$6:$C$1997,0)),"")</f>
        <v/>
      </c>
      <c r="J201" s="35">
        <f>SUMIFS(SKUs!$I$6:$I$1997,SKUs!$C$6:$C$1997,B201)</f>
        <v>0</v>
      </c>
      <c r="K201" s="34">
        <f t="shared" si="13"/>
        <v>0</v>
      </c>
      <c r="L201" s="35">
        <f>COUNTIF(SKUs!$C$6:$C$1997,B201)</f>
        <v>1</v>
      </c>
      <c r="M201" s="29">
        <v>10</v>
      </c>
      <c r="N201" s="29"/>
      <c r="O201" s="29"/>
      <c r="P201" s="29"/>
      <c r="Q201" s="29"/>
      <c r="R201" s="29"/>
      <c r="S201" s="29"/>
      <c r="T201" s="29"/>
      <c r="U201" s="30">
        <f t="shared" si="14"/>
        <v>10</v>
      </c>
      <c r="V201" s="31">
        <f t="shared" si="15"/>
        <v>0</v>
      </c>
    </row>
    <row r="202" spans="1:22" ht="14.25" hidden="1" customHeight="1" x14ac:dyDescent="0.3">
      <c r="A202" s="25">
        <v>195</v>
      </c>
      <c r="B202" s="26" t="s">
        <v>246</v>
      </c>
      <c r="C202" s="27" t="str">
        <f t="shared" si="12"/>
        <v>Feminino</v>
      </c>
      <c r="D202" s="2" t="str">
        <f>IFERROR(INDEX(SKUs!$E$6:$E$1997,MATCH(B202,SKUs!$C$6:$C$1997,0)),"")</f>
        <v>CAMISETA</v>
      </c>
      <c r="E202" s="28" t="str">
        <f>IFERROR(VLOOKUP(D202,Configurações!$N$5:$O$46,2,FALSE()),"OUTROS")</f>
        <v>VESTUÁRIO</v>
      </c>
      <c r="F202" s="2" t="str">
        <f>IFERROR(INDEX(SKUs!$F$6:$F$1997,MATCH(B202,SKUs!$C$6:$C$1997,0)),"")</f>
        <v>CAMISETA ESPORTE FEM.</v>
      </c>
      <c r="G202" s="2" t="str">
        <f>IFERROR(INDEX(SKUs!$G$6:$G$1997,MATCH(B202,SKUs!$C$6:$C$1997,0)),"")</f>
        <v>AZUL CLARO</v>
      </c>
      <c r="H202" s="25" t="str">
        <f>IFERROR(INDEX(SKUs!$H$6:$H$1997,MATCH(B202,SKUs!$C$6:$C$1997,0)),"")</f>
        <v>P</v>
      </c>
      <c r="I202" s="4" t="str">
        <f>IFERROR(INDEX(SKUs!#REF!,MATCH(B202,SKUs!$C$6:$C$1997,0)),"")</f>
        <v/>
      </c>
      <c r="J202" s="3">
        <f>SUMIFS(SKUs!$I$6:$I$1997,SKUs!$C$6:$C$1997,B202)</f>
        <v>0</v>
      </c>
      <c r="K202" s="4">
        <f t="shared" si="13"/>
        <v>0</v>
      </c>
      <c r="L202" s="3">
        <f>COUNTIF(SKUs!$C$6:$C$1997,B202)</f>
        <v>1</v>
      </c>
      <c r="M202" s="29">
        <v>6</v>
      </c>
      <c r="N202" s="29"/>
      <c r="O202" s="29"/>
      <c r="P202" s="29"/>
      <c r="Q202" s="29"/>
      <c r="R202" s="29"/>
      <c r="S202" s="29"/>
      <c r="T202" s="29"/>
      <c r="U202" s="30">
        <f t="shared" si="14"/>
        <v>6</v>
      </c>
      <c r="V202" s="31">
        <f t="shared" si="15"/>
        <v>0</v>
      </c>
    </row>
    <row r="203" spans="1:22" ht="14.25" hidden="1" customHeight="1" x14ac:dyDescent="0.3">
      <c r="A203" s="32">
        <v>196</v>
      </c>
      <c r="B203" s="26" t="s">
        <v>247</v>
      </c>
      <c r="C203" s="27" t="str">
        <f t="shared" si="12"/>
        <v>Feminino</v>
      </c>
      <c r="D203" s="33" t="str">
        <f>IFERROR(INDEX(SKUs!$E$6:$E$1997,MATCH(B203,SKUs!$C$6:$C$1997,0)),"")</f>
        <v>CAMISETA</v>
      </c>
      <c r="E203" s="28" t="str">
        <f>IFERROR(VLOOKUP(D203,Configurações!$N$5:$O$46,2,FALSE()),"OUTROS")</f>
        <v>VESTUÁRIO</v>
      </c>
      <c r="F203" s="33" t="str">
        <f>IFERROR(INDEX(SKUs!$F$6:$F$1997,MATCH(B203,SKUs!$C$6:$C$1997,0)),"")</f>
        <v>CAMISETA ESPORTE FEM.</v>
      </c>
      <c r="G203" s="33" t="str">
        <f>IFERROR(INDEX(SKUs!$G$6:$G$1997,MATCH(B203,SKUs!$C$6:$C$1997,0)),"")</f>
        <v>AZUL CLARO</v>
      </c>
      <c r="H203" s="32" t="str">
        <f>IFERROR(INDEX(SKUs!$H$6:$H$1997,MATCH(B203,SKUs!$C$6:$C$1997,0)),"")</f>
        <v>M</v>
      </c>
      <c r="I203" s="34" t="str">
        <f>IFERROR(INDEX(SKUs!#REF!,MATCH(B203,SKUs!$C$6:$C$1997,0)),"")</f>
        <v/>
      </c>
      <c r="J203" s="35">
        <f>SUMIFS(SKUs!$I$6:$I$1997,SKUs!$C$6:$C$1997,B203)</f>
        <v>0</v>
      </c>
      <c r="K203" s="34">
        <f t="shared" si="13"/>
        <v>0</v>
      </c>
      <c r="L203" s="35">
        <f>COUNTIF(SKUs!$C$6:$C$1997,B203)</f>
        <v>1</v>
      </c>
      <c r="M203" s="29">
        <v>2</v>
      </c>
      <c r="N203" s="29"/>
      <c r="O203" s="29"/>
      <c r="P203" s="29"/>
      <c r="Q203" s="29"/>
      <c r="R203" s="29"/>
      <c r="S203" s="29"/>
      <c r="T203" s="29"/>
      <c r="U203" s="30">
        <f t="shared" si="14"/>
        <v>2</v>
      </c>
      <c r="V203" s="31">
        <f t="shared" si="15"/>
        <v>0</v>
      </c>
    </row>
    <row r="204" spans="1:22" ht="14.25" hidden="1" customHeight="1" x14ac:dyDescent="0.3">
      <c r="A204" s="25">
        <v>197</v>
      </c>
      <c r="B204" s="26" t="s">
        <v>248</v>
      </c>
      <c r="C204" s="27" t="str">
        <f t="shared" si="12"/>
        <v>Feminino</v>
      </c>
      <c r="D204" s="2" t="str">
        <f>IFERROR(INDEX(SKUs!$E$6:$E$1997,MATCH(B204,SKUs!$C$6:$C$1997,0)),"")</f>
        <v>CAMISETA</v>
      </c>
      <c r="E204" s="28" t="str">
        <f>IFERROR(VLOOKUP(D204,Configurações!$N$5:$O$46,2,FALSE()),"OUTROS")</f>
        <v>VESTUÁRIO</v>
      </c>
      <c r="F204" s="2" t="str">
        <f>IFERROR(INDEX(SKUs!$F$6:$F$1997,MATCH(B204,SKUs!$C$6:$C$1997,0)),"")</f>
        <v>CAMISETA ESPORTE FEM.</v>
      </c>
      <c r="G204" s="2" t="str">
        <f>IFERROR(INDEX(SKUs!$G$6:$G$1997,MATCH(B204,SKUs!$C$6:$C$1997,0)),"")</f>
        <v>AZUL CLARO</v>
      </c>
      <c r="H204" s="25" t="str">
        <f>IFERROR(INDEX(SKUs!$H$6:$H$1997,MATCH(B204,SKUs!$C$6:$C$1997,0)),"")</f>
        <v>G</v>
      </c>
      <c r="I204" s="4" t="str">
        <f>IFERROR(INDEX(SKUs!#REF!,MATCH(B204,SKUs!$C$6:$C$1997,0)),"")</f>
        <v/>
      </c>
      <c r="J204" s="3">
        <f>SUMIFS(SKUs!$I$6:$I$1997,SKUs!$C$6:$C$1997,B204)</f>
        <v>0</v>
      </c>
      <c r="K204" s="4">
        <f t="shared" si="13"/>
        <v>0</v>
      </c>
      <c r="L204" s="3">
        <f>COUNTIF(SKUs!$C$6:$C$1997,B204)</f>
        <v>1</v>
      </c>
      <c r="M204" s="29">
        <v>8</v>
      </c>
      <c r="N204" s="29"/>
      <c r="O204" s="29"/>
      <c r="P204" s="29"/>
      <c r="Q204" s="29"/>
      <c r="R204" s="29"/>
      <c r="S204" s="29"/>
      <c r="T204" s="29"/>
      <c r="U204" s="30">
        <f t="shared" si="14"/>
        <v>8</v>
      </c>
      <c r="V204" s="31">
        <f t="shared" si="15"/>
        <v>0</v>
      </c>
    </row>
    <row r="205" spans="1:22" ht="14.25" hidden="1" customHeight="1" x14ac:dyDescent="0.3">
      <c r="A205" s="32">
        <v>198</v>
      </c>
      <c r="B205" s="26" t="s">
        <v>249</v>
      </c>
      <c r="C205" s="27" t="str">
        <f t="shared" si="12"/>
        <v>Feminino</v>
      </c>
      <c r="D205" s="33" t="str">
        <f>IFERROR(INDEX(SKUs!$E$6:$E$1997,MATCH(B205,SKUs!$C$6:$C$1997,0)),"")</f>
        <v>CAMISETA</v>
      </c>
      <c r="E205" s="28" t="str">
        <f>IFERROR(VLOOKUP(D205,Configurações!$N$5:$O$46,2,FALSE()),"OUTROS")</f>
        <v>VESTUÁRIO</v>
      </c>
      <c r="F205" s="33" t="str">
        <f>IFERROR(INDEX(SKUs!$F$6:$F$1997,MATCH(B205,SKUs!$C$6:$C$1997,0)),"")</f>
        <v>CAMISETA ESPORTE FEM.</v>
      </c>
      <c r="G205" s="33" t="str">
        <f>IFERROR(INDEX(SKUs!$G$6:$G$1997,MATCH(B205,SKUs!$C$6:$C$1997,0)),"")</f>
        <v>AZUL CLARO</v>
      </c>
      <c r="H205" s="32" t="str">
        <f>IFERROR(INDEX(SKUs!$H$6:$H$1997,MATCH(B205,SKUs!$C$6:$C$1997,0)),"")</f>
        <v>GG</v>
      </c>
      <c r="I205" s="34" t="str">
        <f>IFERROR(INDEX(SKUs!#REF!,MATCH(B205,SKUs!$C$6:$C$1997,0)),"")</f>
        <v/>
      </c>
      <c r="J205" s="35">
        <f>SUMIFS(SKUs!$I$6:$I$1997,SKUs!$C$6:$C$1997,B205)</f>
        <v>0</v>
      </c>
      <c r="K205" s="34">
        <f t="shared" si="13"/>
        <v>0</v>
      </c>
      <c r="L205" s="35">
        <f>COUNTIF(SKUs!$C$6:$C$1997,B205)</f>
        <v>1</v>
      </c>
      <c r="M205" s="29">
        <v>7</v>
      </c>
      <c r="N205" s="29"/>
      <c r="O205" s="29"/>
      <c r="P205" s="29"/>
      <c r="Q205" s="29"/>
      <c r="R205" s="29"/>
      <c r="S205" s="29"/>
      <c r="T205" s="29"/>
      <c r="U205" s="30">
        <f t="shared" si="14"/>
        <v>7</v>
      </c>
      <c r="V205" s="31">
        <f t="shared" si="15"/>
        <v>0</v>
      </c>
    </row>
    <row r="206" spans="1:22" ht="14.25" hidden="1" customHeight="1" x14ac:dyDescent="0.3">
      <c r="A206" s="25">
        <v>199</v>
      </c>
      <c r="B206" s="26" t="s">
        <v>250</v>
      </c>
      <c r="C206" s="27" t="str">
        <f t="shared" si="12"/>
        <v>Outros</v>
      </c>
      <c r="D206" s="2" t="str">
        <f>IFERROR(INDEX(SKUs!$E$6:$E$1997,MATCH(B206,SKUs!$C$6:$C$1997,0)),"")</f>
        <v>POLO</v>
      </c>
      <c r="E206" s="28" t="str">
        <f>IFERROR(VLOOKUP(D206,Configurações!$N$5:$O$46,2,FALSE()),"OUTROS")</f>
        <v>VESTUÁRIO</v>
      </c>
      <c r="F206" s="2" t="str">
        <f>IFERROR(INDEX(SKUs!$F$6:$F$1997,MATCH(B206,SKUs!$C$6:$C$1997,0)),"")</f>
        <v>POLO PIQUET OUT. ROSA INFANTIL</v>
      </c>
      <c r="G206" s="2" t="str">
        <f>IFERROR(INDEX(SKUs!$G$6:$G$1997,MATCH(B206,SKUs!$C$6:$C$1997,0)),"")</f>
        <v>ROSA</v>
      </c>
      <c r="H206" s="25">
        <f>IFERROR(INDEX(SKUs!$H$6:$H$1997,MATCH(B206,SKUs!$C$6:$C$1997,0)),"")</f>
        <v>2</v>
      </c>
      <c r="I206" s="4" t="str">
        <f>IFERROR(INDEX(SKUs!#REF!,MATCH(B206,SKUs!$C$6:$C$1997,0)),"")</f>
        <v/>
      </c>
      <c r="J206" s="3">
        <f>SUMIFS(SKUs!$I$6:$I$1997,SKUs!$C$6:$C$1997,B206)</f>
        <v>8</v>
      </c>
      <c r="K206" s="4">
        <f t="shared" si="13"/>
        <v>0</v>
      </c>
      <c r="L206" s="3">
        <f>COUNTIF(SKUs!$C$6:$C$1997,B206)</f>
        <v>1</v>
      </c>
      <c r="M206" s="29"/>
      <c r="N206" s="29"/>
      <c r="O206" s="29"/>
      <c r="P206" s="29"/>
      <c r="Q206" s="29"/>
      <c r="R206" s="29"/>
      <c r="S206" s="29"/>
      <c r="T206" s="29"/>
      <c r="U206" s="30">
        <f t="shared" si="14"/>
        <v>0</v>
      </c>
      <c r="V206" s="31">
        <f t="shared" si="15"/>
        <v>8</v>
      </c>
    </row>
    <row r="207" spans="1:22" ht="14.25" hidden="1" customHeight="1" x14ac:dyDescent="0.3">
      <c r="A207" s="32">
        <v>200</v>
      </c>
      <c r="B207" s="26" t="s">
        <v>251</v>
      </c>
      <c r="C207" s="27" t="str">
        <f t="shared" si="12"/>
        <v>Outros</v>
      </c>
      <c r="D207" s="33" t="str">
        <f>IFERROR(INDEX(SKUs!$E$6:$E$1997,MATCH(B207,SKUs!$C$6:$C$1997,0)),"")</f>
        <v>POLO</v>
      </c>
      <c r="E207" s="28" t="str">
        <f>IFERROR(VLOOKUP(D207,Configurações!$N$5:$O$46,2,FALSE()),"OUTROS")</f>
        <v>VESTUÁRIO</v>
      </c>
      <c r="F207" s="33" t="str">
        <f>IFERROR(INDEX(SKUs!$F$6:$F$1997,MATCH(B207,SKUs!$C$6:$C$1997,0)),"")</f>
        <v>POLO PIQUET OUT. ROSA INFANTIL</v>
      </c>
      <c r="G207" s="33" t="str">
        <f>IFERROR(INDEX(SKUs!$G$6:$G$1997,MATCH(B207,SKUs!$C$6:$C$1997,0)),"")</f>
        <v>ROSA</v>
      </c>
      <c r="H207" s="32">
        <f>IFERROR(INDEX(SKUs!$H$6:$H$1997,MATCH(B207,SKUs!$C$6:$C$1997,0)),"")</f>
        <v>4</v>
      </c>
      <c r="I207" s="34" t="str">
        <f>IFERROR(INDEX(SKUs!#REF!,MATCH(B207,SKUs!$C$6:$C$1997,0)),"")</f>
        <v/>
      </c>
      <c r="J207" s="35">
        <f>SUMIFS(SKUs!$I$6:$I$1997,SKUs!$C$6:$C$1997,B207)</f>
        <v>0</v>
      </c>
      <c r="K207" s="34">
        <f t="shared" si="13"/>
        <v>0</v>
      </c>
      <c r="L207" s="35">
        <f>COUNTIF(SKUs!$C$6:$C$1997,B207)</f>
        <v>1</v>
      </c>
      <c r="M207" s="29">
        <v>9</v>
      </c>
      <c r="N207" s="29"/>
      <c r="O207" s="29"/>
      <c r="P207" s="29"/>
      <c r="Q207" s="29"/>
      <c r="R207" s="29"/>
      <c r="S207" s="29"/>
      <c r="T207" s="29"/>
      <c r="U207" s="30">
        <f t="shared" si="14"/>
        <v>9</v>
      </c>
      <c r="V207" s="31">
        <f t="shared" si="15"/>
        <v>0</v>
      </c>
    </row>
    <row r="208" spans="1:22" ht="14.25" hidden="1" customHeight="1" x14ac:dyDescent="0.3">
      <c r="A208" s="25">
        <v>201</v>
      </c>
      <c r="B208" s="26" t="s">
        <v>252</v>
      </c>
      <c r="C208" s="27" t="str">
        <f t="shared" si="12"/>
        <v>Outros</v>
      </c>
      <c r="D208" s="2" t="str">
        <f>IFERROR(INDEX(SKUs!$E$6:$E$1997,MATCH(B208,SKUs!$C$6:$C$1997,0)),"")</f>
        <v>POLO</v>
      </c>
      <c r="E208" s="28" t="str">
        <f>IFERROR(VLOOKUP(D208,Configurações!$N$5:$O$46,2,FALSE()),"OUTROS")</f>
        <v>VESTUÁRIO</v>
      </c>
      <c r="F208" s="2" t="str">
        <f>IFERROR(INDEX(SKUs!$F$6:$F$1997,MATCH(B208,SKUs!$C$6:$C$1997,0)),"")</f>
        <v>POLO PIQUET OUT. ROSA INFANTIL</v>
      </c>
      <c r="G208" s="2" t="str">
        <f>IFERROR(INDEX(SKUs!$G$6:$G$1997,MATCH(B208,SKUs!$C$6:$C$1997,0)),"")</f>
        <v>ROSA</v>
      </c>
      <c r="H208" s="25">
        <f>IFERROR(INDEX(SKUs!$H$6:$H$1997,MATCH(B208,SKUs!$C$6:$C$1997,0)),"")</f>
        <v>6</v>
      </c>
      <c r="I208" s="4" t="str">
        <f>IFERROR(INDEX(SKUs!#REF!,MATCH(B208,SKUs!$C$6:$C$1997,0)),"")</f>
        <v/>
      </c>
      <c r="J208" s="3">
        <f>SUMIFS(SKUs!$I$6:$I$1997,SKUs!$C$6:$C$1997,B208)</f>
        <v>0</v>
      </c>
      <c r="K208" s="4">
        <f t="shared" si="13"/>
        <v>0</v>
      </c>
      <c r="L208" s="3">
        <f>COUNTIF(SKUs!$C$6:$C$1997,B208)</f>
        <v>1</v>
      </c>
      <c r="M208" s="29">
        <v>8</v>
      </c>
      <c r="N208" s="29"/>
      <c r="O208" s="29"/>
      <c r="P208" s="29"/>
      <c r="Q208" s="29"/>
      <c r="R208" s="29"/>
      <c r="S208" s="29"/>
      <c r="T208" s="29"/>
      <c r="U208" s="30">
        <f t="shared" si="14"/>
        <v>8</v>
      </c>
      <c r="V208" s="31">
        <f t="shared" si="15"/>
        <v>0</v>
      </c>
    </row>
    <row r="209" spans="1:22" ht="14.25" hidden="1" customHeight="1" x14ac:dyDescent="0.3">
      <c r="A209" s="32">
        <v>202</v>
      </c>
      <c r="B209" s="26" t="s">
        <v>253</v>
      </c>
      <c r="C209" s="27" t="str">
        <f t="shared" si="12"/>
        <v>Outros</v>
      </c>
      <c r="D209" s="33" t="str">
        <f>IFERROR(INDEX(SKUs!$E$6:$E$1997,MATCH(B209,SKUs!$C$6:$C$1997,0)),"")</f>
        <v>POLO</v>
      </c>
      <c r="E209" s="28" t="str">
        <f>IFERROR(VLOOKUP(D209,Configurações!$N$5:$O$46,2,FALSE()),"OUTROS")</f>
        <v>VESTUÁRIO</v>
      </c>
      <c r="F209" s="33" t="str">
        <f>IFERROR(INDEX(SKUs!$F$6:$F$1997,MATCH(B209,SKUs!$C$6:$C$1997,0)),"")</f>
        <v>POLO PIQUET OUT. ROSA INFANTIL</v>
      </c>
      <c r="G209" s="33" t="str">
        <f>IFERROR(INDEX(SKUs!$G$6:$G$1997,MATCH(B209,SKUs!$C$6:$C$1997,0)),"")</f>
        <v>ROSA</v>
      </c>
      <c r="H209" s="32">
        <f>IFERROR(INDEX(SKUs!$H$6:$H$1997,MATCH(B209,SKUs!$C$6:$C$1997,0)),"")</f>
        <v>8</v>
      </c>
      <c r="I209" s="34" t="str">
        <f>IFERROR(INDEX(SKUs!#REF!,MATCH(B209,SKUs!$C$6:$C$1997,0)),"")</f>
        <v/>
      </c>
      <c r="J209" s="35">
        <f>SUMIFS(SKUs!$I$6:$I$1997,SKUs!$C$6:$C$1997,B209)</f>
        <v>0</v>
      </c>
      <c r="K209" s="34">
        <f t="shared" si="13"/>
        <v>0</v>
      </c>
      <c r="L209" s="35">
        <f>COUNTIF(SKUs!$C$6:$C$1997,B209)</f>
        <v>1</v>
      </c>
      <c r="M209" s="29">
        <v>8</v>
      </c>
      <c r="N209" s="29"/>
      <c r="O209" s="29"/>
      <c r="P209" s="29"/>
      <c r="Q209" s="29"/>
      <c r="R209" s="29"/>
      <c r="S209" s="29"/>
      <c r="T209" s="29"/>
      <c r="U209" s="30">
        <f t="shared" si="14"/>
        <v>8</v>
      </c>
      <c r="V209" s="31">
        <f t="shared" si="15"/>
        <v>0</v>
      </c>
    </row>
    <row r="210" spans="1:22" ht="14.25" hidden="1" customHeight="1" x14ac:dyDescent="0.3">
      <c r="A210" s="25">
        <v>203</v>
      </c>
      <c r="B210" s="26" t="s">
        <v>254</v>
      </c>
      <c r="C210" s="27" t="str">
        <f t="shared" si="12"/>
        <v>Outros</v>
      </c>
      <c r="D210" s="2" t="str">
        <f>IFERROR(INDEX(SKUs!$E$6:$E$1997,MATCH(B210,SKUs!$C$6:$C$1997,0)),"")</f>
        <v>POLO</v>
      </c>
      <c r="E210" s="28" t="str">
        <f>IFERROR(VLOOKUP(D210,Configurações!$N$5:$O$46,2,FALSE()),"OUTROS")</f>
        <v>VESTUÁRIO</v>
      </c>
      <c r="F210" s="2" t="str">
        <f>IFERROR(INDEX(SKUs!$F$6:$F$1997,MATCH(B210,SKUs!$C$6:$C$1997,0)),"")</f>
        <v>POLO PIQUET OUT. ROSA INFANTIL</v>
      </c>
      <c r="G210" s="2" t="str">
        <f>IFERROR(INDEX(SKUs!$G$6:$G$1997,MATCH(B210,SKUs!$C$6:$C$1997,0)),"")</f>
        <v>ROSA</v>
      </c>
      <c r="H210" s="25">
        <f>IFERROR(INDEX(SKUs!$H$6:$H$1997,MATCH(B210,SKUs!$C$6:$C$1997,0)),"")</f>
        <v>10</v>
      </c>
      <c r="I210" s="4" t="str">
        <f>IFERROR(INDEX(SKUs!#REF!,MATCH(B210,SKUs!$C$6:$C$1997,0)),"")</f>
        <v/>
      </c>
      <c r="J210" s="3">
        <f>SUMIFS(SKUs!$I$6:$I$1997,SKUs!$C$6:$C$1997,B210)</f>
        <v>0</v>
      </c>
      <c r="K210" s="4">
        <f t="shared" si="13"/>
        <v>0</v>
      </c>
      <c r="L210" s="3">
        <f>COUNTIF(SKUs!$C$6:$C$1997,B210)</f>
        <v>1</v>
      </c>
      <c r="M210" s="29">
        <v>9</v>
      </c>
      <c r="N210" s="29"/>
      <c r="O210" s="29"/>
      <c r="P210" s="29"/>
      <c r="Q210" s="29"/>
      <c r="R210" s="29"/>
      <c r="S210" s="29"/>
      <c r="T210" s="29"/>
      <c r="U210" s="30">
        <f t="shared" si="14"/>
        <v>9</v>
      </c>
      <c r="V210" s="31">
        <f t="shared" si="15"/>
        <v>0</v>
      </c>
    </row>
    <row r="211" spans="1:22" ht="14.25" hidden="1" customHeight="1" x14ac:dyDescent="0.3">
      <c r="A211" s="32">
        <v>204</v>
      </c>
      <c r="B211" s="26" t="s">
        <v>255</v>
      </c>
      <c r="C211" s="27" t="str">
        <f t="shared" si="12"/>
        <v>Outros</v>
      </c>
      <c r="D211" s="33" t="str">
        <f>IFERROR(INDEX(SKUs!$E$6:$E$1997,MATCH(B211,SKUs!$C$6:$C$1997,0)),"")</f>
        <v>POLO</v>
      </c>
      <c r="E211" s="28" t="str">
        <f>IFERROR(VLOOKUP(D211,Configurações!$N$5:$O$46,2,FALSE()),"OUTROS")</f>
        <v>VESTUÁRIO</v>
      </c>
      <c r="F211" s="33" t="str">
        <f>IFERROR(INDEX(SKUs!$F$6:$F$1997,MATCH(B211,SKUs!$C$6:$C$1997,0)),"")</f>
        <v>POLO PIQUET OUT. ROSA INFANTIL</v>
      </c>
      <c r="G211" s="33" t="str">
        <f>IFERROR(INDEX(SKUs!$G$6:$G$1997,MATCH(B211,SKUs!$C$6:$C$1997,0)),"")</f>
        <v>ROSA</v>
      </c>
      <c r="H211" s="32">
        <f>IFERROR(INDEX(SKUs!$H$6:$H$1997,MATCH(B211,SKUs!$C$6:$C$1997,0)),"")</f>
        <v>12</v>
      </c>
      <c r="I211" s="34" t="str">
        <f>IFERROR(INDEX(SKUs!#REF!,MATCH(B211,SKUs!$C$6:$C$1997,0)),"")</f>
        <v/>
      </c>
      <c r="J211" s="35">
        <f>SUMIFS(SKUs!$I$6:$I$1997,SKUs!$C$6:$C$1997,B211)</f>
        <v>0</v>
      </c>
      <c r="K211" s="34">
        <f t="shared" si="13"/>
        <v>0</v>
      </c>
      <c r="L211" s="35">
        <f>COUNTIF(SKUs!$C$6:$C$1997,B211)</f>
        <v>1</v>
      </c>
      <c r="M211" s="29">
        <v>6</v>
      </c>
      <c r="N211" s="29"/>
      <c r="O211" s="29"/>
      <c r="P211" s="29"/>
      <c r="Q211" s="29"/>
      <c r="R211" s="29"/>
      <c r="S211" s="29"/>
      <c r="T211" s="29"/>
      <c r="U211" s="30">
        <f t="shared" si="14"/>
        <v>6</v>
      </c>
      <c r="V211" s="31">
        <f t="shared" si="15"/>
        <v>0</v>
      </c>
    </row>
    <row r="212" spans="1:22" ht="14.25" hidden="1" customHeight="1" x14ac:dyDescent="0.3">
      <c r="A212" s="25">
        <v>205</v>
      </c>
      <c r="B212" s="26" t="s">
        <v>256</v>
      </c>
      <c r="C212" s="27" t="str">
        <f t="shared" si="12"/>
        <v>Outros</v>
      </c>
      <c r="D212" s="2" t="str">
        <f>IFERROR(INDEX(SKUs!$E$6:$E$1997,MATCH(B212,SKUs!$C$6:$C$1997,0)),"")</f>
        <v>POLO</v>
      </c>
      <c r="E212" s="28" t="str">
        <f>IFERROR(VLOOKUP(D212,Configurações!$N$5:$O$46,2,FALSE()),"OUTROS")</f>
        <v>VESTUÁRIO</v>
      </c>
      <c r="F212" s="2" t="str">
        <f>IFERROR(INDEX(SKUs!$F$6:$F$1997,MATCH(B212,SKUs!$C$6:$C$1997,0)),"")</f>
        <v>POLO PIQUET OUT. ROSA INFANTIL</v>
      </c>
      <c r="G212" s="2" t="str">
        <f>IFERROR(INDEX(SKUs!$G$6:$G$1997,MATCH(B212,SKUs!$C$6:$C$1997,0)),"")</f>
        <v>ROSA</v>
      </c>
      <c r="H212" s="25">
        <f>IFERROR(INDEX(SKUs!$H$6:$H$1997,MATCH(B212,SKUs!$C$6:$C$1997,0)),"")</f>
        <v>14</v>
      </c>
      <c r="I212" s="4" t="str">
        <f>IFERROR(INDEX(SKUs!#REF!,MATCH(B212,SKUs!$C$6:$C$1997,0)),"")</f>
        <v/>
      </c>
      <c r="J212" s="3">
        <f>SUMIFS(SKUs!$I$6:$I$1997,SKUs!$C$6:$C$1997,B212)</f>
        <v>0</v>
      </c>
      <c r="K212" s="4">
        <f t="shared" si="13"/>
        <v>0</v>
      </c>
      <c r="L212" s="3">
        <f>COUNTIF(SKUs!$C$6:$C$1997,B212)</f>
        <v>1</v>
      </c>
      <c r="M212" s="29">
        <v>2</v>
      </c>
      <c r="N212" s="29"/>
      <c r="O212" s="29"/>
      <c r="P212" s="29"/>
      <c r="Q212" s="29"/>
      <c r="R212" s="29"/>
      <c r="S212" s="29"/>
      <c r="T212" s="29"/>
      <c r="U212" s="30">
        <f t="shared" si="14"/>
        <v>2</v>
      </c>
      <c r="V212" s="31">
        <f t="shared" si="15"/>
        <v>0</v>
      </c>
    </row>
    <row r="213" spans="1:22" ht="14.25" hidden="1" customHeight="1" x14ac:dyDescent="0.3">
      <c r="A213" s="32">
        <v>206</v>
      </c>
      <c r="B213" s="26" t="s">
        <v>257</v>
      </c>
      <c r="C213" s="27" t="str">
        <f t="shared" si="12"/>
        <v>Outros</v>
      </c>
      <c r="D213" s="33" t="str">
        <f>IFERROR(INDEX(SKUs!$E$6:$E$1997,MATCH(B213,SKUs!$C$6:$C$1997,0)),"")</f>
        <v>POLO</v>
      </c>
      <c r="E213" s="28" t="str">
        <f>IFERROR(VLOOKUP(D213,Configurações!$N$5:$O$46,2,FALSE()),"OUTROS")</f>
        <v>VESTUÁRIO</v>
      </c>
      <c r="F213" s="33" t="str">
        <f>IFERROR(INDEX(SKUs!$F$6:$F$1997,MATCH(B213,SKUs!$C$6:$C$1997,0)),"")</f>
        <v>POLO PIQUET MESCLA INFANTIL</v>
      </c>
      <c r="G213" s="33" t="str">
        <f>IFERROR(INDEX(SKUs!$G$6:$G$1997,MATCH(B213,SKUs!$C$6:$C$1997,0)),"")</f>
        <v>AZUL</v>
      </c>
      <c r="H213" s="32">
        <f>IFERROR(INDEX(SKUs!$H$6:$H$1997,MATCH(B213,SKUs!$C$6:$C$1997,0)),"")</f>
        <v>2</v>
      </c>
      <c r="I213" s="34" t="str">
        <f>IFERROR(INDEX(SKUs!#REF!,MATCH(B213,SKUs!$C$6:$C$1997,0)),"")</f>
        <v/>
      </c>
      <c r="J213" s="35">
        <f>SUMIFS(SKUs!$I$6:$I$1997,SKUs!$C$6:$C$1997,B213)</f>
        <v>0</v>
      </c>
      <c r="K213" s="34">
        <f t="shared" si="13"/>
        <v>0</v>
      </c>
      <c r="L213" s="35">
        <f>COUNTIF(SKUs!$C$6:$C$1997,B213)</f>
        <v>1</v>
      </c>
      <c r="M213" s="29">
        <v>10</v>
      </c>
      <c r="N213" s="29"/>
      <c r="O213" s="29"/>
      <c r="P213" s="29"/>
      <c r="Q213" s="29"/>
      <c r="R213" s="29"/>
      <c r="S213" s="29"/>
      <c r="T213" s="29"/>
      <c r="U213" s="30">
        <f t="shared" si="14"/>
        <v>10</v>
      </c>
      <c r="V213" s="31">
        <f t="shared" si="15"/>
        <v>0</v>
      </c>
    </row>
    <row r="214" spans="1:22" ht="14.25" hidden="1" customHeight="1" x14ac:dyDescent="0.3">
      <c r="A214" s="25">
        <v>207</v>
      </c>
      <c r="B214" s="26" t="s">
        <v>258</v>
      </c>
      <c r="C214" s="27" t="str">
        <f t="shared" si="12"/>
        <v>Outros</v>
      </c>
      <c r="D214" s="2" t="str">
        <f>IFERROR(INDEX(SKUs!$E$6:$E$1997,MATCH(B214,SKUs!$C$6:$C$1997,0)),"")</f>
        <v>POLO</v>
      </c>
      <c r="E214" s="28" t="str">
        <f>IFERROR(VLOOKUP(D214,Configurações!$N$5:$O$46,2,FALSE()),"OUTROS")</f>
        <v>VESTUÁRIO</v>
      </c>
      <c r="F214" s="2" t="str">
        <f>IFERROR(INDEX(SKUs!$F$6:$F$1997,MATCH(B214,SKUs!$C$6:$C$1997,0)),"")</f>
        <v>POLO PIQUET MESCLA INFANTIL</v>
      </c>
      <c r="G214" s="2" t="str">
        <f>IFERROR(INDEX(SKUs!$G$6:$G$1997,MATCH(B214,SKUs!$C$6:$C$1997,0)),"")</f>
        <v>AZUL</v>
      </c>
      <c r="H214" s="25">
        <f>IFERROR(INDEX(SKUs!$H$6:$H$1997,MATCH(B214,SKUs!$C$6:$C$1997,0)),"")</f>
        <v>4</v>
      </c>
      <c r="I214" s="4" t="str">
        <f>IFERROR(INDEX(SKUs!#REF!,MATCH(B214,SKUs!$C$6:$C$1997,0)),"")</f>
        <v/>
      </c>
      <c r="J214" s="3">
        <f>SUMIFS(SKUs!$I$6:$I$1997,SKUs!$C$6:$C$1997,B214)</f>
        <v>0</v>
      </c>
      <c r="K214" s="4">
        <f t="shared" si="13"/>
        <v>0</v>
      </c>
      <c r="L214" s="3">
        <f>COUNTIF(SKUs!$C$6:$C$1997,B214)</f>
        <v>1</v>
      </c>
      <c r="M214" s="29">
        <v>9</v>
      </c>
      <c r="N214" s="29"/>
      <c r="O214" s="29"/>
      <c r="P214" s="29"/>
      <c r="Q214" s="29"/>
      <c r="R214" s="29"/>
      <c r="S214" s="29"/>
      <c r="T214" s="29"/>
      <c r="U214" s="30">
        <f t="shared" si="14"/>
        <v>9</v>
      </c>
      <c r="V214" s="31">
        <f t="shared" si="15"/>
        <v>0</v>
      </c>
    </row>
    <row r="215" spans="1:22" ht="14.25" hidden="1" customHeight="1" x14ac:dyDescent="0.3">
      <c r="A215" s="32">
        <v>208</v>
      </c>
      <c r="B215" s="26" t="s">
        <v>259</v>
      </c>
      <c r="C215" s="27" t="str">
        <f t="shared" si="12"/>
        <v>Outros</v>
      </c>
      <c r="D215" s="33" t="str">
        <f>IFERROR(INDEX(SKUs!$E$6:$E$1997,MATCH(B215,SKUs!$C$6:$C$1997,0)),"")</f>
        <v>POLO</v>
      </c>
      <c r="E215" s="28" t="str">
        <f>IFERROR(VLOOKUP(D215,Configurações!$N$5:$O$46,2,FALSE()),"OUTROS")</f>
        <v>VESTUÁRIO</v>
      </c>
      <c r="F215" s="33" t="str">
        <f>IFERROR(INDEX(SKUs!$F$6:$F$1997,MATCH(B215,SKUs!$C$6:$C$1997,0)),"")</f>
        <v>POLO PIQUET MESCLA INFANTIL</v>
      </c>
      <c r="G215" s="33" t="str">
        <f>IFERROR(INDEX(SKUs!$G$6:$G$1997,MATCH(B215,SKUs!$C$6:$C$1997,0)),"")</f>
        <v>AZUL</v>
      </c>
      <c r="H215" s="32">
        <f>IFERROR(INDEX(SKUs!$H$6:$H$1997,MATCH(B215,SKUs!$C$6:$C$1997,0)),"")</f>
        <v>6</v>
      </c>
      <c r="I215" s="34" t="str">
        <f>IFERROR(INDEX(SKUs!#REF!,MATCH(B215,SKUs!$C$6:$C$1997,0)),"")</f>
        <v/>
      </c>
      <c r="J215" s="35">
        <f>SUMIFS(SKUs!$I$6:$I$1997,SKUs!$C$6:$C$1997,B215)</f>
        <v>0</v>
      </c>
      <c r="K215" s="34">
        <f t="shared" si="13"/>
        <v>0</v>
      </c>
      <c r="L215" s="35">
        <f>COUNTIF(SKUs!$C$6:$C$1997,B215)</f>
        <v>1</v>
      </c>
      <c r="M215" s="29">
        <v>10</v>
      </c>
      <c r="N215" s="29"/>
      <c r="O215" s="29"/>
      <c r="P215" s="29"/>
      <c r="Q215" s="29"/>
      <c r="R215" s="29"/>
      <c r="S215" s="29"/>
      <c r="T215" s="29"/>
      <c r="U215" s="30">
        <f t="shared" si="14"/>
        <v>10</v>
      </c>
      <c r="V215" s="31">
        <f t="shared" si="15"/>
        <v>0</v>
      </c>
    </row>
    <row r="216" spans="1:22" ht="14.25" hidden="1" customHeight="1" x14ac:dyDescent="0.3">
      <c r="A216" s="25">
        <v>209</v>
      </c>
      <c r="B216" s="26" t="s">
        <v>260</v>
      </c>
      <c r="C216" s="27" t="str">
        <f t="shared" si="12"/>
        <v>Outros</v>
      </c>
      <c r="D216" s="2" t="str">
        <f>IFERROR(INDEX(SKUs!$E$6:$E$1997,MATCH(B216,SKUs!$C$6:$C$1997,0)),"")</f>
        <v>POLO</v>
      </c>
      <c r="E216" s="28" t="str">
        <f>IFERROR(VLOOKUP(D216,Configurações!$N$5:$O$46,2,FALSE()),"OUTROS")</f>
        <v>VESTUÁRIO</v>
      </c>
      <c r="F216" s="2" t="str">
        <f>IFERROR(INDEX(SKUs!$F$6:$F$1997,MATCH(B216,SKUs!$C$6:$C$1997,0)),"")</f>
        <v>POLO PIQUET MESCLA INFANTIL</v>
      </c>
      <c r="G216" s="2" t="str">
        <f>IFERROR(INDEX(SKUs!$G$6:$G$1997,MATCH(B216,SKUs!$C$6:$C$1997,0)),"")</f>
        <v>AZUL</v>
      </c>
      <c r="H216" s="25">
        <f>IFERROR(INDEX(SKUs!$H$6:$H$1997,MATCH(B216,SKUs!$C$6:$C$1997,0)),"")</f>
        <v>8</v>
      </c>
      <c r="I216" s="4" t="str">
        <f>IFERROR(INDEX(SKUs!#REF!,MATCH(B216,SKUs!$C$6:$C$1997,0)),"")</f>
        <v/>
      </c>
      <c r="J216" s="3">
        <f>SUMIFS(SKUs!$I$6:$I$1997,SKUs!$C$6:$C$1997,B216)</f>
        <v>0</v>
      </c>
      <c r="K216" s="4">
        <f t="shared" si="13"/>
        <v>0</v>
      </c>
      <c r="L216" s="3">
        <f>COUNTIF(SKUs!$C$6:$C$1997,B216)</f>
        <v>1</v>
      </c>
      <c r="M216" s="29">
        <v>10</v>
      </c>
      <c r="N216" s="29"/>
      <c r="O216" s="29"/>
      <c r="P216" s="29"/>
      <c r="Q216" s="29"/>
      <c r="R216" s="29"/>
      <c r="S216" s="29"/>
      <c r="T216" s="29"/>
      <c r="U216" s="30">
        <f t="shared" si="14"/>
        <v>10</v>
      </c>
      <c r="V216" s="31">
        <f t="shared" si="15"/>
        <v>0</v>
      </c>
    </row>
    <row r="217" spans="1:22" ht="14.25" hidden="1" customHeight="1" x14ac:dyDescent="0.3">
      <c r="A217" s="32">
        <v>210</v>
      </c>
      <c r="B217" s="26" t="s">
        <v>261</v>
      </c>
      <c r="C217" s="27" t="str">
        <f t="shared" si="12"/>
        <v>Outros</v>
      </c>
      <c r="D217" s="33" t="str">
        <f>IFERROR(INDEX(SKUs!$E$6:$E$1997,MATCH(B217,SKUs!$C$6:$C$1997,0)),"")</f>
        <v>POLO</v>
      </c>
      <c r="E217" s="28" t="str">
        <f>IFERROR(VLOOKUP(D217,Configurações!$N$5:$O$46,2,FALSE()),"OUTROS")</f>
        <v>VESTUÁRIO</v>
      </c>
      <c r="F217" s="33" t="str">
        <f>IFERROR(INDEX(SKUs!$F$6:$F$1997,MATCH(B217,SKUs!$C$6:$C$1997,0)),"")</f>
        <v>POLO PIQUET MESCLA INFANTIL</v>
      </c>
      <c r="G217" s="33" t="str">
        <f>IFERROR(INDEX(SKUs!$G$6:$G$1997,MATCH(B217,SKUs!$C$6:$C$1997,0)),"")</f>
        <v>AZUL</v>
      </c>
      <c r="H217" s="32">
        <f>IFERROR(INDEX(SKUs!$H$6:$H$1997,MATCH(B217,SKUs!$C$6:$C$1997,0)),"")</f>
        <v>10</v>
      </c>
      <c r="I217" s="34" t="str">
        <f>IFERROR(INDEX(SKUs!#REF!,MATCH(B217,SKUs!$C$6:$C$1997,0)),"")</f>
        <v/>
      </c>
      <c r="J217" s="35">
        <f>SUMIFS(SKUs!$I$6:$I$1997,SKUs!$C$6:$C$1997,B217)</f>
        <v>0</v>
      </c>
      <c r="K217" s="34">
        <f t="shared" si="13"/>
        <v>0</v>
      </c>
      <c r="L217" s="35">
        <f>COUNTIF(SKUs!$C$6:$C$1997,B217)</f>
        <v>1</v>
      </c>
      <c r="M217" s="29">
        <v>9</v>
      </c>
      <c r="N217" s="29"/>
      <c r="O217" s="29"/>
      <c r="P217" s="29"/>
      <c r="Q217" s="29"/>
      <c r="R217" s="29"/>
      <c r="S217" s="29"/>
      <c r="T217" s="29"/>
      <c r="U217" s="30">
        <f t="shared" si="14"/>
        <v>9</v>
      </c>
      <c r="V217" s="31">
        <f t="shared" si="15"/>
        <v>0</v>
      </c>
    </row>
    <row r="218" spans="1:22" ht="14.25" hidden="1" customHeight="1" x14ac:dyDescent="0.3">
      <c r="A218" s="25">
        <v>211</v>
      </c>
      <c r="B218" s="26" t="s">
        <v>262</v>
      </c>
      <c r="C218" s="27" t="str">
        <f t="shared" si="12"/>
        <v>Outros</v>
      </c>
      <c r="D218" s="2" t="str">
        <f>IFERROR(INDEX(SKUs!$E$6:$E$1997,MATCH(B218,SKUs!$C$6:$C$1997,0)),"")</f>
        <v>POLO</v>
      </c>
      <c r="E218" s="28" t="str">
        <f>IFERROR(VLOOKUP(D218,Configurações!$N$5:$O$46,2,FALSE()),"OUTROS")</f>
        <v>VESTUÁRIO</v>
      </c>
      <c r="F218" s="2" t="str">
        <f>IFERROR(INDEX(SKUs!$F$6:$F$1997,MATCH(B218,SKUs!$C$6:$C$1997,0)),"")</f>
        <v>POLO PIQUET MESCLA INFANTIL</v>
      </c>
      <c r="G218" s="2" t="str">
        <f>IFERROR(INDEX(SKUs!$G$6:$G$1997,MATCH(B218,SKUs!$C$6:$C$1997,0)),"")</f>
        <v>AZUL</v>
      </c>
      <c r="H218" s="25">
        <f>IFERROR(INDEX(SKUs!$H$6:$H$1997,MATCH(B218,SKUs!$C$6:$C$1997,0)),"")</f>
        <v>12</v>
      </c>
      <c r="I218" s="4" t="str">
        <f>IFERROR(INDEX(SKUs!#REF!,MATCH(B218,SKUs!$C$6:$C$1997,0)),"")</f>
        <v/>
      </c>
      <c r="J218" s="3">
        <f>SUMIFS(SKUs!$I$6:$I$1997,SKUs!$C$6:$C$1997,B218)</f>
        <v>0</v>
      </c>
      <c r="K218" s="4">
        <f t="shared" si="13"/>
        <v>0</v>
      </c>
      <c r="L218" s="3">
        <f>COUNTIF(SKUs!$C$6:$C$1997,B218)</f>
        <v>1</v>
      </c>
      <c r="M218" s="29">
        <v>4</v>
      </c>
      <c r="N218" s="29"/>
      <c r="O218" s="29"/>
      <c r="P218" s="29"/>
      <c r="Q218" s="29"/>
      <c r="R218" s="29"/>
      <c r="S218" s="29"/>
      <c r="T218" s="29"/>
      <c r="U218" s="30">
        <f t="shared" si="14"/>
        <v>4</v>
      </c>
      <c r="V218" s="31">
        <f t="shared" si="15"/>
        <v>0</v>
      </c>
    </row>
    <row r="219" spans="1:22" ht="14.25" hidden="1" customHeight="1" x14ac:dyDescent="0.3">
      <c r="A219" s="32">
        <v>212</v>
      </c>
      <c r="B219" s="26" t="s">
        <v>263</v>
      </c>
      <c r="C219" s="27" t="str">
        <f t="shared" si="12"/>
        <v>Outros</v>
      </c>
      <c r="D219" s="33" t="str">
        <f>IFERROR(INDEX(SKUs!$E$6:$E$1997,MATCH(B219,SKUs!$C$6:$C$1997,0)),"")</f>
        <v>POLO</v>
      </c>
      <c r="E219" s="28" t="str">
        <f>IFERROR(VLOOKUP(D219,Configurações!$N$5:$O$46,2,FALSE()),"OUTROS")</f>
        <v>VESTUÁRIO</v>
      </c>
      <c r="F219" s="33" t="str">
        <f>IFERROR(INDEX(SKUs!$F$6:$F$1997,MATCH(B219,SKUs!$C$6:$C$1997,0)),"")</f>
        <v>POLO PIQUET MESCLA INFANTIL</v>
      </c>
      <c r="G219" s="33" t="str">
        <f>IFERROR(INDEX(SKUs!$G$6:$G$1997,MATCH(B219,SKUs!$C$6:$C$1997,0)),"")</f>
        <v>AZUL</v>
      </c>
      <c r="H219" s="32">
        <f>IFERROR(INDEX(SKUs!$H$6:$H$1997,MATCH(B219,SKUs!$C$6:$C$1997,0)),"")</f>
        <v>14</v>
      </c>
      <c r="I219" s="34" t="str">
        <f>IFERROR(INDEX(SKUs!#REF!,MATCH(B219,SKUs!$C$6:$C$1997,0)),"")</f>
        <v/>
      </c>
      <c r="J219" s="35">
        <f>SUMIFS(SKUs!$I$6:$I$1997,SKUs!$C$6:$C$1997,B219)</f>
        <v>0</v>
      </c>
      <c r="K219" s="34">
        <f t="shared" si="13"/>
        <v>0</v>
      </c>
      <c r="L219" s="35">
        <f>COUNTIF(SKUs!$C$6:$C$1997,B219)</f>
        <v>1</v>
      </c>
      <c r="M219" s="29">
        <v>8</v>
      </c>
      <c r="N219" s="29"/>
      <c r="O219" s="29"/>
      <c r="P219" s="29"/>
      <c r="Q219" s="29"/>
      <c r="R219" s="29"/>
      <c r="S219" s="29"/>
      <c r="T219" s="29"/>
      <c r="U219" s="30">
        <f t="shared" si="14"/>
        <v>8</v>
      </c>
      <c r="V219" s="31">
        <f t="shared" si="15"/>
        <v>0</v>
      </c>
    </row>
    <row r="220" spans="1:22" ht="14.25" hidden="1" customHeight="1" x14ac:dyDescent="0.3">
      <c r="A220" s="25">
        <v>213</v>
      </c>
      <c r="B220" s="26" t="s">
        <v>264</v>
      </c>
      <c r="C220" s="27" t="str">
        <f t="shared" si="12"/>
        <v>Feminino</v>
      </c>
      <c r="D220" s="2" t="str">
        <f>IFERROR(INDEX(SKUs!$E$6:$E$1997,MATCH(B220,SKUs!$C$6:$C$1997,0)),"")</f>
        <v>POLO</v>
      </c>
      <c r="E220" s="28" t="str">
        <f>IFERROR(VLOOKUP(D220,Configurações!$N$5:$O$46,2,FALSE()),"OUTROS")</f>
        <v>VESTUÁRIO</v>
      </c>
      <c r="F220" s="2" t="str">
        <f>IFERROR(INDEX(SKUs!$F$6:$F$1997,MATCH(B220,SKUs!$C$6:$C$1997,0)),"")</f>
        <v>POLO PIQUET CINZA-RISCOS FEM.</v>
      </c>
      <c r="G220" s="2" t="str">
        <f>IFERROR(INDEX(SKUs!$G$6:$G$1997,MATCH(B220,SKUs!$C$6:$C$1997,0)),"")</f>
        <v>CINZA</v>
      </c>
      <c r="H220" s="25" t="str">
        <f>IFERROR(INDEX(SKUs!$H$6:$H$1997,MATCH(B220,SKUs!$C$6:$C$1997,0)),"")</f>
        <v>XG</v>
      </c>
      <c r="I220" s="4" t="str">
        <f>IFERROR(INDEX(SKUs!#REF!,MATCH(B220,SKUs!$C$6:$C$1997,0)),"")</f>
        <v/>
      </c>
      <c r="J220" s="3">
        <f>SUMIFS(SKUs!$I$6:$I$1997,SKUs!$C$6:$C$1997,B220)</f>
        <v>0</v>
      </c>
      <c r="K220" s="4">
        <f t="shared" si="13"/>
        <v>0</v>
      </c>
      <c r="L220" s="3">
        <f>COUNTIF(SKUs!$C$6:$C$1997,B220)</f>
        <v>1</v>
      </c>
      <c r="M220" s="29">
        <v>14</v>
      </c>
      <c r="N220" s="29"/>
      <c r="O220" s="29"/>
      <c r="P220" s="29"/>
      <c r="Q220" s="29"/>
      <c r="R220" s="29"/>
      <c r="S220" s="29"/>
      <c r="T220" s="29"/>
      <c r="U220" s="30">
        <f t="shared" si="14"/>
        <v>14</v>
      </c>
      <c r="V220" s="31">
        <f t="shared" si="15"/>
        <v>0</v>
      </c>
    </row>
    <row r="221" spans="1:22" ht="14.25" hidden="1" customHeight="1" x14ac:dyDescent="0.3">
      <c r="A221" s="32">
        <v>214</v>
      </c>
      <c r="B221" s="26" t="s">
        <v>265</v>
      </c>
      <c r="C221" s="27" t="str">
        <f t="shared" si="12"/>
        <v>Feminino</v>
      </c>
      <c r="D221" s="33" t="str">
        <f>IFERROR(INDEX(SKUs!$E$6:$E$1997,MATCH(B221,SKUs!$C$6:$C$1997,0)),"")</f>
        <v>POLO</v>
      </c>
      <c r="E221" s="28" t="str">
        <f>IFERROR(VLOOKUP(D221,Configurações!$N$5:$O$46,2,FALSE()),"OUTROS")</f>
        <v>VESTUÁRIO</v>
      </c>
      <c r="F221" s="33" t="str">
        <f>IFERROR(INDEX(SKUs!$F$6:$F$1997,MATCH(B221,SKUs!$C$6:$C$1997,0)),"")</f>
        <v>POLO PIQUET CINZA-RISCOS FEM.</v>
      </c>
      <c r="G221" s="33" t="str">
        <f>IFERROR(INDEX(SKUs!$G$6:$G$1997,MATCH(B221,SKUs!$C$6:$C$1997,0)),"")</f>
        <v>CINZA</v>
      </c>
      <c r="H221" s="32" t="str">
        <f>IFERROR(INDEX(SKUs!$H$6:$H$1997,MATCH(B221,SKUs!$C$6:$C$1997,0)),"")</f>
        <v>PP</v>
      </c>
      <c r="I221" s="34" t="str">
        <f>IFERROR(INDEX(SKUs!#REF!,MATCH(B221,SKUs!$C$6:$C$1997,0)),"")</f>
        <v/>
      </c>
      <c r="J221" s="35">
        <f>SUMIFS(SKUs!$I$6:$I$1997,SKUs!$C$6:$C$1997,B221)</f>
        <v>0</v>
      </c>
      <c r="K221" s="34">
        <f t="shared" si="13"/>
        <v>0</v>
      </c>
      <c r="L221" s="35">
        <f>COUNTIF(SKUs!$C$6:$C$1997,B221)</f>
        <v>1</v>
      </c>
      <c r="M221" s="29">
        <v>1</v>
      </c>
      <c r="N221" s="29"/>
      <c r="O221" s="29"/>
      <c r="P221" s="29"/>
      <c r="Q221" s="29"/>
      <c r="R221" s="29"/>
      <c r="S221" s="29"/>
      <c r="T221" s="29"/>
      <c r="U221" s="30">
        <f t="shared" si="14"/>
        <v>1</v>
      </c>
      <c r="V221" s="31">
        <f t="shared" si="15"/>
        <v>0</v>
      </c>
    </row>
    <row r="222" spans="1:22" ht="14.25" hidden="1" customHeight="1" x14ac:dyDescent="0.3">
      <c r="A222" s="25">
        <v>215</v>
      </c>
      <c r="B222" s="26" t="s">
        <v>266</v>
      </c>
      <c r="C222" s="27" t="str">
        <f t="shared" si="12"/>
        <v>Feminino</v>
      </c>
      <c r="D222" s="2" t="str">
        <f>IFERROR(INDEX(SKUs!$E$6:$E$1997,MATCH(B222,SKUs!$C$6:$C$1997,0)),"")</f>
        <v>POLO</v>
      </c>
      <c r="E222" s="28" t="str">
        <f>IFERROR(VLOOKUP(D222,Configurações!$N$5:$O$46,2,FALSE()),"OUTROS")</f>
        <v>VESTUÁRIO</v>
      </c>
      <c r="F222" s="2" t="str">
        <f>IFERROR(INDEX(SKUs!$F$6:$F$1997,MATCH(B222,SKUs!$C$6:$C$1997,0)),"")</f>
        <v>POLO PIQUET CINZA-RISCOS FEM.</v>
      </c>
      <c r="G222" s="2" t="str">
        <f>IFERROR(INDEX(SKUs!$G$6:$G$1997,MATCH(B222,SKUs!$C$6:$C$1997,0)),"")</f>
        <v>CINZA</v>
      </c>
      <c r="H222" s="25" t="str">
        <f>IFERROR(INDEX(SKUs!$H$6:$H$1997,MATCH(B222,SKUs!$C$6:$C$1997,0)),"")</f>
        <v>GG</v>
      </c>
      <c r="I222" s="4" t="str">
        <f>IFERROR(INDEX(SKUs!#REF!,MATCH(B222,SKUs!$C$6:$C$1997,0)),"")</f>
        <v/>
      </c>
      <c r="J222" s="3">
        <f>SUMIFS(SKUs!$I$6:$I$1997,SKUs!$C$6:$C$1997,B222)</f>
        <v>0</v>
      </c>
      <c r="K222" s="4">
        <f t="shared" si="13"/>
        <v>0</v>
      </c>
      <c r="L222" s="3">
        <f>COUNTIF(SKUs!$C$6:$C$1997,B222)</f>
        <v>1</v>
      </c>
      <c r="M222" s="29">
        <v>1</v>
      </c>
      <c r="N222" s="29"/>
      <c r="O222" s="29"/>
      <c r="P222" s="29"/>
      <c r="Q222" s="29"/>
      <c r="R222" s="29"/>
      <c r="S222" s="29"/>
      <c r="T222" s="29"/>
      <c r="U222" s="30">
        <f t="shared" si="14"/>
        <v>1</v>
      </c>
      <c r="V222" s="31">
        <f t="shared" si="15"/>
        <v>0</v>
      </c>
    </row>
    <row r="223" spans="1:22" ht="14.25" hidden="1" customHeight="1" x14ac:dyDescent="0.3">
      <c r="A223" s="32">
        <v>216</v>
      </c>
      <c r="B223" s="26" t="s">
        <v>267</v>
      </c>
      <c r="C223" s="27" t="str">
        <f t="shared" si="12"/>
        <v>Feminino</v>
      </c>
      <c r="D223" s="33" t="str">
        <f>IFERROR(INDEX(SKUs!$E$6:$E$1997,MATCH(B223,SKUs!$C$6:$C$1997,0)),"")</f>
        <v>POLO</v>
      </c>
      <c r="E223" s="28" t="str">
        <f>IFERROR(VLOOKUP(D223,Configurações!$N$5:$O$46,2,FALSE()),"OUTROS")</f>
        <v>VESTUÁRIO</v>
      </c>
      <c r="F223" s="33" t="str">
        <f>IFERROR(INDEX(SKUs!$F$6:$F$1997,MATCH(B223,SKUs!$C$6:$C$1997,0)),"")</f>
        <v>POLO PIQUET CINZA-RISCOS FEM.</v>
      </c>
      <c r="G223" s="33" t="str">
        <f>IFERROR(INDEX(SKUs!$G$6:$G$1997,MATCH(B223,SKUs!$C$6:$C$1997,0)),"")</f>
        <v>CINZA</v>
      </c>
      <c r="H223" s="32" t="str">
        <f>IFERROR(INDEX(SKUs!$H$6:$H$1997,MATCH(B223,SKUs!$C$6:$C$1997,0)),"")</f>
        <v>G</v>
      </c>
      <c r="I223" s="34" t="str">
        <f>IFERROR(INDEX(SKUs!#REF!,MATCH(B223,SKUs!$C$6:$C$1997,0)),"")</f>
        <v/>
      </c>
      <c r="J223" s="35">
        <f>SUMIFS(SKUs!$I$6:$I$1997,SKUs!$C$6:$C$1997,B223)</f>
        <v>0</v>
      </c>
      <c r="K223" s="34">
        <f t="shared" si="13"/>
        <v>0</v>
      </c>
      <c r="L223" s="35">
        <f>COUNTIF(SKUs!$C$6:$C$1997,B223)</f>
        <v>2</v>
      </c>
      <c r="M223" s="29">
        <v>25</v>
      </c>
      <c r="N223" s="29"/>
      <c r="O223" s="29"/>
      <c r="P223" s="29"/>
      <c r="Q223" s="29"/>
      <c r="R223" s="29"/>
      <c r="S223" s="29"/>
      <c r="T223" s="29"/>
      <c r="U223" s="30">
        <f t="shared" si="14"/>
        <v>25</v>
      </c>
      <c r="V223" s="31">
        <f t="shared" si="15"/>
        <v>0</v>
      </c>
    </row>
    <row r="224" spans="1:22" ht="14.25" hidden="1" customHeight="1" x14ac:dyDescent="0.3">
      <c r="A224" s="25">
        <v>217</v>
      </c>
      <c r="B224" s="26" t="s">
        <v>268</v>
      </c>
      <c r="C224" s="27" t="str">
        <f t="shared" si="12"/>
        <v>Feminino</v>
      </c>
      <c r="D224" s="2" t="str">
        <f>IFERROR(INDEX(SKUs!$E$6:$E$1997,MATCH(B224,SKUs!$C$6:$C$1997,0)),"")</f>
        <v>POLO</v>
      </c>
      <c r="E224" s="28" t="str">
        <f>IFERROR(VLOOKUP(D224,Configurações!$N$5:$O$46,2,FALSE()),"OUTROS")</f>
        <v>VESTUÁRIO</v>
      </c>
      <c r="F224" s="2" t="str">
        <f>IFERROR(INDEX(SKUs!$F$6:$F$1997,MATCH(B224,SKUs!$C$6:$C$1997,0)),"")</f>
        <v>POLO PIQUET CINZA-RISCOS FEM.</v>
      </c>
      <c r="G224" s="2" t="str">
        <f>IFERROR(INDEX(SKUs!$G$6:$G$1997,MATCH(B224,SKUs!$C$6:$C$1997,0)),"")</f>
        <v>CINZA</v>
      </c>
      <c r="H224" s="25" t="str">
        <f>IFERROR(INDEX(SKUs!$H$6:$H$1997,MATCH(B224,SKUs!$C$6:$C$1997,0)),"")</f>
        <v>P</v>
      </c>
      <c r="I224" s="4" t="str">
        <f>IFERROR(INDEX(SKUs!#REF!,MATCH(B224,SKUs!$C$6:$C$1997,0)),"")</f>
        <v/>
      </c>
      <c r="J224" s="3">
        <f>SUMIFS(SKUs!$I$6:$I$1997,SKUs!$C$6:$C$1997,B224)</f>
        <v>0</v>
      </c>
      <c r="K224" s="4">
        <f t="shared" si="13"/>
        <v>0</v>
      </c>
      <c r="L224" s="3">
        <f>COUNTIF(SKUs!$C$6:$C$1997,B224)</f>
        <v>1</v>
      </c>
      <c r="M224" s="29">
        <v>1</v>
      </c>
      <c r="N224" s="29"/>
      <c r="O224" s="29"/>
      <c r="P224" s="29"/>
      <c r="Q224" s="29"/>
      <c r="R224" s="29"/>
      <c r="S224" s="29"/>
      <c r="T224" s="29"/>
      <c r="U224" s="30">
        <f t="shared" si="14"/>
        <v>1</v>
      </c>
      <c r="V224" s="31">
        <f t="shared" si="15"/>
        <v>0</v>
      </c>
    </row>
    <row r="225" spans="1:22" ht="14.25" hidden="1" customHeight="1" x14ac:dyDescent="0.3">
      <c r="A225" s="32">
        <v>218</v>
      </c>
      <c r="B225" s="26" t="s">
        <v>269</v>
      </c>
      <c r="C225" s="27" t="str">
        <f t="shared" si="12"/>
        <v>Masculino</v>
      </c>
      <c r="D225" s="33" t="str">
        <f>IFERROR(INDEX(SKUs!$E$6:$E$1997,MATCH(B225,SKUs!$C$6:$C$1997,0)),"")</f>
        <v>TRICO</v>
      </c>
      <c r="E225" s="28" t="str">
        <f>IFERROR(VLOOKUP(D225,Configurações!$N$5:$O$46,2,FALSE()),"OUTROS")</f>
        <v>VESTUÁRIO</v>
      </c>
      <c r="F225" s="33" t="str">
        <f>IFERROR(INDEX(SKUs!$F$6:$F$1997,MATCH(B225,SKUs!$C$6:$C$1997,0)),"")</f>
        <v>TRICO BASICO GOLA CARECA</v>
      </c>
      <c r="G225" s="33" t="str">
        <f>IFERROR(INDEX(SKUs!$G$6:$G$1997,MATCH(B225,SKUs!$C$6:$C$1997,0)),"")</f>
        <v>PRETA</v>
      </c>
      <c r="H225" s="32" t="str">
        <f>IFERROR(INDEX(SKUs!$H$6:$H$1997,MATCH(B225,SKUs!$C$6:$C$1997,0)),"")</f>
        <v>G</v>
      </c>
      <c r="I225" s="34" t="str">
        <f>IFERROR(INDEX(SKUs!#REF!,MATCH(B225,SKUs!$C$6:$C$1997,0)),"")</f>
        <v/>
      </c>
      <c r="J225" s="35">
        <f>SUMIFS(SKUs!$I$6:$I$1997,SKUs!$C$6:$C$1997,B225)</f>
        <v>19</v>
      </c>
      <c r="K225" s="34">
        <f t="shared" si="13"/>
        <v>0</v>
      </c>
      <c r="L225" s="35">
        <f>COUNTIF(SKUs!$C$6:$C$1997,B225)</f>
        <v>2</v>
      </c>
      <c r="M225" s="29"/>
      <c r="N225" s="29"/>
      <c r="O225" s="29"/>
      <c r="P225" s="29"/>
      <c r="Q225" s="29"/>
      <c r="R225" s="29"/>
      <c r="S225" s="29"/>
      <c r="T225" s="29"/>
      <c r="U225" s="30">
        <f t="shared" si="14"/>
        <v>0</v>
      </c>
      <c r="V225" s="31">
        <f t="shared" si="15"/>
        <v>19</v>
      </c>
    </row>
    <row r="226" spans="1:22" ht="14.25" hidden="1" customHeight="1" x14ac:dyDescent="0.3">
      <c r="A226" s="25">
        <v>219</v>
      </c>
      <c r="B226" s="26" t="s">
        <v>270</v>
      </c>
      <c r="C226" s="27" t="str">
        <f t="shared" si="12"/>
        <v>Masculino</v>
      </c>
      <c r="D226" s="2" t="str">
        <f>IFERROR(INDEX(SKUs!$E$6:$E$1997,MATCH(B226,SKUs!$C$6:$C$1997,0)),"")</f>
        <v>TRICO</v>
      </c>
      <c r="E226" s="28" t="str">
        <f>IFERROR(VLOOKUP(D226,Configurações!$N$5:$O$46,2,FALSE()),"OUTROS")</f>
        <v>VESTUÁRIO</v>
      </c>
      <c r="F226" s="2" t="str">
        <f>IFERROR(INDEX(SKUs!$F$6:$F$1997,MATCH(B226,SKUs!$C$6:$C$1997,0)),"")</f>
        <v>TRICO BASICO GOLA CARECA</v>
      </c>
      <c r="G226" s="2" t="str">
        <f>IFERROR(INDEX(SKUs!$G$6:$G$1997,MATCH(B226,SKUs!$C$6:$C$1997,0)),"")</f>
        <v>CINZA</v>
      </c>
      <c r="H226" s="25" t="str">
        <f>IFERROR(INDEX(SKUs!$H$6:$H$1997,MATCH(B226,SKUs!$C$6:$C$1997,0)),"")</f>
        <v>GG</v>
      </c>
      <c r="I226" s="4" t="str">
        <f>IFERROR(INDEX(SKUs!#REF!,MATCH(B226,SKUs!$C$6:$C$1997,0)),"")</f>
        <v/>
      </c>
      <c r="J226" s="3">
        <f>SUMIFS(SKUs!$I$6:$I$1997,SKUs!$C$6:$C$1997,B226)</f>
        <v>5</v>
      </c>
      <c r="K226" s="4">
        <f t="shared" si="13"/>
        <v>0</v>
      </c>
      <c r="L226" s="3">
        <f>COUNTIF(SKUs!$C$6:$C$1997,B226)</f>
        <v>2</v>
      </c>
      <c r="M226" s="29"/>
      <c r="N226" s="29"/>
      <c r="O226" s="29"/>
      <c r="P226" s="29"/>
      <c r="Q226" s="29"/>
      <c r="R226" s="29"/>
      <c r="S226" s="29"/>
      <c r="T226" s="29"/>
      <c r="U226" s="30">
        <f t="shared" si="14"/>
        <v>0</v>
      </c>
      <c r="V226" s="31">
        <f t="shared" si="15"/>
        <v>5</v>
      </c>
    </row>
    <row r="227" spans="1:22" ht="14.25" hidden="1" customHeight="1" x14ac:dyDescent="0.3">
      <c r="A227" s="32">
        <v>220</v>
      </c>
      <c r="B227" s="26" t="s">
        <v>271</v>
      </c>
      <c r="C227" s="27" t="str">
        <f t="shared" si="12"/>
        <v>Masculino</v>
      </c>
      <c r="D227" s="33" t="str">
        <f>IFERROR(INDEX(SKUs!$E$6:$E$1997,MATCH(B227,SKUs!$C$6:$C$1997,0)),"")</f>
        <v>TRICO</v>
      </c>
      <c r="E227" s="28" t="str">
        <f>IFERROR(VLOOKUP(D227,Configurações!$N$5:$O$46,2,FALSE()),"OUTROS")</f>
        <v>VESTUÁRIO</v>
      </c>
      <c r="F227" s="33" t="str">
        <f>IFERROR(INDEX(SKUs!$F$6:$F$1997,MATCH(B227,SKUs!$C$6:$C$1997,0)),"")</f>
        <v>TRICO BASICO GOLA CARECA</v>
      </c>
      <c r="G227" s="33" t="str">
        <f>IFERROR(INDEX(SKUs!$G$6:$G$1997,MATCH(B227,SKUs!$C$6:$C$1997,0)),"")</f>
        <v>CINZA</v>
      </c>
      <c r="H227" s="32" t="str">
        <f>IFERROR(INDEX(SKUs!$H$6:$H$1997,MATCH(B227,SKUs!$C$6:$C$1997,0)),"")</f>
        <v>G</v>
      </c>
      <c r="I227" s="34" t="str">
        <f>IFERROR(INDEX(SKUs!#REF!,MATCH(B227,SKUs!$C$6:$C$1997,0)),"")</f>
        <v/>
      </c>
      <c r="J227" s="35">
        <f>SUMIFS(SKUs!$I$6:$I$1997,SKUs!$C$6:$C$1997,B227)</f>
        <v>5</v>
      </c>
      <c r="K227" s="34">
        <f t="shared" si="13"/>
        <v>0</v>
      </c>
      <c r="L227" s="35">
        <f>COUNTIF(SKUs!$C$6:$C$1997,B227)</f>
        <v>2</v>
      </c>
      <c r="M227" s="29"/>
      <c r="N227" s="29"/>
      <c r="O227" s="29"/>
      <c r="P227" s="29"/>
      <c r="Q227" s="29"/>
      <c r="R227" s="29"/>
      <c r="S227" s="29"/>
      <c r="T227" s="29"/>
      <c r="U227" s="30">
        <f t="shared" si="14"/>
        <v>0</v>
      </c>
      <c r="V227" s="31">
        <f t="shared" si="15"/>
        <v>5</v>
      </c>
    </row>
    <row r="228" spans="1:22" ht="14.25" hidden="1" customHeight="1" x14ac:dyDescent="0.3">
      <c r="A228" s="25">
        <v>221</v>
      </c>
      <c r="B228" s="26" t="s">
        <v>272</v>
      </c>
      <c r="C228" s="27" t="str">
        <f t="shared" si="12"/>
        <v>Feminino</v>
      </c>
      <c r="D228" s="2" t="str">
        <f>IFERROR(INDEX(SKUs!$E$6:$E$1997,MATCH(B228,SKUs!$C$6:$C$1997,0)),"")</f>
        <v>TRICO</v>
      </c>
      <c r="E228" s="28" t="str">
        <f>IFERROR(VLOOKUP(D228,Configurações!$N$5:$O$46,2,FALSE()),"OUTROS")</f>
        <v>VESTUÁRIO</v>
      </c>
      <c r="F228" s="2" t="str">
        <f>IFERROR(INDEX(SKUs!$F$6:$F$1997,MATCH(B228,SKUs!$C$6:$C$1997,0)),"")</f>
        <v>TRICO ZIPER FEM.</v>
      </c>
      <c r="G228" s="2" t="str">
        <f>IFERROR(INDEX(SKUs!$G$6:$G$1997,MATCH(B228,SKUs!$C$6:$C$1997,0)),"")</f>
        <v>PRETA</v>
      </c>
      <c r="H228" s="25" t="str">
        <f>IFERROR(INDEX(SKUs!$H$6:$H$1997,MATCH(B228,SKUs!$C$6:$C$1997,0)),"")</f>
        <v>GG</v>
      </c>
      <c r="I228" s="4" t="str">
        <f>IFERROR(INDEX(SKUs!#REF!,MATCH(B228,SKUs!$C$6:$C$1997,0)),"")</f>
        <v/>
      </c>
      <c r="J228" s="3">
        <f>SUMIFS(SKUs!$I$6:$I$1997,SKUs!$C$6:$C$1997,B228)</f>
        <v>2</v>
      </c>
      <c r="K228" s="4">
        <f t="shared" si="13"/>
        <v>0</v>
      </c>
      <c r="L228" s="3">
        <f>COUNTIF(SKUs!$C$6:$C$1997,B228)</f>
        <v>1</v>
      </c>
      <c r="M228" s="29"/>
      <c r="N228" s="29"/>
      <c r="O228" s="29"/>
      <c r="P228" s="29"/>
      <c r="Q228" s="29"/>
      <c r="R228" s="29"/>
      <c r="S228" s="29"/>
      <c r="T228" s="29"/>
      <c r="U228" s="30">
        <f t="shared" si="14"/>
        <v>0</v>
      </c>
      <c r="V228" s="31">
        <f t="shared" si="15"/>
        <v>2</v>
      </c>
    </row>
    <row r="229" spans="1:22" ht="14.25" hidden="1" customHeight="1" x14ac:dyDescent="0.3">
      <c r="A229" s="32">
        <v>222</v>
      </c>
      <c r="B229" s="26" t="s">
        <v>273</v>
      </c>
      <c r="C229" s="27" t="str">
        <f t="shared" si="12"/>
        <v>Feminino</v>
      </c>
      <c r="D229" s="33" t="str">
        <f>IFERROR(INDEX(SKUs!$E$6:$E$1997,MATCH(B229,SKUs!$C$6:$C$1997,0)),"")</f>
        <v>POLO</v>
      </c>
      <c r="E229" s="28" t="str">
        <f>IFERROR(VLOOKUP(D229,Configurações!$N$5:$O$46,2,FALSE()),"OUTROS")</f>
        <v>VESTUÁRIO</v>
      </c>
      <c r="F229" s="33" t="str">
        <f>IFERROR(INDEX(SKUs!$F$6:$F$1997,MATCH(B229,SKUs!$C$6:$C$1997,0)),"")</f>
        <v>POLO BATA FEM.</v>
      </c>
      <c r="G229" s="33" t="str">
        <f>IFERROR(INDEX(SKUs!$G$6:$G$1997,MATCH(B229,SKUs!$C$6:$C$1997,0)),"")</f>
        <v>PRETA</v>
      </c>
      <c r="H229" s="32" t="str">
        <f>IFERROR(INDEX(SKUs!$H$6:$H$1997,MATCH(B229,SKUs!$C$6:$C$1997,0)),"")</f>
        <v>PP</v>
      </c>
      <c r="I229" s="34" t="str">
        <f>IFERROR(INDEX(SKUs!#REF!,MATCH(B229,SKUs!$C$6:$C$1997,0)),"")</f>
        <v/>
      </c>
      <c r="J229" s="35">
        <f>SUMIFS(SKUs!$I$6:$I$1997,SKUs!$C$6:$C$1997,B229)</f>
        <v>2</v>
      </c>
      <c r="K229" s="34">
        <f t="shared" si="13"/>
        <v>0</v>
      </c>
      <c r="L229" s="35">
        <f>COUNTIF(SKUs!$C$6:$C$1997,B229)</f>
        <v>1</v>
      </c>
      <c r="M229" s="29"/>
      <c r="N229" s="29"/>
      <c r="O229" s="29"/>
      <c r="P229" s="29"/>
      <c r="Q229" s="29"/>
      <c r="R229" s="29"/>
      <c r="S229" s="29"/>
      <c r="T229" s="29"/>
      <c r="U229" s="30">
        <f t="shared" si="14"/>
        <v>0</v>
      </c>
      <c r="V229" s="31">
        <f t="shared" si="15"/>
        <v>2</v>
      </c>
    </row>
    <row r="230" spans="1:22" ht="14.25" hidden="1" customHeight="1" x14ac:dyDescent="0.3">
      <c r="A230" s="25">
        <v>223</v>
      </c>
      <c r="B230" s="26" t="s">
        <v>274</v>
      </c>
      <c r="C230" s="27" t="str">
        <f t="shared" si="12"/>
        <v>Feminino</v>
      </c>
      <c r="D230" s="2" t="str">
        <f>IFERROR(INDEX(SKUs!$E$6:$E$1997,MATCH(B230,SKUs!$C$6:$C$1997,0)),"")</f>
        <v>POLO</v>
      </c>
      <c r="E230" s="28" t="str">
        <f>IFERROR(VLOOKUP(D230,Configurações!$N$5:$O$46,2,FALSE()),"OUTROS")</f>
        <v>VESTUÁRIO</v>
      </c>
      <c r="F230" s="2" t="str">
        <f>IFERROR(INDEX(SKUs!$F$6:$F$1997,MATCH(B230,SKUs!$C$6:$C$1997,0)),"")</f>
        <v>POLO BATA FEM.</v>
      </c>
      <c r="G230" s="2" t="str">
        <f>IFERROR(INDEX(SKUs!$G$6:$G$1997,MATCH(B230,SKUs!$C$6:$C$1997,0)),"")</f>
        <v>PRETA</v>
      </c>
      <c r="H230" s="25" t="str">
        <f>IFERROR(INDEX(SKUs!$H$6:$H$1997,MATCH(B230,SKUs!$C$6:$C$1997,0)),"")</f>
        <v>P</v>
      </c>
      <c r="I230" s="4" t="str">
        <f>IFERROR(INDEX(SKUs!#REF!,MATCH(B230,SKUs!$C$6:$C$1997,0)),"")</f>
        <v/>
      </c>
      <c r="J230" s="3">
        <f>SUMIFS(SKUs!$I$6:$I$1997,SKUs!$C$6:$C$1997,B230)</f>
        <v>2</v>
      </c>
      <c r="K230" s="4">
        <f t="shared" si="13"/>
        <v>0</v>
      </c>
      <c r="L230" s="3">
        <f>COUNTIF(SKUs!$C$6:$C$1997,B230)</f>
        <v>1</v>
      </c>
      <c r="M230" s="29"/>
      <c r="N230" s="29"/>
      <c r="O230" s="29"/>
      <c r="P230" s="29"/>
      <c r="Q230" s="29"/>
      <c r="R230" s="29"/>
      <c r="S230" s="29"/>
      <c r="T230" s="29"/>
      <c r="U230" s="30">
        <f t="shared" si="14"/>
        <v>0</v>
      </c>
      <c r="V230" s="31">
        <f t="shared" si="15"/>
        <v>2</v>
      </c>
    </row>
    <row r="231" spans="1:22" ht="14.25" hidden="1" customHeight="1" x14ac:dyDescent="0.3">
      <c r="A231" s="32">
        <v>224</v>
      </c>
      <c r="B231" s="26" t="s">
        <v>275</v>
      </c>
      <c r="C231" s="27" t="str">
        <f t="shared" si="12"/>
        <v>Feminino</v>
      </c>
      <c r="D231" s="33" t="str">
        <f>IFERROR(INDEX(SKUs!$E$6:$E$1997,MATCH(B231,SKUs!$C$6:$C$1997,0)),"")</f>
        <v>POLO</v>
      </c>
      <c r="E231" s="28" t="str">
        <f>IFERROR(VLOOKUP(D231,Configurações!$N$5:$O$46,2,FALSE()),"OUTROS")</f>
        <v>VESTUÁRIO</v>
      </c>
      <c r="F231" s="33" t="str">
        <f>IFERROR(INDEX(SKUs!$F$6:$F$1997,MATCH(B231,SKUs!$C$6:$C$1997,0)),"")</f>
        <v>POLO BATA FEM.</v>
      </c>
      <c r="G231" s="33" t="str">
        <f>IFERROR(INDEX(SKUs!$G$6:$G$1997,MATCH(B231,SKUs!$C$6:$C$1997,0)),"")</f>
        <v>PRETA</v>
      </c>
      <c r="H231" s="32" t="str">
        <f>IFERROR(INDEX(SKUs!$H$6:$H$1997,MATCH(B231,SKUs!$C$6:$C$1997,0)),"")</f>
        <v>M</v>
      </c>
      <c r="I231" s="34" t="str">
        <f>IFERROR(INDEX(SKUs!#REF!,MATCH(B231,SKUs!$C$6:$C$1997,0)),"")</f>
        <v/>
      </c>
      <c r="J231" s="35">
        <f>SUMIFS(SKUs!$I$6:$I$1997,SKUs!$C$6:$C$1997,B231)</f>
        <v>2</v>
      </c>
      <c r="K231" s="34">
        <f t="shared" si="13"/>
        <v>0</v>
      </c>
      <c r="L231" s="35">
        <f>COUNTIF(SKUs!$C$6:$C$1997,B231)</f>
        <v>1</v>
      </c>
      <c r="M231" s="29"/>
      <c r="N231" s="29"/>
      <c r="O231" s="29"/>
      <c r="P231" s="29"/>
      <c r="Q231" s="29"/>
      <c r="R231" s="29"/>
      <c r="S231" s="29"/>
      <c r="T231" s="29"/>
      <c r="U231" s="30">
        <f t="shared" si="14"/>
        <v>0</v>
      </c>
      <c r="V231" s="31">
        <f t="shared" si="15"/>
        <v>2</v>
      </c>
    </row>
    <row r="232" spans="1:22" ht="14.25" hidden="1" customHeight="1" x14ac:dyDescent="0.3">
      <c r="A232" s="25">
        <v>225</v>
      </c>
      <c r="B232" s="26" t="s">
        <v>276</v>
      </c>
      <c r="C232" s="27" t="str">
        <f t="shared" si="12"/>
        <v>Feminino</v>
      </c>
      <c r="D232" s="2" t="str">
        <f>IFERROR(INDEX(SKUs!$E$6:$E$1997,MATCH(B232,SKUs!$C$6:$C$1997,0)),"")</f>
        <v>POLO</v>
      </c>
      <c r="E232" s="28" t="str">
        <f>IFERROR(VLOOKUP(D232,Configurações!$N$5:$O$46,2,FALSE()),"OUTROS")</f>
        <v>VESTUÁRIO</v>
      </c>
      <c r="F232" s="2" t="str">
        <f>IFERROR(INDEX(SKUs!$F$6:$F$1997,MATCH(B232,SKUs!$C$6:$C$1997,0)),"")</f>
        <v>POLO BATA FEM.</v>
      </c>
      <c r="G232" s="2" t="str">
        <f>IFERROR(INDEX(SKUs!$G$6:$G$1997,MATCH(B232,SKUs!$C$6:$C$1997,0)),"")</f>
        <v>PRETA</v>
      </c>
      <c r="H232" s="25" t="str">
        <f>IFERROR(INDEX(SKUs!$H$6:$H$1997,MATCH(B232,SKUs!$C$6:$C$1997,0)),"")</f>
        <v>G</v>
      </c>
      <c r="I232" s="4" t="str">
        <f>IFERROR(INDEX(SKUs!#REF!,MATCH(B232,SKUs!$C$6:$C$1997,0)),"")</f>
        <v/>
      </c>
      <c r="J232" s="3">
        <f>SUMIFS(SKUs!$I$6:$I$1997,SKUs!$C$6:$C$1997,B232)</f>
        <v>3</v>
      </c>
      <c r="K232" s="4">
        <f t="shared" si="13"/>
        <v>0</v>
      </c>
      <c r="L232" s="3">
        <f>COUNTIF(SKUs!$C$6:$C$1997,B232)</f>
        <v>1</v>
      </c>
      <c r="M232" s="29"/>
      <c r="N232" s="29"/>
      <c r="O232" s="29"/>
      <c r="P232" s="29"/>
      <c r="Q232" s="29"/>
      <c r="R232" s="29"/>
      <c r="S232" s="29"/>
      <c r="T232" s="29"/>
      <c r="U232" s="30">
        <f t="shared" si="14"/>
        <v>0</v>
      </c>
      <c r="V232" s="31">
        <f t="shared" si="15"/>
        <v>3</v>
      </c>
    </row>
    <row r="233" spans="1:22" ht="14.25" hidden="1" customHeight="1" x14ac:dyDescent="0.3">
      <c r="A233" s="32">
        <v>226</v>
      </c>
      <c r="B233" s="26" t="s">
        <v>277</v>
      </c>
      <c r="C233" s="27" t="str">
        <f t="shared" si="12"/>
        <v>Feminino</v>
      </c>
      <c r="D233" s="33" t="str">
        <f>IFERROR(INDEX(SKUs!$E$6:$E$1997,MATCH(B233,SKUs!$C$6:$C$1997,0)),"")</f>
        <v>POLO</v>
      </c>
      <c r="E233" s="28" t="str">
        <f>IFERROR(VLOOKUP(D233,Configurações!$N$5:$O$46,2,FALSE()),"OUTROS")</f>
        <v>VESTUÁRIO</v>
      </c>
      <c r="F233" s="33" t="str">
        <f>IFERROR(INDEX(SKUs!$F$6:$F$1997,MATCH(B233,SKUs!$C$6:$C$1997,0)),"")</f>
        <v>POLO BATA FEM.</v>
      </c>
      <c r="G233" s="33" t="str">
        <f>IFERROR(INDEX(SKUs!$G$6:$G$1997,MATCH(B233,SKUs!$C$6:$C$1997,0)),"")</f>
        <v>PRETA</v>
      </c>
      <c r="H233" s="32" t="str">
        <f>IFERROR(INDEX(SKUs!$H$6:$H$1997,MATCH(B233,SKUs!$C$6:$C$1997,0)),"")</f>
        <v>GG</v>
      </c>
      <c r="I233" s="34" t="str">
        <f>IFERROR(INDEX(SKUs!#REF!,MATCH(B233,SKUs!$C$6:$C$1997,0)),"")</f>
        <v/>
      </c>
      <c r="J233" s="35">
        <f>SUMIFS(SKUs!$I$6:$I$1997,SKUs!$C$6:$C$1997,B233)</f>
        <v>2</v>
      </c>
      <c r="K233" s="34">
        <f t="shared" si="13"/>
        <v>0</v>
      </c>
      <c r="L233" s="35">
        <f>COUNTIF(SKUs!$C$6:$C$1997,B233)</f>
        <v>1</v>
      </c>
      <c r="M233" s="29"/>
      <c r="N233" s="29"/>
      <c r="O233" s="29"/>
      <c r="P233" s="29"/>
      <c r="Q233" s="29"/>
      <c r="R233" s="29"/>
      <c r="S233" s="29"/>
      <c r="T233" s="29"/>
      <c r="U233" s="30">
        <f t="shared" si="14"/>
        <v>0</v>
      </c>
      <c r="V233" s="31">
        <f t="shared" si="15"/>
        <v>2</v>
      </c>
    </row>
    <row r="234" spans="1:22" ht="14.25" hidden="1" customHeight="1" x14ac:dyDescent="0.3">
      <c r="A234" s="25">
        <v>227</v>
      </c>
      <c r="B234" s="26" t="s">
        <v>278</v>
      </c>
      <c r="C234" s="27" t="str">
        <f t="shared" si="12"/>
        <v>Feminino</v>
      </c>
      <c r="D234" s="2" t="str">
        <f>IFERROR(INDEX(SKUs!$E$6:$E$1997,MATCH(B234,SKUs!$C$6:$C$1997,0)),"")</f>
        <v>POLO</v>
      </c>
      <c r="E234" s="28" t="str">
        <f>IFERROR(VLOOKUP(D234,Configurações!$N$5:$O$46,2,FALSE()),"OUTROS")</f>
        <v>VESTUÁRIO</v>
      </c>
      <c r="F234" s="2" t="str">
        <f>IFERROR(INDEX(SKUs!$F$6:$F$1997,MATCH(B234,SKUs!$C$6:$C$1997,0)),"")</f>
        <v>POLO BATA FEM.</v>
      </c>
      <c r="G234" s="2" t="str">
        <f>IFERROR(INDEX(SKUs!$G$6:$G$1997,MATCH(B234,SKUs!$C$6:$C$1997,0)),"")</f>
        <v>PRETA</v>
      </c>
      <c r="H234" s="25" t="str">
        <f>IFERROR(INDEX(SKUs!$H$6:$H$1997,MATCH(B234,SKUs!$C$6:$C$1997,0)),"")</f>
        <v>XG</v>
      </c>
      <c r="I234" s="4" t="str">
        <f>IFERROR(INDEX(SKUs!#REF!,MATCH(B234,SKUs!$C$6:$C$1997,0)),"")</f>
        <v/>
      </c>
      <c r="J234" s="3">
        <f>SUMIFS(SKUs!$I$6:$I$1997,SKUs!$C$6:$C$1997,B234)</f>
        <v>2</v>
      </c>
      <c r="K234" s="4">
        <f t="shared" si="13"/>
        <v>0</v>
      </c>
      <c r="L234" s="3">
        <f>COUNTIF(SKUs!$C$6:$C$1997,B234)</f>
        <v>1</v>
      </c>
      <c r="M234" s="29"/>
      <c r="N234" s="29"/>
      <c r="O234" s="29"/>
      <c r="P234" s="29"/>
      <c r="Q234" s="29"/>
      <c r="R234" s="29"/>
      <c r="S234" s="29"/>
      <c r="T234" s="29"/>
      <c r="U234" s="30">
        <f t="shared" si="14"/>
        <v>0</v>
      </c>
      <c r="V234" s="31">
        <f t="shared" si="15"/>
        <v>2</v>
      </c>
    </row>
    <row r="235" spans="1:22" ht="14.25" hidden="1" customHeight="1" x14ac:dyDescent="0.3">
      <c r="A235" s="32">
        <v>228</v>
      </c>
      <c r="B235" s="26" t="s">
        <v>279</v>
      </c>
      <c r="C235" s="27" t="str">
        <f t="shared" si="12"/>
        <v>Feminino</v>
      </c>
      <c r="D235" s="33" t="str">
        <f>IFERROR(INDEX(SKUs!$E$6:$E$1997,MATCH(B235,SKUs!$C$6:$C$1997,0)),"")</f>
        <v>POLO</v>
      </c>
      <c r="E235" s="28" t="str">
        <f>IFERROR(VLOOKUP(D235,Configurações!$N$5:$O$46,2,FALSE()),"OUTROS")</f>
        <v>VESTUÁRIO</v>
      </c>
      <c r="F235" s="33" t="str">
        <f>IFERROR(INDEX(SKUs!$F$6:$F$1997,MATCH(B235,SKUs!$C$6:$C$1997,0)),"")</f>
        <v>POLO PIQUET FEM.</v>
      </c>
      <c r="G235" s="33" t="str">
        <f>IFERROR(INDEX(SKUs!$G$6:$G$1997,MATCH(B235,SKUs!$C$6:$C$1997,0)),"")</f>
        <v>MESCLA BLACK</v>
      </c>
      <c r="H235" s="32" t="str">
        <f>IFERROR(INDEX(SKUs!$H$6:$H$1997,MATCH(B235,SKUs!$C$6:$C$1997,0)),"")</f>
        <v>PP</v>
      </c>
      <c r="I235" s="34" t="str">
        <f>IFERROR(INDEX(SKUs!#REF!,MATCH(B235,SKUs!$C$6:$C$1997,0)),"")</f>
        <v/>
      </c>
      <c r="J235" s="35">
        <f>SUMIFS(SKUs!$I$6:$I$1997,SKUs!$C$6:$C$1997,B235)</f>
        <v>8</v>
      </c>
      <c r="K235" s="34">
        <f t="shared" si="13"/>
        <v>0</v>
      </c>
      <c r="L235" s="35">
        <f>COUNTIF(SKUs!$C$6:$C$1997,B235)</f>
        <v>3</v>
      </c>
      <c r="M235" s="29">
        <v>10</v>
      </c>
      <c r="N235" s="29"/>
      <c r="O235" s="29"/>
      <c r="P235" s="29"/>
      <c r="Q235" s="29"/>
      <c r="R235" s="29"/>
      <c r="S235" s="29"/>
      <c r="T235" s="29"/>
      <c r="U235" s="30">
        <f t="shared" si="14"/>
        <v>10</v>
      </c>
      <c r="V235" s="31">
        <f t="shared" si="15"/>
        <v>8</v>
      </c>
    </row>
    <row r="236" spans="1:22" ht="14.25" hidden="1" customHeight="1" x14ac:dyDescent="0.3">
      <c r="A236" s="25">
        <v>229</v>
      </c>
      <c r="B236" s="26" t="s">
        <v>280</v>
      </c>
      <c r="C236" s="27" t="str">
        <f t="shared" si="12"/>
        <v>Feminino</v>
      </c>
      <c r="D236" s="2" t="str">
        <f>IFERROR(INDEX(SKUs!$E$6:$E$1997,MATCH(B236,SKUs!$C$6:$C$1997,0)),"")</f>
        <v>POLO</v>
      </c>
      <c r="E236" s="28" t="str">
        <f>IFERROR(VLOOKUP(D236,Configurações!$N$5:$O$46,2,FALSE()),"OUTROS")</f>
        <v>VESTUÁRIO</v>
      </c>
      <c r="F236" s="2" t="str">
        <f>IFERROR(INDEX(SKUs!$F$6:$F$1997,MATCH(B236,SKUs!$C$6:$C$1997,0)),"")</f>
        <v>POLO PIQUET FEM.</v>
      </c>
      <c r="G236" s="2" t="str">
        <f>IFERROR(INDEX(SKUs!$G$6:$G$1997,MATCH(B236,SKUs!$C$6:$C$1997,0)),"")</f>
        <v>MESCLA BLACK</v>
      </c>
      <c r="H236" s="25" t="str">
        <f>IFERROR(INDEX(SKUs!$H$6:$H$1997,MATCH(B236,SKUs!$C$6:$C$1997,0)),"")</f>
        <v>P</v>
      </c>
      <c r="I236" s="4" t="str">
        <f>IFERROR(INDEX(SKUs!#REF!,MATCH(B236,SKUs!$C$6:$C$1997,0)),"")</f>
        <v/>
      </c>
      <c r="J236" s="3">
        <f>SUMIFS(SKUs!$I$6:$I$1997,SKUs!$C$6:$C$1997,B236)</f>
        <v>12</v>
      </c>
      <c r="K236" s="4">
        <f t="shared" si="13"/>
        <v>0</v>
      </c>
      <c r="L236" s="3">
        <f>COUNTIF(SKUs!$C$6:$C$1997,B236)</f>
        <v>3</v>
      </c>
      <c r="M236" s="29">
        <v>10</v>
      </c>
      <c r="N236" s="29"/>
      <c r="O236" s="29"/>
      <c r="P236" s="29"/>
      <c r="Q236" s="29"/>
      <c r="R236" s="29"/>
      <c r="S236" s="29"/>
      <c r="T236" s="29"/>
      <c r="U236" s="30">
        <f t="shared" si="14"/>
        <v>10</v>
      </c>
      <c r="V236" s="31">
        <f t="shared" si="15"/>
        <v>12</v>
      </c>
    </row>
    <row r="237" spans="1:22" ht="14.25" hidden="1" customHeight="1" x14ac:dyDescent="0.3">
      <c r="A237" s="32">
        <v>230</v>
      </c>
      <c r="B237" s="26" t="s">
        <v>281</v>
      </c>
      <c r="C237" s="27" t="str">
        <f t="shared" si="12"/>
        <v>Feminino</v>
      </c>
      <c r="D237" s="33" t="str">
        <f>IFERROR(INDEX(SKUs!$E$6:$E$1997,MATCH(B237,SKUs!$C$6:$C$1997,0)),"")</f>
        <v>POLO</v>
      </c>
      <c r="E237" s="28" t="str">
        <f>IFERROR(VLOOKUP(D237,Configurações!$N$5:$O$46,2,FALSE()),"OUTROS")</f>
        <v>VESTUÁRIO</v>
      </c>
      <c r="F237" s="33" t="str">
        <f>IFERROR(INDEX(SKUs!$F$6:$F$1997,MATCH(B237,SKUs!$C$6:$C$1997,0)),"")</f>
        <v>POLO PIQUET FEM.</v>
      </c>
      <c r="G237" s="33" t="str">
        <f>IFERROR(INDEX(SKUs!$G$6:$G$1997,MATCH(B237,SKUs!$C$6:$C$1997,0)),"")</f>
        <v>MESCLA BLACK</v>
      </c>
      <c r="H237" s="32" t="str">
        <f>IFERROR(INDEX(SKUs!$H$6:$H$1997,MATCH(B237,SKUs!$C$6:$C$1997,0)),"")</f>
        <v>M</v>
      </c>
      <c r="I237" s="34" t="str">
        <f>IFERROR(INDEX(SKUs!#REF!,MATCH(B237,SKUs!$C$6:$C$1997,0)),"")</f>
        <v/>
      </c>
      <c r="J237" s="35">
        <f>SUMIFS(SKUs!$I$6:$I$1997,SKUs!$C$6:$C$1997,B237)</f>
        <v>12</v>
      </c>
      <c r="K237" s="34">
        <f t="shared" si="13"/>
        <v>0</v>
      </c>
      <c r="L237" s="35">
        <f>COUNTIF(SKUs!$C$6:$C$1997,B237)</f>
        <v>3</v>
      </c>
      <c r="M237" s="29">
        <v>10</v>
      </c>
      <c r="N237" s="29"/>
      <c r="O237" s="29"/>
      <c r="P237" s="29"/>
      <c r="Q237" s="29"/>
      <c r="R237" s="29"/>
      <c r="S237" s="29"/>
      <c r="T237" s="29"/>
      <c r="U237" s="30">
        <f t="shared" si="14"/>
        <v>10</v>
      </c>
      <c r="V237" s="31">
        <f t="shared" si="15"/>
        <v>12</v>
      </c>
    </row>
    <row r="238" spans="1:22" ht="14.25" hidden="1" customHeight="1" x14ac:dyDescent="0.3">
      <c r="A238" s="25">
        <v>231</v>
      </c>
      <c r="B238" s="26" t="s">
        <v>282</v>
      </c>
      <c r="C238" s="27" t="str">
        <f t="shared" si="12"/>
        <v>Feminino</v>
      </c>
      <c r="D238" s="2" t="str">
        <f>IFERROR(INDEX(SKUs!$E$6:$E$1997,MATCH(B238,SKUs!$C$6:$C$1997,0)),"")</f>
        <v>POLO</v>
      </c>
      <c r="E238" s="28" t="str">
        <f>IFERROR(VLOOKUP(D238,Configurações!$N$5:$O$46,2,FALSE()),"OUTROS")</f>
        <v>VESTUÁRIO</v>
      </c>
      <c r="F238" s="2" t="str">
        <f>IFERROR(INDEX(SKUs!$F$6:$F$1997,MATCH(B238,SKUs!$C$6:$C$1997,0)),"")</f>
        <v>POLO PIQUET FEM.</v>
      </c>
      <c r="G238" s="2" t="str">
        <f>IFERROR(INDEX(SKUs!$G$6:$G$1997,MATCH(B238,SKUs!$C$6:$C$1997,0)),"")</f>
        <v>MESCLA BLACK</v>
      </c>
      <c r="H238" s="25" t="str">
        <f>IFERROR(INDEX(SKUs!$H$6:$H$1997,MATCH(B238,SKUs!$C$6:$C$1997,0)),"")</f>
        <v>G</v>
      </c>
      <c r="I238" s="4" t="str">
        <f>IFERROR(INDEX(SKUs!#REF!,MATCH(B238,SKUs!$C$6:$C$1997,0)),"")</f>
        <v/>
      </c>
      <c r="J238" s="3">
        <f>SUMIFS(SKUs!$I$6:$I$1997,SKUs!$C$6:$C$1997,B238)</f>
        <v>20</v>
      </c>
      <c r="K238" s="4">
        <f t="shared" si="13"/>
        <v>0</v>
      </c>
      <c r="L238" s="3">
        <f>COUNTIF(SKUs!$C$6:$C$1997,B238)</f>
        <v>3</v>
      </c>
      <c r="M238" s="29">
        <v>10</v>
      </c>
      <c r="N238" s="29"/>
      <c r="O238" s="29"/>
      <c r="P238" s="29"/>
      <c r="Q238" s="29"/>
      <c r="R238" s="29"/>
      <c r="S238" s="29"/>
      <c r="T238" s="29"/>
      <c r="U238" s="30">
        <f t="shared" si="14"/>
        <v>10</v>
      </c>
      <c r="V238" s="31">
        <f t="shared" si="15"/>
        <v>20</v>
      </c>
    </row>
    <row r="239" spans="1:22" ht="14.25" hidden="1" customHeight="1" x14ac:dyDescent="0.3">
      <c r="A239" s="32">
        <v>232</v>
      </c>
      <c r="B239" s="26" t="s">
        <v>283</v>
      </c>
      <c r="C239" s="27" t="str">
        <f t="shared" si="12"/>
        <v>Feminino</v>
      </c>
      <c r="D239" s="33" t="str">
        <f>IFERROR(INDEX(SKUs!$E$6:$E$1997,MATCH(B239,SKUs!$C$6:$C$1997,0)),"")</f>
        <v>POLO</v>
      </c>
      <c r="E239" s="28" t="str">
        <f>IFERROR(VLOOKUP(D239,Configurações!$N$5:$O$46,2,FALSE()),"OUTROS")</f>
        <v>VESTUÁRIO</v>
      </c>
      <c r="F239" s="33" t="str">
        <f>IFERROR(INDEX(SKUs!$F$6:$F$1997,MATCH(B239,SKUs!$C$6:$C$1997,0)),"")</f>
        <v>POLO PIQUET FEM.</v>
      </c>
      <c r="G239" s="33" t="str">
        <f>IFERROR(INDEX(SKUs!$G$6:$G$1997,MATCH(B239,SKUs!$C$6:$C$1997,0)),"")</f>
        <v>MESCLA BLACK</v>
      </c>
      <c r="H239" s="32" t="str">
        <f>IFERROR(INDEX(SKUs!$H$6:$H$1997,MATCH(B239,SKUs!$C$6:$C$1997,0)),"")</f>
        <v>GG</v>
      </c>
      <c r="I239" s="34" t="str">
        <f>IFERROR(INDEX(SKUs!#REF!,MATCH(B239,SKUs!$C$6:$C$1997,0)),"")</f>
        <v/>
      </c>
      <c r="J239" s="35">
        <f>SUMIFS(SKUs!$I$6:$I$1997,SKUs!$C$6:$C$1997,B239)</f>
        <v>23</v>
      </c>
      <c r="K239" s="34">
        <f t="shared" si="13"/>
        <v>0</v>
      </c>
      <c r="L239" s="35">
        <f>COUNTIF(SKUs!$C$6:$C$1997,B239)</f>
        <v>3</v>
      </c>
      <c r="M239" s="29">
        <v>10</v>
      </c>
      <c r="N239" s="29"/>
      <c r="O239" s="29"/>
      <c r="P239" s="29"/>
      <c r="Q239" s="29"/>
      <c r="R239" s="29"/>
      <c r="S239" s="29"/>
      <c r="T239" s="29"/>
      <c r="U239" s="30">
        <f t="shared" si="14"/>
        <v>10</v>
      </c>
      <c r="V239" s="31">
        <f t="shared" si="15"/>
        <v>23</v>
      </c>
    </row>
    <row r="240" spans="1:22" ht="14.25" hidden="1" customHeight="1" x14ac:dyDescent="0.3">
      <c r="A240" s="25">
        <v>233</v>
      </c>
      <c r="B240" s="26" t="s">
        <v>284</v>
      </c>
      <c r="C240" s="27" t="str">
        <f t="shared" si="12"/>
        <v>Feminino</v>
      </c>
      <c r="D240" s="2" t="str">
        <f>IFERROR(INDEX(SKUs!$E$6:$E$1997,MATCH(B240,SKUs!$C$6:$C$1997,0)),"")</f>
        <v>POLO</v>
      </c>
      <c r="E240" s="28" t="str">
        <f>IFERROR(VLOOKUP(D240,Configurações!$N$5:$O$46,2,FALSE()),"OUTROS")</f>
        <v>VESTUÁRIO</v>
      </c>
      <c r="F240" s="2" t="str">
        <f>IFERROR(INDEX(SKUs!$F$6:$F$1997,MATCH(B240,SKUs!$C$6:$C$1997,0)),"")</f>
        <v>POLO PIQUET FEM.</v>
      </c>
      <c r="G240" s="2" t="str">
        <f>IFERROR(INDEX(SKUs!$G$6:$G$1997,MATCH(B240,SKUs!$C$6:$C$1997,0)),"")</f>
        <v>MESCLA BLACK</v>
      </c>
      <c r="H240" s="25" t="str">
        <f>IFERROR(INDEX(SKUs!$H$6:$H$1997,MATCH(B240,SKUs!$C$6:$C$1997,0)),"")</f>
        <v>XG</v>
      </c>
      <c r="I240" s="4" t="str">
        <f>IFERROR(INDEX(SKUs!#REF!,MATCH(B240,SKUs!$C$6:$C$1997,0)),"")</f>
        <v/>
      </c>
      <c r="J240" s="3">
        <f>SUMIFS(SKUs!$I$6:$I$1997,SKUs!$C$6:$C$1997,B240)</f>
        <v>10</v>
      </c>
      <c r="K240" s="4">
        <f t="shared" si="13"/>
        <v>0</v>
      </c>
      <c r="L240" s="3">
        <f>COUNTIF(SKUs!$C$6:$C$1997,B240)</f>
        <v>3</v>
      </c>
      <c r="M240" s="29">
        <v>10</v>
      </c>
      <c r="N240" s="29"/>
      <c r="O240" s="29"/>
      <c r="P240" s="29"/>
      <c r="Q240" s="29"/>
      <c r="R240" s="29"/>
      <c r="S240" s="29"/>
      <c r="T240" s="29"/>
      <c r="U240" s="30">
        <f t="shared" si="14"/>
        <v>10</v>
      </c>
      <c r="V240" s="31">
        <f t="shared" si="15"/>
        <v>10</v>
      </c>
    </row>
    <row r="241" spans="1:22" ht="14.25" hidden="1" customHeight="1" x14ac:dyDescent="0.3">
      <c r="A241" s="32">
        <v>234</v>
      </c>
      <c r="B241" s="26" t="s">
        <v>285</v>
      </c>
      <c r="C241" s="27" t="str">
        <f t="shared" si="12"/>
        <v>Feminino</v>
      </c>
      <c r="D241" s="33" t="str">
        <f>IFERROR(INDEX(SKUs!$E$6:$E$1997,MATCH(B241,SKUs!$C$6:$C$1997,0)),"")</f>
        <v>POLO</v>
      </c>
      <c r="E241" s="28" t="str">
        <f>IFERROR(VLOOKUP(D241,Configurações!$N$5:$O$46,2,FALSE()),"OUTROS")</f>
        <v>VESTUÁRIO</v>
      </c>
      <c r="F241" s="33" t="str">
        <f>IFERROR(INDEX(SKUs!$F$6:$F$1997,MATCH(B241,SKUs!$C$6:$C$1997,0)),"")</f>
        <v>POLO PIQUET OUT. ROSA FEM.</v>
      </c>
      <c r="G241" s="33" t="str">
        <f>IFERROR(INDEX(SKUs!$G$6:$G$1997,MATCH(B241,SKUs!$C$6:$C$1997,0)),"")</f>
        <v>ROSA</v>
      </c>
      <c r="H241" s="32" t="str">
        <f>IFERROR(INDEX(SKUs!$H$6:$H$1997,MATCH(B241,SKUs!$C$6:$C$1997,0)),"")</f>
        <v>P</v>
      </c>
      <c r="I241" s="34" t="str">
        <f>IFERROR(INDEX(SKUs!#REF!,MATCH(B241,SKUs!$C$6:$C$1997,0)),"")</f>
        <v/>
      </c>
      <c r="J241" s="35">
        <f>SUMIFS(SKUs!$I$6:$I$1997,SKUs!$C$6:$C$1997,B241)</f>
        <v>39</v>
      </c>
      <c r="K241" s="34">
        <f t="shared" si="13"/>
        <v>0</v>
      </c>
      <c r="L241" s="35">
        <f>COUNTIF(SKUs!$C$6:$C$1997,B241)</f>
        <v>4</v>
      </c>
      <c r="M241" s="29"/>
      <c r="N241" s="29"/>
      <c r="O241" s="29"/>
      <c r="P241" s="29"/>
      <c r="Q241" s="29"/>
      <c r="R241" s="29"/>
      <c r="S241" s="29"/>
      <c r="T241" s="29"/>
      <c r="U241" s="30">
        <f t="shared" si="14"/>
        <v>0</v>
      </c>
      <c r="V241" s="31">
        <f t="shared" si="15"/>
        <v>39</v>
      </c>
    </row>
    <row r="242" spans="1:22" ht="14.25" hidden="1" customHeight="1" x14ac:dyDescent="0.3">
      <c r="A242" s="25">
        <v>235</v>
      </c>
      <c r="B242" s="26" t="s">
        <v>286</v>
      </c>
      <c r="C242" s="27" t="str">
        <f t="shared" si="12"/>
        <v>Feminino</v>
      </c>
      <c r="D242" s="2" t="str">
        <f>IFERROR(INDEX(SKUs!$E$6:$E$1997,MATCH(B242,SKUs!$C$6:$C$1997,0)),"")</f>
        <v>POLO</v>
      </c>
      <c r="E242" s="28" t="str">
        <f>IFERROR(VLOOKUP(D242,Configurações!$N$5:$O$46,2,FALSE()),"OUTROS")</f>
        <v>VESTUÁRIO</v>
      </c>
      <c r="F242" s="2" t="str">
        <f>IFERROR(INDEX(SKUs!$F$6:$F$1997,MATCH(B242,SKUs!$C$6:$C$1997,0)),"")</f>
        <v>POLO PIQUET OUT. ROSA FEM.</v>
      </c>
      <c r="G242" s="2" t="str">
        <f>IFERROR(INDEX(SKUs!$G$6:$G$1997,MATCH(B242,SKUs!$C$6:$C$1997,0)),"")</f>
        <v>ROSA</v>
      </c>
      <c r="H242" s="25" t="str">
        <f>IFERROR(INDEX(SKUs!$H$6:$H$1997,MATCH(B242,SKUs!$C$6:$C$1997,0)),"")</f>
        <v>G</v>
      </c>
      <c r="I242" s="4" t="str">
        <f>IFERROR(INDEX(SKUs!#REF!,MATCH(B242,SKUs!$C$6:$C$1997,0)),"")</f>
        <v/>
      </c>
      <c r="J242" s="3">
        <f>SUMIFS(SKUs!$I$6:$I$1997,SKUs!$C$6:$C$1997,B242)</f>
        <v>79</v>
      </c>
      <c r="K242" s="4">
        <f t="shared" si="13"/>
        <v>0</v>
      </c>
      <c r="L242" s="3">
        <f>COUNTIF(SKUs!$C$6:$C$1997,B242)</f>
        <v>4</v>
      </c>
      <c r="M242" s="29"/>
      <c r="N242" s="29"/>
      <c r="O242" s="29"/>
      <c r="P242" s="29"/>
      <c r="Q242" s="29"/>
      <c r="R242" s="29"/>
      <c r="S242" s="29"/>
      <c r="T242" s="29"/>
      <c r="U242" s="30">
        <f t="shared" si="14"/>
        <v>0</v>
      </c>
      <c r="V242" s="31">
        <f t="shared" si="15"/>
        <v>79</v>
      </c>
    </row>
    <row r="243" spans="1:22" ht="14.25" hidden="1" customHeight="1" x14ac:dyDescent="0.3">
      <c r="A243" s="32">
        <v>236</v>
      </c>
      <c r="B243" s="26" t="s">
        <v>287</v>
      </c>
      <c r="C243" s="27" t="str">
        <f t="shared" si="12"/>
        <v>Feminino</v>
      </c>
      <c r="D243" s="33" t="str">
        <f>IFERROR(INDEX(SKUs!$E$6:$E$1997,MATCH(B243,SKUs!$C$6:$C$1997,0)),"")</f>
        <v>POLO</v>
      </c>
      <c r="E243" s="28" t="str">
        <f>IFERROR(VLOOKUP(D243,Configurações!$N$5:$O$46,2,FALSE()),"OUTROS")</f>
        <v>VESTUÁRIO</v>
      </c>
      <c r="F243" s="33" t="str">
        <f>IFERROR(INDEX(SKUs!$F$6:$F$1997,MATCH(B243,SKUs!$C$6:$C$1997,0)),"")</f>
        <v>POLO PIQUET OUT. ROSA FEM.</v>
      </c>
      <c r="G243" s="33" t="str">
        <f>IFERROR(INDEX(SKUs!$G$6:$G$1997,MATCH(B243,SKUs!$C$6:$C$1997,0)),"")</f>
        <v>ROSA</v>
      </c>
      <c r="H243" s="32" t="str">
        <f>IFERROR(INDEX(SKUs!$H$6:$H$1997,MATCH(B243,SKUs!$C$6:$C$1997,0)),"")</f>
        <v>GG</v>
      </c>
      <c r="I243" s="34" t="str">
        <f>IFERROR(INDEX(SKUs!#REF!,MATCH(B243,SKUs!$C$6:$C$1997,0)),"")</f>
        <v/>
      </c>
      <c r="J243" s="35">
        <f>SUMIFS(SKUs!$I$6:$I$1997,SKUs!$C$6:$C$1997,B243)</f>
        <v>8</v>
      </c>
      <c r="K243" s="34">
        <f t="shared" si="13"/>
        <v>0</v>
      </c>
      <c r="L243" s="35">
        <f>COUNTIF(SKUs!$C$6:$C$1997,B243)</f>
        <v>3</v>
      </c>
      <c r="M243" s="29"/>
      <c r="N243" s="29"/>
      <c r="O243" s="29"/>
      <c r="P243" s="29"/>
      <c r="Q243" s="29"/>
      <c r="R243" s="29"/>
      <c r="S243" s="29"/>
      <c r="T243" s="29"/>
      <c r="U243" s="30">
        <f t="shared" si="14"/>
        <v>0</v>
      </c>
      <c r="V243" s="31">
        <f t="shared" si="15"/>
        <v>8</v>
      </c>
    </row>
    <row r="244" spans="1:22" ht="14.25" hidden="1" customHeight="1" x14ac:dyDescent="0.3">
      <c r="A244" s="25">
        <v>237</v>
      </c>
      <c r="B244" s="26" t="s">
        <v>288</v>
      </c>
      <c r="C244" s="27" t="str">
        <f t="shared" si="12"/>
        <v>Feminino</v>
      </c>
      <c r="D244" s="2" t="str">
        <f>IFERROR(INDEX(SKUs!$E$6:$E$1997,MATCH(B244,SKUs!$C$6:$C$1997,0)),"")</f>
        <v>POLO</v>
      </c>
      <c r="E244" s="28" t="str">
        <f>IFERROR(VLOOKUP(D244,Configurações!$N$5:$O$46,2,FALSE()),"OUTROS")</f>
        <v>VESTUÁRIO</v>
      </c>
      <c r="F244" s="2" t="str">
        <f>IFERROR(INDEX(SKUs!$F$6:$F$1997,MATCH(B244,SKUs!$C$6:$C$1997,0)),"")</f>
        <v>POLO PIQUET OUT. ROSA FEM.</v>
      </c>
      <c r="G244" s="2" t="str">
        <f>IFERROR(INDEX(SKUs!$G$6:$G$1997,MATCH(B244,SKUs!$C$6:$C$1997,0)),"")</f>
        <v>ROSA</v>
      </c>
      <c r="H244" s="25" t="str">
        <f>IFERROR(INDEX(SKUs!$H$6:$H$1997,MATCH(B244,SKUs!$C$6:$C$1997,0)),"")</f>
        <v>XG</v>
      </c>
      <c r="I244" s="4" t="str">
        <f>IFERROR(INDEX(SKUs!#REF!,MATCH(B244,SKUs!$C$6:$C$1997,0)),"")</f>
        <v/>
      </c>
      <c r="J244" s="3">
        <f>SUMIFS(SKUs!$I$6:$I$1997,SKUs!$C$6:$C$1997,B244)</f>
        <v>11</v>
      </c>
      <c r="K244" s="4">
        <f t="shared" si="13"/>
        <v>0</v>
      </c>
      <c r="L244" s="3">
        <f>COUNTIF(SKUs!$C$6:$C$1997,B244)</f>
        <v>3</v>
      </c>
      <c r="M244" s="29"/>
      <c r="N244" s="29"/>
      <c r="O244" s="29"/>
      <c r="P244" s="29"/>
      <c r="Q244" s="29"/>
      <c r="R244" s="29"/>
      <c r="S244" s="29"/>
      <c r="T244" s="29"/>
      <c r="U244" s="30">
        <f t="shared" si="14"/>
        <v>0</v>
      </c>
      <c r="V244" s="31">
        <f t="shared" si="15"/>
        <v>11</v>
      </c>
    </row>
    <row r="245" spans="1:22" ht="14.25" hidden="1" customHeight="1" x14ac:dyDescent="0.3">
      <c r="A245" s="32">
        <v>238</v>
      </c>
      <c r="B245" s="26" t="s">
        <v>289</v>
      </c>
      <c r="C245" s="27" t="str">
        <f t="shared" si="12"/>
        <v>Feminino</v>
      </c>
      <c r="D245" s="33" t="str">
        <f>IFERROR(INDEX(SKUs!$E$6:$E$1997,MATCH(B245,SKUs!$C$6:$C$1997,0)),"")</f>
        <v>POLO</v>
      </c>
      <c r="E245" s="28" t="str">
        <f>IFERROR(VLOOKUP(D245,Configurações!$N$5:$O$46,2,FALSE()),"OUTROS")</f>
        <v>VESTUÁRIO</v>
      </c>
      <c r="F245" s="33" t="str">
        <f>IFERROR(INDEX(SKUs!$F$6:$F$1997,MATCH(B245,SKUs!$C$6:$C$1997,0)),"")</f>
        <v>POLO BASICA FEM.</v>
      </c>
      <c r="G245" s="33" t="str">
        <f>IFERROR(INDEX(SKUs!$G$6:$G$1997,MATCH(B245,SKUs!$C$6:$C$1997,0)),"")</f>
        <v>PRETA</v>
      </c>
      <c r="H245" s="32" t="str">
        <f>IFERROR(INDEX(SKUs!$H$6:$H$1997,MATCH(B245,SKUs!$C$6:$C$1997,0)),"")</f>
        <v>G</v>
      </c>
      <c r="I245" s="34" t="str">
        <f>IFERROR(INDEX(SKUs!#REF!,MATCH(B245,SKUs!$C$6:$C$1997,0)),"")</f>
        <v/>
      </c>
      <c r="J245" s="35">
        <f>SUMIFS(SKUs!$I$6:$I$1997,SKUs!$C$6:$C$1997,B245)</f>
        <v>43</v>
      </c>
      <c r="K245" s="34">
        <f t="shared" si="13"/>
        <v>0</v>
      </c>
      <c r="L245" s="35">
        <f>COUNTIF(SKUs!$C$6:$C$1997,B245)</f>
        <v>2</v>
      </c>
      <c r="M245" s="29">
        <v>30</v>
      </c>
      <c r="N245" s="29"/>
      <c r="O245" s="29"/>
      <c r="P245" s="29"/>
      <c r="Q245" s="29"/>
      <c r="R245" s="29"/>
      <c r="S245" s="29"/>
      <c r="T245" s="29"/>
      <c r="U245" s="30">
        <f t="shared" si="14"/>
        <v>30</v>
      </c>
      <c r="V245" s="31">
        <f t="shared" si="15"/>
        <v>43</v>
      </c>
    </row>
    <row r="246" spans="1:22" ht="14.25" hidden="1" customHeight="1" x14ac:dyDescent="0.3">
      <c r="A246" s="25">
        <v>239</v>
      </c>
      <c r="B246" s="36" t="s">
        <v>290</v>
      </c>
      <c r="C246" s="27" t="str">
        <f t="shared" si="12"/>
        <v>Feminino</v>
      </c>
      <c r="D246" s="2" t="str">
        <f>IFERROR(INDEX(SKUs!$E$6:$E$1997,MATCH(B246,SKUs!$C$6:$C$1997,0)),"")</f>
        <v>POLO</v>
      </c>
      <c r="E246" s="28" t="str">
        <f>IFERROR(VLOOKUP(D246,Configurações!$N$5:$O$46,2,FALSE()),"OUTROS")</f>
        <v>VESTUÁRIO</v>
      </c>
      <c r="F246" s="2" t="str">
        <f>IFERROR(INDEX(SKUs!$F$6:$F$1997,MATCH(B246,SKUs!$C$6:$C$1997,0)),"")</f>
        <v>POLO BASICA FEM.</v>
      </c>
      <c r="G246" s="2" t="str">
        <f>IFERROR(INDEX(SKUs!$G$6:$G$1997,MATCH(B246,SKUs!$C$6:$C$1997,0)),"")</f>
        <v>PRETA</v>
      </c>
      <c r="H246" s="25" t="str">
        <f>IFERROR(INDEX(SKUs!$H$6:$H$1997,MATCH(B246,SKUs!$C$6:$C$1997,0)),"")</f>
        <v>XG</v>
      </c>
      <c r="I246" s="4" t="str">
        <f>IFERROR(INDEX(SKUs!#REF!,MATCH(B246,SKUs!$C$6:$C$1997,0)),"")</f>
        <v/>
      </c>
      <c r="J246" s="3">
        <f>SUMIFS(SKUs!$I$6:$I$1997,SKUs!$C$6:$C$1997,B246)</f>
        <v>13</v>
      </c>
      <c r="K246" s="4">
        <f t="shared" si="13"/>
        <v>0</v>
      </c>
      <c r="L246" s="3">
        <f>COUNTIF(SKUs!$C$6:$C$1997,B246)</f>
        <v>1</v>
      </c>
      <c r="M246" s="29">
        <v>30</v>
      </c>
      <c r="N246" s="29"/>
      <c r="O246" s="29"/>
      <c r="P246" s="29"/>
      <c r="Q246" s="29"/>
      <c r="R246" s="29"/>
      <c r="S246" s="29"/>
      <c r="T246" s="29"/>
      <c r="U246" s="30">
        <f t="shared" si="14"/>
        <v>30</v>
      </c>
      <c r="V246" s="31">
        <f t="shared" si="15"/>
        <v>13</v>
      </c>
    </row>
    <row r="247" spans="1:22" ht="14.25" hidden="1" customHeight="1" x14ac:dyDescent="0.3">
      <c r="A247" s="32">
        <v>240</v>
      </c>
      <c r="B247" s="26" t="s">
        <v>291</v>
      </c>
      <c r="C247" s="27" t="str">
        <f t="shared" si="12"/>
        <v>Masculino</v>
      </c>
      <c r="D247" s="33" t="str">
        <f>IFERROR(INDEX(SKUs!$E$6:$E$1997,MATCH(B247,SKUs!$C$6:$C$1997,0)),"")</f>
        <v>POLO</v>
      </c>
      <c r="E247" s="28" t="str">
        <f>IFERROR(VLOOKUP(D247,Configurações!$N$5:$O$46,2,FALSE()),"OUTROS")</f>
        <v>VESTUÁRIO</v>
      </c>
      <c r="F247" s="33" t="str">
        <f>IFERROR(INDEX(SKUs!$F$6:$F$1997,MATCH(B247,SKUs!$C$6:$C$1997,0)),"")</f>
        <v>POLO PIQUET MASC.</v>
      </c>
      <c r="G247" s="33" t="str">
        <f>IFERROR(INDEX(SKUs!$G$6:$G$1997,MATCH(B247,SKUs!$C$6:$C$1997,0)),"")</f>
        <v>MESCLA BLACK</v>
      </c>
      <c r="H247" s="32" t="str">
        <f>IFERROR(INDEX(SKUs!$H$6:$H$1997,MATCH(B247,SKUs!$C$6:$C$1997,0)),"")</f>
        <v>PP</v>
      </c>
      <c r="I247" s="34" t="str">
        <f>IFERROR(INDEX(SKUs!#REF!,MATCH(B247,SKUs!$C$6:$C$1997,0)),"")</f>
        <v/>
      </c>
      <c r="J247" s="35">
        <f>SUMIFS(SKUs!$I$6:$I$1997,SKUs!$C$6:$C$1997,B247)</f>
        <v>24</v>
      </c>
      <c r="K247" s="34">
        <f t="shared" si="13"/>
        <v>0</v>
      </c>
      <c r="L247" s="35">
        <f>COUNTIF(SKUs!$C$6:$C$1997,B247)</f>
        <v>3</v>
      </c>
      <c r="M247" s="29">
        <v>10</v>
      </c>
      <c r="N247" s="29"/>
      <c r="O247" s="29"/>
      <c r="P247" s="29"/>
      <c r="Q247" s="29"/>
      <c r="R247" s="29"/>
      <c r="S247" s="29"/>
      <c r="T247" s="29"/>
      <c r="U247" s="30">
        <f t="shared" si="14"/>
        <v>10</v>
      </c>
      <c r="V247" s="31">
        <f t="shared" si="15"/>
        <v>24</v>
      </c>
    </row>
    <row r="248" spans="1:22" ht="14.25" hidden="1" customHeight="1" x14ac:dyDescent="0.3">
      <c r="A248" s="25">
        <v>241</v>
      </c>
      <c r="B248" s="26" t="s">
        <v>292</v>
      </c>
      <c r="C248" s="27" t="str">
        <f t="shared" si="12"/>
        <v>Masculino</v>
      </c>
      <c r="D248" s="2" t="str">
        <f>IFERROR(INDEX(SKUs!$E$6:$E$1997,MATCH(B248,SKUs!$C$6:$C$1997,0)),"")</f>
        <v>POLO</v>
      </c>
      <c r="E248" s="28" t="str">
        <f>IFERROR(VLOOKUP(D248,Configurações!$N$5:$O$46,2,FALSE()),"OUTROS")</f>
        <v>VESTUÁRIO</v>
      </c>
      <c r="F248" s="2" t="str">
        <f>IFERROR(INDEX(SKUs!$F$6:$F$1997,MATCH(B248,SKUs!$C$6:$C$1997,0)),"")</f>
        <v>POLO PIQUET MASC.</v>
      </c>
      <c r="G248" s="2" t="str">
        <f>IFERROR(INDEX(SKUs!$G$6:$G$1997,MATCH(B248,SKUs!$C$6:$C$1997,0)),"")</f>
        <v>MESCLA BLACK</v>
      </c>
      <c r="H248" s="25" t="str">
        <f>IFERROR(INDEX(SKUs!$H$6:$H$1997,MATCH(B248,SKUs!$C$6:$C$1997,0)),"")</f>
        <v>P</v>
      </c>
      <c r="I248" s="4" t="str">
        <f>IFERROR(INDEX(SKUs!#REF!,MATCH(B248,SKUs!$C$6:$C$1997,0)),"")</f>
        <v/>
      </c>
      <c r="J248" s="3">
        <f>SUMIFS(SKUs!$I$6:$I$1997,SKUs!$C$6:$C$1997,B248)</f>
        <v>77</v>
      </c>
      <c r="K248" s="4">
        <f t="shared" si="13"/>
        <v>0</v>
      </c>
      <c r="L248" s="3">
        <f>COUNTIF(SKUs!$C$6:$C$1997,B248)</f>
        <v>3</v>
      </c>
      <c r="M248" s="29">
        <v>10</v>
      </c>
      <c r="N248" s="29"/>
      <c r="O248" s="29"/>
      <c r="P248" s="29"/>
      <c r="Q248" s="29"/>
      <c r="R248" s="29"/>
      <c r="S248" s="29"/>
      <c r="T248" s="29"/>
      <c r="U248" s="30">
        <f t="shared" si="14"/>
        <v>10</v>
      </c>
      <c r="V248" s="31">
        <f t="shared" si="15"/>
        <v>77</v>
      </c>
    </row>
    <row r="249" spans="1:22" ht="14.25" hidden="1" customHeight="1" x14ac:dyDescent="0.3">
      <c r="A249" s="32">
        <v>242</v>
      </c>
      <c r="B249" s="26" t="s">
        <v>293</v>
      </c>
      <c r="C249" s="27" t="str">
        <f t="shared" si="12"/>
        <v>Masculino</v>
      </c>
      <c r="D249" s="33" t="str">
        <f>IFERROR(INDEX(SKUs!$E$6:$E$1997,MATCH(B249,SKUs!$C$6:$C$1997,0)),"")</f>
        <v>POLO</v>
      </c>
      <c r="E249" s="28" t="str">
        <f>IFERROR(VLOOKUP(D249,Configurações!$N$5:$O$46,2,FALSE()),"OUTROS")</f>
        <v>VESTUÁRIO</v>
      </c>
      <c r="F249" s="33" t="str">
        <f>IFERROR(INDEX(SKUs!$F$6:$F$1997,MATCH(B249,SKUs!$C$6:$C$1997,0)),"")</f>
        <v>POLO PIQUET MASC.</v>
      </c>
      <c r="G249" s="33" t="str">
        <f>IFERROR(INDEX(SKUs!$G$6:$G$1997,MATCH(B249,SKUs!$C$6:$C$1997,0)),"")</f>
        <v>MESCLA BLACK</v>
      </c>
      <c r="H249" s="32" t="str">
        <f>IFERROR(INDEX(SKUs!$H$6:$H$1997,MATCH(B249,SKUs!$C$6:$C$1997,0)),"")</f>
        <v>XG</v>
      </c>
      <c r="I249" s="34" t="str">
        <f>IFERROR(INDEX(SKUs!#REF!,MATCH(B249,SKUs!$C$6:$C$1997,0)),"")</f>
        <v/>
      </c>
      <c r="J249" s="35">
        <f>SUMIFS(SKUs!$I$6:$I$1997,SKUs!$C$6:$C$1997,B249)</f>
        <v>3</v>
      </c>
      <c r="K249" s="34">
        <f t="shared" si="13"/>
        <v>0</v>
      </c>
      <c r="L249" s="35">
        <f>COUNTIF(SKUs!$C$6:$C$1997,B249)</f>
        <v>3</v>
      </c>
      <c r="M249" s="29">
        <v>10</v>
      </c>
      <c r="N249" s="29"/>
      <c r="O249" s="29"/>
      <c r="P249" s="29"/>
      <c r="Q249" s="29"/>
      <c r="R249" s="29"/>
      <c r="S249" s="29"/>
      <c r="T249" s="29"/>
      <c r="U249" s="30">
        <f t="shared" si="14"/>
        <v>10</v>
      </c>
      <c r="V249" s="31">
        <f t="shared" si="15"/>
        <v>3</v>
      </c>
    </row>
    <row r="250" spans="1:22" ht="14.25" hidden="1" customHeight="1" x14ac:dyDescent="0.3">
      <c r="A250" s="25">
        <v>243</v>
      </c>
      <c r="B250" s="26" t="s">
        <v>294</v>
      </c>
      <c r="C250" s="27" t="str">
        <f t="shared" si="12"/>
        <v>Masculino</v>
      </c>
      <c r="D250" s="2" t="str">
        <f>IFERROR(INDEX(SKUs!$E$6:$E$1997,MATCH(B250,SKUs!$C$6:$C$1997,0)),"")</f>
        <v>POLO</v>
      </c>
      <c r="E250" s="28" t="str">
        <f>IFERROR(VLOOKUP(D250,Configurações!$N$5:$O$46,2,FALSE()),"OUTROS")</f>
        <v>VESTUÁRIO</v>
      </c>
      <c r="F250" s="2" t="str">
        <f>IFERROR(INDEX(SKUs!$F$6:$F$1997,MATCH(B250,SKUs!$C$6:$C$1997,0)),"")</f>
        <v>POLO PIQUET MASC.</v>
      </c>
      <c r="G250" s="2" t="str">
        <f>IFERROR(INDEX(SKUs!$G$6:$G$1997,MATCH(B250,SKUs!$C$6:$C$1997,0)),"")</f>
        <v>MESCLA BLACK</v>
      </c>
      <c r="H250" s="25" t="str">
        <f>IFERROR(INDEX(SKUs!$H$6:$H$1997,MATCH(B250,SKUs!$C$6:$C$1997,0)),"")</f>
        <v>M</v>
      </c>
      <c r="I250" s="4" t="str">
        <f>IFERROR(INDEX(SKUs!#REF!,MATCH(B250,SKUs!$C$6:$C$1997,0)),"")</f>
        <v/>
      </c>
      <c r="J250" s="3">
        <f>SUMIFS(SKUs!$I$6:$I$1997,SKUs!$C$6:$C$1997,B250)</f>
        <v>116</v>
      </c>
      <c r="K250" s="4">
        <f t="shared" si="13"/>
        <v>0</v>
      </c>
      <c r="L250" s="3">
        <f>COUNTIF(SKUs!$C$6:$C$1997,B250)</f>
        <v>4</v>
      </c>
      <c r="M250" s="29">
        <v>20</v>
      </c>
      <c r="N250" s="29"/>
      <c r="O250" s="29"/>
      <c r="P250" s="29"/>
      <c r="Q250" s="29"/>
      <c r="R250" s="29"/>
      <c r="S250" s="29"/>
      <c r="T250" s="29"/>
      <c r="U250" s="30">
        <f t="shared" si="14"/>
        <v>20</v>
      </c>
      <c r="V250" s="31">
        <f t="shared" si="15"/>
        <v>116</v>
      </c>
    </row>
    <row r="251" spans="1:22" ht="14.25" hidden="1" customHeight="1" x14ac:dyDescent="0.3">
      <c r="A251" s="32">
        <v>244</v>
      </c>
      <c r="B251" s="26" t="s">
        <v>295</v>
      </c>
      <c r="C251" s="27" t="str">
        <f t="shared" si="12"/>
        <v>Feminino</v>
      </c>
      <c r="D251" s="33" t="str">
        <f>IFERROR(INDEX(SKUs!$E$6:$E$1997,MATCH(B251,SKUs!$C$6:$C$1997,0)),"")</f>
        <v>TRICO</v>
      </c>
      <c r="E251" s="28" t="str">
        <f>IFERROR(VLOOKUP(D251,Configurações!$N$5:$O$46,2,FALSE()),"OUTROS")</f>
        <v>VESTUÁRIO</v>
      </c>
      <c r="F251" s="33" t="str">
        <f>IFERROR(INDEX(SKUs!$F$6:$F$1997,MATCH(B251,SKUs!$C$6:$C$1997,0)),"")</f>
        <v>TRICO GOLA CARECA FEM.</v>
      </c>
      <c r="G251" s="33" t="str">
        <f>IFERROR(INDEX(SKUs!$G$6:$G$1997,MATCH(B251,SKUs!$C$6:$C$1997,0)),"")</f>
        <v>BRANCA</v>
      </c>
      <c r="H251" s="32" t="str">
        <f>IFERROR(INDEX(SKUs!$H$6:$H$1997,MATCH(B251,SKUs!$C$6:$C$1997,0)),"")</f>
        <v>G</v>
      </c>
      <c r="I251" s="34" t="str">
        <f>IFERROR(INDEX(SKUs!#REF!,MATCH(B251,SKUs!$C$6:$C$1997,0)),"")</f>
        <v/>
      </c>
      <c r="J251" s="35">
        <f>SUMIFS(SKUs!$I$6:$I$1997,SKUs!$C$6:$C$1997,B251)</f>
        <v>0</v>
      </c>
      <c r="K251" s="34">
        <f t="shared" si="13"/>
        <v>0</v>
      </c>
      <c r="L251" s="35">
        <f>COUNTIF(SKUs!$C$6:$C$1997,B251)</f>
        <v>1</v>
      </c>
      <c r="M251" s="29">
        <v>3</v>
      </c>
      <c r="N251" s="29"/>
      <c r="O251" s="29"/>
      <c r="P251" s="29"/>
      <c r="Q251" s="29"/>
      <c r="R251" s="29"/>
      <c r="S251" s="29"/>
      <c r="T251" s="29"/>
      <c r="U251" s="30">
        <f t="shared" si="14"/>
        <v>3</v>
      </c>
      <c r="V251" s="31">
        <f t="shared" si="15"/>
        <v>0</v>
      </c>
    </row>
    <row r="252" spans="1:22" ht="14.25" hidden="1" customHeight="1" x14ac:dyDescent="0.3">
      <c r="A252" s="25">
        <v>245</v>
      </c>
      <c r="B252" s="26" t="s">
        <v>296</v>
      </c>
      <c r="C252" s="27" t="str">
        <f t="shared" si="12"/>
        <v>Feminino</v>
      </c>
      <c r="D252" s="2" t="str">
        <f>IFERROR(INDEX(SKUs!$E$6:$E$1997,MATCH(B252,SKUs!$C$6:$C$1997,0)),"")</f>
        <v>TRICO</v>
      </c>
      <c r="E252" s="28" t="str">
        <f>IFERROR(VLOOKUP(D252,Configurações!$N$5:$O$46,2,FALSE()),"OUTROS")</f>
        <v>VESTUÁRIO</v>
      </c>
      <c r="F252" s="2" t="str">
        <f>IFERROR(INDEX(SKUs!$F$6:$F$1997,MATCH(B252,SKUs!$C$6:$C$1997,0)),"")</f>
        <v>TRICO GOLA CARECA FEM.</v>
      </c>
      <c r="G252" s="2" t="str">
        <f>IFERROR(INDEX(SKUs!$G$6:$G$1997,MATCH(B252,SKUs!$C$6:$C$1997,0)),"")</f>
        <v>BRANCA</v>
      </c>
      <c r="H252" s="25" t="str">
        <f>IFERROR(INDEX(SKUs!$H$6:$H$1997,MATCH(B252,SKUs!$C$6:$C$1997,0)),"")</f>
        <v>GG</v>
      </c>
      <c r="I252" s="4" t="str">
        <f>IFERROR(INDEX(SKUs!#REF!,MATCH(B252,SKUs!$C$6:$C$1997,0)),"")</f>
        <v/>
      </c>
      <c r="J252" s="3">
        <f>SUMIFS(SKUs!$I$6:$I$1997,SKUs!$C$6:$C$1997,B252)</f>
        <v>1</v>
      </c>
      <c r="K252" s="4">
        <f t="shared" si="13"/>
        <v>0</v>
      </c>
      <c r="L252" s="3">
        <f>COUNTIF(SKUs!$C$6:$C$1997,B252)</f>
        <v>1</v>
      </c>
      <c r="M252" s="29"/>
      <c r="N252" s="29"/>
      <c r="O252" s="29"/>
      <c r="P252" s="29"/>
      <c r="Q252" s="29"/>
      <c r="R252" s="29"/>
      <c r="S252" s="29"/>
      <c r="T252" s="29"/>
      <c r="U252" s="30">
        <f t="shared" si="14"/>
        <v>0</v>
      </c>
      <c r="V252" s="31">
        <f t="shared" si="15"/>
        <v>1</v>
      </c>
    </row>
    <row r="253" spans="1:22" ht="14.25" hidden="1" customHeight="1" x14ac:dyDescent="0.3">
      <c r="A253" s="32">
        <v>246</v>
      </c>
      <c r="B253" s="26" t="s">
        <v>297</v>
      </c>
      <c r="C253" s="27" t="str">
        <f t="shared" si="12"/>
        <v>Feminino</v>
      </c>
      <c r="D253" s="33" t="str">
        <f>IFERROR(INDEX(SKUs!$E$6:$E$1997,MATCH(B253,SKUs!$C$6:$C$1997,0)),"")</f>
        <v>TRICO</v>
      </c>
      <c r="E253" s="28" t="str">
        <f>IFERROR(VLOOKUP(D253,Configurações!$N$5:$O$46,2,FALSE()),"OUTROS")</f>
        <v>VESTUÁRIO</v>
      </c>
      <c r="F253" s="33" t="str">
        <f>IFERROR(INDEX(SKUs!$F$6:$F$1997,MATCH(B253,SKUs!$C$6:$C$1997,0)),"")</f>
        <v>TRICO GOLA CARECA FEM.</v>
      </c>
      <c r="G253" s="33" t="str">
        <f>IFERROR(INDEX(SKUs!$G$6:$G$1997,MATCH(B253,SKUs!$C$6:$C$1997,0)),"")</f>
        <v>PRETA</v>
      </c>
      <c r="H253" s="32" t="str">
        <f>IFERROR(INDEX(SKUs!$H$6:$H$1997,MATCH(B253,SKUs!$C$6:$C$1997,0)),"")</f>
        <v>G</v>
      </c>
      <c r="I253" s="34" t="str">
        <f>IFERROR(INDEX(SKUs!#REF!,MATCH(B253,SKUs!$C$6:$C$1997,0)),"")</f>
        <v/>
      </c>
      <c r="J253" s="35">
        <f>SUMIFS(SKUs!$I$6:$I$1997,SKUs!$C$6:$C$1997,B253)</f>
        <v>5</v>
      </c>
      <c r="K253" s="34">
        <f t="shared" si="13"/>
        <v>0</v>
      </c>
      <c r="L253" s="35">
        <f>COUNTIF(SKUs!$C$6:$C$1997,B253)</f>
        <v>1</v>
      </c>
      <c r="M253" s="29"/>
      <c r="N253" s="29"/>
      <c r="O253" s="29"/>
      <c r="P253" s="29"/>
      <c r="Q253" s="29"/>
      <c r="R253" s="29"/>
      <c r="S253" s="29"/>
      <c r="T253" s="29"/>
      <c r="U253" s="30">
        <f t="shared" si="14"/>
        <v>0</v>
      </c>
      <c r="V253" s="31">
        <f t="shared" si="15"/>
        <v>5</v>
      </c>
    </row>
    <row r="254" spans="1:22" ht="14.25" hidden="1" customHeight="1" x14ac:dyDescent="0.3">
      <c r="A254" s="25">
        <v>247</v>
      </c>
      <c r="B254" s="26" t="s">
        <v>298</v>
      </c>
      <c r="C254" s="27" t="str">
        <f t="shared" si="12"/>
        <v>Feminino</v>
      </c>
      <c r="D254" s="2" t="str">
        <f>IFERROR(INDEX(SKUs!$E$6:$E$1997,MATCH(B254,SKUs!$C$6:$C$1997,0)),"")</f>
        <v>TRICO</v>
      </c>
      <c r="E254" s="28" t="str">
        <f>IFERROR(VLOOKUP(D254,Configurações!$N$5:$O$46,2,FALSE()),"OUTROS")</f>
        <v>VESTUÁRIO</v>
      </c>
      <c r="F254" s="2" t="str">
        <f>IFERROR(INDEX(SKUs!$F$6:$F$1997,MATCH(B254,SKUs!$C$6:$C$1997,0)),"")</f>
        <v>TRICO GOLA CARECA FEM.</v>
      </c>
      <c r="G254" s="2" t="str">
        <f>IFERROR(INDEX(SKUs!$G$6:$G$1997,MATCH(B254,SKUs!$C$6:$C$1997,0)),"")</f>
        <v>PRETA</v>
      </c>
      <c r="H254" s="25" t="str">
        <f>IFERROR(INDEX(SKUs!$H$6:$H$1997,MATCH(B254,SKUs!$C$6:$C$1997,0)),"")</f>
        <v>GG</v>
      </c>
      <c r="I254" s="4" t="str">
        <f>IFERROR(INDEX(SKUs!#REF!,MATCH(B254,SKUs!$C$6:$C$1997,0)),"")</f>
        <v/>
      </c>
      <c r="J254" s="3">
        <f>SUMIFS(SKUs!$I$6:$I$1997,SKUs!$C$6:$C$1997,B254)</f>
        <v>4</v>
      </c>
      <c r="K254" s="4">
        <f t="shared" si="13"/>
        <v>0</v>
      </c>
      <c r="L254" s="3">
        <f>COUNTIF(SKUs!$C$6:$C$1997,B254)</f>
        <v>1</v>
      </c>
      <c r="M254" s="29">
        <v>4</v>
      </c>
      <c r="N254" s="29"/>
      <c r="O254" s="29"/>
      <c r="P254" s="29"/>
      <c r="Q254" s="29"/>
      <c r="R254" s="29"/>
      <c r="S254" s="29"/>
      <c r="T254" s="29"/>
      <c r="U254" s="30">
        <f t="shared" si="14"/>
        <v>4</v>
      </c>
      <c r="V254" s="31">
        <f t="shared" si="15"/>
        <v>4</v>
      </c>
    </row>
    <row r="255" spans="1:22" ht="14.25" hidden="1" customHeight="1" x14ac:dyDescent="0.3">
      <c r="A255" s="32">
        <v>248</v>
      </c>
      <c r="B255" s="26" t="s">
        <v>299</v>
      </c>
      <c r="C255" s="27" t="str">
        <f t="shared" si="12"/>
        <v>Feminino</v>
      </c>
      <c r="D255" s="33" t="str">
        <f>IFERROR(INDEX(SKUs!$E$6:$E$1997,MATCH(B255,SKUs!$C$6:$C$1997,0)),"")</f>
        <v>POLO</v>
      </c>
      <c r="E255" s="28" t="str">
        <f>IFERROR(VLOOKUP(D255,Configurações!$N$5:$O$46,2,FALSE()),"OUTROS")</f>
        <v>VESTUÁRIO</v>
      </c>
      <c r="F255" s="33" t="str">
        <f>IFERROR(INDEX(SKUs!$F$6:$F$1997,MATCH(B255,SKUs!$C$6:$C$1997,0)),"")</f>
        <v>POLO PIQUET OUT. ROSA FEM.</v>
      </c>
      <c r="G255" s="33" t="str">
        <f>IFERROR(INDEX(SKUs!$G$6:$G$1997,MATCH(B255,SKUs!$C$6:$C$1997,0)),"")</f>
        <v>ROSA</v>
      </c>
      <c r="H255" s="32" t="str">
        <f>IFERROR(INDEX(SKUs!$H$6:$H$1997,MATCH(B255,SKUs!$C$6:$C$1997,0)),"")</f>
        <v>PP</v>
      </c>
      <c r="I255" s="34" t="str">
        <f>IFERROR(INDEX(SKUs!#REF!,MATCH(B255,SKUs!$C$6:$C$1997,0)),"")</f>
        <v/>
      </c>
      <c r="J255" s="35">
        <f>SUMIFS(SKUs!$I$6:$I$1997,SKUs!$C$6:$C$1997,B255)</f>
        <v>58</v>
      </c>
      <c r="K255" s="34">
        <f t="shared" si="13"/>
        <v>0</v>
      </c>
      <c r="L255" s="35">
        <f>COUNTIF(SKUs!$C$6:$C$1997,B255)</f>
        <v>3</v>
      </c>
      <c r="M255" s="29"/>
      <c r="N255" s="29"/>
      <c r="O255" s="29"/>
      <c r="P255" s="29"/>
      <c r="Q255" s="29"/>
      <c r="R255" s="29"/>
      <c r="S255" s="29"/>
      <c r="T255" s="29"/>
      <c r="U255" s="30">
        <f t="shared" si="14"/>
        <v>0</v>
      </c>
      <c r="V255" s="31">
        <f t="shared" si="15"/>
        <v>58</v>
      </c>
    </row>
    <row r="256" spans="1:22" ht="14.25" hidden="1" customHeight="1" x14ac:dyDescent="0.3">
      <c r="A256" s="25">
        <v>249</v>
      </c>
      <c r="B256" s="26" t="s">
        <v>300</v>
      </c>
      <c r="C256" s="27" t="str">
        <f t="shared" si="12"/>
        <v>Feminino</v>
      </c>
      <c r="D256" s="2" t="str">
        <f>IFERROR(INDEX(SKUs!$E$6:$E$1997,MATCH(B256,SKUs!$C$6:$C$1997,0)),"")</f>
        <v>POLO</v>
      </c>
      <c r="E256" s="28" t="str">
        <f>IFERROR(VLOOKUP(D256,Configurações!$N$5:$O$46,2,FALSE()),"OUTROS")</f>
        <v>VESTUÁRIO</v>
      </c>
      <c r="F256" s="2" t="str">
        <f>IFERROR(INDEX(SKUs!$F$6:$F$1997,MATCH(B256,SKUs!$C$6:$C$1997,0)),"")</f>
        <v>POLO PIQUET OUT. ROSA FEM.</v>
      </c>
      <c r="G256" s="2" t="str">
        <f>IFERROR(INDEX(SKUs!$G$6:$G$1997,MATCH(B256,SKUs!$C$6:$C$1997,0)),"")</f>
        <v>ROSA</v>
      </c>
      <c r="H256" s="25" t="str">
        <f>IFERROR(INDEX(SKUs!$H$6:$H$1997,MATCH(B256,SKUs!$C$6:$C$1997,0)),"")</f>
        <v>M</v>
      </c>
      <c r="I256" s="4" t="str">
        <f>IFERROR(INDEX(SKUs!#REF!,MATCH(B256,SKUs!$C$6:$C$1997,0)),"")</f>
        <v/>
      </c>
      <c r="J256" s="3">
        <f>SUMIFS(SKUs!$I$6:$I$1997,SKUs!$C$6:$C$1997,B256)</f>
        <v>39</v>
      </c>
      <c r="K256" s="4">
        <f t="shared" si="13"/>
        <v>0</v>
      </c>
      <c r="L256" s="3">
        <f>COUNTIF(SKUs!$C$6:$C$1997,B256)</f>
        <v>2</v>
      </c>
      <c r="M256" s="29"/>
      <c r="N256" s="29"/>
      <c r="O256" s="29"/>
      <c r="P256" s="29"/>
      <c r="Q256" s="29"/>
      <c r="R256" s="29"/>
      <c r="S256" s="29"/>
      <c r="T256" s="29"/>
      <c r="U256" s="30">
        <f t="shared" si="14"/>
        <v>0</v>
      </c>
      <c r="V256" s="31">
        <f t="shared" si="15"/>
        <v>39</v>
      </c>
    </row>
    <row r="257" spans="1:22" ht="14.25" hidden="1" customHeight="1" x14ac:dyDescent="0.3">
      <c r="A257" s="32">
        <v>250</v>
      </c>
      <c r="B257" s="26" t="s">
        <v>301</v>
      </c>
      <c r="C257" s="27" t="str">
        <f t="shared" si="12"/>
        <v>Masculino</v>
      </c>
      <c r="D257" s="33" t="str">
        <f>IFERROR(INDEX(SKUs!$E$6:$E$1997,MATCH(B257,SKUs!$C$6:$C$1997,0)),"")</f>
        <v>POLO</v>
      </c>
      <c r="E257" s="28" t="str">
        <f>IFERROR(VLOOKUP(D257,Configurações!$N$5:$O$46,2,FALSE()),"OUTROS")</f>
        <v>VESTUÁRIO</v>
      </c>
      <c r="F257" s="33" t="str">
        <f>IFERROR(INDEX(SKUs!$F$6:$F$1997,MATCH(B257,SKUs!$C$6:$C$1997,0)),"")</f>
        <v>POLO GOLA PADRE MASC.</v>
      </c>
      <c r="G257" s="33" t="str">
        <f>IFERROR(INDEX(SKUs!$G$6:$G$1997,MATCH(B257,SKUs!$C$6:$C$1997,0)),"")</f>
        <v>PRETA</v>
      </c>
      <c r="H257" s="32" t="str">
        <f>IFERROR(INDEX(SKUs!$H$6:$H$1997,MATCH(B257,SKUs!$C$6:$C$1997,0)),"")</f>
        <v>PP</v>
      </c>
      <c r="I257" s="34" t="str">
        <f>IFERROR(INDEX(SKUs!#REF!,MATCH(B257,SKUs!$C$6:$C$1997,0)),"")</f>
        <v/>
      </c>
      <c r="J257" s="35">
        <f>SUMIFS(SKUs!$I$6:$I$1997,SKUs!$C$6:$C$1997,B257)</f>
        <v>4</v>
      </c>
      <c r="K257" s="34">
        <f t="shared" si="13"/>
        <v>0</v>
      </c>
      <c r="L257" s="35">
        <f>COUNTIF(SKUs!$C$6:$C$1997,B257)</f>
        <v>1</v>
      </c>
      <c r="M257" s="29"/>
      <c r="N257" s="29"/>
      <c r="O257" s="29"/>
      <c r="P257" s="29"/>
      <c r="Q257" s="29"/>
      <c r="R257" s="29"/>
      <c r="S257" s="29"/>
      <c r="T257" s="29"/>
      <c r="U257" s="30">
        <f t="shared" si="14"/>
        <v>0</v>
      </c>
      <c r="V257" s="31">
        <f t="shared" si="15"/>
        <v>4</v>
      </c>
    </row>
    <row r="258" spans="1:22" ht="14.25" hidden="1" customHeight="1" x14ac:dyDescent="0.3">
      <c r="A258" s="25">
        <v>251</v>
      </c>
      <c r="B258" s="26" t="s">
        <v>302</v>
      </c>
      <c r="C258" s="27" t="str">
        <f t="shared" si="12"/>
        <v>Masculino</v>
      </c>
      <c r="D258" s="2" t="str">
        <f>IFERROR(INDEX(SKUs!$E$6:$E$1997,MATCH(B258,SKUs!$C$6:$C$1997,0)),"")</f>
        <v>POLO</v>
      </c>
      <c r="E258" s="28" t="str">
        <f>IFERROR(VLOOKUP(D258,Configurações!$N$5:$O$46,2,FALSE()),"OUTROS")</f>
        <v>VESTUÁRIO</v>
      </c>
      <c r="F258" s="2" t="str">
        <f>IFERROR(INDEX(SKUs!$F$6:$F$1997,MATCH(B258,SKUs!$C$6:$C$1997,0)),"")</f>
        <v>POLO GOLA PADRE MASC.</v>
      </c>
      <c r="G258" s="2" t="str">
        <f>IFERROR(INDEX(SKUs!$G$6:$G$1997,MATCH(B258,SKUs!$C$6:$C$1997,0)),"")</f>
        <v>PRETA</v>
      </c>
      <c r="H258" s="25" t="str">
        <f>IFERROR(INDEX(SKUs!$H$6:$H$1997,MATCH(B258,SKUs!$C$6:$C$1997,0)),"")</f>
        <v>P</v>
      </c>
      <c r="I258" s="4" t="str">
        <f>IFERROR(INDEX(SKUs!#REF!,MATCH(B258,SKUs!$C$6:$C$1997,0)),"")</f>
        <v/>
      </c>
      <c r="J258" s="3">
        <f>SUMIFS(SKUs!$I$6:$I$1997,SKUs!$C$6:$C$1997,B258)</f>
        <v>3</v>
      </c>
      <c r="K258" s="4">
        <f t="shared" si="13"/>
        <v>0</v>
      </c>
      <c r="L258" s="3">
        <f>COUNTIF(SKUs!$C$6:$C$1997,B258)</f>
        <v>1</v>
      </c>
      <c r="M258" s="29"/>
      <c r="N258" s="29"/>
      <c r="O258" s="29"/>
      <c r="P258" s="29"/>
      <c r="Q258" s="29"/>
      <c r="R258" s="29"/>
      <c r="S258" s="29"/>
      <c r="T258" s="29"/>
      <c r="U258" s="30">
        <f t="shared" si="14"/>
        <v>0</v>
      </c>
      <c r="V258" s="31">
        <f t="shared" si="15"/>
        <v>3</v>
      </c>
    </row>
    <row r="259" spans="1:22" ht="14.25" hidden="1" customHeight="1" x14ac:dyDescent="0.3">
      <c r="A259" s="32">
        <v>252</v>
      </c>
      <c r="B259" s="26" t="s">
        <v>303</v>
      </c>
      <c r="C259" s="27" t="str">
        <f t="shared" si="12"/>
        <v>Masculino</v>
      </c>
      <c r="D259" s="33" t="str">
        <f>IFERROR(INDEX(SKUs!$E$6:$E$1997,MATCH(B259,SKUs!$C$6:$C$1997,0)),"")</f>
        <v>POLO</v>
      </c>
      <c r="E259" s="28" t="str">
        <f>IFERROR(VLOOKUP(D259,Configurações!$N$5:$O$46,2,FALSE()),"OUTROS")</f>
        <v>VESTUÁRIO</v>
      </c>
      <c r="F259" s="33" t="str">
        <f>IFERROR(INDEX(SKUs!$F$6:$F$1997,MATCH(B259,SKUs!$C$6:$C$1997,0)),"")</f>
        <v>POLO GOLA PADRE MASC.</v>
      </c>
      <c r="G259" s="33" t="str">
        <f>IFERROR(INDEX(SKUs!$G$6:$G$1997,MATCH(B259,SKUs!$C$6:$C$1997,0)),"")</f>
        <v>PRETA</v>
      </c>
      <c r="H259" s="32" t="str">
        <f>IFERROR(INDEX(SKUs!$H$6:$H$1997,MATCH(B259,SKUs!$C$6:$C$1997,0)),"")</f>
        <v>M</v>
      </c>
      <c r="I259" s="34" t="str">
        <f>IFERROR(INDEX(SKUs!#REF!,MATCH(B259,SKUs!$C$6:$C$1997,0)),"")</f>
        <v/>
      </c>
      <c r="J259" s="35">
        <f>SUMIFS(SKUs!$I$6:$I$1997,SKUs!$C$6:$C$1997,B259)</f>
        <v>5</v>
      </c>
      <c r="K259" s="34">
        <f t="shared" si="13"/>
        <v>0</v>
      </c>
      <c r="L259" s="35">
        <f>COUNTIF(SKUs!$C$6:$C$1997,B259)</f>
        <v>1</v>
      </c>
      <c r="M259" s="29"/>
      <c r="N259" s="29"/>
      <c r="O259" s="29"/>
      <c r="P259" s="29"/>
      <c r="Q259" s="29"/>
      <c r="R259" s="29"/>
      <c r="S259" s="29"/>
      <c r="T259" s="29"/>
      <c r="U259" s="30">
        <f t="shared" si="14"/>
        <v>0</v>
      </c>
      <c r="V259" s="31">
        <f t="shared" si="15"/>
        <v>5</v>
      </c>
    </row>
    <row r="260" spans="1:22" ht="14.25" hidden="1" customHeight="1" x14ac:dyDescent="0.3">
      <c r="A260" s="25">
        <v>253</v>
      </c>
      <c r="B260" s="26" t="s">
        <v>304</v>
      </c>
      <c r="C260" s="27" t="str">
        <f t="shared" si="12"/>
        <v>Masculino</v>
      </c>
      <c r="D260" s="2" t="str">
        <f>IFERROR(INDEX(SKUs!$E$6:$E$1997,MATCH(B260,SKUs!$C$6:$C$1997,0)),"")</f>
        <v>POLO</v>
      </c>
      <c r="E260" s="28" t="str">
        <f>IFERROR(VLOOKUP(D260,Configurações!$N$5:$O$46,2,FALSE()),"OUTROS")</f>
        <v>VESTUÁRIO</v>
      </c>
      <c r="F260" s="2" t="str">
        <f>IFERROR(INDEX(SKUs!$F$6:$F$1997,MATCH(B260,SKUs!$C$6:$C$1997,0)),"")</f>
        <v>POLO GOLA PADRE MASC.</v>
      </c>
      <c r="G260" s="2" t="str">
        <f>IFERROR(INDEX(SKUs!$G$6:$G$1997,MATCH(B260,SKUs!$C$6:$C$1997,0)),"")</f>
        <v>PRETA</v>
      </c>
      <c r="H260" s="25" t="str">
        <f>IFERROR(INDEX(SKUs!$H$6:$H$1997,MATCH(B260,SKUs!$C$6:$C$1997,0)),"")</f>
        <v>G</v>
      </c>
      <c r="I260" s="4" t="str">
        <f>IFERROR(INDEX(SKUs!#REF!,MATCH(B260,SKUs!$C$6:$C$1997,0)),"")</f>
        <v/>
      </c>
      <c r="J260" s="3">
        <f>SUMIFS(SKUs!$I$6:$I$1997,SKUs!$C$6:$C$1997,B260)</f>
        <v>6</v>
      </c>
      <c r="K260" s="4">
        <f t="shared" si="13"/>
        <v>0</v>
      </c>
      <c r="L260" s="3">
        <f>COUNTIF(SKUs!$C$6:$C$1997,B260)</f>
        <v>1</v>
      </c>
      <c r="M260" s="29"/>
      <c r="N260" s="29"/>
      <c r="O260" s="29"/>
      <c r="P260" s="29"/>
      <c r="Q260" s="29"/>
      <c r="R260" s="29"/>
      <c r="S260" s="29"/>
      <c r="T260" s="29"/>
      <c r="U260" s="30">
        <f t="shared" si="14"/>
        <v>0</v>
      </c>
      <c r="V260" s="31">
        <f t="shared" si="15"/>
        <v>6</v>
      </c>
    </row>
    <row r="261" spans="1:22" ht="14.25" hidden="1" customHeight="1" x14ac:dyDescent="0.3">
      <c r="A261" s="32">
        <v>254</v>
      </c>
      <c r="B261" s="26" t="s">
        <v>305</v>
      </c>
      <c r="C261" s="27" t="str">
        <f t="shared" si="12"/>
        <v>Masculino</v>
      </c>
      <c r="D261" s="33" t="str">
        <f>IFERROR(INDEX(SKUs!$E$6:$E$1997,MATCH(B261,SKUs!$C$6:$C$1997,0)),"")</f>
        <v>POLO</v>
      </c>
      <c r="E261" s="28" t="str">
        <f>IFERROR(VLOOKUP(D261,Configurações!$N$5:$O$46,2,FALSE()),"OUTROS")</f>
        <v>VESTUÁRIO</v>
      </c>
      <c r="F261" s="33" t="str">
        <f>IFERROR(INDEX(SKUs!$F$6:$F$1997,MATCH(B261,SKUs!$C$6:$C$1997,0)),"")</f>
        <v>POLO GOLA PADRE MASC.</v>
      </c>
      <c r="G261" s="33" t="str">
        <f>IFERROR(INDEX(SKUs!$G$6:$G$1997,MATCH(B261,SKUs!$C$6:$C$1997,0)),"")</f>
        <v>PRETA</v>
      </c>
      <c r="H261" s="32" t="str">
        <f>IFERROR(INDEX(SKUs!$H$6:$H$1997,MATCH(B261,SKUs!$C$6:$C$1997,0)),"")</f>
        <v>GG</v>
      </c>
      <c r="I261" s="34" t="str">
        <f>IFERROR(INDEX(SKUs!#REF!,MATCH(B261,SKUs!$C$6:$C$1997,0)),"")</f>
        <v/>
      </c>
      <c r="J261" s="35">
        <f>SUMIFS(SKUs!$I$6:$I$1997,SKUs!$C$6:$C$1997,B261)</f>
        <v>4</v>
      </c>
      <c r="K261" s="34">
        <f t="shared" si="13"/>
        <v>0</v>
      </c>
      <c r="L261" s="35">
        <f>COUNTIF(SKUs!$C$6:$C$1997,B261)</f>
        <v>1</v>
      </c>
      <c r="M261" s="29"/>
      <c r="N261" s="29"/>
      <c r="O261" s="29"/>
      <c r="P261" s="29"/>
      <c r="Q261" s="29"/>
      <c r="R261" s="29"/>
      <c r="S261" s="29"/>
      <c r="T261" s="29"/>
      <c r="U261" s="30">
        <f t="shared" si="14"/>
        <v>0</v>
      </c>
      <c r="V261" s="31">
        <f t="shared" si="15"/>
        <v>4</v>
      </c>
    </row>
    <row r="262" spans="1:22" ht="14.25" hidden="1" customHeight="1" x14ac:dyDescent="0.3">
      <c r="A262" s="25">
        <v>255</v>
      </c>
      <c r="B262" s="26" t="s">
        <v>306</v>
      </c>
      <c r="C262" s="27" t="str">
        <f t="shared" si="12"/>
        <v>Masculino</v>
      </c>
      <c r="D262" s="2" t="str">
        <f>IFERROR(INDEX(SKUs!$E$6:$E$1997,MATCH(B262,SKUs!$C$6:$C$1997,0)),"")</f>
        <v>POLO</v>
      </c>
      <c r="E262" s="28" t="str">
        <f>IFERROR(VLOOKUP(D262,Configurações!$N$5:$O$46,2,FALSE()),"OUTROS")</f>
        <v>VESTUÁRIO</v>
      </c>
      <c r="F262" s="2" t="str">
        <f>IFERROR(INDEX(SKUs!$F$6:$F$1997,MATCH(B262,SKUs!$C$6:$C$1997,0)),"")</f>
        <v>POLO GOLA PADRE MASC.</v>
      </c>
      <c r="G262" s="2" t="str">
        <f>IFERROR(INDEX(SKUs!$G$6:$G$1997,MATCH(B262,SKUs!$C$6:$C$1997,0)),"")</f>
        <v>PRETA</v>
      </c>
      <c r="H262" s="25" t="str">
        <f>IFERROR(INDEX(SKUs!$H$6:$H$1997,MATCH(B262,SKUs!$C$6:$C$1997,0)),"")</f>
        <v>XG</v>
      </c>
      <c r="I262" s="4" t="str">
        <f>IFERROR(INDEX(SKUs!#REF!,MATCH(B262,SKUs!$C$6:$C$1997,0)),"")</f>
        <v/>
      </c>
      <c r="J262" s="3">
        <f>SUMIFS(SKUs!$I$6:$I$1997,SKUs!$C$6:$C$1997,B262)</f>
        <v>4</v>
      </c>
      <c r="K262" s="4">
        <f t="shared" si="13"/>
        <v>0</v>
      </c>
      <c r="L262" s="3">
        <f>COUNTIF(SKUs!$C$6:$C$1997,B262)</f>
        <v>1</v>
      </c>
      <c r="M262" s="29"/>
      <c r="N262" s="29"/>
      <c r="O262" s="29"/>
      <c r="P262" s="29"/>
      <c r="Q262" s="29"/>
      <c r="R262" s="29"/>
      <c r="S262" s="29"/>
      <c r="T262" s="29"/>
      <c r="U262" s="30">
        <f t="shared" si="14"/>
        <v>0</v>
      </c>
      <c r="V262" s="31">
        <f t="shared" si="15"/>
        <v>4</v>
      </c>
    </row>
    <row r="263" spans="1:22" ht="14.25" hidden="1" customHeight="1" x14ac:dyDescent="0.3">
      <c r="A263" s="32">
        <v>256</v>
      </c>
      <c r="B263" s="26" t="s">
        <v>307</v>
      </c>
      <c r="C263" s="27" t="str">
        <f t="shared" si="12"/>
        <v>Feminino</v>
      </c>
      <c r="D263" s="33" t="str">
        <f>IFERROR(INDEX(SKUs!$E$6:$E$1997,MATCH(B263,SKUs!$C$6:$C$1997,0)),"")</f>
        <v>JAQUETA</v>
      </c>
      <c r="E263" s="28" t="str">
        <f>IFERROR(VLOOKUP(D263,Configurações!$N$5:$O$46,2,FALSE()),"OUTROS")</f>
        <v>VESTUÁRIO</v>
      </c>
      <c r="F263" s="33" t="str">
        <f>IFERROR(INDEX(SKUs!$F$6:$F$1997,MATCH(B263,SKUs!$C$6:$C$1997,0)),"")</f>
        <v>JAQUETA CAPUZ OUT. ROSA</v>
      </c>
      <c r="G263" s="33" t="str">
        <f>IFERROR(INDEX(SKUs!$G$6:$G$1997,MATCH(B263,SKUs!$C$6:$C$1997,0)),"")</f>
        <v>ROSA</v>
      </c>
      <c r="H263" s="32" t="str">
        <f>IFERROR(INDEX(SKUs!$H$6:$H$1997,MATCH(B263,SKUs!$C$6:$C$1997,0)),"")</f>
        <v>P</v>
      </c>
      <c r="I263" s="34" t="str">
        <f>IFERROR(INDEX(SKUs!#REF!,MATCH(B263,SKUs!$C$6:$C$1997,0)),"")</f>
        <v/>
      </c>
      <c r="J263" s="35">
        <f>SUMIFS(SKUs!$I$6:$I$1997,SKUs!$C$6:$C$1997,B263)</f>
        <v>1</v>
      </c>
      <c r="K263" s="34">
        <f t="shared" si="13"/>
        <v>0</v>
      </c>
      <c r="L263" s="35">
        <f>COUNTIF(SKUs!$C$6:$C$1997,B263)</f>
        <v>1</v>
      </c>
      <c r="M263" s="29"/>
      <c r="N263" s="29"/>
      <c r="O263" s="29"/>
      <c r="P263" s="29"/>
      <c r="Q263" s="29"/>
      <c r="R263" s="29"/>
      <c r="S263" s="29"/>
      <c r="T263" s="29"/>
      <c r="U263" s="30">
        <f t="shared" si="14"/>
        <v>0</v>
      </c>
      <c r="V263" s="31">
        <f t="shared" si="15"/>
        <v>1</v>
      </c>
    </row>
    <row r="264" spans="1:22" ht="14.25" hidden="1" customHeight="1" x14ac:dyDescent="0.3">
      <c r="A264" s="25">
        <v>257</v>
      </c>
      <c r="B264" s="26" t="s">
        <v>308</v>
      </c>
      <c r="C264" s="27" t="str">
        <f t="shared" ref="C264:C327" si="16">IF(B264="","",IFERROR(IF(TRIM(MID(SUBSTITUTE(B264,".",REPT(" ",50)),51,50))="01","Masculino",IF(TRIM(MID(SUBSTITUTE(B264,".",REPT(" ",50)),51,50))="02","Feminino",IF(TRIM(MID(SUBSTITUTE(B264,".",REPT(" ",50)),51,50))="03","Outros","—"))),"—"))</f>
        <v>Feminino</v>
      </c>
      <c r="D264" s="2" t="str">
        <f>IFERROR(INDEX(SKUs!$E$6:$E$1997,MATCH(B264,SKUs!$C$6:$C$1997,0)),"")</f>
        <v>JAQUETA</v>
      </c>
      <c r="E264" s="28" t="str">
        <f>IFERROR(VLOOKUP(D264,Configurações!$N$5:$O$46,2,FALSE()),"OUTROS")</f>
        <v>VESTUÁRIO</v>
      </c>
      <c r="F264" s="2" t="str">
        <f>IFERROR(INDEX(SKUs!$F$6:$F$1997,MATCH(B264,SKUs!$C$6:$C$1997,0)),"")</f>
        <v>JAQUETA CAPUZ OUT. ROSA</v>
      </c>
      <c r="G264" s="2" t="str">
        <f>IFERROR(INDEX(SKUs!$G$6:$G$1997,MATCH(B264,SKUs!$C$6:$C$1997,0)),"")</f>
        <v>ROSA</v>
      </c>
      <c r="H264" s="25" t="str">
        <f>IFERROR(INDEX(SKUs!$H$6:$H$1997,MATCH(B264,SKUs!$C$6:$C$1997,0)),"")</f>
        <v>M</v>
      </c>
      <c r="I264" s="4" t="str">
        <f>IFERROR(INDEX(SKUs!#REF!,MATCH(B264,SKUs!$C$6:$C$1997,0)),"")</f>
        <v/>
      </c>
      <c r="J264" s="3">
        <f>SUMIFS(SKUs!$I$6:$I$1997,SKUs!$C$6:$C$1997,B264)</f>
        <v>13</v>
      </c>
      <c r="K264" s="4">
        <f t="shared" ref="K264:K327" si="17">IFERROR(I264*J264,0)</f>
        <v>0</v>
      </c>
      <c r="L264" s="3">
        <f>COUNTIF(SKUs!$C$6:$C$1997,B264)</f>
        <v>3</v>
      </c>
      <c r="M264" s="29"/>
      <c r="N264" s="29"/>
      <c r="O264" s="29"/>
      <c r="P264" s="29"/>
      <c r="Q264" s="29"/>
      <c r="R264" s="29"/>
      <c r="S264" s="29"/>
      <c r="T264" s="29"/>
      <c r="U264" s="30">
        <f t="shared" ref="U264:U327" si="18">SUM(M264:R264)</f>
        <v>0</v>
      </c>
      <c r="V264" s="31">
        <f t="shared" ref="V264:V327" si="19">IF(B264="","",J264)</f>
        <v>13</v>
      </c>
    </row>
    <row r="265" spans="1:22" ht="14.25" hidden="1" customHeight="1" x14ac:dyDescent="0.3">
      <c r="A265" s="32">
        <v>258</v>
      </c>
      <c r="B265" s="26" t="s">
        <v>309</v>
      </c>
      <c r="C265" s="27" t="str">
        <f t="shared" si="16"/>
        <v>Feminino</v>
      </c>
      <c r="D265" s="33" t="str">
        <f>IFERROR(INDEX(SKUs!$E$6:$E$1997,MATCH(B265,SKUs!$C$6:$C$1997,0)),"")</f>
        <v>JAQUETA</v>
      </c>
      <c r="E265" s="28" t="str">
        <f>IFERROR(VLOOKUP(D265,Configurações!$N$5:$O$46,2,FALSE()),"OUTROS")</f>
        <v>VESTUÁRIO</v>
      </c>
      <c r="F265" s="33" t="str">
        <f>IFERROR(INDEX(SKUs!$F$6:$F$1997,MATCH(B265,SKUs!$C$6:$C$1997,0)),"")</f>
        <v>JAQUETA CAPUZ OUT. ROSA</v>
      </c>
      <c r="G265" s="33" t="str">
        <f>IFERROR(INDEX(SKUs!$G$6:$G$1997,MATCH(B265,SKUs!$C$6:$C$1997,0)),"")</f>
        <v>ROSA</v>
      </c>
      <c r="H265" s="32" t="str">
        <f>IFERROR(INDEX(SKUs!$H$6:$H$1997,MATCH(B265,SKUs!$C$6:$C$1997,0)),"")</f>
        <v>G</v>
      </c>
      <c r="I265" s="34" t="str">
        <f>IFERROR(INDEX(SKUs!#REF!,MATCH(B265,SKUs!$C$6:$C$1997,0)),"")</f>
        <v/>
      </c>
      <c r="J265" s="35">
        <f>SUMIFS(SKUs!$I$6:$I$1997,SKUs!$C$6:$C$1997,B265)</f>
        <v>24</v>
      </c>
      <c r="K265" s="34">
        <f t="shared" si="17"/>
        <v>0</v>
      </c>
      <c r="L265" s="35">
        <f>COUNTIF(SKUs!$C$6:$C$1997,B265)</f>
        <v>6</v>
      </c>
      <c r="M265" s="29"/>
      <c r="N265" s="29"/>
      <c r="O265" s="29"/>
      <c r="P265" s="29"/>
      <c r="Q265" s="29"/>
      <c r="R265" s="29"/>
      <c r="S265" s="29"/>
      <c r="T265" s="29"/>
      <c r="U265" s="30">
        <f t="shared" si="18"/>
        <v>0</v>
      </c>
      <c r="V265" s="31">
        <f t="shared" si="19"/>
        <v>24</v>
      </c>
    </row>
    <row r="266" spans="1:22" ht="14.25" hidden="1" customHeight="1" x14ac:dyDescent="0.3">
      <c r="A266" s="25">
        <v>259</v>
      </c>
      <c r="B266" s="26" t="s">
        <v>310</v>
      </c>
      <c r="C266" s="27" t="str">
        <f t="shared" si="16"/>
        <v>Feminino</v>
      </c>
      <c r="D266" s="2" t="str">
        <f>IFERROR(INDEX(SKUs!$E$6:$E$1997,MATCH(B266,SKUs!$C$6:$C$1997,0)),"")</f>
        <v>JAQUETA</v>
      </c>
      <c r="E266" s="28" t="str">
        <f>IFERROR(VLOOKUP(D266,Configurações!$N$5:$O$46,2,FALSE()),"OUTROS")</f>
        <v>VESTUÁRIO</v>
      </c>
      <c r="F266" s="2" t="str">
        <f>IFERROR(INDEX(SKUs!$F$6:$F$1997,MATCH(B266,SKUs!$C$6:$C$1997,0)),"")</f>
        <v>JAQUETA CAPUZ OUT. ROSA</v>
      </c>
      <c r="G266" s="2" t="str">
        <f>IFERROR(INDEX(SKUs!$G$6:$G$1997,MATCH(B266,SKUs!$C$6:$C$1997,0)),"")</f>
        <v>ROSA</v>
      </c>
      <c r="H266" s="25" t="str">
        <f>IFERROR(INDEX(SKUs!$H$6:$H$1997,MATCH(B266,SKUs!$C$6:$C$1997,0)),"")</f>
        <v>GG</v>
      </c>
      <c r="I266" s="4" t="str">
        <f>IFERROR(INDEX(SKUs!#REF!,MATCH(B266,SKUs!$C$6:$C$1997,0)),"")</f>
        <v/>
      </c>
      <c r="J266" s="3">
        <f>SUMIFS(SKUs!$I$6:$I$1997,SKUs!$C$6:$C$1997,B266)</f>
        <v>7</v>
      </c>
      <c r="K266" s="4">
        <f t="shared" si="17"/>
        <v>0</v>
      </c>
      <c r="L266" s="3">
        <f>COUNTIF(SKUs!$C$6:$C$1997,B266)</f>
        <v>2</v>
      </c>
      <c r="M266" s="29"/>
      <c r="N266" s="29"/>
      <c r="O266" s="29"/>
      <c r="P266" s="29"/>
      <c r="Q266" s="29"/>
      <c r="R266" s="29"/>
      <c r="S266" s="29"/>
      <c r="T266" s="29"/>
      <c r="U266" s="30">
        <f t="shared" si="18"/>
        <v>0</v>
      </c>
      <c r="V266" s="31">
        <f t="shared" si="19"/>
        <v>7</v>
      </c>
    </row>
    <row r="267" spans="1:22" ht="14.25" hidden="1" customHeight="1" x14ac:dyDescent="0.3">
      <c r="A267" s="32">
        <v>260</v>
      </c>
      <c r="B267" s="26" t="s">
        <v>311</v>
      </c>
      <c r="C267" s="27" t="str">
        <f t="shared" si="16"/>
        <v>Masculino</v>
      </c>
      <c r="D267" s="33" t="str">
        <f>IFERROR(INDEX(SKUs!$E$6:$E$1997,MATCH(B267,SKUs!$C$6:$C$1997,0)),"")</f>
        <v>POLO</v>
      </c>
      <c r="E267" s="28" t="str">
        <f>IFERROR(VLOOKUP(D267,Configurações!$N$5:$O$46,2,FALSE()),"OUTROS")</f>
        <v>VESTUÁRIO</v>
      </c>
      <c r="F267" s="33" t="str">
        <f>IFERROR(INDEX(SKUs!$F$6:$F$1997,MATCH(B267,SKUs!$C$6:$C$1997,0)),"")</f>
        <v>POLO PIQUET OUT. ROSA MASC.</v>
      </c>
      <c r="G267" s="33" t="str">
        <f>IFERROR(INDEX(SKUs!$G$6:$G$1997,MATCH(B267,SKUs!$C$6:$C$1997,0)),"")</f>
        <v>ROSA</v>
      </c>
      <c r="H267" s="32" t="str">
        <f>IFERROR(INDEX(SKUs!$H$6:$H$1997,MATCH(B267,SKUs!$C$6:$C$1997,0)),"")</f>
        <v>PP</v>
      </c>
      <c r="I267" s="34" t="str">
        <f>IFERROR(INDEX(SKUs!#REF!,MATCH(B267,SKUs!$C$6:$C$1997,0)),"")</f>
        <v/>
      </c>
      <c r="J267" s="35">
        <f>SUMIFS(SKUs!$I$6:$I$1997,SKUs!$C$6:$C$1997,B267)</f>
        <v>3</v>
      </c>
      <c r="K267" s="34">
        <f t="shared" si="17"/>
        <v>0</v>
      </c>
      <c r="L267" s="35">
        <f>COUNTIF(SKUs!$C$6:$C$1997,B267)</f>
        <v>1</v>
      </c>
      <c r="M267" s="29"/>
      <c r="N267" s="29"/>
      <c r="O267" s="29"/>
      <c r="P267" s="29"/>
      <c r="Q267" s="29"/>
      <c r="R267" s="29"/>
      <c r="S267" s="29"/>
      <c r="T267" s="29"/>
      <c r="U267" s="30">
        <f t="shared" si="18"/>
        <v>0</v>
      </c>
      <c r="V267" s="31">
        <f t="shared" si="19"/>
        <v>3</v>
      </c>
    </row>
    <row r="268" spans="1:22" ht="14.25" hidden="1" customHeight="1" x14ac:dyDescent="0.3">
      <c r="A268" s="25">
        <v>261</v>
      </c>
      <c r="B268" s="26" t="s">
        <v>312</v>
      </c>
      <c r="C268" s="27" t="str">
        <f t="shared" si="16"/>
        <v>Masculino</v>
      </c>
      <c r="D268" s="2" t="str">
        <f>IFERROR(INDEX(SKUs!$E$6:$E$1997,MATCH(B268,SKUs!$C$6:$C$1997,0)),"")</f>
        <v>POLO</v>
      </c>
      <c r="E268" s="28" t="str">
        <f>IFERROR(VLOOKUP(D268,Configurações!$N$5:$O$46,2,FALSE()),"OUTROS")</f>
        <v>VESTUÁRIO</v>
      </c>
      <c r="F268" s="2" t="str">
        <f>IFERROR(INDEX(SKUs!$F$6:$F$1997,MATCH(B268,SKUs!$C$6:$C$1997,0)),"")</f>
        <v>POLO PIQUET OUT. ROSA MASC.</v>
      </c>
      <c r="G268" s="2" t="str">
        <f>IFERROR(INDEX(SKUs!$G$6:$G$1997,MATCH(B268,SKUs!$C$6:$C$1997,0)),"")</f>
        <v>ROSA</v>
      </c>
      <c r="H268" s="25" t="str">
        <f>IFERROR(INDEX(SKUs!$H$6:$H$1997,MATCH(B268,SKUs!$C$6:$C$1997,0)),"")</f>
        <v>P</v>
      </c>
      <c r="I268" s="4" t="str">
        <f>IFERROR(INDEX(SKUs!#REF!,MATCH(B268,SKUs!$C$6:$C$1997,0)),"")</f>
        <v/>
      </c>
      <c r="J268" s="3">
        <f>SUMIFS(SKUs!$I$6:$I$1997,SKUs!$C$6:$C$1997,B268)</f>
        <v>58</v>
      </c>
      <c r="K268" s="4">
        <f t="shared" si="17"/>
        <v>0</v>
      </c>
      <c r="L268" s="3">
        <f>COUNTIF(SKUs!$C$6:$C$1997,B268)</f>
        <v>2</v>
      </c>
      <c r="M268" s="29"/>
      <c r="N268" s="29"/>
      <c r="O268" s="29"/>
      <c r="P268" s="29"/>
      <c r="Q268" s="29"/>
      <c r="R268" s="29"/>
      <c r="S268" s="29"/>
      <c r="T268" s="29"/>
      <c r="U268" s="30">
        <f t="shared" si="18"/>
        <v>0</v>
      </c>
      <c r="V268" s="31">
        <f t="shared" si="19"/>
        <v>58</v>
      </c>
    </row>
    <row r="269" spans="1:22" ht="14.25" hidden="1" customHeight="1" x14ac:dyDescent="0.3">
      <c r="A269" s="32">
        <v>262</v>
      </c>
      <c r="B269" s="26" t="s">
        <v>313</v>
      </c>
      <c r="C269" s="27" t="str">
        <f t="shared" si="16"/>
        <v>Masculino</v>
      </c>
      <c r="D269" s="33" t="str">
        <f>IFERROR(INDEX(SKUs!$E$6:$E$1997,MATCH(B269,SKUs!$C$6:$C$1997,0)),"")</f>
        <v>POLO</v>
      </c>
      <c r="E269" s="28" t="str">
        <f>IFERROR(VLOOKUP(D269,Configurações!$N$5:$O$46,2,FALSE()),"OUTROS")</f>
        <v>VESTUÁRIO</v>
      </c>
      <c r="F269" s="33" t="str">
        <f>IFERROR(INDEX(SKUs!$F$6:$F$1997,MATCH(B269,SKUs!$C$6:$C$1997,0)),"")</f>
        <v>POLO PIQUET OUT. ROSA MASC.</v>
      </c>
      <c r="G269" s="33" t="str">
        <f>IFERROR(INDEX(SKUs!$G$6:$G$1997,MATCH(B269,SKUs!$C$6:$C$1997,0)),"")</f>
        <v>ROSA</v>
      </c>
      <c r="H269" s="32" t="str">
        <f>IFERROR(INDEX(SKUs!$H$6:$H$1997,MATCH(B269,SKUs!$C$6:$C$1997,0)),"")</f>
        <v>M</v>
      </c>
      <c r="I269" s="34" t="str">
        <f>IFERROR(INDEX(SKUs!#REF!,MATCH(B269,SKUs!$C$6:$C$1997,0)),"")</f>
        <v/>
      </c>
      <c r="J269" s="35">
        <f>SUMIFS(SKUs!$I$6:$I$1997,SKUs!$C$6:$C$1997,B269)</f>
        <v>71</v>
      </c>
      <c r="K269" s="34">
        <f t="shared" si="17"/>
        <v>0</v>
      </c>
      <c r="L269" s="35">
        <f>COUNTIF(SKUs!$C$6:$C$1997,B269)</f>
        <v>2</v>
      </c>
      <c r="M269" s="29"/>
      <c r="N269" s="29"/>
      <c r="O269" s="29"/>
      <c r="P269" s="29"/>
      <c r="Q269" s="29"/>
      <c r="R269" s="29"/>
      <c r="S269" s="29"/>
      <c r="T269" s="29"/>
      <c r="U269" s="30">
        <f t="shared" si="18"/>
        <v>0</v>
      </c>
      <c r="V269" s="31">
        <f t="shared" si="19"/>
        <v>71</v>
      </c>
    </row>
    <row r="270" spans="1:22" ht="14.25" hidden="1" customHeight="1" x14ac:dyDescent="0.3">
      <c r="A270" s="25">
        <v>263</v>
      </c>
      <c r="B270" s="26" t="s">
        <v>314</v>
      </c>
      <c r="C270" s="27" t="str">
        <f t="shared" si="16"/>
        <v>Masculino</v>
      </c>
      <c r="D270" s="2" t="str">
        <f>IFERROR(INDEX(SKUs!$E$6:$E$1997,MATCH(B270,SKUs!$C$6:$C$1997,0)),"")</f>
        <v>POLO</v>
      </c>
      <c r="E270" s="28" t="str">
        <f>IFERROR(VLOOKUP(D270,Configurações!$N$5:$O$46,2,FALSE()),"OUTROS")</f>
        <v>VESTUÁRIO</v>
      </c>
      <c r="F270" s="2" t="str">
        <f>IFERROR(INDEX(SKUs!$F$6:$F$1997,MATCH(B270,SKUs!$C$6:$C$1997,0)),"")</f>
        <v>POLO PIQUET OUT. ROSA MASC.</v>
      </c>
      <c r="G270" s="2" t="str">
        <f>IFERROR(INDEX(SKUs!$G$6:$G$1997,MATCH(B270,SKUs!$C$6:$C$1997,0)),"")</f>
        <v>ROSA</v>
      </c>
      <c r="H270" s="25" t="str">
        <f>IFERROR(INDEX(SKUs!$H$6:$H$1997,MATCH(B270,SKUs!$C$6:$C$1997,0)),"")</f>
        <v>GG</v>
      </c>
      <c r="I270" s="4" t="str">
        <f>IFERROR(INDEX(SKUs!#REF!,MATCH(B270,SKUs!$C$6:$C$1997,0)),"")</f>
        <v/>
      </c>
      <c r="J270" s="3">
        <f>SUMIFS(SKUs!$I$6:$I$1997,SKUs!$C$6:$C$1997,B270)</f>
        <v>11</v>
      </c>
      <c r="K270" s="4">
        <f t="shared" si="17"/>
        <v>0</v>
      </c>
      <c r="L270" s="3">
        <f>COUNTIF(SKUs!$C$6:$C$1997,B270)</f>
        <v>1</v>
      </c>
      <c r="M270" s="29"/>
      <c r="N270" s="29"/>
      <c r="O270" s="29"/>
      <c r="P270" s="29"/>
      <c r="Q270" s="29"/>
      <c r="R270" s="29"/>
      <c r="S270" s="29"/>
      <c r="T270" s="29"/>
      <c r="U270" s="30">
        <f t="shared" si="18"/>
        <v>0</v>
      </c>
      <c r="V270" s="31">
        <f t="shared" si="19"/>
        <v>11</v>
      </c>
    </row>
    <row r="271" spans="1:22" ht="14.25" hidden="1" customHeight="1" x14ac:dyDescent="0.3">
      <c r="A271" s="32">
        <v>264</v>
      </c>
      <c r="B271" s="26" t="s">
        <v>315</v>
      </c>
      <c r="C271" s="27" t="str">
        <f t="shared" si="16"/>
        <v>Masculino</v>
      </c>
      <c r="D271" s="33" t="str">
        <f>IFERROR(INDEX(SKUs!$E$6:$E$1997,MATCH(B271,SKUs!$C$6:$C$1997,0)),"")</f>
        <v>POLO</v>
      </c>
      <c r="E271" s="28" t="str">
        <f>IFERROR(VLOOKUP(D271,Configurações!$N$5:$O$46,2,FALSE()),"OUTROS")</f>
        <v>VESTUÁRIO</v>
      </c>
      <c r="F271" s="33" t="str">
        <f>IFERROR(INDEX(SKUs!$F$6:$F$1997,MATCH(B271,SKUs!$C$6:$C$1997,0)),"")</f>
        <v>POLO PIQUET OUT. ROSA MASC.</v>
      </c>
      <c r="G271" s="33" t="str">
        <f>IFERROR(INDEX(SKUs!$G$6:$G$1997,MATCH(B271,SKUs!$C$6:$C$1997,0)),"")</f>
        <v>ROSA</v>
      </c>
      <c r="H271" s="32" t="str">
        <f>IFERROR(INDEX(SKUs!$H$6:$H$1997,MATCH(B271,SKUs!$C$6:$C$1997,0)),"")</f>
        <v>XG</v>
      </c>
      <c r="I271" s="34" t="str">
        <f>IFERROR(INDEX(SKUs!#REF!,MATCH(B271,SKUs!$C$6:$C$1997,0)),"")</f>
        <v/>
      </c>
      <c r="J271" s="35">
        <f>SUMIFS(SKUs!$I$6:$I$1997,SKUs!$C$6:$C$1997,B271)</f>
        <v>44</v>
      </c>
      <c r="K271" s="34">
        <f t="shared" si="17"/>
        <v>0</v>
      </c>
      <c r="L271" s="35">
        <f>COUNTIF(SKUs!$C$6:$C$1997,B271)</f>
        <v>2</v>
      </c>
      <c r="M271" s="29"/>
      <c r="N271" s="29"/>
      <c r="O271" s="29"/>
      <c r="P271" s="29"/>
      <c r="Q271" s="29"/>
      <c r="R271" s="29"/>
      <c r="S271" s="29"/>
      <c r="T271" s="29"/>
      <c r="U271" s="30">
        <f t="shared" si="18"/>
        <v>0</v>
      </c>
      <c r="V271" s="31">
        <f t="shared" si="19"/>
        <v>44</v>
      </c>
    </row>
    <row r="272" spans="1:22" ht="14.25" hidden="1" customHeight="1" x14ac:dyDescent="0.3">
      <c r="A272" s="25">
        <v>265</v>
      </c>
      <c r="B272" s="26" t="s">
        <v>316</v>
      </c>
      <c r="C272" s="27" t="str">
        <f t="shared" si="16"/>
        <v>Masculino</v>
      </c>
      <c r="D272" s="2" t="str">
        <f>IFERROR(INDEX(SKUs!$E$6:$E$1997,MATCH(B272,SKUs!$C$6:$C$1997,0)),"")</f>
        <v>JAQUETA</v>
      </c>
      <c r="E272" s="28" t="str">
        <f>IFERROR(VLOOKUP(D272,Configurações!$N$5:$O$46,2,FALSE()),"OUTROS")</f>
        <v>VESTUÁRIO</v>
      </c>
      <c r="F272" s="2" t="str">
        <f>IFERROR(INDEX(SKUs!$F$6:$F$1997,MATCH(B272,SKUs!$C$6:$C$1997,0)),"")</f>
        <v>JAQUETA CAPUZ EMBUTIDO</v>
      </c>
      <c r="G272" s="2" t="str">
        <f>IFERROR(INDEX(SKUs!$G$6:$G$1997,MATCH(B272,SKUs!$C$6:$C$1997,0)),"")</f>
        <v>PRETA</v>
      </c>
      <c r="H272" s="25" t="str">
        <f>IFERROR(INDEX(SKUs!$H$6:$H$1997,MATCH(B272,SKUs!$C$6:$C$1997,0)),"")</f>
        <v>P</v>
      </c>
      <c r="I272" s="4" t="str">
        <f>IFERROR(INDEX(SKUs!#REF!,MATCH(B272,SKUs!$C$6:$C$1997,0)),"")</f>
        <v/>
      </c>
      <c r="J272" s="3">
        <f>SUMIFS(SKUs!$I$6:$I$1997,SKUs!$C$6:$C$1997,B272)</f>
        <v>6</v>
      </c>
      <c r="K272" s="4">
        <f t="shared" si="17"/>
        <v>0</v>
      </c>
      <c r="L272" s="3">
        <f>COUNTIF(SKUs!$C$6:$C$1997,B272)</f>
        <v>2</v>
      </c>
      <c r="M272" s="29"/>
      <c r="N272" s="29"/>
      <c r="O272" s="29"/>
      <c r="P272" s="29"/>
      <c r="Q272" s="29"/>
      <c r="R272" s="29"/>
      <c r="S272" s="29"/>
      <c r="T272" s="29"/>
      <c r="U272" s="30">
        <f t="shared" si="18"/>
        <v>0</v>
      </c>
      <c r="V272" s="31">
        <f t="shared" si="19"/>
        <v>6</v>
      </c>
    </row>
    <row r="273" spans="1:22" ht="14.25" hidden="1" customHeight="1" x14ac:dyDescent="0.3">
      <c r="A273" s="32">
        <v>266</v>
      </c>
      <c r="B273" s="26" t="s">
        <v>317</v>
      </c>
      <c r="C273" s="27" t="str">
        <f t="shared" si="16"/>
        <v>Masculino</v>
      </c>
      <c r="D273" s="33" t="str">
        <f>IFERROR(INDEX(SKUs!$E$6:$E$1997,MATCH(B273,SKUs!$C$6:$C$1997,0)),"")</f>
        <v>JAQUETA</v>
      </c>
      <c r="E273" s="28" t="str">
        <f>IFERROR(VLOOKUP(D273,Configurações!$N$5:$O$46,2,FALSE()),"OUTROS")</f>
        <v>VESTUÁRIO</v>
      </c>
      <c r="F273" s="33" t="str">
        <f>IFERROR(INDEX(SKUs!$F$6:$F$1997,MATCH(B273,SKUs!$C$6:$C$1997,0)),"")</f>
        <v>JAQUETA CAPUZ EMBUTIDO</v>
      </c>
      <c r="G273" s="33" t="str">
        <f>IFERROR(INDEX(SKUs!$G$6:$G$1997,MATCH(B273,SKUs!$C$6:$C$1997,0)),"")</f>
        <v>PRETA</v>
      </c>
      <c r="H273" s="32" t="str">
        <f>IFERROR(INDEX(SKUs!$H$6:$H$1997,MATCH(B273,SKUs!$C$6:$C$1997,0)),"")</f>
        <v>M</v>
      </c>
      <c r="I273" s="34" t="str">
        <f>IFERROR(INDEX(SKUs!#REF!,MATCH(B273,SKUs!$C$6:$C$1997,0)),"")</f>
        <v/>
      </c>
      <c r="J273" s="35">
        <f>SUMIFS(SKUs!$I$6:$I$1997,SKUs!$C$6:$C$1997,B273)</f>
        <v>12</v>
      </c>
      <c r="K273" s="34">
        <f t="shared" si="17"/>
        <v>0</v>
      </c>
      <c r="L273" s="35">
        <f>COUNTIF(SKUs!$C$6:$C$1997,B273)</f>
        <v>2</v>
      </c>
      <c r="M273" s="29"/>
      <c r="N273" s="29"/>
      <c r="O273" s="29"/>
      <c r="P273" s="29"/>
      <c r="Q273" s="29"/>
      <c r="R273" s="29"/>
      <c r="S273" s="29"/>
      <c r="T273" s="29"/>
      <c r="U273" s="30">
        <f t="shared" si="18"/>
        <v>0</v>
      </c>
      <c r="V273" s="31">
        <f t="shared" si="19"/>
        <v>12</v>
      </c>
    </row>
    <row r="274" spans="1:22" ht="14.25" hidden="1" customHeight="1" x14ac:dyDescent="0.3">
      <c r="A274" s="25">
        <v>267</v>
      </c>
      <c r="B274" s="26" t="s">
        <v>318</v>
      </c>
      <c r="C274" s="27" t="str">
        <f t="shared" si="16"/>
        <v>Masculino</v>
      </c>
      <c r="D274" s="2" t="str">
        <f>IFERROR(INDEX(SKUs!$E$6:$E$1997,MATCH(B274,SKUs!$C$6:$C$1997,0)),"")</f>
        <v>JAQUETA</v>
      </c>
      <c r="E274" s="28" t="str">
        <f>IFERROR(VLOOKUP(D274,Configurações!$N$5:$O$46,2,FALSE()),"OUTROS")</f>
        <v>VESTUÁRIO</v>
      </c>
      <c r="F274" s="2" t="str">
        <f>IFERROR(INDEX(SKUs!$F$6:$F$1997,MATCH(B274,SKUs!$C$6:$C$1997,0)),"")</f>
        <v>JAQUETA CAPUZ EMBUTIDO</v>
      </c>
      <c r="G274" s="2" t="str">
        <f>IFERROR(INDEX(SKUs!$G$6:$G$1997,MATCH(B274,SKUs!$C$6:$C$1997,0)),"")</f>
        <v>PRETA</v>
      </c>
      <c r="H274" s="25" t="str">
        <f>IFERROR(INDEX(SKUs!$H$6:$H$1997,MATCH(B274,SKUs!$C$6:$C$1997,0)),"")</f>
        <v>G</v>
      </c>
      <c r="I274" s="4" t="str">
        <f>IFERROR(INDEX(SKUs!#REF!,MATCH(B274,SKUs!$C$6:$C$1997,0)),"")</f>
        <v/>
      </c>
      <c r="J274" s="3">
        <f>SUMIFS(SKUs!$I$6:$I$1997,SKUs!$C$6:$C$1997,B274)</f>
        <v>16</v>
      </c>
      <c r="K274" s="4">
        <f t="shared" si="17"/>
        <v>0</v>
      </c>
      <c r="L274" s="3">
        <f>COUNTIF(SKUs!$C$6:$C$1997,B274)</f>
        <v>2</v>
      </c>
      <c r="M274" s="29"/>
      <c r="N274" s="29"/>
      <c r="O274" s="29"/>
      <c r="P274" s="29"/>
      <c r="Q274" s="29"/>
      <c r="R274" s="29"/>
      <c r="S274" s="29"/>
      <c r="T274" s="29"/>
      <c r="U274" s="30">
        <f t="shared" si="18"/>
        <v>0</v>
      </c>
      <c r="V274" s="31">
        <f t="shared" si="19"/>
        <v>16</v>
      </c>
    </row>
    <row r="275" spans="1:22" ht="14.25" hidden="1" customHeight="1" x14ac:dyDescent="0.3">
      <c r="A275" s="32">
        <v>268</v>
      </c>
      <c r="B275" s="26" t="s">
        <v>319</v>
      </c>
      <c r="C275" s="27" t="str">
        <f t="shared" si="16"/>
        <v>Masculino</v>
      </c>
      <c r="D275" s="33" t="str">
        <f>IFERROR(INDEX(SKUs!$E$6:$E$1997,MATCH(B275,SKUs!$C$6:$C$1997,0)),"")</f>
        <v>JAQUETA</v>
      </c>
      <c r="E275" s="28" t="str">
        <f>IFERROR(VLOOKUP(D275,Configurações!$N$5:$O$46,2,FALSE()),"OUTROS")</f>
        <v>VESTUÁRIO</v>
      </c>
      <c r="F275" s="33" t="str">
        <f>IFERROR(INDEX(SKUs!$F$6:$F$1997,MATCH(B275,SKUs!$C$6:$C$1997,0)),"")</f>
        <v>JAQUETA CAPUZ EMBUTIDO</v>
      </c>
      <c r="G275" s="33" t="str">
        <f>IFERROR(INDEX(SKUs!$G$6:$G$1997,MATCH(B275,SKUs!$C$6:$C$1997,0)),"")</f>
        <v>PRETA</v>
      </c>
      <c r="H275" s="32" t="str">
        <f>IFERROR(INDEX(SKUs!$H$6:$H$1997,MATCH(B275,SKUs!$C$6:$C$1997,0)),"")</f>
        <v>GG</v>
      </c>
      <c r="I275" s="34" t="str">
        <f>IFERROR(INDEX(SKUs!#REF!,MATCH(B275,SKUs!$C$6:$C$1997,0)),"")</f>
        <v/>
      </c>
      <c r="J275" s="35">
        <f>SUMIFS(SKUs!$I$6:$I$1997,SKUs!$C$6:$C$1997,B275)</f>
        <v>3</v>
      </c>
      <c r="K275" s="34">
        <f t="shared" si="17"/>
        <v>0</v>
      </c>
      <c r="L275" s="35">
        <f>COUNTIF(SKUs!$C$6:$C$1997,B275)</f>
        <v>2</v>
      </c>
      <c r="M275" s="29"/>
      <c r="N275" s="29"/>
      <c r="O275" s="29"/>
      <c r="P275" s="29"/>
      <c r="Q275" s="29"/>
      <c r="R275" s="29"/>
      <c r="S275" s="29"/>
      <c r="T275" s="29"/>
      <c r="U275" s="30">
        <f t="shared" si="18"/>
        <v>0</v>
      </c>
      <c r="V275" s="31">
        <f t="shared" si="19"/>
        <v>3</v>
      </c>
    </row>
    <row r="276" spans="1:22" ht="14.25" hidden="1" customHeight="1" x14ac:dyDescent="0.3">
      <c r="A276" s="25">
        <v>269</v>
      </c>
      <c r="B276" s="26" t="s">
        <v>320</v>
      </c>
      <c r="C276" s="27" t="str">
        <f t="shared" si="16"/>
        <v>Masculino</v>
      </c>
      <c r="D276" s="2" t="str">
        <f>IFERROR(INDEX(SKUs!$E$6:$E$1997,MATCH(B276,SKUs!$C$6:$C$1997,0)),"")</f>
        <v>JAQUETA</v>
      </c>
      <c r="E276" s="28" t="str">
        <f>IFERROR(VLOOKUP(D276,Configurações!$N$5:$O$46,2,FALSE()),"OUTROS")</f>
        <v>VESTUÁRIO</v>
      </c>
      <c r="F276" s="2" t="str">
        <f>IFERROR(INDEX(SKUs!$F$6:$F$1997,MATCH(B276,SKUs!$C$6:$C$1997,0)),"")</f>
        <v>JAQUETA BOMBER</v>
      </c>
      <c r="G276" s="2" t="str">
        <f>IFERROR(INDEX(SKUs!$G$6:$G$1997,MATCH(B276,SKUs!$C$6:$C$1997,0)),"")</f>
        <v>PRETA</v>
      </c>
      <c r="H276" s="25" t="str">
        <f>IFERROR(INDEX(SKUs!$H$6:$H$1997,MATCH(B276,SKUs!$C$6:$C$1997,0)),"")</f>
        <v>P</v>
      </c>
      <c r="I276" s="4" t="str">
        <f>IFERROR(INDEX(SKUs!#REF!,MATCH(B276,SKUs!$C$6:$C$1997,0)),"")</f>
        <v/>
      </c>
      <c r="J276" s="3">
        <f>SUMIFS(SKUs!$I$6:$I$1997,SKUs!$C$6:$C$1997,B276)</f>
        <v>6</v>
      </c>
      <c r="K276" s="4">
        <f t="shared" si="17"/>
        <v>0</v>
      </c>
      <c r="L276" s="3">
        <f>COUNTIF(SKUs!$C$6:$C$1997,B276)</f>
        <v>3</v>
      </c>
      <c r="M276" s="29"/>
      <c r="N276" s="29"/>
      <c r="O276" s="29"/>
      <c r="P276" s="29"/>
      <c r="Q276" s="29"/>
      <c r="R276" s="29"/>
      <c r="S276" s="29"/>
      <c r="T276" s="29"/>
      <c r="U276" s="30">
        <f t="shared" si="18"/>
        <v>0</v>
      </c>
      <c r="V276" s="31">
        <f t="shared" si="19"/>
        <v>6</v>
      </c>
    </row>
    <row r="277" spans="1:22" ht="14.25" hidden="1" customHeight="1" x14ac:dyDescent="0.3">
      <c r="A277" s="32">
        <v>270</v>
      </c>
      <c r="B277" s="26" t="s">
        <v>321</v>
      </c>
      <c r="C277" s="27" t="str">
        <f t="shared" si="16"/>
        <v>Masculino</v>
      </c>
      <c r="D277" s="33" t="str">
        <f>IFERROR(INDEX(SKUs!$E$6:$E$1997,MATCH(B277,SKUs!$C$6:$C$1997,0)),"")</f>
        <v>JAQUETA</v>
      </c>
      <c r="E277" s="28" t="str">
        <f>IFERROR(VLOOKUP(D277,Configurações!$N$5:$O$46,2,FALSE()),"OUTROS")</f>
        <v>VESTUÁRIO</v>
      </c>
      <c r="F277" s="33" t="str">
        <f>IFERROR(INDEX(SKUs!$F$6:$F$1997,MATCH(B277,SKUs!$C$6:$C$1997,0)),"")</f>
        <v>JAQUETA BOMBER</v>
      </c>
      <c r="G277" s="33" t="str">
        <f>IFERROR(INDEX(SKUs!$G$6:$G$1997,MATCH(B277,SKUs!$C$6:$C$1997,0)),"")</f>
        <v>PRETA</v>
      </c>
      <c r="H277" s="32" t="str">
        <f>IFERROR(INDEX(SKUs!$H$6:$H$1997,MATCH(B277,SKUs!$C$6:$C$1997,0)),"")</f>
        <v>GG</v>
      </c>
      <c r="I277" s="34" t="str">
        <f>IFERROR(INDEX(SKUs!#REF!,MATCH(B277,SKUs!$C$6:$C$1997,0)),"")</f>
        <v/>
      </c>
      <c r="J277" s="35">
        <f>SUMIFS(SKUs!$I$6:$I$1997,SKUs!$C$6:$C$1997,B277)</f>
        <v>7</v>
      </c>
      <c r="K277" s="34">
        <f t="shared" si="17"/>
        <v>0</v>
      </c>
      <c r="L277" s="35">
        <f>COUNTIF(SKUs!$C$6:$C$1997,B277)</f>
        <v>1</v>
      </c>
      <c r="M277" s="29"/>
      <c r="N277" s="29"/>
      <c r="O277" s="29"/>
      <c r="P277" s="29"/>
      <c r="Q277" s="29"/>
      <c r="R277" s="29"/>
      <c r="S277" s="29"/>
      <c r="T277" s="29"/>
      <c r="U277" s="30">
        <f t="shared" si="18"/>
        <v>0</v>
      </c>
      <c r="V277" s="31">
        <f t="shared" si="19"/>
        <v>7</v>
      </c>
    </row>
    <row r="278" spans="1:22" ht="14.25" hidden="1" customHeight="1" x14ac:dyDescent="0.3">
      <c r="A278" s="25">
        <v>271</v>
      </c>
      <c r="B278" s="26" t="s">
        <v>322</v>
      </c>
      <c r="C278" s="27" t="str">
        <f t="shared" si="16"/>
        <v>Masculino</v>
      </c>
      <c r="D278" s="2" t="str">
        <f>IFERROR(INDEX(SKUs!$E$6:$E$1997,MATCH(B278,SKUs!$C$6:$C$1997,0)),"")</f>
        <v>JAQUETA</v>
      </c>
      <c r="E278" s="28" t="str">
        <f>IFERROR(VLOOKUP(D278,Configurações!$N$5:$O$46,2,FALSE()),"OUTROS")</f>
        <v>VESTUÁRIO</v>
      </c>
      <c r="F278" s="2" t="str">
        <f>IFERROR(INDEX(SKUs!$F$6:$F$1997,MATCH(B278,SKUs!$C$6:$C$1997,0)),"")</f>
        <v>JAQUETA NYLON LEVE</v>
      </c>
      <c r="G278" s="2" t="str">
        <f>IFERROR(INDEX(SKUs!$G$6:$G$1997,MATCH(B278,SKUs!$C$6:$C$1997,0)),"")</f>
        <v>PRETA</v>
      </c>
      <c r="H278" s="25" t="str">
        <f>IFERROR(INDEX(SKUs!$H$6:$H$1997,MATCH(B278,SKUs!$C$6:$C$1997,0)),"")</f>
        <v>M</v>
      </c>
      <c r="I278" s="4" t="str">
        <f>IFERROR(INDEX(SKUs!#REF!,MATCH(B278,SKUs!$C$6:$C$1997,0)),"")</f>
        <v/>
      </c>
      <c r="J278" s="3">
        <f>SUMIFS(SKUs!$I$6:$I$1997,SKUs!$C$6:$C$1997,B278)</f>
        <v>9</v>
      </c>
      <c r="K278" s="4">
        <f t="shared" si="17"/>
        <v>0</v>
      </c>
      <c r="L278" s="3">
        <f>COUNTIF(SKUs!$C$6:$C$1997,B278)</f>
        <v>3</v>
      </c>
      <c r="M278" s="29"/>
      <c r="N278" s="29"/>
      <c r="O278" s="29"/>
      <c r="P278" s="29"/>
      <c r="Q278" s="29"/>
      <c r="R278" s="29"/>
      <c r="S278" s="29"/>
      <c r="T278" s="29"/>
      <c r="U278" s="30">
        <f t="shared" si="18"/>
        <v>0</v>
      </c>
      <c r="V278" s="31">
        <f t="shared" si="19"/>
        <v>9</v>
      </c>
    </row>
    <row r="279" spans="1:22" ht="14.25" hidden="1" customHeight="1" x14ac:dyDescent="0.3">
      <c r="A279" s="32">
        <v>272</v>
      </c>
      <c r="B279" s="26" t="s">
        <v>323</v>
      </c>
      <c r="C279" s="27" t="str">
        <f t="shared" si="16"/>
        <v>Masculino</v>
      </c>
      <c r="D279" s="33" t="str">
        <f>IFERROR(INDEX(SKUs!$E$6:$E$1997,MATCH(B279,SKUs!$C$6:$C$1997,0)),"")</f>
        <v>JAQUETA</v>
      </c>
      <c r="E279" s="28" t="str">
        <f>IFERROR(VLOOKUP(D279,Configurações!$N$5:$O$46,2,FALSE()),"OUTROS")</f>
        <v>VESTUÁRIO</v>
      </c>
      <c r="F279" s="33" t="str">
        <f>IFERROR(INDEX(SKUs!$F$6:$F$1997,MATCH(B279,SKUs!$C$6:$C$1997,0)),"")</f>
        <v>JAQUETA NYLON LEVE</v>
      </c>
      <c r="G279" s="33" t="str">
        <f>IFERROR(INDEX(SKUs!$G$6:$G$1997,MATCH(B279,SKUs!$C$6:$C$1997,0)),"")</f>
        <v>PRETA</v>
      </c>
      <c r="H279" s="32" t="str">
        <f>IFERROR(INDEX(SKUs!$H$6:$H$1997,MATCH(B279,SKUs!$C$6:$C$1997,0)),"")</f>
        <v>G</v>
      </c>
      <c r="I279" s="34" t="str">
        <f>IFERROR(INDEX(SKUs!#REF!,MATCH(B279,SKUs!$C$6:$C$1997,0)),"")</f>
        <v/>
      </c>
      <c r="J279" s="35">
        <f>SUMIFS(SKUs!$I$6:$I$1997,SKUs!$C$6:$C$1997,B279)</f>
        <v>3</v>
      </c>
      <c r="K279" s="34">
        <f t="shared" si="17"/>
        <v>0</v>
      </c>
      <c r="L279" s="35">
        <f>COUNTIF(SKUs!$C$6:$C$1997,B279)</f>
        <v>1</v>
      </c>
      <c r="M279" s="29"/>
      <c r="N279" s="29"/>
      <c r="O279" s="29"/>
      <c r="P279" s="29"/>
      <c r="Q279" s="29"/>
      <c r="R279" s="29"/>
      <c r="S279" s="29"/>
      <c r="T279" s="29"/>
      <c r="U279" s="30">
        <f t="shared" si="18"/>
        <v>0</v>
      </c>
      <c r="V279" s="31">
        <f t="shared" si="19"/>
        <v>3</v>
      </c>
    </row>
    <row r="280" spans="1:22" ht="14.25" hidden="1" customHeight="1" x14ac:dyDescent="0.3">
      <c r="A280" s="25">
        <v>273</v>
      </c>
      <c r="B280" s="26" t="s">
        <v>324</v>
      </c>
      <c r="C280" s="27" t="str">
        <f t="shared" si="16"/>
        <v>Masculino</v>
      </c>
      <c r="D280" s="2" t="str">
        <f>IFERROR(INDEX(SKUs!$E$6:$E$1997,MATCH(B280,SKUs!$C$6:$C$1997,0)),"")</f>
        <v>JAQUETA</v>
      </c>
      <c r="E280" s="28" t="str">
        <f>IFERROR(VLOOKUP(D280,Configurações!$N$5:$O$46,2,FALSE()),"OUTROS")</f>
        <v>VESTUÁRIO</v>
      </c>
      <c r="F280" s="2" t="str">
        <f>IFERROR(INDEX(SKUs!$F$6:$F$1997,MATCH(B280,SKUs!$C$6:$C$1997,0)),"")</f>
        <v>JAQUETA NYLON LEVE</v>
      </c>
      <c r="G280" s="2" t="str">
        <f>IFERROR(INDEX(SKUs!$G$6:$G$1997,MATCH(B280,SKUs!$C$6:$C$1997,0)),"")</f>
        <v>CINZA</v>
      </c>
      <c r="H280" s="25" t="str">
        <f>IFERROR(INDEX(SKUs!$H$6:$H$1997,MATCH(B280,SKUs!$C$6:$C$1997,0)),"")</f>
        <v>M</v>
      </c>
      <c r="I280" s="4" t="str">
        <f>IFERROR(INDEX(SKUs!#REF!,MATCH(B280,SKUs!$C$6:$C$1997,0)),"")</f>
        <v/>
      </c>
      <c r="J280" s="3">
        <f>SUMIFS(SKUs!$I$6:$I$1997,SKUs!$C$6:$C$1997,B280)</f>
        <v>8</v>
      </c>
      <c r="K280" s="4">
        <f t="shared" si="17"/>
        <v>0</v>
      </c>
      <c r="L280" s="3">
        <f>COUNTIF(SKUs!$C$6:$C$1997,B280)</f>
        <v>1</v>
      </c>
      <c r="M280" s="29"/>
      <c r="N280" s="29"/>
      <c r="O280" s="29"/>
      <c r="P280" s="29"/>
      <c r="Q280" s="29"/>
      <c r="R280" s="29"/>
      <c r="S280" s="29"/>
      <c r="T280" s="29"/>
      <c r="U280" s="30">
        <f t="shared" si="18"/>
        <v>0</v>
      </c>
      <c r="V280" s="31">
        <f t="shared" si="19"/>
        <v>8</v>
      </c>
    </row>
    <row r="281" spans="1:22" ht="14.25" hidden="1" customHeight="1" x14ac:dyDescent="0.3">
      <c r="A281" s="32">
        <v>274</v>
      </c>
      <c r="B281" s="26" t="s">
        <v>325</v>
      </c>
      <c r="C281" s="27" t="str">
        <f t="shared" si="16"/>
        <v>Masculino</v>
      </c>
      <c r="D281" s="33" t="str">
        <f>IFERROR(INDEX(SKUs!$E$6:$E$1997,MATCH(B281,SKUs!$C$6:$C$1997,0)),"")</f>
        <v>JAQUETA</v>
      </c>
      <c r="E281" s="28" t="str">
        <f>IFERROR(VLOOKUP(D281,Configurações!$N$5:$O$46,2,FALSE()),"OUTROS")</f>
        <v>VESTUÁRIO</v>
      </c>
      <c r="F281" s="33" t="str">
        <f>IFERROR(INDEX(SKUs!$F$6:$F$1997,MATCH(B281,SKUs!$C$6:$C$1997,0)),"")</f>
        <v>JAQUETA NYLON LEVE</v>
      </c>
      <c r="G281" s="33" t="str">
        <f>IFERROR(INDEX(SKUs!$G$6:$G$1997,MATCH(B281,SKUs!$C$6:$C$1997,0)),"")</f>
        <v>CINZA</v>
      </c>
      <c r="H281" s="32" t="str">
        <f>IFERROR(INDEX(SKUs!$H$6:$H$1997,MATCH(B281,SKUs!$C$6:$C$1997,0)),"")</f>
        <v>G</v>
      </c>
      <c r="I281" s="34" t="str">
        <f>IFERROR(INDEX(SKUs!#REF!,MATCH(B281,SKUs!$C$6:$C$1997,0)),"")</f>
        <v/>
      </c>
      <c r="J281" s="35">
        <f>SUMIFS(SKUs!$I$6:$I$1997,SKUs!$C$6:$C$1997,B281)</f>
        <v>8</v>
      </c>
      <c r="K281" s="34">
        <f t="shared" si="17"/>
        <v>0</v>
      </c>
      <c r="L281" s="35">
        <f>COUNTIF(SKUs!$C$6:$C$1997,B281)</f>
        <v>1</v>
      </c>
      <c r="M281" s="29"/>
      <c r="N281" s="29"/>
      <c r="O281" s="29"/>
      <c r="P281" s="29"/>
      <c r="Q281" s="29"/>
      <c r="R281" s="29"/>
      <c r="S281" s="29"/>
      <c r="T281" s="29"/>
      <c r="U281" s="30">
        <f t="shared" si="18"/>
        <v>0</v>
      </c>
      <c r="V281" s="31">
        <f t="shared" si="19"/>
        <v>8</v>
      </c>
    </row>
    <row r="282" spans="1:22" ht="14.25" hidden="1" customHeight="1" x14ac:dyDescent="0.3">
      <c r="A282" s="25">
        <v>275</v>
      </c>
      <c r="B282" s="26" t="s">
        <v>326</v>
      </c>
      <c r="C282" s="27" t="str">
        <f t="shared" si="16"/>
        <v>Masculino</v>
      </c>
      <c r="D282" s="2" t="str">
        <f>IFERROR(INDEX(SKUs!$E$6:$E$1997,MATCH(B282,SKUs!$C$6:$C$1997,0)),"")</f>
        <v>JAQUETA</v>
      </c>
      <c r="E282" s="28" t="str">
        <f>IFERROR(VLOOKUP(D282,Configurações!$N$5:$O$46,2,FALSE()),"OUTROS")</f>
        <v>VESTUÁRIO</v>
      </c>
      <c r="F282" s="2" t="str">
        <f>IFERROR(INDEX(SKUs!$F$6:$F$1997,MATCH(B282,SKUs!$C$6:$C$1997,0)),"")</f>
        <v>JAQUETA CAPUZ EMBUTIDO</v>
      </c>
      <c r="G282" s="2" t="str">
        <f>IFERROR(INDEX(SKUs!$G$6:$G$1997,MATCH(B282,SKUs!$C$6:$C$1997,0)),"")</f>
        <v>AZUL</v>
      </c>
      <c r="H282" s="25" t="str">
        <f>IFERROR(INDEX(SKUs!$H$6:$H$1997,MATCH(B282,SKUs!$C$6:$C$1997,0)),"")</f>
        <v>P</v>
      </c>
      <c r="I282" s="4" t="str">
        <f>IFERROR(INDEX(SKUs!#REF!,MATCH(B282,SKUs!$C$6:$C$1997,0)),"")</f>
        <v/>
      </c>
      <c r="J282" s="3">
        <f>SUMIFS(SKUs!$I$6:$I$1997,SKUs!$C$6:$C$1997,B282)</f>
        <v>10</v>
      </c>
      <c r="K282" s="4">
        <f t="shared" si="17"/>
        <v>0</v>
      </c>
      <c r="L282" s="3">
        <f>COUNTIF(SKUs!$C$6:$C$1997,B282)</f>
        <v>3</v>
      </c>
      <c r="M282" s="29"/>
      <c r="N282" s="29"/>
      <c r="O282" s="29"/>
      <c r="P282" s="29"/>
      <c r="Q282" s="29"/>
      <c r="R282" s="29"/>
      <c r="S282" s="29"/>
      <c r="T282" s="29"/>
      <c r="U282" s="30">
        <f t="shared" si="18"/>
        <v>0</v>
      </c>
      <c r="V282" s="31">
        <f t="shared" si="19"/>
        <v>10</v>
      </c>
    </row>
    <row r="283" spans="1:22" ht="14.25" hidden="1" customHeight="1" x14ac:dyDescent="0.3">
      <c r="A283" s="32">
        <v>276</v>
      </c>
      <c r="B283" s="26" t="s">
        <v>327</v>
      </c>
      <c r="C283" s="27" t="str">
        <f t="shared" si="16"/>
        <v>Masculino</v>
      </c>
      <c r="D283" s="33" t="str">
        <f>IFERROR(INDEX(SKUs!$E$6:$E$1997,MATCH(B283,SKUs!$C$6:$C$1997,0)),"")</f>
        <v>JAQUETA</v>
      </c>
      <c r="E283" s="28" t="str">
        <f>IFERROR(VLOOKUP(D283,Configurações!$N$5:$O$46,2,FALSE()),"OUTROS")</f>
        <v>VESTUÁRIO</v>
      </c>
      <c r="F283" s="33" t="str">
        <f>IFERROR(INDEX(SKUs!$F$6:$F$1997,MATCH(B283,SKUs!$C$6:$C$1997,0)),"")</f>
        <v>JAQUETA CAPUZ EMBUTIDO</v>
      </c>
      <c r="G283" s="33" t="str">
        <f>IFERROR(INDEX(SKUs!$G$6:$G$1997,MATCH(B283,SKUs!$C$6:$C$1997,0)),"")</f>
        <v>AZUL</v>
      </c>
      <c r="H283" s="32" t="str">
        <f>IFERROR(INDEX(SKUs!$H$6:$H$1997,MATCH(B283,SKUs!$C$6:$C$1997,0)),"")</f>
        <v>M</v>
      </c>
      <c r="I283" s="34" t="str">
        <f>IFERROR(INDEX(SKUs!#REF!,MATCH(B283,SKUs!$C$6:$C$1997,0)),"")</f>
        <v/>
      </c>
      <c r="J283" s="35">
        <f>SUMIFS(SKUs!$I$6:$I$1997,SKUs!$C$6:$C$1997,B283)</f>
        <v>16</v>
      </c>
      <c r="K283" s="34">
        <f t="shared" si="17"/>
        <v>0</v>
      </c>
      <c r="L283" s="35">
        <f>COUNTIF(SKUs!$C$6:$C$1997,B283)</f>
        <v>4</v>
      </c>
      <c r="M283" s="29"/>
      <c r="N283" s="29"/>
      <c r="O283" s="29"/>
      <c r="P283" s="29"/>
      <c r="Q283" s="29"/>
      <c r="R283" s="29"/>
      <c r="S283" s="29"/>
      <c r="T283" s="29"/>
      <c r="U283" s="30">
        <f t="shared" si="18"/>
        <v>0</v>
      </c>
      <c r="V283" s="31">
        <f t="shared" si="19"/>
        <v>16</v>
      </c>
    </row>
    <row r="284" spans="1:22" ht="14.25" hidden="1" customHeight="1" x14ac:dyDescent="0.3">
      <c r="A284" s="25">
        <v>277</v>
      </c>
      <c r="B284" s="26" t="s">
        <v>328</v>
      </c>
      <c r="C284" s="27" t="str">
        <f t="shared" si="16"/>
        <v>Masculino</v>
      </c>
      <c r="D284" s="2" t="str">
        <f>IFERROR(INDEX(SKUs!$E$6:$E$1997,MATCH(B284,SKUs!$C$6:$C$1997,0)),"")</f>
        <v>JAQUETA</v>
      </c>
      <c r="E284" s="28" t="str">
        <f>IFERROR(VLOOKUP(D284,Configurações!$N$5:$O$46,2,FALSE()),"OUTROS")</f>
        <v>VESTUÁRIO</v>
      </c>
      <c r="F284" s="2" t="str">
        <f>IFERROR(INDEX(SKUs!$F$6:$F$1997,MATCH(B284,SKUs!$C$6:$C$1997,0)),"")</f>
        <v>JAQUETA PUFFER CAPUZ</v>
      </c>
      <c r="G284" s="2" t="str">
        <f>IFERROR(INDEX(SKUs!$G$6:$G$1997,MATCH(B284,SKUs!$C$6:$C$1997,0)),"")</f>
        <v>AZUL</v>
      </c>
      <c r="H284" s="25" t="str">
        <f>IFERROR(INDEX(SKUs!$H$6:$H$1997,MATCH(B284,SKUs!$C$6:$C$1997,0)),"")</f>
        <v>GG</v>
      </c>
      <c r="I284" s="4" t="str">
        <f>IFERROR(INDEX(SKUs!#REF!,MATCH(B284,SKUs!$C$6:$C$1997,0)),"")</f>
        <v/>
      </c>
      <c r="J284" s="3">
        <f>SUMIFS(SKUs!$I$6:$I$1997,SKUs!$C$6:$C$1997,B284)</f>
        <v>14</v>
      </c>
      <c r="K284" s="4">
        <f t="shared" si="17"/>
        <v>0</v>
      </c>
      <c r="L284" s="3">
        <f>COUNTIF(SKUs!$C$6:$C$1997,B284)</f>
        <v>3</v>
      </c>
      <c r="M284" s="29"/>
      <c r="N284" s="29"/>
      <c r="O284" s="29"/>
      <c r="P284" s="29"/>
      <c r="Q284" s="29"/>
      <c r="R284" s="29"/>
      <c r="S284" s="29"/>
      <c r="T284" s="29"/>
      <c r="U284" s="30">
        <f t="shared" si="18"/>
        <v>0</v>
      </c>
      <c r="V284" s="31">
        <f t="shared" si="19"/>
        <v>14</v>
      </c>
    </row>
    <row r="285" spans="1:22" ht="14.25" hidden="1" customHeight="1" x14ac:dyDescent="0.3">
      <c r="A285" s="32">
        <v>278</v>
      </c>
      <c r="B285" s="26" t="s">
        <v>329</v>
      </c>
      <c r="C285" s="27" t="str">
        <f t="shared" si="16"/>
        <v>Masculino</v>
      </c>
      <c r="D285" s="33" t="str">
        <f>IFERROR(INDEX(SKUs!$E$6:$E$1997,MATCH(B285,SKUs!$C$6:$C$1997,0)),"")</f>
        <v>JAQUETA</v>
      </c>
      <c r="E285" s="28" t="str">
        <f>IFERROR(VLOOKUP(D285,Configurações!$N$5:$O$46,2,FALSE()),"OUTROS")</f>
        <v>VESTUÁRIO</v>
      </c>
      <c r="F285" s="33" t="str">
        <f>IFERROR(INDEX(SKUs!$F$6:$F$1997,MATCH(B285,SKUs!$C$6:$C$1997,0)),"")</f>
        <v>JAQUETA PUFFER CAPUZ</v>
      </c>
      <c r="G285" s="33" t="str">
        <f>IFERROR(INDEX(SKUs!$G$6:$G$1997,MATCH(B285,SKUs!$C$6:$C$1997,0)),"")</f>
        <v>PRETO</v>
      </c>
      <c r="H285" s="32" t="str">
        <f>IFERROR(INDEX(SKUs!$H$6:$H$1997,MATCH(B285,SKUs!$C$6:$C$1997,0)),"")</f>
        <v>G</v>
      </c>
      <c r="I285" s="34" t="str">
        <f>IFERROR(INDEX(SKUs!#REF!,MATCH(B285,SKUs!$C$6:$C$1997,0)),"")</f>
        <v/>
      </c>
      <c r="J285" s="35">
        <f>SUMIFS(SKUs!$I$6:$I$1997,SKUs!$C$6:$C$1997,B285)</f>
        <v>36</v>
      </c>
      <c r="K285" s="34">
        <f t="shared" si="17"/>
        <v>0</v>
      </c>
      <c r="L285" s="35">
        <f>COUNTIF(SKUs!$C$6:$C$1997,B285)</f>
        <v>6</v>
      </c>
      <c r="M285" s="29"/>
      <c r="N285" s="29"/>
      <c r="O285" s="29"/>
      <c r="P285" s="29"/>
      <c r="Q285" s="29"/>
      <c r="R285" s="29"/>
      <c r="S285" s="29"/>
      <c r="T285" s="29"/>
      <c r="U285" s="30">
        <f t="shared" si="18"/>
        <v>0</v>
      </c>
      <c r="V285" s="31">
        <f t="shared" si="19"/>
        <v>36</v>
      </c>
    </row>
    <row r="286" spans="1:22" ht="14.25" hidden="1" customHeight="1" x14ac:dyDescent="0.3">
      <c r="A286" s="25">
        <v>279</v>
      </c>
      <c r="B286" s="26" t="s">
        <v>330</v>
      </c>
      <c r="C286" s="27" t="str">
        <f t="shared" si="16"/>
        <v>Masculino</v>
      </c>
      <c r="D286" s="2" t="str">
        <f>IFERROR(INDEX(SKUs!$E$6:$E$1997,MATCH(B286,SKUs!$C$6:$C$1997,0)),"")</f>
        <v>JAQUETA</v>
      </c>
      <c r="E286" s="28" t="str">
        <f>IFERROR(VLOOKUP(D286,Configurações!$N$5:$O$46,2,FALSE()),"OUTROS")</f>
        <v>VESTUÁRIO</v>
      </c>
      <c r="F286" s="2" t="str">
        <f>IFERROR(INDEX(SKUs!$F$6:$F$1997,MATCH(B286,SKUs!$C$6:$C$1997,0)),"")</f>
        <v>JAQUETA PUFFER CAPUZ</v>
      </c>
      <c r="G286" s="2" t="str">
        <f>IFERROR(INDEX(SKUs!$G$6:$G$1997,MATCH(B286,SKUs!$C$6:$C$1997,0)),"")</f>
        <v>PRETO</v>
      </c>
      <c r="H286" s="25" t="str">
        <f>IFERROR(INDEX(SKUs!$H$6:$H$1997,MATCH(B286,SKUs!$C$6:$C$1997,0)),"")</f>
        <v>GG</v>
      </c>
      <c r="I286" s="4" t="str">
        <f>IFERROR(INDEX(SKUs!#REF!,MATCH(B286,SKUs!$C$6:$C$1997,0)),"")</f>
        <v/>
      </c>
      <c r="J286" s="3">
        <f>SUMIFS(SKUs!$I$6:$I$1997,SKUs!$C$6:$C$1997,B286)</f>
        <v>36</v>
      </c>
      <c r="K286" s="4">
        <f t="shared" si="17"/>
        <v>0</v>
      </c>
      <c r="L286" s="3">
        <f>COUNTIF(SKUs!$C$6:$C$1997,B286)</f>
        <v>5</v>
      </c>
      <c r="M286" s="29"/>
      <c r="N286" s="29"/>
      <c r="O286" s="29"/>
      <c r="P286" s="29"/>
      <c r="Q286" s="29"/>
      <c r="R286" s="29"/>
      <c r="S286" s="29"/>
      <c r="T286" s="29"/>
      <c r="U286" s="30">
        <f t="shared" si="18"/>
        <v>0</v>
      </c>
      <c r="V286" s="31">
        <f t="shared" si="19"/>
        <v>36</v>
      </c>
    </row>
    <row r="287" spans="1:22" ht="14.25" hidden="1" customHeight="1" x14ac:dyDescent="0.3">
      <c r="A287" s="32">
        <v>280</v>
      </c>
      <c r="B287" s="26" t="s">
        <v>331</v>
      </c>
      <c r="C287" s="27" t="str">
        <f t="shared" si="16"/>
        <v>Masculino</v>
      </c>
      <c r="D287" s="33" t="str">
        <f>IFERROR(INDEX(SKUs!$E$6:$E$1997,MATCH(B287,SKUs!$C$6:$C$1997,0)),"")</f>
        <v>JAQUETA</v>
      </c>
      <c r="E287" s="28" t="str">
        <f>IFERROR(VLOOKUP(D287,Configurações!$N$5:$O$46,2,FALSE()),"OUTROS")</f>
        <v>VESTUÁRIO</v>
      </c>
      <c r="F287" s="33" t="str">
        <f>IFERROR(INDEX(SKUs!$F$6:$F$1997,MATCH(B287,SKUs!$C$6:$C$1997,0)),"")</f>
        <v>JAQUETA BOMBER</v>
      </c>
      <c r="G287" s="33" t="str">
        <f>IFERROR(INDEX(SKUs!$G$6:$G$1997,MATCH(B287,SKUs!$C$6:$C$1997,0)),"")</f>
        <v>MARINHO</v>
      </c>
      <c r="H287" s="32" t="str">
        <f>IFERROR(INDEX(SKUs!$H$6:$H$1997,MATCH(B287,SKUs!$C$6:$C$1997,0)),"")</f>
        <v>M</v>
      </c>
      <c r="I287" s="34" t="str">
        <f>IFERROR(INDEX(SKUs!#REF!,MATCH(B287,SKUs!$C$6:$C$1997,0)),"")</f>
        <v/>
      </c>
      <c r="J287" s="35">
        <f>SUMIFS(SKUs!$I$6:$I$1997,SKUs!$C$6:$C$1997,B287)</f>
        <v>22</v>
      </c>
      <c r="K287" s="34">
        <f t="shared" si="17"/>
        <v>0</v>
      </c>
      <c r="L287" s="35">
        <f>COUNTIF(SKUs!$C$6:$C$1997,B287)</f>
        <v>3</v>
      </c>
      <c r="M287" s="29"/>
      <c r="N287" s="29"/>
      <c r="O287" s="29"/>
      <c r="P287" s="29"/>
      <c r="Q287" s="29"/>
      <c r="R287" s="29"/>
      <c r="S287" s="29"/>
      <c r="T287" s="29"/>
      <c r="U287" s="30">
        <f t="shared" si="18"/>
        <v>0</v>
      </c>
      <c r="V287" s="31">
        <f t="shared" si="19"/>
        <v>22</v>
      </c>
    </row>
    <row r="288" spans="1:22" ht="14.25" hidden="1" customHeight="1" x14ac:dyDescent="0.3">
      <c r="A288" s="25">
        <v>281</v>
      </c>
      <c r="B288" s="26" t="s">
        <v>332</v>
      </c>
      <c r="C288" s="27" t="str">
        <f t="shared" si="16"/>
        <v>Masculino</v>
      </c>
      <c r="D288" s="2" t="str">
        <f>IFERROR(INDEX(SKUs!$E$6:$E$1997,MATCH(B288,SKUs!$C$6:$C$1997,0)),"")</f>
        <v>JAQUETA</v>
      </c>
      <c r="E288" s="28" t="str">
        <f>IFERROR(VLOOKUP(D288,Configurações!$N$5:$O$46,2,FALSE()),"OUTROS")</f>
        <v>VESTUÁRIO</v>
      </c>
      <c r="F288" s="2" t="str">
        <f>IFERROR(INDEX(SKUs!$F$6:$F$1997,MATCH(B288,SKUs!$C$6:$C$1997,0)),"")</f>
        <v>JAQUETA BOMBER</v>
      </c>
      <c r="G288" s="2" t="str">
        <f>IFERROR(INDEX(SKUs!$G$6:$G$1997,MATCH(B288,SKUs!$C$6:$C$1997,0)),"")</f>
        <v>PRETA</v>
      </c>
      <c r="H288" s="25" t="str">
        <f>IFERROR(INDEX(SKUs!$H$6:$H$1997,MATCH(B288,SKUs!$C$6:$C$1997,0)),"")</f>
        <v>M</v>
      </c>
      <c r="I288" s="4" t="str">
        <f>IFERROR(INDEX(SKUs!#REF!,MATCH(B288,SKUs!$C$6:$C$1997,0)),"")</f>
        <v/>
      </c>
      <c r="J288" s="3">
        <f>SUMIFS(SKUs!$I$6:$I$1997,SKUs!$C$6:$C$1997,B288)</f>
        <v>15</v>
      </c>
      <c r="K288" s="4">
        <f t="shared" si="17"/>
        <v>0</v>
      </c>
      <c r="L288" s="3">
        <f>COUNTIF(SKUs!$C$6:$C$1997,B288)</f>
        <v>2</v>
      </c>
      <c r="M288" s="29"/>
      <c r="N288" s="29"/>
      <c r="O288" s="29"/>
      <c r="P288" s="29"/>
      <c r="Q288" s="29"/>
      <c r="R288" s="29"/>
      <c r="S288" s="29"/>
      <c r="T288" s="29"/>
      <c r="U288" s="30">
        <f t="shared" si="18"/>
        <v>0</v>
      </c>
      <c r="V288" s="31">
        <f t="shared" si="19"/>
        <v>15</v>
      </c>
    </row>
    <row r="289" spans="1:22" ht="14.25" hidden="1" customHeight="1" x14ac:dyDescent="0.3">
      <c r="A289" s="32">
        <v>282</v>
      </c>
      <c r="B289" s="26" t="s">
        <v>333</v>
      </c>
      <c r="C289" s="27" t="str">
        <f t="shared" si="16"/>
        <v>Masculino</v>
      </c>
      <c r="D289" s="33" t="str">
        <f>IFERROR(INDEX(SKUs!$E$6:$E$1997,MATCH(B289,SKUs!$C$6:$C$1997,0)),"")</f>
        <v>JAQUETA</v>
      </c>
      <c r="E289" s="28" t="str">
        <f>IFERROR(VLOOKUP(D289,Configurações!$N$5:$O$46,2,FALSE()),"OUTROS")</f>
        <v>VESTUÁRIO</v>
      </c>
      <c r="F289" s="33" t="str">
        <f>IFERROR(INDEX(SKUs!$F$6:$F$1997,MATCH(B289,SKUs!$C$6:$C$1997,0)),"")</f>
        <v>JAQUETA BOMBER</v>
      </c>
      <c r="G289" s="33" t="str">
        <f>IFERROR(INDEX(SKUs!$G$6:$G$1997,MATCH(B289,SKUs!$C$6:$C$1997,0)),"")</f>
        <v>PRETA</v>
      </c>
      <c r="H289" s="32" t="str">
        <f>IFERROR(INDEX(SKUs!$H$6:$H$1997,MATCH(B289,SKUs!$C$6:$C$1997,0)),"")</f>
        <v>G</v>
      </c>
      <c r="I289" s="34" t="str">
        <f>IFERROR(INDEX(SKUs!#REF!,MATCH(B289,SKUs!$C$6:$C$1997,0)),"")</f>
        <v/>
      </c>
      <c r="J289" s="35">
        <f>SUMIFS(SKUs!$I$6:$I$1997,SKUs!$C$6:$C$1997,B289)</f>
        <v>7</v>
      </c>
      <c r="K289" s="34">
        <f t="shared" si="17"/>
        <v>0</v>
      </c>
      <c r="L289" s="35">
        <f>COUNTIF(SKUs!$C$6:$C$1997,B289)</f>
        <v>2</v>
      </c>
      <c r="M289" s="29"/>
      <c r="N289" s="29"/>
      <c r="O289" s="29"/>
      <c r="P289" s="29"/>
      <c r="Q289" s="29"/>
      <c r="R289" s="29"/>
      <c r="S289" s="29"/>
      <c r="T289" s="29"/>
      <c r="U289" s="30">
        <f t="shared" si="18"/>
        <v>0</v>
      </c>
      <c r="V289" s="31">
        <f t="shared" si="19"/>
        <v>7</v>
      </c>
    </row>
    <row r="290" spans="1:22" ht="14.25" hidden="1" customHeight="1" x14ac:dyDescent="0.3">
      <c r="A290" s="25">
        <v>283</v>
      </c>
      <c r="B290" s="26" t="s">
        <v>334</v>
      </c>
      <c r="C290" s="27" t="str">
        <f t="shared" si="16"/>
        <v>—</v>
      </c>
      <c r="D290" s="2" t="str">
        <f>IFERROR(INDEX(SKUs!$E$6:$E$1997,MATCH(B290,SKUs!$C$6:$C$1997,0)),"")</f>
        <v>BOLSA</v>
      </c>
      <c r="E290" s="28" t="str">
        <f>IFERROR(VLOOKUP(D290,Configurações!$N$5:$O$46,2,FALSE()),"OUTROS")</f>
        <v>BOLSAS E MALAS</v>
      </c>
      <c r="F290" s="2" t="str">
        <f>IFERROR(INDEX(SKUs!$F$6:$F$1997,MATCH(B290,SKUs!$C$6:$C$1997,0)),"")</f>
        <v>BOLSA LONG</v>
      </c>
      <c r="G290" s="2" t="str">
        <f>IFERROR(INDEX(SKUs!$G$6:$G$1997,MATCH(B290,SKUs!$C$6:$C$1997,0)),"")</f>
        <v>PRETA</v>
      </c>
      <c r="H290" s="25" t="str">
        <f>IFERROR(INDEX(SKUs!$H$6:$H$1997,MATCH(B290,SKUs!$C$6:$C$1997,0)),"")</f>
        <v>UNICO</v>
      </c>
      <c r="I290" s="4" t="str">
        <f>IFERROR(INDEX(SKUs!#REF!,MATCH(B290,SKUs!$C$6:$C$1997,0)),"")</f>
        <v/>
      </c>
      <c r="J290" s="3">
        <f>SUMIFS(SKUs!$I$6:$I$1997,SKUs!$C$6:$C$1997,B290)</f>
        <v>23</v>
      </c>
      <c r="K290" s="4">
        <f t="shared" si="17"/>
        <v>0</v>
      </c>
      <c r="L290" s="3">
        <f>COUNTIF(SKUs!$C$6:$C$1997,B290)</f>
        <v>1</v>
      </c>
      <c r="M290" s="29"/>
      <c r="N290" s="29"/>
      <c r="O290" s="29"/>
      <c r="P290" s="29"/>
      <c r="Q290" s="29"/>
      <c r="R290" s="29"/>
      <c r="S290" s="29"/>
      <c r="T290" s="29"/>
      <c r="U290" s="30">
        <f t="shared" si="18"/>
        <v>0</v>
      </c>
      <c r="V290" s="31">
        <f t="shared" si="19"/>
        <v>23</v>
      </c>
    </row>
    <row r="291" spans="1:22" ht="14.25" hidden="1" customHeight="1" x14ac:dyDescent="0.3">
      <c r="A291" s="32">
        <v>284</v>
      </c>
      <c r="B291" s="26" t="s">
        <v>335</v>
      </c>
      <c r="C291" s="27" t="str">
        <f t="shared" si="16"/>
        <v>—</v>
      </c>
      <c r="D291" s="33" t="str">
        <f>IFERROR(INDEX(SKUs!$E$6:$E$1997,MATCH(B291,SKUs!$C$6:$C$1997,0)),"")</f>
        <v>RAQUETE</v>
      </c>
      <c r="E291" s="28" t="str">
        <f>IFERROR(VLOOKUP(D291,Configurações!$N$5:$O$46,2,FALSE()),"OUTROS")</f>
        <v>ACESSÓRIOS</v>
      </c>
      <c r="F291" s="33" t="str">
        <f>IFERROR(INDEX(SKUs!$F$6:$F$1997,MATCH(B291,SKUs!$C$6:$C$1997,0)),"")</f>
        <v>RAQUETE FRESCOBOL</v>
      </c>
      <c r="G291" s="33" t="str">
        <f>IFERROR(INDEX(SKUs!$G$6:$G$1997,MATCH(B291,SKUs!$C$6:$C$1997,0)),"")</f>
        <v>FRESCOBOL</v>
      </c>
      <c r="H291" s="32" t="str">
        <f>IFERROR(INDEX(SKUs!$H$6:$H$1997,MATCH(B291,SKUs!$C$6:$C$1997,0)),"")</f>
        <v>UNICO</v>
      </c>
      <c r="I291" s="34" t="str">
        <f>IFERROR(INDEX(SKUs!#REF!,MATCH(B291,SKUs!$C$6:$C$1997,0)),"")</f>
        <v/>
      </c>
      <c r="J291" s="35">
        <f>SUMIFS(SKUs!$I$6:$I$1997,SKUs!$C$6:$C$1997,B291)</f>
        <v>0</v>
      </c>
      <c r="K291" s="34">
        <f t="shared" si="17"/>
        <v>0</v>
      </c>
      <c r="L291" s="35">
        <f>COUNTIF(SKUs!$C$6:$C$1997,B291)</f>
        <v>2</v>
      </c>
      <c r="M291" s="29">
        <v>6</v>
      </c>
      <c r="N291" s="29"/>
      <c r="O291" s="29"/>
      <c r="P291" s="29"/>
      <c r="Q291" s="29"/>
      <c r="R291" s="29"/>
      <c r="S291" s="29"/>
      <c r="T291" s="29"/>
      <c r="U291" s="30">
        <f t="shared" si="18"/>
        <v>6</v>
      </c>
      <c r="V291" s="31">
        <f t="shared" si="19"/>
        <v>0</v>
      </c>
    </row>
    <row r="292" spans="1:22" ht="14.25" hidden="1" customHeight="1" x14ac:dyDescent="0.3">
      <c r="A292" s="25">
        <v>285</v>
      </c>
      <c r="B292" s="26" t="s">
        <v>336</v>
      </c>
      <c r="C292" s="27" t="str">
        <f t="shared" si="16"/>
        <v>—</v>
      </c>
      <c r="D292" s="2" t="str">
        <f>IFERROR(INDEX(SKUs!$E$6:$E$1997,MATCH(B292,SKUs!$C$6:$C$1997,0)),"")</f>
        <v>VISEIRA</v>
      </c>
      <c r="E292" s="28" t="str">
        <f>IFERROR(VLOOKUP(D292,Configurações!$N$5:$O$46,2,FALSE()),"OUTROS")</f>
        <v>VESTUÁRIO</v>
      </c>
      <c r="F292" s="2" t="str">
        <f>IFERROR(INDEX(SKUs!$F$6:$F$1997,MATCH(B292,SKUs!$C$6:$C$1997,0)),"")</f>
        <v>VISEIRA BIC- ELASTICO</v>
      </c>
      <c r="G292" s="2" t="str">
        <f>IFERROR(INDEX(SKUs!$G$6:$G$1997,MATCH(B292,SKUs!$C$6:$C$1997,0)),"")</f>
        <v>AZUL</v>
      </c>
      <c r="H292" s="25" t="str">
        <f>IFERROR(INDEX(SKUs!$H$6:$H$1997,MATCH(B292,SKUs!$C$6:$C$1997,0)),"")</f>
        <v>UNICO</v>
      </c>
      <c r="I292" s="4" t="str">
        <f>IFERROR(INDEX(SKUs!#REF!,MATCH(B292,SKUs!$C$6:$C$1997,0)),"")</f>
        <v/>
      </c>
      <c r="J292" s="3">
        <f>SUMIFS(SKUs!$I$6:$I$1997,SKUs!$C$6:$C$1997,B292)</f>
        <v>0</v>
      </c>
      <c r="K292" s="4">
        <f t="shared" si="17"/>
        <v>0</v>
      </c>
      <c r="L292" s="3">
        <f>COUNTIF(SKUs!$C$6:$C$1997,B292)</f>
        <v>1</v>
      </c>
      <c r="M292" s="29">
        <v>10</v>
      </c>
      <c r="N292" s="29"/>
      <c r="O292" s="29"/>
      <c r="P292" s="29"/>
      <c r="Q292" s="29"/>
      <c r="R292" s="29"/>
      <c r="S292" s="29"/>
      <c r="T292" s="29"/>
      <c r="U292" s="30">
        <f t="shared" si="18"/>
        <v>10</v>
      </c>
      <c r="V292" s="31">
        <f t="shared" si="19"/>
        <v>0</v>
      </c>
    </row>
    <row r="293" spans="1:22" ht="14.25" hidden="1" customHeight="1" x14ac:dyDescent="0.3">
      <c r="A293" s="32">
        <v>286</v>
      </c>
      <c r="B293" s="26" t="s">
        <v>337</v>
      </c>
      <c r="C293" s="27" t="str">
        <f t="shared" si="16"/>
        <v>—</v>
      </c>
      <c r="D293" s="33" t="str">
        <f>IFERROR(INDEX(SKUs!$E$6:$E$1997,MATCH(B293,SKUs!$C$6:$C$1997,0)),"")</f>
        <v>VISEIRA</v>
      </c>
      <c r="E293" s="28" t="str">
        <f>IFERROR(VLOOKUP(D293,Configurações!$N$5:$O$46,2,FALSE()),"OUTROS")</f>
        <v>VESTUÁRIO</v>
      </c>
      <c r="F293" s="33" t="str">
        <f>IFERROR(INDEX(SKUs!$F$6:$F$1997,MATCH(B293,SKUs!$C$6:$C$1997,0)),"")</f>
        <v>VISEIRA BIC- ELASTICO</v>
      </c>
      <c r="G293" s="33" t="str">
        <f>IFERROR(INDEX(SKUs!$G$6:$G$1997,MATCH(B293,SKUs!$C$6:$C$1997,0)),"")</f>
        <v>PRETA</v>
      </c>
      <c r="H293" s="32" t="str">
        <f>IFERROR(INDEX(SKUs!$H$6:$H$1997,MATCH(B293,SKUs!$C$6:$C$1997,0)),"")</f>
        <v>UNICO</v>
      </c>
      <c r="I293" s="34" t="str">
        <f>IFERROR(INDEX(SKUs!#REF!,MATCH(B293,SKUs!$C$6:$C$1997,0)),"")</f>
        <v/>
      </c>
      <c r="J293" s="35">
        <f>SUMIFS(SKUs!$I$6:$I$1997,SKUs!$C$6:$C$1997,B293)</f>
        <v>0</v>
      </c>
      <c r="K293" s="34">
        <f t="shared" si="17"/>
        <v>0</v>
      </c>
      <c r="L293" s="35">
        <f>COUNTIF(SKUs!$C$6:$C$1997,B293)</f>
        <v>1</v>
      </c>
      <c r="M293" s="29">
        <v>12</v>
      </c>
      <c r="N293" s="29"/>
      <c r="O293" s="29"/>
      <c r="P293" s="29"/>
      <c r="Q293" s="29"/>
      <c r="R293" s="29"/>
      <c r="S293" s="29"/>
      <c r="T293" s="29"/>
      <c r="U293" s="30">
        <f t="shared" si="18"/>
        <v>12</v>
      </c>
      <c r="V293" s="31">
        <f t="shared" si="19"/>
        <v>0</v>
      </c>
    </row>
    <row r="294" spans="1:22" ht="14.25" hidden="1" customHeight="1" x14ac:dyDescent="0.3">
      <c r="A294" s="25">
        <v>287</v>
      </c>
      <c r="B294" s="26" t="s">
        <v>338</v>
      </c>
      <c r="C294" s="27" t="str">
        <f t="shared" si="16"/>
        <v>—</v>
      </c>
      <c r="D294" s="2" t="str">
        <f>IFERROR(INDEX(SKUs!$E$6:$E$1997,MATCH(B294,SKUs!$C$6:$C$1997,0)),"")</f>
        <v>LANCHEIRA</v>
      </c>
      <c r="E294" s="28" t="str">
        <f>IFERROR(VLOOKUP(D294,Configurações!$N$5:$O$46,2,FALSE()),"OUTROS")</f>
        <v>BOLSAS E MALAS</v>
      </c>
      <c r="F294" s="2" t="str">
        <f>IFERROR(INDEX(SKUs!$F$6:$F$1997,MATCH(B294,SKUs!$C$6:$C$1997,0)),"")</f>
        <v>LANCHEIRA TERMICA GG</v>
      </c>
      <c r="G294" s="2" t="str">
        <f>IFERROR(INDEX(SKUs!$G$6:$G$1997,MATCH(B294,SKUs!$C$6:$C$1997,0)),"")</f>
        <v>CINZA</v>
      </c>
      <c r="H294" s="25" t="str">
        <f>IFERROR(INDEX(SKUs!$H$6:$H$1997,MATCH(B294,SKUs!$C$6:$C$1997,0)),"")</f>
        <v>UNICO</v>
      </c>
      <c r="I294" s="4" t="str">
        <f>IFERROR(INDEX(SKUs!#REF!,MATCH(B294,SKUs!$C$6:$C$1997,0)),"")</f>
        <v/>
      </c>
      <c r="J294" s="3">
        <f>SUMIFS(SKUs!$I$6:$I$1997,SKUs!$C$6:$C$1997,B294)</f>
        <v>48</v>
      </c>
      <c r="K294" s="4">
        <f t="shared" si="17"/>
        <v>0</v>
      </c>
      <c r="L294" s="3">
        <f>COUNTIF(SKUs!$C$6:$C$1997,B294)</f>
        <v>7</v>
      </c>
      <c r="M294" s="29">
        <v>30</v>
      </c>
      <c r="N294" s="29"/>
      <c r="O294" s="29"/>
      <c r="P294" s="29"/>
      <c r="Q294" s="29"/>
      <c r="R294" s="29"/>
      <c r="S294" s="29"/>
      <c r="T294" s="29"/>
      <c r="U294" s="30">
        <f t="shared" si="18"/>
        <v>30</v>
      </c>
      <c r="V294" s="31">
        <f t="shared" si="19"/>
        <v>48</v>
      </c>
    </row>
    <row r="295" spans="1:22" ht="14.25" hidden="1" customHeight="1" x14ac:dyDescent="0.3">
      <c r="A295" s="32">
        <v>288</v>
      </c>
      <c r="B295" s="26" t="s">
        <v>339</v>
      </c>
      <c r="C295" s="27" t="str">
        <f t="shared" si="16"/>
        <v>—</v>
      </c>
      <c r="D295" s="33" t="str">
        <f>IFERROR(INDEX(SKUs!$E$6:$E$1997,MATCH(B295,SKUs!$C$6:$C$1997,0)),"")</f>
        <v>TOALHA</v>
      </c>
      <c r="E295" s="28" t="str">
        <f>IFERROR(VLOOKUP(D295,Configurações!$N$5:$O$46,2,FALSE()),"OUTROS")</f>
        <v>ACESSÓRIOS</v>
      </c>
      <c r="F295" s="33" t="str">
        <f>IFERROR(INDEX(SKUs!$F$6:$F$1997,MATCH(B295,SKUs!$C$6:$C$1997,0)),"")</f>
        <v>TOALHA DE ACADEMIA</v>
      </c>
      <c r="G295" s="33" t="str">
        <f>IFERROR(INDEX(SKUs!$G$6:$G$1997,MATCH(B295,SKUs!$C$6:$C$1997,0)),"")</f>
        <v>AZUL</v>
      </c>
      <c r="H295" s="32" t="str">
        <f>IFERROR(INDEX(SKUs!$H$6:$H$1997,MATCH(B295,SKUs!$C$6:$C$1997,0)),"")</f>
        <v>UNICO</v>
      </c>
      <c r="I295" s="34" t="str">
        <f>IFERROR(INDEX(SKUs!#REF!,MATCH(B295,SKUs!$C$6:$C$1997,0)),"")</f>
        <v/>
      </c>
      <c r="J295" s="35">
        <f>SUMIFS(SKUs!$I$6:$I$1997,SKUs!$C$6:$C$1997,B295)</f>
        <v>1393</v>
      </c>
      <c r="K295" s="34">
        <f t="shared" si="17"/>
        <v>0</v>
      </c>
      <c r="L295" s="35">
        <f>COUNTIF(SKUs!$C$6:$C$1997,B295)</f>
        <v>35</v>
      </c>
      <c r="M295" s="29"/>
      <c r="N295" s="29"/>
      <c r="O295" s="29"/>
      <c r="P295" s="29"/>
      <c r="Q295" s="29"/>
      <c r="R295" s="29"/>
      <c r="S295" s="29"/>
      <c r="T295" s="29"/>
      <c r="U295" s="30">
        <f t="shared" si="18"/>
        <v>0</v>
      </c>
      <c r="V295" s="31">
        <f t="shared" si="19"/>
        <v>1393</v>
      </c>
    </row>
    <row r="296" spans="1:22" ht="14.25" hidden="1" customHeight="1" x14ac:dyDescent="0.3">
      <c r="A296" s="25">
        <v>289</v>
      </c>
      <c r="B296" s="26" t="s">
        <v>340</v>
      </c>
      <c r="C296" s="27" t="str">
        <f t="shared" si="16"/>
        <v>—</v>
      </c>
      <c r="D296" s="2" t="str">
        <f>IFERROR(INDEX(SKUs!$E$6:$E$1997,MATCH(B296,SKUs!$C$6:$C$1997,0)),"")</f>
        <v>SACOLA</v>
      </c>
      <c r="E296" s="28" t="str">
        <f>IFERROR(VLOOKUP(D296,Configurações!$N$5:$O$46,2,FALSE()),"OUTROS")</f>
        <v>BOLSAS E MALAS</v>
      </c>
      <c r="F296" s="2" t="str">
        <f>IFERROR(INDEX(SKUs!$F$6:$F$1997,MATCH(B296,SKUs!$C$6:$C$1997,0)),"")</f>
        <v>SACOLA AZUL</v>
      </c>
      <c r="G296" s="2" t="str">
        <f>IFERROR(INDEX(SKUs!$G$6:$G$1997,MATCH(B296,SKUs!$C$6:$C$1997,0)),"")</f>
        <v>AZUL</v>
      </c>
      <c r="H296" s="25" t="str">
        <f>IFERROR(INDEX(SKUs!$H$6:$H$1997,MATCH(B296,SKUs!$C$6:$C$1997,0)),"")</f>
        <v>UNICO</v>
      </c>
      <c r="I296" s="4" t="str">
        <f>IFERROR(INDEX(SKUs!#REF!,MATCH(B296,SKUs!$C$6:$C$1997,0)),"")</f>
        <v/>
      </c>
      <c r="J296" s="3">
        <f>SUMIFS(SKUs!$I$6:$I$1997,SKUs!$C$6:$C$1997,B296)</f>
        <v>22</v>
      </c>
      <c r="K296" s="4">
        <f t="shared" si="17"/>
        <v>0</v>
      </c>
      <c r="L296" s="3">
        <f>COUNTIF(SKUs!$C$6:$C$1997,B296)</f>
        <v>1</v>
      </c>
      <c r="M296" s="29"/>
      <c r="N296" s="29"/>
      <c r="O296" s="29"/>
      <c r="P296" s="29"/>
      <c r="Q296" s="29"/>
      <c r="R296" s="29"/>
      <c r="S296" s="29"/>
      <c r="T296" s="29"/>
      <c r="U296" s="30">
        <f t="shared" si="18"/>
        <v>0</v>
      </c>
      <c r="V296" s="31">
        <f t="shared" si="19"/>
        <v>22</v>
      </c>
    </row>
    <row r="297" spans="1:22" ht="14.25" hidden="1" customHeight="1" x14ac:dyDescent="0.3">
      <c r="A297" s="32">
        <v>290</v>
      </c>
      <c r="B297" s="26" t="s">
        <v>341</v>
      </c>
      <c r="C297" s="27" t="str">
        <f t="shared" si="16"/>
        <v>—</v>
      </c>
      <c r="D297" s="33" t="str">
        <f>IFERROR(INDEX(SKUs!$E$6:$E$1997,MATCH(B297,SKUs!$C$6:$C$1997,0)),"")</f>
        <v>SACOLA</v>
      </c>
      <c r="E297" s="28" t="str">
        <f>IFERROR(VLOOKUP(D297,Configurações!$N$5:$O$46,2,FALSE()),"OUTROS")</f>
        <v>BOLSAS E MALAS</v>
      </c>
      <c r="F297" s="33" t="str">
        <f>IFERROR(INDEX(SKUs!$F$6:$F$1997,MATCH(B297,SKUs!$C$6:$C$1997,0)),"")</f>
        <v>SACOLA BTG - QUADRADA</v>
      </c>
      <c r="G297" s="33" t="str">
        <f>IFERROR(INDEX(SKUs!$G$6:$G$1997,MATCH(B297,SKUs!$C$6:$C$1997,0)),"")</f>
        <v>BRANCA</v>
      </c>
      <c r="H297" s="32" t="str">
        <f>IFERROR(INDEX(SKUs!$H$6:$H$1997,MATCH(B297,SKUs!$C$6:$C$1997,0)),"")</f>
        <v>N3</v>
      </c>
      <c r="I297" s="34" t="str">
        <f>IFERROR(INDEX(SKUs!#REF!,MATCH(B297,SKUs!$C$6:$C$1997,0)),"")</f>
        <v/>
      </c>
      <c r="J297" s="35">
        <f>SUMIFS(SKUs!$I$6:$I$1997,SKUs!$C$6:$C$1997,B297)</f>
        <v>1162</v>
      </c>
      <c r="K297" s="34">
        <f t="shared" si="17"/>
        <v>0</v>
      </c>
      <c r="L297" s="35">
        <f>COUNTIF(SKUs!$C$6:$C$1997,B297)</f>
        <v>7</v>
      </c>
      <c r="M297" s="29"/>
      <c r="N297" s="29"/>
      <c r="O297" s="29"/>
      <c r="P297" s="29"/>
      <c r="Q297" s="29"/>
      <c r="R297" s="29"/>
      <c r="S297" s="29"/>
      <c r="T297" s="29"/>
      <c r="U297" s="30">
        <f t="shared" si="18"/>
        <v>0</v>
      </c>
      <c r="V297" s="31">
        <f t="shared" si="19"/>
        <v>1162</v>
      </c>
    </row>
    <row r="298" spans="1:22" ht="14.25" hidden="1" customHeight="1" x14ac:dyDescent="0.3">
      <c r="A298" s="25">
        <v>291</v>
      </c>
      <c r="B298" s="26" t="s">
        <v>342</v>
      </c>
      <c r="C298" s="27" t="str">
        <f t="shared" si="16"/>
        <v>—</v>
      </c>
      <c r="D298" s="2" t="str">
        <f>IFERROR(INDEX(SKUs!$E$6:$E$1997,MATCH(B298,SKUs!$C$6:$C$1997,0)),"")</f>
        <v>SACOLA</v>
      </c>
      <c r="E298" s="28" t="str">
        <f>IFERROR(VLOOKUP(D298,Configurações!$N$5:$O$46,2,FALSE()),"OUTROS")</f>
        <v>BOLSAS E MALAS</v>
      </c>
      <c r="F298" s="2" t="str">
        <f>IFERROR(INDEX(SKUs!$F$6:$F$1997,MATCH(B298,SKUs!$C$6:$C$1997,0)),"")</f>
        <v>SACOLA BTG - QUADRADA</v>
      </c>
      <c r="G298" s="2" t="str">
        <f>IFERROR(INDEX(SKUs!$G$6:$G$1997,MATCH(B298,SKUs!$C$6:$C$1997,0)),"")</f>
        <v>BRANCA</v>
      </c>
      <c r="H298" s="25" t="str">
        <f>IFERROR(INDEX(SKUs!$H$6:$H$1997,MATCH(B298,SKUs!$C$6:$C$1997,0)),"")</f>
        <v>N1</v>
      </c>
      <c r="I298" s="4" t="str">
        <f>IFERROR(INDEX(SKUs!#REF!,MATCH(B298,SKUs!$C$6:$C$1997,0)),"")</f>
        <v/>
      </c>
      <c r="J298" s="3">
        <f>SUMIFS(SKUs!$I$6:$I$1997,SKUs!$C$6:$C$1997,B298)</f>
        <v>495</v>
      </c>
      <c r="K298" s="4">
        <f t="shared" si="17"/>
        <v>0</v>
      </c>
      <c r="L298" s="3">
        <f>COUNTIF(SKUs!$C$6:$C$1997,B298)</f>
        <v>5</v>
      </c>
      <c r="M298" s="29"/>
      <c r="N298" s="29"/>
      <c r="O298" s="29"/>
      <c r="P298" s="29"/>
      <c r="Q298" s="29"/>
      <c r="R298" s="29"/>
      <c r="S298" s="29"/>
      <c r="T298" s="29"/>
      <c r="U298" s="30">
        <f t="shared" si="18"/>
        <v>0</v>
      </c>
      <c r="V298" s="31">
        <f t="shared" si="19"/>
        <v>495</v>
      </c>
    </row>
    <row r="299" spans="1:22" ht="14.25" hidden="1" customHeight="1" x14ac:dyDescent="0.3">
      <c r="A299" s="32">
        <v>292</v>
      </c>
      <c r="B299" s="26" t="s">
        <v>343</v>
      </c>
      <c r="C299" s="27" t="str">
        <f t="shared" si="16"/>
        <v>—</v>
      </c>
      <c r="D299" s="33" t="str">
        <f>IFERROR(INDEX(SKUs!$E$6:$E$1997,MATCH(B299,SKUs!$C$6:$C$1997,0)),"")</f>
        <v>MATERIAL DE EVENTO</v>
      </c>
      <c r="E299" s="28" t="str">
        <f>IFERROR(VLOOKUP(D299,Configurações!$N$5:$O$46,2,FALSE()),"OUTROS")</f>
        <v>MATERIAL DE EVENTO</v>
      </c>
      <c r="F299" s="33" t="str">
        <f>IFERROR(INDEX(SKUs!$F$6:$F$1997,MATCH(B299,SKUs!$C$6:$C$1997,0)),"")</f>
        <v>CABIDE</v>
      </c>
      <c r="G299" s="33" t="str">
        <f>IFERROR(INDEX(SKUs!$G$6:$G$1997,MATCH(B299,SKUs!$C$6:$C$1997,0)),"")</f>
        <v>PRETA</v>
      </c>
      <c r="H299" s="32" t="str">
        <f>IFERROR(INDEX(SKUs!$H$6:$H$1997,MATCH(B299,SKUs!$C$6:$C$1997,0)),"")</f>
        <v>UNICO</v>
      </c>
      <c r="I299" s="34" t="str">
        <f>IFERROR(INDEX(SKUs!#REF!,MATCH(B299,SKUs!$C$6:$C$1997,0)),"")</f>
        <v/>
      </c>
      <c r="J299" s="35">
        <f>SUMIFS(SKUs!$I$6:$I$1997,SKUs!$C$6:$C$1997,B299)</f>
        <v>69</v>
      </c>
      <c r="K299" s="34">
        <f t="shared" si="17"/>
        <v>0</v>
      </c>
      <c r="L299" s="35">
        <f>COUNTIF(SKUs!$C$6:$C$1997,B299)</f>
        <v>2</v>
      </c>
      <c r="M299" s="29"/>
      <c r="N299" s="29"/>
      <c r="O299" s="29"/>
      <c r="P299" s="29"/>
      <c r="Q299" s="29"/>
      <c r="R299" s="29"/>
      <c r="S299" s="29"/>
      <c r="T299" s="29"/>
      <c r="U299" s="30">
        <f t="shared" si="18"/>
        <v>0</v>
      </c>
      <c r="V299" s="31">
        <f t="shared" si="19"/>
        <v>69</v>
      </c>
    </row>
    <row r="300" spans="1:22" ht="14.25" hidden="1" customHeight="1" x14ac:dyDescent="0.3">
      <c r="A300" s="25">
        <v>293</v>
      </c>
      <c r="B300" s="26" t="s">
        <v>344</v>
      </c>
      <c r="C300" s="27" t="str">
        <f t="shared" si="16"/>
        <v>—</v>
      </c>
      <c r="D300" s="2" t="str">
        <f>IFERROR(INDEX(SKUs!$E$6:$E$1997,MATCH(B300,SKUs!$C$6:$C$1997,0)),"")</f>
        <v>GUARDA CHUVA</v>
      </c>
      <c r="E300" s="28" t="str">
        <f>IFERROR(VLOOKUP(D300,Configurações!$N$5:$O$46,2,FALSE()),"OUTROS")</f>
        <v>ACESSÓRIOS</v>
      </c>
      <c r="F300" s="2" t="str">
        <f>IFERROR(INDEX(SKUs!$F$6:$F$1997,MATCH(B300,SKUs!$C$6:$C$1997,0)),"")</f>
        <v>GUARDA CHUVA BTG</v>
      </c>
      <c r="G300" s="2" t="str">
        <f>IFERROR(INDEX(SKUs!$G$6:$G$1997,MATCH(B300,SKUs!$C$6:$C$1997,0)),"")</f>
        <v>PRETA</v>
      </c>
      <c r="H300" s="25" t="str">
        <f>IFERROR(INDEX(SKUs!$H$6:$H$1997,MATCH(B300,SKUs!$C$6:$C$1997,0)),"")</f>
        <v>UNICO</v>
      </c>
      <c r="I300" s="4" t="str">
        <f>IFERROR(INDEX(SKUs!#REF!,MATCH(B300,SKUs!$C$6:$C$1997,0)),"")</f>
        <v/>
      </c>
      <c r="J300" s="3">
        <f>SUMIFS(SKUs!$I$6:$I$1997,SKUs!$C$6:$C$1997,B300)</f>
        <v>10</v>
      </c>
      <c r="K300" s="4">
        <f t="shared" si="17"/>
        <v>0</v>
      </c>
      <c r="L300" s="3">
        <f>COUNTIF(SKUs!$C$6:$C$1997,B300)</f>
        <v>2</v>
      </c>
      <c r="M300" s="29"/>
      <c r="N300" s="29"/>
      <c r="O300" s="29"/>
      <c r="P300" s="29"/>
      <c r="Q300" s="29"/>
      <c r="R300" s="29"/>
      <c r="S300" s="29"/>
      <c r="T300" s="29"/>
      <c r="U300" s="30">
        <f t="shared" si="18"/>
        <v>0</v>
      </c>
      <c r="V300" s="31">
        <f t="shared" si="19"/>
        <v>10</v>
      </c>
    </row>
    <row r="301" spans="1:22" ht="14.25" hidden="1" customHeight="1" x14ac:dyDescent="0.3">
      <c r="A301" s="32">
        <v>294</v>
      </c>
      <c r="B301" s="26" t="s">
        <v>345</v>
      </c>
      <c r="C301" s="27" t="str">
        <f t="shared" si="16"/>
        <v>—</v>
      </c>
      <c r="D301" s="33" t="str">
        <f>IFERROR(INDEX(SKUs!$E$6:$E$1997,MATCH(B301,SKUs!$C$6:$C$1997,0)),"")</f>
        <v>GUARDA CHUVA</v>
      </c>
      <c r="E301" s="28" t="str">
        <f>IFERROR(VLOOKUP(D301,Configurações!$N$5:$O$46,2,FALSE()),"OUTROS")</f>
        <v>ACESSÓRIOS</v>
      </c>
      <c r="F301" s="33" t="str">
        <f>IFERROR(INDEX(SKUs!$F$6:$F$1997,MATCH(B301,SKUs!$C$6:$C$1997,0)),"")</f>
        <v>GUARDA CHUVA BTG</v>
      </c>
      <c r="G301" s="33" t="str">
        <f>IFERROR(INDEX(SKUs!$G$6:$G$1997,MATCH(B301,SKUs!$C$6:$C$1997,0)),"")</f>
        <v>AZUL MARINHO</v>
      </c>
      <c r="H301" s="32" t="str">
        <f>IFERROR(INDEX(SKUs!$H$6:$H$1997,MATCH(B301,SKUs!$C$6:$C$1997,0)),"")</f>
        <v>UNICO</v>
      </c>
      <c r="I301" s="34" t="str">
        <f>IFERROR(INDEX(SKUs!#REF!,MATCH(B301,SKUs!$C$6:$C$1997,0)),"")</f>
        <v/>
      </c>
      <c r="J301" s="35">
        <f>SUMIFS(SKUs!$I$6:$I$1997,SKUs!$C$6:$C$1997,B301)</f>
        <v>7</v>
      </c>
      <c r="K301" s="34">
        <f t="shared" si="17"/>
        <v>0</v>
      </c>
      <c r="L301" s="35">
        <f>COUNTIF(SKUs!$C$6:$C$1997,B301)</f>
        <v>2</v>
      </c>
      <c r="M301" s="29"/>
      <c r="N301" s="29"/>
      <c r="O301" s="29"/>
      <c r="P301" s="29"/>
      <c r="Q301" s="29"/>
      <c r="R301" s="29"/>
      <c r="S301" s="29"/>
      <c r="T301" s="29"/>
      <c r="U301" s="30">
        <f t="shared" si="18"/>
        <v>0</v>
      </c>
      <c r="V301" s="31">
        <f t="shared" si="19"/>
        <v>7</v>
      </c>
    </row>
    <row r="302" spans="1:22" ht="14.25" hidden="1" customHeight="1" x14ac:dyDescent="0.3">
      <c r="A302" s="25">
        <v>295</v>
      </c>
      <c r="B302" s="26" t="s">
        <v>346</v>
      </c>
      <c r="C302" s="27" t="str">
        <f t="shared" si="16"/>
        <v>—</v>
      </c>
      <c r="D302" s="2" t="str">
        <f>IFERROR(INDEX(SKUs!$E$6:$E$1997,MATCH(B302,SKUs!$C$6:$C$1997,0)),"")</f>
        <v>RAQUETEIRA</v>
      </c>
      <c r="E302" s="28" t="str">
        <f>IFERROR(VLOOKUP(D302,Configurações!$N$5:$O$46,2,FALSE()),"OUTROS")</f>
        <v>BOLSAS E MALAS</v>
      </c>
      <c r="F302" s="2" t="str">
        <f>IFERROR(INDEX(SKUs!$F$6:$F$1997,MATCH(B302,SKUs!$C$6:$C$1997,0)),"")</f>
        <v>RAQUETEIRA</v>
      </c>
      <c r="G302" s="2" t="str">
        <f>IFERROR(INDEX(SKUs!$G$6:$G$1997,MATCH(B302,SKUs!$C$6:$C$1997,0)),"")</f>
        <v>PRETA</v>
      </c>
      <c r="H302" s="25" t="str">
        <f>IFERROR(INDEX(SKUs!$H$6:$H$1997,MATCH(B302,SKUs!$C$6:$C$1997,0)),"")</f>
        <v>UNICO</v>
      </c>
      <c r="I302" s="4" t="str">
        <f>IFERROR(INDEX(SKUs!#REF!,MATCH(B302,SKUs!$C$6:$C$1997,0)),"")</f>
        <v/>
      </c>
      <c r="J302" s="3">
        <f>SUMIFS(SKUs!$I$6:$I$1997,SKUs!$C$6:$C$1997,B302)</f>
        <v>21</v>
      </c>
      <c r="K302" s="4">
        <f t="shared" si="17"/>
        <v>0</v>
      </c>
      <c r="L302" s="3">
        <f>COUNTIF(SKUs!$C$6:$C$1997,B302)</f>
        <v>1</v>
      </c>
      <c r="M302" s="29"/>
      <c r="N302" s="29"/>
      <c r="O302" s="29"/>
      <c r="P302" s="29"/>
      <c r="Q302" s="29"/>
      <c r="R302" s="29"/>
      <c r="S302" s="29"/>
      <c r="T302" s="29"/>
      <c r="U302" s="30">
        <f t="shared" si="18"/>
        <v>0</v>
      </c>
      <c r="V302" s="31">
        <f t="shared" si="19"/>
        <v>21</v>
      </c>
    </row>
    <row r="303" spans="1:22" ht="14.25" hidden="1" customHeight="1" x14ac:dyDescent="0.3">
      <c r="A303" s="32">
        <v>296</v>
      </c>
      <c r="B303" s="26" t="s">
        <v>347</v>
      </c>
      <c r="C303" s="27" t="str">
        <f t="shared" si="16"/>
        <v>—</v>
      </c>
      <c r="D303" s="33" t="str">
        <f>IFERROR(INDEX(SKUs!$E$6:$E$1997,MATCH(B303,SKUs!$C$6:$C$1997,0)),"")</f>
        <v>MALINHA</v>
      </c>
      <c r="E303" s="28" t="str">
        <f>IFERROR(VLOOKUP(D303,Configurações!$N$5:$O$46,2,FALSE()),"OUTROS")</f>
        <v>BOLSAS E MALAS</v>
      </c>
      <c r="F303" s="33" t="str">
        <f>IFERROR(INDEX(SKUs!$F$6:$F$1997,MATCH(B303,SKUs!$C$6:$C$1997,0)),"")</f>
        <v>MALINHA DE MÃO</v>
      </c>
      <c r="G303" s="33" t="str">
        <f>IFERROR(INDEX(SKUs!$G$6:$G$1997,MATCH(B303,SKUs!$C$6:$C$1997,0)),"")</f>
        <v>AZUL</v>
      </c>
      <c r="H303" s="32" t="str">
        <f>IFERROR(INDEX(SKUs!$H$6:$H$1997,MATCH(B303,SKUs!$C$6:$C$1997,0)),"")</f>
        <v>UNICO</v>
      </c>
      <c r="I303" s="34" t="str">
        <f>IFERROR(INDEX(SKUs!#REF!,MATCH(B303,SKUs!$C$6:$C$1997,0)),"")</f>
        <v/>
      </c>
      <c r="J303" s="35">
        <f>SUMIFS(SKUs!$I$6:$I$1997,SKUs!$C$6:$C$1997,B303)</f>
        <v>14</v>
      </c>
      <c r="K303" s="34">
        <f t="shared" si="17"/>
        <v>0</v>
      </c>
      <c r="L303" s="35">
        <f>COUNTIF(SKUs!$C$6:$C$1997,B303)</f>
        <v>1</v>
      </c>
      <c r="M303" s="29"/>
      <c r="N303" s="29"/>
      <c r="O303" s="29"/>
      <c r="P303" s="29"/>
      <c r="Q303" s="29"/>
      <c r="R303" s="29"/>
      <c r="S303" s="29"/>
      <c r="T303" s="29"/>
      <c r="U303" s="30">
        <f t="shared" si="18"/>
        <v>0</v>
      </c>
      <c r="V303" s="31">
        <f t="shared" si="19"/>
        <v>14</v>
      </c>
    </row>
    <row r="304" spans="1:22" ht="14.25" hidden="1" customHeight="1" x14ac:dyDescent="0.3">
      <c r="A304" s="25">
        <v>297</v>
      </c>
      <c r="B304" s="26" t="s">
        <v>348</v>
      </c>
      <c r="C304" s="27" t="str">
        <f t="shared" si="16"/>
        <v>—</v>
      </c>
      <c r="D304" s="2" t="str">
        <f>IFERROR(INDEX(SKUs!$E$6:$E$1997,MATCH(B304,SKUs!$C$6:$C$1997,0)),"")</f>
        <v>MALINHA</v>
      </c>
      <c r="E304" s="28" t="str">
        <f>IFERROR(VLOOKUP(D304,Configurações!$N$5:$O$46,2,FALSE()),"OUTROS")</f>
        <v>BOLSAS E MALAS</v>
      </c>
      <c r="F304" s="2" t="str">
        <f>IFERROR(INDEX(SKUs!$F$6:$F$1997,MATCH(B304,SKUs!$C$6:$C$1997,0)),"")</f>
        <v>MALINHA DE MÃO</v>
      </c>
      <c r="G304" s="2" t="str">
        <f>IFERROR(INDEX(SKUs!$G$6:$G$1997,MATCH(B304,SKUs!$C$6:$C$1997,0)),"")</f>
        <v>AZUL ROYAL</v>
      </c>
      <c r="H304" s="25" t="str">
        <f>IFERROR(INDEX(SKUs!$H$6:$H$1997,MATCH(B304,SKUs!$C$6:$C$1997,0)),"")</f>
        <v>UNICO</v>
      </c>
      <c r="I304" s="4" t="str">
        <f>IFERROR(INDEX(SKUs!#REF!,MATCH(B304,SKUs!$C$6:$C$1997,0)),"")</f>
        <v/>
      </c>
      <c r="J304" s="3">
        <f>SUMIFS(SKUs!$I$6:$I$1997,SKUs!$C$6:$C$1997,B304)</f>
        <v>0</v>
      </c>
      <c r="K304" s="4">
        <f t="shared" si="17"/>
        <v>0</v>
      </c>
      <c r="L304" s="3">
        <f>COUNTIF(SKUs!$C$6:$C$1997,B304)</f>
        <v>1</v>
      </c>
      <c r="M304" s="29">
        <v>24</v>
      </c>
      <c r="N304" s="29"/>
      <c r="O304" s="29"/>
      <c r="P304" s="29"/>
      <c r="Q304" s="29"/>
      <c r="R304" s="29"/>
      <c r="S304" s="29"/>
      <c r="T304" s="29"/>
      <c r="U304" s="30">
        <f t="shared" si="18"/>
        <v>24</v>
      </c>
      <c r="V304" s="31">
        <f t="shared" si="19"/>
        <v>0</v>
      </c>
    </row>
    <row r="305" spans="1:22" ht="14.25" hidden="1" customHeight="1" x14ac:dyDescent="0.3">
      <c r="A305" s="32">
        <v>298</v>
      </c>
      <c r="B305" s="26" t="s">
        <v>349</v>
      </c>
      <c r="C305" s="27" t="str">
        <f t="shared" si="16"/>
        <v>—</v>
      </c>
      <c r="D305" s="33" t="str">
        <f>IFERROR(INDEX(SKUs!$E$6:$E$1997,MATCH(B305,SKUs!$C$6:$C$1997,0)),"")</f>
        <v>MALINHA</v>
      </c>
      <c r="E305" s="28" t="str">
        <f>IFERROR(VLOOKUP(D305,Configurações!$N$5:$O$46,2,FALSE()),"OUTROS")</f>
        <v>BOLSAS E MALAS</v>
      </c>
      <c r="F305" s="33" t="str">
        <f>IFERROR(INDEX(SKUs!$F$6:$F$1997,MATCH(B305,SKUs!$C$6:$C$1997,0)),"")</f>
        <v>MALINHA DE MÃO</v>
      </c>
      <c r="G305" s="33" t="str">
        <f>IFERROR(INDEX(SKUs!$G$6:$G$1997,MATCH(B305,SKUs!$C$6:$C$1997,0)),"")</f>
        <v>BRANCA</v>
      </c>
      <c r="H305" s="32" t="str">
        <f>IFERROR(INDEX(SKUs!$H$6:$H$1997,MATCH(B305,SKUs!$C$6:$C$1997,0)),"")</f>
        <v>UNICO</v>
      </c>
      <c r="I305" s="34" t="str">
        <f>IFERROR(INDEX(SKUs!#REF!,MATCH(B305,SKUs!$C$6:$C$1997,0)),"")</f>
        <v/>
      </c>
      <c r="J305" s="35">
        <f>SUMIFS(SKUs!$I$6:$I$1997,SKUs!$C$6:$C$1997,B305)</f>
        <v>19</v>
      </c>
      <c r="K305" s="34">
        <f t="shared" si="17"/>
        <v>0</v>
      </c>
      <c r="L305" s="35">
        <f>COUNTIF(SKUs!$C$6:$C$1997,B305)</f>
        <v>1</v>
      </c>
      <c r="M305" s="29"/>
      <c r="N305" s="29"/>
      <c r="O305" s="29"/>
      <c r="P305" s="29"/>
      <c r="Q305" s="29"/>
      <c r="R305" s="29"/>
      <c r="S305" s="29"/>
      <c r="T305" s="29"/>
      <c r="U305" s="30">
        <f t="shared" si="18"/>
        <v>0</v>
      </c>
      <c r="V305" s="31">
        <f t="shared" si="19"/>
        <v>19</v>
      </c>
    </row>
    <row r="306" spans="1:22" ht="14.25" hidden="1" customHeight="1" x14ac:dyDescent="0.3">
      <c r="A306" s="25">
        <v>299</v>
      </c>
      <c r="B306" s="26" t="s">
        <v>350</v>
      </c>
      <c r="C306" s="27" t="str">
        <f t="shared" si="16"/>
        <v>—</v>
      </c>
      <c r="D306" s="2" t="str">
        <f>IFERROR(INDEX(SKUs!$E$6:$E$1997,MATCH(B306,SKUs!$C$6:$C$1997,0)),"")</f>
        <v>MALINHA</v>
      </c>
      <c r="E306" s="28" t="str">
        <f>IFERROR(VLOOKUP(D306,Configurações!$N$5:$O$46,2,FALSE()),"OUTROS")</f>
        <v>BOLSAS E MALAS</v>
      </c>
      <c r="F306" s="2" t="str">
        <f>IFERROR(INDEX(SKUs!$F$6:$F$1997,MATCH(B306,SKUs!$C$6:$C$1997,0)),"")</f>
        <v>MALINHA DE MÃO</v>
      </c>
      <c r="G306" s="2" t="str">
        <f>IFERROR(INDEX(SKUs!$G$6:$G$1997,MATCH(B306,SKUs!$C$6:$C$1997,0)),"")</f>
        <v>PRETA</v>
      </c>
      <c r="H306" s="25" t="str">
        <f>IFERROR(INDEX(SKUs!$H$6:$H$1997,MATCH(B306,SKUs!$C$6:$C$1997,0)),"")</f>
        <v>UNICO</v>
      </c>
      <c r="I306" s="4" t="str">
        <f>IFERROR(INDEX(SKUs!#REF!,MATCH(B306,SKUs!$C$6:$C$1997,0)),"")</f>
        <v/>
      </c>
      <c r="J306" s="3">
        <f>SUMIFS(SKUs!$I$6:$I$1997,SKUs!$C$6:$C$1997,B306)</f>
        <v>9</v>
      </c>
      <c r="K306" s="4">
        <f t="shared" si="17"/>
        <v>0</v>
      </c>
      <c r="L306" s="3">
        <f>COUNTIF(SKUs!$C$6:$C$1997,B306)</f>
        <v>1</v>
      </c>
      <c r="M306" s="29"/>
      <c r="N306" s="29"/>
      <c r="O306" s="29"/>
      <c r="P306" s="29"/>
      <c r="Q306" s="29"/>
      <c r="R306" s="29"/>
      <c r="S306" s="29"/>
      <c r="T306" s="29"/>
      <c r="U306" s="30">
        <f t="shared" si="18"/>
        <v>0</v>
      </c>
      <c r="V306" s="31">
        <f t="shared" si="19"/>
        <v>9</v>
      </c>
    </row>
    <row r="307" spans="1:22" ht="14.25" hidden="1" customHeight="1" x14ac:dyDescent="0.3">
      <c r="A307" s="32">
        <v>300</v>
      </c>
      <c r="B307" s="26" t="s">
        <v>351</v>
      </c>
      <c r="C307" s="27" t="str">
        <f t="shared" si="16"/>
        <v>—</v>
      </c>
      <c r="D307" s="33" t="str">
        <f>IFERROR(INDEX(SKUs!$E$6:$E$1997,MATCH(B307,SKUs!$C$6:$C$1997,0)),"")</f>
        <v>ORGANIZADOR</v>
      </c>
      <c r="E307" s="28" t="str">
        <f>IFERROR(VLOOKUP(D307,Configurações!$N$5:$O$46,2,FALSE()),"OUTROS")</f>
        <v>BOLSAS E MALAS</v>
      </c>
      <c r="F307" s="33" t="str">
        <f>IFERROR(INDEX(SKUs!$F$6:$F$1997,MATCH(B307,SKUs!$C$6:$C$1997,0)),"")</f>
        <v>ORGANIZADOR DE ROUPA</v>
      </c>
      <c r="G307" s="33" t="str">
        <f>IFERROR(INDEX(SKUs!$G$6:$G$1997,MATCH(B307,SKUs!$C$6:$C$1997,0)),"")</f>
        <v>AZUL</v>
      </c>
      <c r="H307" s="32" t="str">
        <f>IFERROR(INDEX(SKUs!$H$6:$H$1997,MATCH(B307,SKUs!$C$6:$C$1997,0)),"")</f>
        <v>UNICO</v>
      </c>
      <c r="I307" s="34" t="str">
        <f>IFERROR(INDEX(SKUs!#REF!,MATCH(B307,SKUs!$C$6:$C$1997,0)),"")</f>
        <v/>
      </c>
      <c r="J307" s="35">
        <f>SUMIFS(SKUs!$I$6:$I$1997,SKUs!$C$6:$C$1997,B307)</f>
        <v>7</v>
      </c>
      <c r="K307" s="34">
        <f t="shared" si="17"/>
        <v>0</v>
      </c>
      <c r="L307" s="35">
        <f>COUNTIF(SKUs!$C$6:$C$1997,B307)</f>
        <v>1</v>
      </c>
      <c r="M307" s="29"/>
      <c r="N307" s="29"/>
      <c r="O307" s="29"/>
      <c r="P307" s="29"/>
      <c r="Q307" s="29"/>
      <c r="R307" s="29"/>
      <c r="S307" s="29"/>
      <c r="T307" s="29"/>
      <c r="U307" s="30">
        <f t="shared" si="18"/>
        <v>0</v>
      </c>
      <c r="V307" s="31">
        <f t="shared" si="19"/>
        <v>7</v>
      </c>
    </row>
    <row r="308" spans="1:22" ht="14.25" hidden="1" customHeight="1" x14ac:dyDescent="0.3">
      <c r="A308" s="25">
        <v>301</v>
      </c>
      <c r="B308" s="26" t="s">
        <v>352</v>
      </c>
      <c r="C308" s="27" t="str">
        <f t="shared" si="16"/>
        <v>—</v>
      </c>
      <c r="D308" s="2" t="str">
        <f>IFERROR(INDEX(SKUs!$E$6:$E$1997,MATCH(B308,SKUs!$C$6:$C$1997,0)),"")</f>
        <v>ORGANIZADOR</v>
      </c>
      <c r="E308" s="28" t="str">
        <f>IFERROR(VLOOKUP(D308,Configurações!$N$5:$O$46,2,FALSE()),"OUTROS")</f>
        <v>BOLSAS E MALAS</v>
      </c>
      <c r="F308" s="2" t="str">
        <f>IFERROR(INDEX(SKUs!$F$6:$F$1997,MATCH(B308,SKUs!$C$6:$C$1997,0)),"")</f>
        <v>ORGANIZADOR DE ROUPA</v>
      </c>
      <c r="G308" s="2" t="str">
        <f>IFERROR(INDEX(SKUs!$G$6:$G$1997,MATCH(B308,SKUs!$C$6:$C$1997,0)),"")</f>
        <v>CINZA</v>
      </c>
      <c r="H308" s="25" t="str">
        <f>IFERROR(INDEX(SKUs!$H$6:$H$1997,MATCH(B308,SKUs!$C$6:$C$1997,0)),"")</f>
        <v>UNICO</v>
      </c>
      <c r="I308" s="4" t="str">
        <f>IFERROR(INDEX(SKUs!#REF!,MATCH(B308,SKUs!$C$6:$C$1997,0)),"")</f>
        <v/>
      </c>
      <c r="J308" s="3">
        <f>SUMIFS(SKUs!$I$6:$I$1997,SKUs!$C$6:$C$1997,B308)</f>
        <v>11</v>
      </c>
      <c r="K308" s="4">
        <f t="shared" si="17"/>
        <v>0</v>
      </c>
      <c r="L308" s="3">
        <f>COUNTIF(SKUs!$C$6:$C$1997,B308)</f>
        <v>1</v>
      </c>
      <c r="M308" s="29"/>
      <c r="N308" s="29"/>
      <c r="O308" s="29"/>
      <c r="P308" s="29"/>
      <c r="Q308" s="29"/>
      <c r="R308" s="29"/>
      <c r="S308" s="29"/>
      <c r="T308" s="29"/>
      <c r="U308" s="30">
        <f t="shared" si="18"/>
        <v>0</v>
      </c>
      <c r="V308" s="31">
        <f t="shared" si="19"/>
        <v>11</v>
      </c>
    </row>
    <row r="309" spans="1:22" ht="14.25" hidden="1" customHeight="1" x14ac:dyDescent="0.3">
      <c r="A309" s="32">
        <v>302</v>
      </c>
      <c r="B309" s="26" t="s">
        <v>353</v>
      </c>
      <c r="C309" s="27" t="str">
        <f t="shared" si="16"/>
        <v>—</v>
      </c>
      <c r="D309" s="33" t="str">
        <f>IFERROR(INDEX(SKUs!$E$6:$E$1997,MATCH(B309,SKUs!$C$6:$C$1997,0)),"")</f>
        <v>MATERIAL DE EVENTO</v>
      </c>
      <c r="E309" s="28" t="str">
        <f>IFERROR(VLOOKUP(D309,Configurações!$N$5:$O$46,2,FALSE()),"OUTROS")</f>
        <v>MATERIAL DE EVENTO</v>
      </c>
      <c r="F309" s="33" t="str">
        <f>IFERROR(INDEX(SKUs!$F$6:$F$1997,MATCH(B309,SKUs!$C$6:$C$1997,0)),"")</f>
        <v>TECIDO PARA CUBRIR STAND</v>
      </c>
      <c r="G309" s="33" t="str">
        <f>IFERROR(INDEX(SKUs!$G$6:$G$1997,MATCH(B309,SKUs!$C$6:$C$1997,0)),"")</f>
        <v>AZUL</v>
      </c>
      <c r="H309" s="32" t="str">
        <f>IFERROR(INDEX(SKUs!$H$6:$H$1997,MATCH(B309,SKUs!$C$6:$C$1997,0)),"")</f>
        <v>UNICO</v>
      </c>
      <c r="I309" s="34" t="str">
        <f>IFERROR(INDEX(SKUs!#REF!,MATCH(B309,SKUs!$C$6:$C$1997,0)),"")</f>
        <v/>
      </c>
      <c r="J309" s="35">
        <f>SUMIFS(SKUs!$I$6:$I$1997,SKUs!$C$6:$C$1997,B309)</f>
        <v>3</v>
      </c>
      <c r="K309" s="34">
        <f t="shared" si="17"/>
        <v>0</v>
      </c>
      <c r="L309" s="35">
        <f>COUNTIF(SKUs!$C$6:$C$1997,B309)</f>
        <v>1</v>
      </c>
      <c r="M309" s="29"/>
      <c r="N309" s="29"/>
      <c r="O309" s="29"/>
      <c r="P309" s="29"/>
      <c r="Q309" s="29"/>
      <c r="R309" s="29"/>
      <c r="S309" s="29"/>
      <c r="T309" s="29"/>
      <c r="U309" s="30">
        <f t="shared" si="18"/>
        <v>0</v>
      </c>
      <c r="V309" s="31">
        <f t="shared" si="19"/>
        <v>3</v>
      </c>
    </row>
    <row r="310" spans="1:22" ht="14.25" hidden="1" customHeight="1" x14ac:dyDescent="0.3">
      <c r="A310" s="25">
        <v>303</v>
      </c>
      <c r="B310" s="26" t="s">
        <v>354</v>
      </c>
      <c r="C310" s="27" t="str">
        <f t="shared" si="16"/>
        <v>—</v>
      </c>
      <c r="D310" s="2" t="str">
        <f>IFERROR(INDEX(SKUs!$E$6:$E$1997,MATCH(B310,SKUs!$C$6:$C$1997,0)),"")</f>
        <v>TOALHA</v>
      </c>
      <c r="E310" s="28" t="str">
        <f>IFERROR(VLOOKUP(D310,Configurações!$N$5:$O$46,2,FALSE()),"OUTROS")</f>
        <v>ACESSÓRIOS</v>
      </c>
      <c r="F310" s="2" t="str">
        <f>IFERROR(INDEX(SKUs!$F$6:$F$1997,MATCH(B310,SKUs!$C$6:$C$1997,0)),"")</f>
        <v>TOALHA PISCINA</v>
      </c>
      <c r="G310" s="2" t="str">
        <f>IFERROR(INDEX(SKUs!$G$6:$G$1997,MATCH(B310,SKUs!$C$6:$C$1997,0)),"")</f>
        <v>LISTRAS-AZUIS</v>
      </c>
      <c r="H310" s="25" t="str">
        <f>IFERROR(INDEX(SKUs!$H$6:$H$1997,MATCH(B310,SKUs!$C$6:$C$1997,0)),"")</f>
        <v>UNICO</v>
      </c>
      <c r="I310" s="4" t="str">
        <f>IFERROR(INDEX(SKUs!#REF!,MATCH(B310,SKUs!$C$6:$C$1997,0)),"")</f>
        <v/>
      </c>
      <c r="J310" s="3">
        <f>SUMIFS(SKUs!$I$6:$I$1997,SKUs!$C$6:$C$1997,B310)</f>
        <v>14</v>
      </c>
      <c r="K310" s="4">
        <f t="shared" si="17"/>
        <v>0</v>
      </c>
      <c r="L310" s="3">
        <f>COUNTIF(SKUs!$C$6:$C$1997,B310)</f>
        <v>1</v>
      </c>
      <c r="M310" s="29"/>
      <c r="N310" s="29"/>
      <c r="O310" s="29"/>
      <c r="P310" s="29"/>
      <c r="Q310" s="29"/>
      <c r="R310" s="29"/>
      <c r="S310" s="29"/>
      <c r="T310" s="29"/>
      <c r="U310" s="30">
        <f t="shared" si="18"/>
        <v>0</v>
      </c>
      <c r="V310" s="31">
        <f t="shared" si="19"/>
        <v>14</v>
      </c>
    </row>
    <row r="311" spans="1:22" ht="14.25" hidden="1" customHeight="1" x14ac:dyDescent="0.3">
      <c r="A311" s="32">
        <v>304</v>
      </c>
      <c r="B311" s="26" t="s">
        <v>355</v>
      </c>
      <c r="C311" s="27" t="str">
        <f t="shared" si="16"/>
        <v>—</v>
      </c>
      <c r="D311" s="33" t="str">
        <f>IFERROR(INDEX(SKUs!$E$6:$E$1997,MATCH(B311,SKUs!$C$6:$C$1997,0)),"")</f>
        <v>MOCHILA</v>
      </c>
      <c r="E311" s="28" t="str">
        <f>IFERROR(VLOOKUP(D311,Configurações!$N$5:$O$46,2,FALSE()),"OUTROS")</f>
        <v>BOLSAS E MALAS</v>
      </c>
      <c r="F311" s="33" t="str">
        <f>IFERROR(INDEX(SKUs!$F$6:$F$1997,MATCH(B311,SKUs!$C$6:$C$1997,0)),"")</f>
        <v>MOCHILA RV</v>
      </c>
      <c r="G311" s="33" t="str">
        <f>IFERROR(INDEX(SKUs!$G$6:$G$1997,MATCH(B311,SKUs!$C$6:$C$1997,0)),"")</f>
        <v>PRETA</v>
      </c>
      <c r="H311" s="32" t="str">
        <f>IFERROR(INDEX(SKUs!$H$6:$H$1997,MATCH(B311,SKUs!$C$6:$C$1997,0)),"")</f>
        <v>UNICO</v>
      </c>
      <c r="I311" s="34" t="str">
        <f>IFERROR(INDEX(SKUs!#REF!,MATCH(B311,SKUs!$C$6:$C$1997,0)),"")</f>
        <v/>
      </c>
      <c r="J311" s="35">
        <f>SUMIFS(SKUs!$I$6:$I$1997,SKUs!$C$6:$C$1997,B311)</f>
        <v>48</v>
      </c>
      <c r="K311" s="34">
        <f t="shared" si="17"/>
        <v>0</v>
      </c>
      <c r="L311" s="35">
        <f>COUNTIF(SKUs!$C$6:$C$1997,B311)</f>
        <v>3</v>
      </c>
      <c r="M311" s="29"/>
      <c r="N311" s="29"/>
      <c r="O311" s="29"/>
      <c r="P311" s="29"/>
      <c r="Q311" s="29"/>
      <c r="R311" s="29"/>
      <c r="S311" s="29"/>
      <c r="T311" s="29"/>
      <c r="U311" s="30">
        <f t="shared" si="18"/>
        <v>0</v>
      </c>
      <c r="V311" s="31">
        <f t="shared" si="19"/>
        <v>48</v>
      </c>
    </row>
    <row r="312" spans="1:22" ht="14.25" hidden="1" customHeight="1" x14ac:dyDescent="0.3">
      <c r="A312" s="25">
        <v>305</v>
      </c>
      <c r="B312" s="26" t="s">
        <v>356</v>
      </c>
      <c r="C312" s="27" t="str">
        <f t="shared" si="16"/>
        <v>—</v>
      </c>
      <c r="D312" s="2" t="str">
        <f>IFERROR(INDEX(SKUs!$E$6:$E$1997,MATCH(B312,SKUs!$C$6:$C$1997,0)),"")</f>
        <v>MALA DE MÃO</v>
      </c>
      <c r="E312" s="28" t="str">
        <f>IFERROR(VLOOKUP(D312,Configurações!$N$5:$O$46,2,FALSE()),"OUTROS")</f>
        <v>BOLSAS E MALAS</v>
      </c>
      <c r="F312" s="2" t="str">
        <f>IFERROR(INDEX(SKUs!$F$6:$F$1997,MATCH(B312,SKUs!$C$6:$C$1997,0)),"")</f>
        <v>MALA DE MÃO</v>
      </c>
      <c r="G312" s="2" t="str">
        <f>IFERROR(INDEX(SKUs!$G$6:$G$1997,MATCH(B312,SKUs!$C$6:$C$1997,0)),"")</f>
        <v>PRETA</v>
      </c>
      <c r="H312" s="25" t="str">
        <f>IFERROR(INDEX(SKUs!$H$6:$H$1997,MATCH(B312,SKUs!$C$6:$C$1997,0)),"")</f>
        <v>UNICO</v>
      </c>
      <c r="I312" s="4" t="str">
        <f>IFERROR(INDEX(SKUs!#REF!,MATCH(B312,SKUs!$C$6:$C$1997,0)),"")</f>
        <v/>
      </c>
      <c r="J312" s="3">
        <f>SUMIFS(SKUs!$I$6:$I$1997,SKUs!$C$6:$C$1997,B312)</f>
        <v>6</v>
      </c>
      <c r="K312" s="4">
        <f t="shared" si="17"/>
        <v>0</v>
      </c>
      <c r="L312" s="3">
        <f>COUNTIF(SKUs!$C$6:$C$1997,B312)</f>
        <v>1</v>
      </c>
      <c r="M312" s="29"/>
      <c r="N312" s="29"/>
      <c r="O312" s="29"/>
      <c r="P312" s="29"/>
      <c r="Q312" s="29"/>
      <c r="R312" s="29"/>
      <c r="S312" s="29"/>
      <c r="T312" s="29"/>
      <c r="U312" s="30">
        <f t="shared" si="18"/>
        <v>0</v>
      </c>
      <c r="V312" s="31">
        <f t="shared" si="19"/>
        <v>6</v>
      </c>
    </row>
    <row r="313" spans="1:22" ht="14.25" hidden="1" customHeight="1" x14ac:dyDescent="0.3">
      <c r="A313" s="32">
        <v>306</v>
      </c>
      <c r="B313" s="26" t="s">
        <v>357</v>
      </c>
      <c r="C313" s="27" t="str">
        <f t="shared" si="16"/>
        <v>—</v>
      </c>
      <c r="D313" s="33" t="str">
        <f>IFERROR(INDEX(SKUs!$E$6:$E$1997,MATCH(B313,SKUs!$C$6:$C$1997,0)),"")</f>
        <v>LANCHEIRA</v>
      </c>
      <c r="E313" s="28" t="str">
        <f>IFERROR(VLOOKUP(D313,Configurações!$N$5:$O$46,2,FALSE()),"OUTROS")</f>
        <v>BOLSAS E MALAS</v>
      </c>
      <c r="F313" s="33" t="str">
        <f>IFERROR(INDEX(SKUs!$F$6:$F$1997,MATCH(B313,SKUs!$C$6:$C$1997,0)),"")</f>
        <v>LANCHEIRA AZ</v>
      </c>
      <c r="G313" s="33" t="str">
        <f>IFERROR(INDEX(SKUs!$G$6:$G$1997,MATCH(B313,SKUs!$C$6:$C$1997,0)),"")</f>
        <v>GRANDE</v>
      </c>
      <c r="H313" s="32" t="str">
        <f>IFERROR(INDEX(SKUs!$H$6:$H$1997,MATCH(B313,SKUs!$C$6:$C$1997,0)),"")</f>
        <v>UNICO</v>
      </c>
      <c r="I313" s="34" t="str">
        <f>IFERROR(INDEX(SKUs!#REF!,MATCH(B313,SKUs!$C$6:$C$1997,0)),"")</f>
        <v/>
      </c>
      <c r="J313" s="35">
        <f>SUMIFS(SKUs!$I$6:$I$1997,SKUs!$C$6:$C$1997,B313)</f>
        <v>37</v>
      </c>
      <c r="K313" s="34">
        <f t="shared" si="17"/>
        <v>0</v>
      </c>
      <c r="L313" s="35">
        <f>COUNTIF(SKUs!$C$6:$C$1997,B313)</f>
        <v>2</v>
      </c>
      <c r="M313" s="29"/>
      <c r="N313" s="29"/>
      <c r="O313" s="29"/>
      <c r="P313" s="29"/>
      <c r="Q313" s="29"/>
      <c r="R313" s="29"/>
      <c r="S313" s="29"/>
      <c r="T313" s="29"/>
      <c r="U313" s="30">
        <f t="shared" si="18"/>
        <v>0</v>
      </c>
      <c r="V313" s="31">
        <f t="shared" si="19"/>
        <v>37</v>
      </c>
    </row>
    <row r="314" spans="1:22" ht="14.25" hidden="1" customHeight="1" x14ac:dyDescent="0.3">
      <c r="A314" s="25">
        <v>307</v>
      </c>
      <c r="B314" s="26" t="s">
        <v>358</v>
      </c>
      <c r="C314" s="27" t="str">
        <f t="shared" si="16"/>
        <v>—</v>
      </c>
      <c r="D314" s="2" t="str">
        <f>IFERROR(INDEX(SKUs!$E$6:$E$1997,MATCH(B314,SKUs!$C$6:$C$1997,0)),"")</f>
        <v>MANTA</v>
      </c>
      <c r="E314" s="28" t="str">
        <f>IFERROR(VLOOKUP(D314,Configurações!$N$5:$O$46,2,FALSE()),"OUTROS")</f>
        <v>VESTUÁRIO</v>
      </c>
      <c r="F314" s="2" t="str">
        <f>IFERROR(INDEX(SKUs!$F$6:$F$1997,MATCH(B314,SKUs!$C$6:$C$1997,0)),"")</f>
        <v>MANTA FOM</v>
      </c>
      <c r="G314" s="2" t="str">
        <f>IFERROR(INDEX(SKUs!$G$6:$G$1997,MATCH(B314,SKUs!$C$6:$C$1997,0)),"")</f>
        <v>CINZA</v>
      </c>
      <c r="H314" s="25" t="str">
        <f>IFERROR(INDEX(SKUs!$H$6:$H$1997,MATCH(B314,SKUs!$C$6:$C$1997,0)),"")</f>
        <v>UNICO</v>
      </c>
      <c r="I314" s="4" t="str">
        <f>IFERROR(INDEX(SKUs!#REF!,MATCH(B314,SKUs!$C$6:$C$1997,0)),"")</f>
        <v/>
      </c>
      <c r="J314" s="3">
        <f>SUMIFS(SKUs!$I$6:$I$1997,SKUs!$C$6:$C$1997,B314)</f>
        <v>17</v>
      </c>
      <c r="K314" s="4">
        <f t="shared" si="17"/>
        <v>0</v>
      </c>
      <c r="L314" s="3">
        <f>COUNTIF(SKUs!$C$6:$C$1997,B314)</f>
        <v>2</v>
      </c>
      <c r="M314" s="29"/>
      <c r="N314" s="29"/>
      <c r="O314" s="29"/>
      <c r="P314" s="29"/>
      <c r="Q314" s="29"/>
      <c r="R314" s="29"/>
      <c r="S314" s="29"/>
      <c r="T314" s="29"/>
      <c r="U314" s="30">
        <f t="shared" si="18"/>
        <v>0</v>
      </c>
      <c r="V314" s="31">
        <f t="shared" si="19"/>
        <v>17</v>
      </c>
    </row>
    <row r="315" spans="1:22" ht="14.25" hidden="1" customHeight="1" x14ac:dyDescent="0.3">
      <c r="A315" s="32">
        <v>308</v>
      </c>
      <c r="B315" s="26" t="s">
        <v>359</v>
      </c>
      <c r="C315" s="27" t="str">
        <f t="shared" si="16"/>
        <v>—</v>
      </c>
      <c r="D315" s="33" t="str">
        <f>IFERROR(INDEX(SKUs!$E$6:$E$1997,MATCH(B315,SKUs!$C$6:$C$1997,0)),"")</f>
        <v>CANECA</v>
      </c>
      <c r="E315" s="28" t="str">
        <f>IFERROR(VLOOKUP(D315,Configurações!$N$5:$O$46,2,FALSE()),"OUTROS")</f>
        <v>BEBIDAS E MESA</v>
      </c>
      <c r="F315" s="33" t="str">
        <f>IFERROR(INDEX(SKUs!$F$6:$F$1997,MATCH(B315,SKUs!$C$6:$C$1997,0)),"")</f>
        <v>CANECA CERÂMICA</v>
      </c>
      <c r="G315" s="33" t="str">
        <f>IFERROR(INDEX(SKUs!$G$6:$G$1997,MATCH(B315,SKUs!$C$6:$C$1997,0)),"")</f>
        <v>BRANCA</v>
      </c>
      <c r="H315" s="32" t="str">
        <f>IFERROR(INDEX(SKUs!$H$6:$H$1997,MATCH(B315,SKUs!$C$6:$C$1997,0)),"")</f>
        <v>UNICO</v>
      </c>
      <c r="I315" s="34" t="str">
        <f>IFERROR(INDEX(SKUs!#REF!,MATCH(B315,SKUs!$C$6:$C$1997,0)),"")</f>
        <v/>
      </c>
      <c r="J315" s="35">
        <f>SUMIFS(SKUs!$I$6:$I$1997,SKUs!$C$6:$C$1997,B315)</f>
        <v>0</v>
      </c>
      <c r="K315" s="34">
        <f t="shared" si="17"/>
        <v>0</v>
      </c>
      <c r="L315" s="35">
        <f>COUNTIF(SKUs!$C$6:$C$1997,B315)</f>
        <v>2</v>
      </c>
      <c r="M315" s="29">
        <v>46</v>
      </c>
      <c r="N315" s="29"/>
      <c r="O315" s="29"/>
      <c r="P315" s="29"/>
      <c r="Q315" s="29"/>
      <c r="R315" s="29"/>
      <c r="S315" s="29"/>
      <c r="T315" s="29"/>
      <c r="U315" s="30">
        <f t="shared" si="18"/>
        <v>46</v>
      </c>
      <c r="V315" s="31">
        <f t="shared" si="19"/>
        <v>0</v>
      </c>
    </row>
    <row r="316" spans="1:22" ht="14.25" hidden="1" customHeight="1" x14ac:dyDescent="0.3">
      <c r="A316" s="25">
        <v>309</v>
      </c>
      <c r="B316" s="26" t="s">
        <v>360</v>
      </c>
      <c r="C316" s="27" t="str">
        <f t="shared" si="16"/>
        <v>—</v>
      </c>
      <c r="D316" s="2" t="str">
        <f>IFERROR(INDEX(SKUs!$E$6:$E$1997,MATCH(B316,SKUs!$C$6:$C$1997,0)),"")</f>
        <v>MOCHILA</v>
      </c>
      <c r="E316" s="28" t="str">
        <f>IFERROR(VLOOKUP(D316,Configurações!$N$5:$O$46,2,FALSE()),"OUTROS")</f>
        <v>BOLSAS E MALAS</v>
      </c>
      <c r="F316" s="2" t="str">
        <f>IFERROR(INDEX(SKUs!$F$6:$F$1997,MATCH(B316,SKUs!$C$6:$C$1997,0)),"")</f>
        <v>MOCHILA VICTORINOX - BTG</v>
      </c>
      <c r="G316" s="2" t="str">
        <f>IFERROR(INDEX(SKUs!$G$6:$G$1997,MATCH(B316,SKUs!$C$6:$C$1997,0)),"")</f>
        <v>PRETA</v>
      </c>
      <c r="H316" s="25" t="str">
        <f>IFERROR(INDEX(SKUs!$H$6:$H$1997,MATCH(B316,SKUs!$C$6:$C$1997,0)),"")</f>
        <v>UNICO</v>
      </c>
      <c r="I316" s="4" t="str">
        <f>IFERROR(INDEX(SKUs!#REF!,MATCH(B316,SKUs!$C$6:$C$1997,0)),"")</f>
        <v/>
      </c>
      <c r="J316" s="3">
        <f>SUMIFS(SKUs!$I$6:$I$1997,SKUs!$C$6:$C$1997,B316)</f>
        <v>154</v>
      </c>
      <c r="K316" s="4">
        <f t="shared" si="17"/>
        <v>0</v>
      </c>
      <c r="L316" s="3">
        <f>COUNTIF(SKUs!$C$6:$C$1997,B316)</f>
        <v>15</v>
      </c>
      <c r="M316" s="29"/>
      <c r="N316" s="29"/>
      <c r="O316" s="29"/>
      <c r="P316" s="29"/>
      <c r="Q316" s="29"/>
      <c r="R316" s="29"/>
      <c r="S316" s="29"/>
      <c r="T316" s="29"/>
      <c r="U316" s="30">
        <f t="shared" si="18"/>
        <v>0</v>
      </c>
      <c r="V316" s="31">
        <f t="shared" si="19"/>
        <v>154</v>
      </c>
    </row>
    <row r="317" spans="1:22" ht="14.25" hidden="1" customHeight="1" x14ac:dyDescent="0.3">
      <c r="A317" s="32">
        <v>310</v>
      </c>
      <c r="B317" s="26" t="s">
        <v>361</v>
      </c>
      <c r="C317" s="27" t="str">
        <f t="shared" si="16"/>
        <v>—</v>
      </c>
      <c r="D317" s="33" t="str">
        <f>IFERROR(INDEX(SKUs!$E$6:$E$1997,MATCH(B317,SKUs!$C$6:$C$1997,0)),"")</f>
        <v>COPO</v>
      </c>
      <c r="E317" s="28" t="str">
        <f>IFERROR(VLOOKUP(D317,Configurações!$N$5:$O$46,2,FALSE()),"OUTROS")</f>
        <v>BEBIDAS E MESA</v>
      </c>
      <c r="F317" s="33" t="str">
        <f>IFERROR(INDEX(SKUs!$F$6:$F$1997,MATCH(B317,SKUs!$C$6:$C$1997,0)),"")</f>
        <v>COPO STALEY</v>
      </c>
      <c r="G317" s="33" t="str">
        <f>IFERROR(INDEX(SKUs!$G$6:$G$1997,MATCH(B317,SKUs!$C$6:$C$1997,0)),"")</f>
        <v>BRANCA</v>
      </c>
      <c r="H317" s="32" t="str">
        <f>IFERROR(INDEX(SKUs!$H$6:$H$1997,MATCH(B317,SKUs!$C$6:$C$1997,0)),"")</f>
        <v>273ML</v>
      </c>
      <c r="I317" s="34" t="str">
        <f>IFERROR(INDEX(SKUs!#REF!,MATCH(B317,SKUs!$C$6:$C$1997,0)),"")</f>
        <v/>
      </c>
      <c r="J317" s="35">
        <f>SUMIFS(SKUs!$I$6:$I$1997,SKUs!$C$6:$C$1997,B317)</f>
        <v>0</v>
      </c>
      <c r="K317" s="34">
        <f t="shared" si="17"/>
        <v>0</v>
      </c>
      <c r="L317" s="35">
        <f>COUNTIF(SKUs!$C$6:$C$1997,B317)</f>
        <v>1</v>
      </c>
      <c r="M317" s="29">
        <v>3</v>
      </c>
      <c r="N317" s="29"/>
      <c r="O317" s="29"/>
      <c r="P317" s="29"/>
      <c r="Q317" s="29"/>
      <c r="R317" s="29"/>
      <c r="S317" s="29"/>
      <c r="T317" s="29"/>
      <c r="U317" s="30">
        <f t="shared" si="18"/>
        <v>3</v>
      </c>
      <c r="V317" s="31">
        <f t="shared" si="19"/>
        <v>0</v>
      </c>
    </row>
    <row r="318" spans="1:22" ht="14.25" hidden="1" customHeight="1" x14ac:dyDescent="0.3">
      <c r="A318" s="25">
        <v>311</v>
      </c>
      <c r="B318" s="26" t="s">
        <v>362</v>
      </c>
      <c r="C318" s="27" t="str">
        <f t="shared" si="16"/>
        <v>—</v>
      </c>
      <c r="D318" s="2" t="str">
        <f>IFERROR(INDEX(SKUs!$E$6:$E$1997,MATCH(B318,SKUs!$C$6:$C$1997,0)),"")</f>
        <v>GARRAFA</v>
      </c>
      <c r="E318" s="28" t="str">
        <f>IFERROR(VLOOKUP(D318,Configurações!$N$5:$O$46,2,FALSE()),"OUTROS")</f>
        <v>BEBIDAS E MESA</v>
      </c>
      <c r="F318" s="2" t="str">
        <f>IFERROR(INDEX(SKUs!$F$6:$F$1997,MATCH(B318,SKUs!$C$6:$C$1997,0)),"")</f>
        <v>GARRAFA INOX - BTG</v>
      </c>
      <c r="G318" s="2" t="str">
        <f>IFERROR(INDEX(SKUs!$G$6:$G$1997,MATCH(B318,SKUs!$C$6:$C$1997,0)),"")</f>
        <v>INOX</v>
      </c>
      <c r="H318" s="25" t="str">
        <f>IFERROR(INDEX(SKUs!$H$6:$H$1997,MATCH(B318,SKUs!$C$6:$C$1997,0)),"")</f>
        <v>500ML</v>
      </c>
      <c r="I318" s="4" t="str">
        <f>IFERROR(INDEX(SKUs!#REF!,MATCH(B318,SKUs!$C$6:$C$1997,0)),"")</f>
        <v/>
      </c>
      <c r="J318" s="3">
        <f>SUMIFS(SKUs!$I$6:$I$1997,SKUs!$C$6:$C$1997,B318)</f>
        <v>20</v>
      </c>
      <c r="K318" s="4">
        <f t="shared" si="17"/>
        <v>0</v>
      </c>
      <c r="L318" s="3">
        <f>COUNTIF(SKUs!$C$6:$C$1997,B318)</f>
        <v>3</v>
      </c>
      <c r="M318" s="29"/>
      <c r="N318" s="29"/>
      <c r="O318" s="29"/>
      <c r="P318" s="29"/>
      <c r="Q318" s="29"/>
      <c r="R318" s="29"/>
      <c r="S318" s="29"/>
      <c r="T318" s="29"/>
      <c r="U318" s="30">
        <f t="shared" si="18"/>
        <v>0</v>
      </c>
      <c r="V318" s="31">
        <f t="shared" si="19"/>
        <v>20</v>
      </c>
    </row>
    <row r="319" spans="1:22" ht="14.25" hidden="1" customHeight="1" x14ac:dyDescent="0.3">
      <c r="A319" s="32">
        <v>312</v>
      </c>
      <c r="B319" s="26" t="s">
        <v>363</v>
      </c>
      <c r="C319" s="27" t="str">
        <f t="shared" si="16"/>
        <v>—</v>
      </c>
      <c r="D319" s="33" t="str">
        <f>IFERROR(INDEX(SKUs!$E$6:$E$1997,MATCH(B319,SKUs!$C$6:$C$1997,0)),"")</f>
        <v>COPO</v>
      </c>
      <c r="E319" s="28" t="str">
        <f>IFERROR(VLOOKUP(D319,Configurações!$N$5:$O$46,2,FALSE()),"OUTROS")</f>
        <v>BEBIDAS E MESA</v>
      </c>
      <c r="F319" s="33" t="str">
        <f>IFERROR(INDEX(SKUs!$F$6:$F$1997,MATCH(B319,SKUs!$C$6:$C$1997,0)),"")</f>
        <v>COPO CAFÉ - G</v>
      </c>
      <c r="G319" s="33" t="str">
        <f>IFERROR(INDEX(SKUs!$G$6:$G$1997,MATCH(B319,SKUs!$C$6:$C$1997,0)),"")</f>
        <v>PRETA</v>
      </c>
      <c r="H319" s="32" t="str">
        <f>IFERROR(INDEX(SKUs!$H$6:$H$1997,MATCH(B319,SKUs!$C$6:$C$1997,0)),"")</f>
        <v>150ML</v>
      </c>
      <c r="I319" s="34" t="str">
        <f>IFERROR(INDEX(SKUs!#REF!,MATCH(B319,SKUs!$C$6:$C$1997,0)),"")</f>
        <v/>
      </c>
      <c r="J319" s="35">
        <f>SUMIFS(SKUs!$I$6:$I$1997,SKUs!$C$6:$C$1997,B319)</f>
        <v>0</v>
      </c>
      <c r="K319" s="34">
        <f t="shared" si="17"/>
        <v>0</v>
      </c>
      <c r="L319" s="35">
        <f>COUNTIF(SKUs!$C$6:$C$1997,B319)</f>
        <v>2</v>
      </c>
      <c r="M319" s="29">
        <v>21</v>
      </c>
      <c r="N319" s="29"/>
      <c r="O319" s="29"/>
      <c r="P319" s="29"/>
      <c r="Q319" s="29"/>
      <c r="R319" s="29"/>
      <c r="S319" s="29"/>
      <c r="T319" s="29"/>
      <c r="U319" s="30">
        <f t="shared" si="18"/>
        <v>21</v>
      </c>
      <c r="V319" s="31">
        <f t="shared" si="19"/>
        <v>0</v>
      </c>
    </row>
    <row r="320" spans="1:22" ht="14.25" hidden="1" customHeight="1" x14ac:dyDescent="0.3">
      <c r="A320" s="25">
        <v>313</v>
      </c>
      <c r="B320" s="26" t="s">
        <v>364</v>
      </c>
      <c r="C320" s="27" t="str">
        <f t="shared" si="16"/>
        <v>—</v>
      </c>
      <c r="D320" s="2" t="str">
        <f>IFERROR(INDEX(SKUs!$E$6:$E$1997,MATCH(B320,SKUs!$C$6:$C$1997,0)),"")</f>
        <v>GARRAFA</v>
      </c>
      <c r="E320" s="28" t="str">
        <f>IFERROR(VLOOKUP(D320,Configurações!$N$5:$O$46,2,FALSE()),"OUTROS")</f>
        <v>BEBIDAS E MESA</v>
      </c>
      <c r="F320" s="2" t="str">
        <f>IFERROR(INDEX(SKUs!$F$6:$F$1997,MATCH(B320,SKUs!$C$6:$C$1997,0)),"")</f>
        <v>GARRAFA STALEY</v>
      </c>
      <c r="G320" s="2" t="str">
        <f>IFERROR(INDEX(SKUs!$G$6:$G$1997,MATCH(B320,SKUs!$C$6:$C$1997,0)),"")</f>
        <v>PRETA</v>
      </c>
      <c r="H320" s="25">
        <f>IFERROR(INDEX(SKUs!$H$6:$H$1997,MATCH(B320,SKUs!$C$6:$C$1997,0)),"")</f>
        <v>710</v>
      </c>
      <c r="I320" s="4" t="str">
        <f>IFERROR(INDEX(SKUs!#REF!,MATCH(B320,SKUs!$C$6:$C$1997,0)),"")</f>
        <v/>
      </c>
      <c r="J320" s="3">
        <f>SUMIFS(SKUs!$I$6:$I$1997,SKUs!$C$6:$C$1997,B320)</f>
        <v>0</v>
      </c>
      <c r="K320" s="4">
        <f t="shared" si="17"/>
        <v>0</v>
      </c>
      <c r="L320" s="3">
        <f>COUNTIF(SKUs!$C$6:$C$1997,B320)</f>
        <v>2</v>
      </c>
      <c r="M320" s="29">
        <v>6</v>
      </c>
      <c r="N320" s="29"/>
      <c r="O320" s="29"/>
      <c r="P320" s="29"/>
      <c r="Q320" s="29"/>
      <c r="R320" s="29"/>
      <c r="S320" s="29"/>
      <c r="T320" s="29"/>
      <c r="U320" s="30">
        <f t="shared" si="18"/>
        <v>6</v>
      </c>
      <c r="V320" s="31">
        <f t="shared" si="19"/>
        <v>0</v>
      </c>
    </row>
    <row r="321" spans="1:22" ht="14.25" hidden="1" customHeight="1" x14ac:dyDescent="0.3">
      <c r="A321" s="32">
        <v>314</v>
      </c>
      <c r="B321" s="26" t="s">
        <v>365</v>
      </c>
      <c r="C321" s="27" t="str">
        <f t="shared" si="16"/>
        <v>—</v>
      </c>
      <c r="D321" s="33" t="str">
        <f>IFERROR(INDEX(SKUs!$E$6:$E$1997,MATCH(B321,SKUs!$C$6:$C$1997,0)),"")</f>
        <v>GARRAFA</v>
      </c>
      <c r="E321" s="28" t="str">
        <f>IFERROR(VLOOKUP(D321,Configurações!$N$5:$O$46,2,FALSE()),"OUTROS")</f>
        <v>BEBIDAS E MESA</v>
      </c>
      <c r="F321" s="33" t="str">
        <f>IFERROR(INDEX(SKUs!$F$6:$F$1997,MATCH(B321,SKUs!$C$6:$C$1997,0)),"")</f>
        <v>GARRAFA STALEY</v>
      </c>
      <c r="G321" s="33" t="str">
        <f>IFERROR(INDEX(SKUs!$G$6:$G$1997,MATCH(B321,SKUs!$C$6:$C$1997,0)),"")</f>
        <v>BRANCA</v>
      </c>
      <c r="H321" s="32">
        <f>IFERROR(INDEX(SKUs!$H$6:$H$1997,MATCH(B321,SKUs!$C$6:$C$1997,0)),"")</f>
        <v>710</v>
      </c>
      <c r="I321" s="34" t="str">
        <f>IFERROR(INDEX(SKUs!#REF!,MATCH(B321,SKUs!$C$6:$C$1997,0)),"")</f>
        <v/>
      </c>
      <c r="J321" s="35">
        <f>SUMIFS(SKUs!$I$6:$I$1997,SKUs!$C$6:$C$1997,B321)</f>
        <v>0</v>
      </c>
      <c r="K321" s="34">
        <f t="shared" si="17"/>
        <v>0</v>
      </c>
      <c r="L321" s="35">
        <f>COUNTIF(SKUs!$C$6:$C$1997,B321)</f>
        <v>2</v>
      </c>
      <c r="M321" s="29">
        <v>3</v>
      </c>
      <c r="N321" s="29"/>
      <c r="O321" s="29"/>
      <c r="P321" s="29"/>
      <c r="Q321" s="29"/>
      <c r="R321" s="29"/>
      <c r="S321" s="29"/>
      <c r="T321" s="29"/>
      <c r="U321" s="30">
        <f t="shared" si="18"/>
        <v>3</v>
      </c>
      <c r="V321" s="31">
        <f t="shared" si="19"/>
        <v>0</v>
      </c>
    </row>
    <row r="322" spans="1:22" ht="14.25" hidden="1" customHeight="1" x14ac:dyDescent="0.3">
      <c r="A322" s="25">
        <v>315</v>
      </c>
      <c r="B322" s="26" t="s">
        <v>366</v>
      </c>
      <c r="C322" s="27" t="str">
        <f t="shared" si="16"/>
        <v>—</v>
      </c>
      <c r="D322" s="2" t="str">
        <f>IFERROR(INDEX(SKUs!$E$6:$E$1997,MATCH(B322,SKUs!$C$6:$C$1997,0)),"")</f>
        <v>COPO</v>
      </c>
      <c r="E322" s="28" t="str">
        <f>IFERROR(VLOOKUP(D322,Configurações!$N$5:$O$46,2,FALSE()),"OUTROS")</f>
        <v>BEBIDAS E MESA</v>
      </c>
      <c r="F322" s="2" t="str">
        <f>IFERROR(INDEX(SKUs!$F$6:$F$1997,MATCH(B322,SKUs!$C$6:$C$1997,0)),"")</f>
        <v>COPO CAFÉ - P</v>
      </c>
      <c r="G322" s="2" t="str">
        <f>IFERROR(INDEX(SKUs!$G$6:$G$1997,MATCH(B322,SKUs!$C$6:$C$1997,0)),"")</f>
        <v>PRETA</v>
      </c>
      <c r="H322" s="25" t="str">
        <f>IFERROR(INDEX(SKUs!$H$6:$H$1997,MATCH(B322,SKUs!$C$6:$C$1997,0)),"")</f>
        <v>80ML</v>
      </c>
      <c r="I322" s="4" t="str">
        <f>IFERROR(INDEX(SKUs!#REF!,MATCH(B322,SKUs!$C$6:$C$1997,0)),"")</f>
        <v/>
      </c>
      <c r="J322" s="3">
        <f>SUMIFS(SKUs!$I$6:$I$1997,SKUs!$C$6:$C$1997,B322)</f>
        <v>0</v>
      </c>
      <c r="K322" s="4">
        <f t="shared" si="17"/>
        <v>0</v>
      </c>
      <c r="L322" s="3">
        <f>COUNTIF(SKUs!$C$6:$C$1997,B322)</f>
        <v>2</v>
      </c>
      <c r="M322" s="29">
        <v>26</v>
      </c>
      <c r="N322" s="29"/>
      <c r="O322" s="29"/>
      <c r="P322" s="29"/>
      <c r="Q322" s="29"/>
      <c r="R322" s="29"/>
      <c r="S322" s="29"/>
      <c r="T322" s="29"/>
      <c r="U322" s="30">
        <f t="shared" si="18"/>
        <v>26</v>
      </c>
      <c r="V322" s="31">
        <f t="shared" si="19"/>
        <v>0</v>
      </c>
    </row>
    <row r="323" spans="1:22" ht="14.25" hidden="1" customHeight="1" x14ac:dyDescent="0.3">
      <c r="A323" s="32">
        <v>316</v>
      </c>
      <c r="B323" s="26" t="s">
        <v>367</v>
      </c>
      <c r="C323" s="27" t="str">
        <f t="shared" si="16"/>
        <v>—</v>
      </c>
      <c r="D323" s="33" t="str">
        <f>IFERROR(INDEX(SKUs!$E$6:$E$1997,MATCH(B323,SKUs!$C$6:$C$1997,0)),"")</f>
        <v>CANECA</v>
      </c>
      <c r="E323" s="28" t="str">
        <f>IFERROR(VLOOKUP(D323,Configurações!$N$5:$O$46,2,FALSE()),"OUTROS")</f>
        <v>BEBIDAS E MESA</v>
      </c>
      <c r="F323" s="33" t="str">
        <f>IFERROR(INDEX(SKUs!$F$6:$F$1997,MATCH(B323,SKUs!$C$6:$C$1997,0)),"")</f>
        <v>CANECA TREMICA FOKUS</v>
      </c>
      <c r="G323" s="33" t="str">
        <f>IFERROR(INDEX(SKUs!$G$6:$G$1997,MATCH(B323,SKUs!$C$6:$C$1997,0)),"")</f>
        <v>CREME</v>
      </c>
      <c r="H323" s="32" t="str">
        <f>IFERROR(INDEX(SKUs!$H$6:$H$1997,MATCH(B323,SKUs!$C$6:$C$1997,0)),"")</f>
        <v>295ML</v>
      </c>
      <c r="I323" s="34" t="str">
        <f>IFERROR(INDEX(SKUs!#REF!,MATCH(B323,SKUs!$C$6:$C$1997,0)),"")</f>
        <v/>
      </c>
      <c r="J323" s="35">
        <f>SUMIFS(SKUs!$I$6:$I$1997,SKUs!$C$6:$C$1997,B323)</f>
        <v>0</v>
      </c>
      <c r="K323" s="34">
        <f t="shared" si="17"/>
        <v>0</v>
      </c>
      <c r="L323" s="35">
        <f>COUNTIF(SKUs!$C$6:$C$1997,B323)</f>
        <v>2</v>
      </c>
      <c r="M323" s="29">
        <v>20</v>
      </c>
      <c r="N323" s="29"/>
      <c r="O323" s="29"/>
      <c r="P323" s="29"/>
      <c r="Q323" s="29"/>
      <c r="R323" s="29"/>
      <c r="S323" s="29"/>
      <c r="T323" s="29"/>
      <c r="U323" s="30">
        <f t="shared" si="18"/>
        <v>20</v>
      </c>
      <c r="V323" s="31">
        <f t="shared" si="19"/>
        <v>0</v>
      </c>
    </row>
    <row r="324" spans="1:22" ht="14.25" hidden="1" customHeight="1" x14ac:dyDescent="0.3">
      <c r="A324" s="25">
        <v>317</v>
      </c>
      <c r="B324" s="26" t="s">
        <v>368</v>
      </c>
      <c r="C324" s="27" t="str">
        <f t="shared" si="16"/>
        <v>—</v>
      </c>
      <c r="D324" s="2" t="str">
        <f>IFERROR(INDEX(SKUs!$E$6:$E$1997,MATCH(B324,SKUs!$C$6:$C$1997,0)),"")</f>
        <v>COPO</v>
      </c>
      <c r="E324" s="28" t="str">
        <f>IFERROR(VLOOKUP(D324,Configurações!$N$5:$O$46,2,FALSE()),"OUTROS")</f>
        <v>BEBIDAS E MESA</v>
      </c>
      <c r="F324" s="2" t="str">
        <f>IFERROR(INDEX(SKUs!$F$6:$F$1997,MATCH(B324,SKUs!$C$6:$C$1997,0)),"")</f>
        <v>COPO TERMICO BEERCUP</v>
      </c>
      <c r="G324" s="2" t="str">
        <f>IFERROR(INDEX(SKUs!$G$6:$G$1997,MATCH(B324,SKUs!$C$6:$C$1997,0)),"")</f>
        <v>BRANCA</v>
      </c>
      <c r="H324" s="25" t="str">
        <f>IFERROR(INDEX(SKUs!$H$6:$H$1997,MATCH(B324,SKUs!$C$6:$C$1997,0)),"")</f>
        <v>475ML</v>
      </c>
      <c r="I324" s="4" t="str">
        <f>IFERROR(INDEX(SKUs!#REF!,MATCH(B324,SKUs!$C$6:$C$1997,0)),"")</f>
        <v/>
      </c>
      <c r="J324" s="3">
        <f>SUMIFS(SKUs!$I$6:$I$1997,SKUs!$C$6:$C$1997,B324)</f>
        <v>0</v>
      </c>
      <c r="K324" s="4">
        <f t="shared" si="17"/>
        <v>0</v>
      </c>
      <c r="L324" s="3">
        <f>COUNTIF(SKUs!$C$6:$C$1997,B324)</f>
        <v>2</v>
      </c>
      <c r="M324" s="29">
        <v>4</v>
      </c>
      <c r="N324" s="29"/>
      <c r="O324" s="29"/>
      <c r="P324" s="29"/>
      <c r="Q324" s="29"/>
      <c r="R324" s="29"/>
      <c r="S324" s="29"/>
      <c r="T324" s="29"/>
      <c r="U324" s="30">
        <f t="shared" si="18"/>
        <v>4</v>
      </c>
      <c r="V324" s="31">
        <f t="shared" si="19"/>
        <v>0</v>
      </c>
    </row>
    <row r="325" spans="1:22" ht="14.25" hidden="1" customHeight="1" x14ac:dyDescent="0.3">
      <c r="A325" s="32">
        <v>318</v>
      </c>
      <c r="B325" s="26" t="s">
        <v>369</v>
      </c>
      <c r="C325" s="27" t="str">
        <f t="shared" si="16"/>
        <v>—</v>
      </c>
      <c r="D325" s="33" t="str">
        <f>IFERROR(INDEX(SKUs!$E$6:$E$1997,MATCH(B325,SKUs!$C$6:$C$1997,0)),"")</f>
        <v>COPO</v>
      </c>
      <c r="E325" s="28" t="str">
        <f>IFERROR(VLOOKUP(D325,Configurações!$N$5:$O$46,2,FALSE()),"OUTROS")</f>
        <v>BEBIDAS E MESA</v>
      </c>
      <c r="F325" s="33" t="str">
        <f>IFERROR(INDEX(SKUs!$F$6:$F$1997,MATCH(B325,SKUs!$C$6:$C$1997,0)),"")</f>
        <v>COPO TERMICO THERMOCUP</v>
      </c>
      <c r="G325" s="33" t="str">
        <f>IFERROR(INDEX(SKUs!$G$6:$G$1997,MATCH(B325,SKUs!$C$6:$C$1997,0)),"")</f>
        <v>MARINHO</v>
      </c>
      <c r="H325" s="32" t="str">
        <f>IFERROR(INDEX(SKUs!$H$6:$H$1997,MATCH(B325,SKUs!$C$6:$C$1997,0)),"")</f>
        <v>600ML</v>
      </c>
      <c r="I325" s="34" t="str">
        <f>IFERROR(INDEX(SKUs!#REF!,MATCH(B325,SKUs!$C$6:$C$1997,0)),"")</f>
        <v/>
      </c>
      <c r="J325" s="35">
        <f>SUMIFS(SKUs!$I$6:$I$1997,SKUs!$C$6:$C$1997,B325)</f>
        <v>0</v>
      </c>
      <c r="K325" s="34">
        <f t="shared" si="17"/>
        <v>0</v>
      </c>
      <c r="L325" s="35">
        <f>COUNTIF(SKUs!$C$6:$C$1997,B325)</f>
        <v>3</v>
      </c>
      <c r="M325" s="29">
        <v>17</v>
      </c>
      <c r="N325" s="29"/>
      <c r="O325" s="29"/>
      <c r="P325" s="29"/>
      <c r="Q325" s="29"/>
      <c r="R325" s="29"/>
      <c r="S325" s="29"/>
      <c r="T325" s="29"/>
      <c r="U325" s="30">
        <f t="shared" si="18"/>
        <v>17</v>
      </c>
      <c r="V325" s="31">
        <f t="shared" si="19"/>
        <v>0</v>
      </c>
    </row>
    <row r="326" spans="1:22" ht="14.25" hidden="1" customHeight="1" x14ac:dyDescent="0.3">
      <c r="A326" s="25">
        <v>319</v>
      </c>
      <c r="B326" s="26" t="s">
        <v>370</v>
      </c>
      <c r="C326" s="27" t="str">
        <f t="shared" si="16"/>
        <v>—</v>
      </c>
      <c r="D326" s="2" t="str">
        <f>IFERROR(INDEX(SKUs!$E$6:$E$1997,MATCH(B326,SKUs!$C$6:$C$1997,0)),"")</f>
        <v>COPO</v>
      </c>
      <c r="E326" s="28" t="str">
        <f>IFERROR(VLOOKUP(D326,Configurações!$N$5:$O$46,2,FALSE()),"OUTROS")</f>
        <v>BEBIDAS E MESA</v>
      </c>
      <c r="F326" s="2" t="str">
        <f>IFERROR(INDEX(SKUs!$F$6:$F$1997,MATCH(B326,SKUs!$C$6:$C$1997,0)),"")</f>
        <v>COPO TERMICO THERMOCUP</v>
      </c>
      <c r="G326" s="2" t="str">
        <f>IFERROR(INDEX(SKUs!$G$6:$G$1997,MATCH(B326,SKUs!$C$6:$C$1997,0)),"")</f>
        <v>PRETA</v>
      </c>
      <c r="H326" s="25" t="str">
        <f>IFERROR(INDEX(SKUs!$H$6:$H$1997,MATCH(B326,SKUs!$C$6:$C$1997,0)),"")</f>
        <v>600ML</v>
      </c>
      <c r="I326" s="4" t="str">
        <f>IFERROR(INDEX(SKUs!#REF!,MATCH(B326,SKUs!$C$6:$C$1997,0)),"")</f>
        <v/>
      </c>
      <c r="J326" s="3">
        <f>SUMIFS(SKUs!$I$6:$I$1997,SKUs!$C$6:$C$1997,B326)</f>
        <v>0</v>
      </c>
      <c r="K326" s="4">
        <f t="shared" si="17"/>
        <v>0</v>
      </c>
      <c r="L326" s="3">
        <f>COUNTIF(SKUs!$C$6:$C$1997,B326)</f>
        <v>2</v>
      </c>
      <c r="M326" s="29">
        <v>4</v>
      </c>
      <c r="N326" s="29"/>
      <c r="O326" s="29"/>
      <c r="P326" s="29"/>
      <c r="Q326" s="29"/>
      <c r="R326" s="29"/>
      <c r="S326" s="29"/>
      <c r="T326" s="29"/>
      <c r="U326" s="30">
        <f t="shared" si="18"/>
        <v>4</v>
      </c>
      <c r="V326" s="31">
        <f t="shared" si="19"/>
        <v>0</v>
      </c>
    </row>
    <row r="327" spans="1:22" ht="14.25" hidden="1" customHeight="1" x14ac:dyDescent="0.3">
      <c r="A327" s="32">
        <v>320</v>
      </c>
      <c r="B327" s="26" t="s">
        <v>371</v>
      </c>
      <c r="C327" s="27" t="str">
        <f t="shared" si="16"/>
        <v>—</v>
      </c>
      <c r="D327" s="33" t="str">
        <f>IFERROR(INDEX(SKUs!$E$6:$E$1997,MATCH(B327,SKUs!$C$6:$C$1997,0)),"")</f>
        <v>CANETA</v>
      </c>
      <c r="E327" s="28" t="str">
        <f>IFERROR(VLOOKUP(D327,Configurações!$N$5:$O$46,2,FALSE()),"OUTROS")</f>
        <v>ESCRITÓRIOS E PAPELARIA</v>
      </c>
      <c r="F327" s="33" t="str">
        <f>IFERROR(INDEX(SKUs!$F$6:$F$1997,MATCH(B327,SKUs!$C$6:$C$1997,0)),"")</f>
        <v>CANETA BTG COM LOGO</v>
      </c>
      <c r="G327" s="33" t="str">
        <f>IFERROR(INDEX(SKUs!$G$6:$G$1997,MATCH(B327,SKUs!$C$6:$C$1997,0)),"")</f>
        <v>BRANCA</v>
      </c>
      <c r="H327" s="32" t="str">
        <f>IFERROR(INDEX(SKUs!$H$6:$H$1997,MATCH(B327,SKUs!$C$6:$C$1997,0)),"")</f>
        <v>GROSSA</v>
      </c>
      <c r="I327" s="34" t="str">
        <f>IFERROR(INDEX(SKUs!#REF!,MATCH(B327,SKUs!$C$6:$C$1997,0)),"")</f>
        <v/>
      </c>
      <c r="J327" s="35">
        <f>SUMIFS(SKUs!$I$6:$I$1997,SKUs!$C$6:$C$1997,B327)</f>
        <v>0</v>
      </c>
      <c r="K327" s="34">
        <f t="shared" si="17"/>
        <v>0</v>
      </c>
      <c r="L327" s="35">
        <f>COUNTIF(SKUs!$C$6:$C$1997,B327)</f>
        <v>1</v>
      </c>
      <c r="M327" s="29">
        <v>6</v>
      </c>
      <c r="N327" s="29"/>
      <c r="O327" s="29"/>
      <c r="P327" s="29"/>
      <c r="Q327" s="29"/>
      <c r="R327" s="29"/>
      <c r="S327" s="29"/>
      <c r="T327" s="29"/>
      <c r="U327" s="30">
        <f t="shared" si="18"/>
        <v>6</v>
      </c>
      <c r="V327" s="31">
        <f t="shared" si="19"/>
        <v>0</v>
      </c>
    </row>
    <row r="328" spans="1:22" ht="14.25" hidden="1" customHeight="1" x14ac:dyDescent="0.3">
      <c r="A328" s="25">
        <v>321</v>
      </c>
      <c r="B328" s="26" t="s">
        <v>372</v>
      </c>
      <c r="C328" s="27" t="str">
        <f t="shared" ref="C328:C391" si="20">IF(B328="","",IFERROR(IF(TRIM(MID(SUBSTITUTE(B328,".",REPT(" ",50)),51,50))="01","Masculino",IF(TRIM(MID(SUBSTITUTE(B328,".",REPT(" ",50)),51,50))="02","Feminino",IF(TRIM(MID(SUBSTITUTE(B328,".",REPT(" ",50)),51,50))="03","Outros","—"))),"—"))</f>
        <v>—</v>
      </c>
      <c r="D328" s="2" t="str">
        <f>IFERROR(INDEX(SKUs!$E$6:$E$1997,MATCH(B328,SKUs!$C$6:$C$1997,0)),"")</f>
        <v>CANETA</v>
      </c>
      <c r="E328" s="28" t="str">
        <f>IFERROR(VLOOKUP(D328,Configurações!$N$5:$O$46,2,FALSE()),"OUTROS")</f>
        <v>ESCRITÓRIOS E PAPELARIA</v>
      </c>
      <c r="F328" s="2" t="str">
        <f>IFERROR(INDEX(SKUs!$F$6:$F$1997,MATCH(B328,SKUs!$C$6:$C$1997,0)),"")</f>
        <v>CANETA BTG COM LOGO</v>
      </c>
      <c r="G328" s="2" t="str">
        <f>IFERROR(INDEX(SKUs!$G$6:$G$1997,MATCH(B328,SKUs!$C$6:$C$1997,0)),"")</f>
        <v>BRANCA</v>
      </c>
      <c r="H328" s="25" t="str">
        <f>IFERROR(INDEX(SKUs!$H$6:$H$1997,MATCH(B328,SKUs!$C$6:$C$1997,0)),"")</f>
        <v>FINA</v>
      </c>
      <c r="I328" s="4" t="str">
        <f>IFERROR(INDEX(SKUs!#REF!,MATCH(B328,SKUs!$C$6:$C$1997,0)),"")</f>
        <v/>
      </c>
      <c r="J328" s="3">
        <f>SUMIFS(SKUs!$I$6:$I$1997,SKUs!$C$6:$C$1997,B328)</f>
        <v>0</v>
      </c>
      <c r="K328" s="4">
        <f t="shared" ref="K328:K391" si="21">IFERROR(I328*J328,0)</f>
        <v>0</v>
      </c>
      <c r="L328" s="3">
        <f>COUNTIF(SKUs!$C$6:$C$1997,B328)</f>
        <v>1</v>
      </c>
      <c r="M328" s="29">
        <v>43</v>
      </c>
      <c r="N328" s="29"/>
      <c r="O328" s="29"/>
      <c r="P328" s="29"/>
      <c r="Q328" s="29"/>
      <c r="R328" s="29"/>
      <c r="S328" s="29"/>
      <c r="T328" s="29"/>
      <c r="U328" s="30">
        <f t="shared" ref="U328:U391" si="22">SUM(M328:R328)</f>
        <v>43</v>
      </c>
      <c r="V328" s="31">
        <f t="shared" ref="V328:V391" si="23">IF(B328="","",J328)</f>
        <v>0</v>
      </c>
    </row>
    <row r="329" spans="1:22" ht="14.25" hidden="1" customHeight="1" x14ac:dyDescent="0.3">
      <c r="A329" s="32">
        <v>322</v>
      </c>
      <c r="B329" s="26" t="s">
        <v>373</v>
      </c>
      <c r="C329" s="27" t="str">
        <f t="shared" si="20"/>
        <v>—</v>
      </c>
      <c r="D329" s="33" t="str">
        <f>IFERROR(INDEX(SKUs!$E$6:$E$1997,MATCH(B329,SKUs!$C$6:$C$1997,0)),"")</f>
        <v>COPO</v>
      </c>
      <c r="E329" s="28" t="str">
        <f>IFERROR(VLOOKUP(D329,Configurações!$N$5:$O$46,2,FALSE()),"OUTROS")</f>
        <v>BEBIDAS E MESA</v>
      </c>
      <c r="F329" s="33" t="str">
        <f>IFERROR(INDEX(SKUs!$F$6:$F$1997,MATCH(B329,SKUs!$C$6:$C$1997,0)),"")</f>
        <v>COPO TERMICO THERMOCUP</v>
      </c>
      <c r="G329" s="33" t="str">
        <f>IFERROR(INDEX(SKUs!$G$6:$G$1997,MATCH(B329,SKUs!$C$6:$C$1997,0)),"")</f>
        <v>BRANCA</v>
      </c>
      <c r="H329" s="32" t="str">
        <f>IFERROR(INDEX(SKUs!$H$6:$H$1997,MATCH(B329,SKUs!$C$6:$C$1997,0)),"")</f>
        <v>600ML</v>
      </c>
      <c r="I329" s="34" t="str">
        <f>IFERROR(INDEX(SKUs!#REF!,MATCH(B329,SKUs!$C$6:$C$1997,0)),"")</f>
        <v/>
      </c>
      <c r="J329" s="35">
        <f>SUMIFS(SKUs!$I$6:$I$1997,SKUs!$C$6:$C$1997,B329)</f>
        <v>0</v>
      </c>
      <c r="K329" s="34">
        <f t="shared" si="21"/>
        <v>0</v>
      </c>
      <c r="L329" s="35">
        <f>COUNTIF(SKUs!$C$6:$C$1997,B329)</f>
        <v>1</v>
      </c>
      <c r="M329" s="29">
        <v>1</v>
      </c>
      <c r="N329" s="29"/>
      <c r="O329" s="29"/>
      <c r="P329" s="29"/>
      <c r="Q329" s="29"/>
      <c r="R329" s="29"/>
      <c r="S329" s="29"/>
      <c r="T329" s="29"/>
      <c r="U329" s="30">
        <f t="shared" si="22"/>
        <v>1</v>
      </c>
      <c r="V329" s="31">
        <f t="shared" si="23"/>
        <v>0</v>
      </c>
    </row>
    <row r="330" spans="1:22" ht="14.25" hidden="1" customHeight="1" x14ac:dyDescent="0.3">
      <c r="A330" s="25">
        <v>323</v>
      </c>
      <c r="B330" s="26" t="s">
        <v>374</v>
      </c>
      <c r="C330" s="27" t="str">
        <f t="shared" si="20"/>
        <v>—</v>
      </c>
      <c r="D330" s="2" t="str">
        <f>IFERROR(INDEX(SKUs!$E$6:$E$1997,MATCH(B330,SKUs!$C$6:$C$1997,0)),"")</f>
        <v>GARRAFA</v>
      </c>
      <c r="E330" s="28" t="str">
        <f>IFERROR(VLOOKUP(D330,Configurações!$N$5:$O$46,2,FALSE()),"OUTROS")</f>
        <v>BEBIDAS E MESA</v>
      </c>
      <c r="F330" s="2" t="str">
        <f>IFERROR(INDEX(SKUs!$F$6:$F$1997,MATCH(B330,SKUs!$C$6:$C$1997,0)),"")</f>
        <v>GARRAFA VYTA</v>
      </c>
      <c r="G330" s="2" t="str">
        <f>IFERROR(INDEX(SKUs!$G$6:$G$1997,MATCH(B330,SKUs!$C$6:$C$1997,0)),"")</f>
        <v>PRETA</v>
      </c>
      <c r="H330" s="25" t="str">
        <f>IFERROR(INDEX(SKUs!$H$6:$H$1997,MATCH(B330,SKUs!$C$6:$C$1997,0)),"")</f>
        <v>500ML</v>
      </c>
      <c r="I330" s="4" t="str">
        <f>IFERROR(INDEX(SKUs!#REF!,MATCH(B330,SKUs!$C$6:$C$1997,0)),"")</f>
        <v/>
      </c>
      <c r="J330" s="3">
        <f>SUMIFS(SKUs!$I$6:$I$1997,SKUs!$C$6:$C$1997,B330)</f>
        <v>0</v>
      </c>
      <c r="K330" s="4">
        <f t="shared" si="21"/>
        <v>0</v>
      </c>
      <c r="L330" s="3">
        <f>COUNTIF(SKUs!$C$6:$C$1997,B330)</f>
        <v>1</v>
      </c>
      <c r="M330" s="29">
        <v>10</v>
      </c>
      <c r="N330" s="29"/>
      <c r="O330" s="29"/>
      <c r="P330" s="29"/>
      <c r="Q330" s="29"/>
      <c r="R330" s="29"/>
      <c r="S330" s="29"/>
      <c r="T330" s="29"/>
      <c r="U330" s="30">
        <f t="shared" si="22"/>
        <v>10</v>
      </c>
      <c r="V330" s="31">
        <f t="shared" si="23"/>
        <v>0</v>
      </c>
    </row>
    <row r="331" spans="1:22" ht="14.25" hidden="1" customHeight="1" x14ac:dyDescent="0.3">
      <c r="A331" s="32">
        <v>324</v>
      </c>
      <c r="B331" s="26" t="s">
        <v>375</v>
      </c>
      <c r="C331" s="27" t="str">
        <f t="shared" si="20"/>
        <v>Masculino</v>
      </c>
      <c r="D331" s="33" t="str">
        <f>IFERROR(INDEX(SKUs!$E$6:$E$1997,MATCH(B331,SKUs!$C$6:$C$1997,0)),"")</f>
        <v>JAQUETA</v>
      </c>
      <c r="E331" s="28" t="str">
        <f>IFERROR(VLOOKUP(D331,Configurações!$N$5:$O$46,2,FALSE()),"OUTROS")</f>
        <v>VESTUÁRIO</v>
      </c>
      <c r="F331" s="33" t="str">
        <f>IFERROR(INDEX(SKUs!$F$6:$F$1997,MATCH(B331,SKUs!$C$6:$C$1997,0)),"")</f>
        <v>JAQUETA CORTA VENTO NYLON</v>
      </c>
      <c r="G331" s="33" t="str">
        <f>IFERROR(INDEX(SKUs!$G$6:$G$1997,MATCH(B331,SKUs!$C$6:$C$1997,0)),"")</f>
        <v>AZUL</v>
      </c>
      <c r="H331" s="32" t="str">
        <f>IFERROR(INDEX(SKUs!$H$6:$H$1997,MATCH(B331,SKUs!$C$6:$C$1997,0)),"")</f>
        <v>G</v>
      </c>
      <c r="I331" s="34" t="str">
        <f>IFERROR(INDEX(SKUs!#REF!,MATCH(B331,SKUs!$C$6:$C$1997,0)),"")</f>
        <v/>
      </c>
      <c r="J331" s="35">
        <f>SUMIFS(SKUs!$I$6:$I$1997,SKUs!$C$6:$C$1997,B331)</f>
        <v>3</v>
      </c>
      <c r="K331" s="34">
        <f t="shared" si="21"/>
        <v>0</v>
      </c>
      <c r="L331" s="35">
        <f>COUNTIF(SKUs!$C$6:$C$1997,B331)</f>
        <v>1</v>
      </c>
      <c r="M331" s="29"/>
      <c r="N331" s="29"/>
      <c r="O331" s="29"/>
      <c r="P331" s="29"/>
      <c r="Q331" s="29"/>
      <c r="R331" s="29"/>
      <c r="S331" s="29"/>
      <c r="T331" s="29"/>
      <c r="U331" s="30">
        <f t="shared" si="22"/>
        <v>0</v>
      </c>
      <c r="V331" s="31">
        <f t="shared" si="23"/>
        <v>3</v>
      </c>
    </row>
    <row r="332" spans="1:22" ht="14.25" hidden="1" customHeight="1" x14ac:dyDescent="0.3">
      <c r="A332" s="25">
        <v>325</v>
      </c>
      <c r="B332" s="26" t="s">
        <v>376</v>
      </c>
      <c r="C332" s="27" t="str">
        <f t="shared" si="20"/>
        <v>—</v>
      </c>
      <c r="D332" s="2" t="str">
        <f>IFERROR(INDEX(SKUs!$E$6:$E$1997,MATCH(B332,SKUs!$C$6:$C$1997,0)),"")</f>
        <v>SACOLA</v>
      </c>
      <c r="E332" s="28" t="str">
        <f>IFERROR(VLOOKUP(D332,Configurações!$N$5:$O$46,2,FALSE()),"OUTROS")</f>
        <v>BOLSAS E MALAS</v>
      </c>
      <c r="F332" s="2" t="str">
        <f>IFERROR(INDEX(SKUs!$F$6:$F$1997,MATCH(B332,SKUs!$C$6:$C$1997,0)),"")</f>
        <v>SACOLA BTG - QUADRADA</v>
      </c>
      <c r="G332" s="2" t="str">
        <f>IFERROR(INDEX(SKUs!$G$6:$G$1997,MATCH(B332,SKUs!$C$6:$C$1997,0)),"")</f>
        <v>BRANCA</v>
      </c>
      <c r="H332" s="25" t="str">
        <f>IFERROR(INDEX(SKUs!$H$6:$H$1997,MATCH(B332,SKUs!$C$6:$C$1997,0)),"")</f>
        <v>N6</v>
      </c>
      <c r="I332" s="4" t="str">
        <f>IFERROR(INDEX(SKUs!#REF!,MATCH(B332,SKUs!$C$6:$C$1997,0)),"")</f>
        <v/>
      </c>
      <c r="J332" s="3">
        <f>SUMIFS(SKUs!$I$6:$I$1997,SKUs!$C$6:$C$1997,B332)</f>
        <v>209</v>
      </c>
      <c r="K332" s="4">
        <f t="shared" si="21"/>
        <v>0</v>
      </c>
      <c r="L332" s="3">
        <f>COUNTIF(SKUs!$C$6:$C$1997,B332)</f>
        <v>6</v>
      </c>
      <c r="M332" s="29"/>
      <c r="N332" s="29"/>
      <c r="O332" s="29"/>
      <c r="P332" s="29"/>
      <c r="Q332" s="29"/>
      <c r="R332" s="29"/>
      <c r="S332" s="29"/>
      <c r="T332" s="29"/>
      <c r="U332" s="30">
        <f t="shared" si="22"/>
        <v>0</v>
      </c>
      <c r="V332" s="31">
        <f t="shared" si="23"/>
        <v>209</v>
      </c>
    </row>
    <row r="333" spans="1:22" ht="14.25" hidden="1" customHeight="1" x14ac:dyDescent="0.3">
      <c r="A333" s="32">
        <v>326</v>
      </c>
      <c r="B333" s="26" t="s">
        <v>377</v>
      </c>
      <c r="C333" s="27" t="str">
        <f t="shared" si="20"/>
        <v>Masculino</v>
      </c>
      <c r="D333" s="33" t="str">
        <f>IFERROR(INDEX(SKUs!$E$6:$E$1997,MATCH(B333,SKUs!$C$6:$C$1997,0)),"")</f>
        <v>CAMISETA</v>
      </c>
      <c r="E333" s="28" t="str">
        <f>IFERROR(VLOOKUP(D333,Configurações!$N$5:$O$46,2,FALSE()),"OUTROS")</f>
        <v>VESTUÁRIO</v>
      </c>
      <c r="F333" s="33" t="str">
        <f>IFERROR(INDEX(SKUs!$F$6:$F$1997,MATCH(B333,SKUs!$C$6:$C$1997,0)),"")</f>
        <v>CAMISETA FIO EGIPCIO MASC.</v>
      </c>
      <c r="G333" s="33" t="str">
        <f>IFERROR(INDEX(SKUs!$G$6:$G$1997,MATCH(B333,SKUs!$C$6:$C$1997,0)),"")</f>
        <v>BRANCA</v>
      </c>
      <c r="H333" s="32" t="str">
        <f>IFERROR(INDEX(SKUs!$H$6:$H$1997,MATCH(B333,SKUs!$C$6:$C$1997,0)),"")</f>
        <v>P</v>
      </c>
      <c r="I333" s="34" t="str">
        <f>IFERROR(INDEX(SKUs!#REF!,MATCH(B333,SKUs!$C$6:$C$1997,0)),"")</f>
        <v/>
      </c>
      <c r="J333" s="35">
        <f>SUMIFS(SKUs!$I$6:$I$1997,SKUs!$C$6:$C$1997,B333)</f>
        <v>89</v>
      </c>
      <c r="K333" s="34">
        <f t="shared" si="21"/>
        <v>0</v>
      </c>
      <c r="L333" s="35">
        <f>COUNTIF(SKUs!$C$6:$C$1997,B333)</f>
        <v>3</v>
      </c>
      <c r="M333" s="29">
        <v>25</v>
      </c>
      <c r="N333" s="29"/>
      <c r="O333" s="29"/>
      <c r="P333" s="29"/>
      <c r="Q333" s="29"/>
      <c r="R333" s="29"/>
      <c r="S333" s="29"/>
      <c r="T333" s="29"/>
      <c r="U333" s="30">
        <f t="shared" si="22"/>
        <v>25</v>
      </c>
      <c r="V333" s="31">
        <f t="shared" si="23"/>
        <v>89</v>
      </c>
    </row>
    <row r="334" spans="1:22" ht="14.25" hidden="1" customHeight="1" x14ac:dyDescent="0.3">
      <c r="A334" s="25">
        <v>327</v>
      </c>
      <c r="B334" s="26" t="s">
        <v>378</v>
      </c>
      <c r="C334" s="27" t="str">
        <f t="shared" si="20"/>
        <v>Masculino</v>
      </c>
      <c r="D334" s="2" t="str">
        <f>IFERROR(INDEX(SKUs!$E$6:$E$1997,MATCH(B334,SKUs!$C$6:$C$1997,0)),"")</f>
        <v>CAMISETA</v>
      </c>
      <c r="E334" s="28" t="str">
        <f>IFERROR(VLOOKUP(D334,Configurações!$N$5:$O$46,2,FALSE()),"OUTROS")</f>
        <v>VESTUÁRIO</v>
      </c>
      <c r="F334" s="2" t="str">
        <f>IFERROR(INDEX(SKUs!$F$6:$F$1997,MATCH(B334,SKUs!$C$6:$C$1997,0)),"")</f>
        <v>CAMISETA FIO EGIPCIO MASC.</v>
      </c>
      <c r="G334" s="2" t="str">
        <f>IFERROR(INDEX(SKUs!$G$6:$G$1997,MATCH(B334,SKUs!$C$6:$C$1997,0)),"")</f>
        <v>BRANCA</v>
      </c>
      <c r="H334" s="25" t="str">
        <f>IFERROR(INDEX(SKUs!$H$6:$H$1997,MATCH(B334,SKUs!$C$6:$C$1997,0)),"")</f>
        <v>M</v>
      </c>
      <c r="I334" s="4" t="str">
        <f>IFERROR(INDEX(SKUs!#REF!,MATCH(B334,SKUs!$C$6:$C$1997,0)),"")</f>
        <v/>
      </c>
      <c r="J334" s="3">
        <f>SUMIFS(SKUs!$I$6:$I$1997,SKUs!$C$6:$C$1997,B334)</f>
        <v>54</v>
      </c>
      <c r="K334" s="4">
        <f t="shared" si="21"/>
        <v>0</v>
      </c>
      <c r="L334" s="3">
        <f>COUNTIF(SKUs!$C$6:$C$1997,B334)</f>
        <v>3</v>
      </c>
      <c r="M334" s="29">
        <v>25</v>
      </c>
      <c r="N334" s="29"/>
      <c r="O334" s="29"/>
      <c r="P334" s="29"/>
      <c r="Q334" s="29"/>
      <c r="R334" s="29"/>
      <c r="S334" s="29"/>
      <c r="T334" s="29"/>
      <c r="U334" s="30">
        <f t="shared" si="22"/>
        <v>25</v>
      </c>
      <c r="V334" s="31">
        <f t="shared" si="23"/>
        <v>54</v>
      </c>
    </row>
    <row r="335" spans="1:22" ht="14.25" hidden="1" customHeight="1" x14ac:dyDescent="0.3">
      <c r="A335" s="32">
        <v>328</v>
      </c>
      <c r="B335" s="26" t="s">
        <v>379</v>
      </c>
      <c r="C335" s="27" t="str">
        <f t="shared" si="20"/>
        <v>Masculino</v>
      </c>
      <c r="D335" s="33" t="str">
        <f>IFERROR(INDEX(SKUs!$E$6:$E$1997,MATCH(B335,SKUs!$C$6:$C$1997,0)),"")</f>
        <v>CAMISETA</v>
      </c>
      <c r="E335" s="28" t="str">
        <f>IFERROR(VLOOKUP(D335,Configurações!$N$5:$O$46,2,FALSE()),"OUTROS")</f>
        <v>VESTUÁRIO</v>
      </c>
      <c r="F335" s="33" t="str">
        <f>IFERROR(INDEX(SKUs!$F$6:$F$1997,MATCH(B335,SKUs!$C$6:$C$1997,0)),"")</f>
        <v>CAMISETA FIO EGIPCIO MASC.</v>
      </c>
      <c r="G335" s="33" t="str">
        <f>IFERROR(INDEX(SKUs!$G$6:$G$1997,MATCH(B335,SKUs!$C$6:$C$1997,0)),"")</f>
        <v>BRANCA</v>
      </c>
      <c r="H335" s="32" t="str">
        <f>IFERROR(INDEX(SKUs!$H$6:$H$1997,MATCH(B335,SKUs!$C$6:$C$1997,0)),"")</f>
        <v>G</v>
      </c>
      <c r="I335" s="34" t="str">
        <f>IFERROR(INDEX(SKUs!#REF!,MATCH(B335,SKUs!$C$6:$C$1997,0)),"")</f>
        <v/>
      </c>
      <c r="J335" s="35">
        <f>SUMIFS(SKUs!$I$6:$I$1997,SKUs!$C$6:$C$1997,B335)</f>
        <v>68</v>
      </c>
      <c r="K335" s="34">
        <f t="shared" si="21"/>
        <v>0</v>
      </c>
      <c r="L335" s="35">
        <f>COUNTIF(SKUs!$C$6:$C$1997,B335)</f>
        <v>3</v>
      </c>
      <c r="M335" s="29">
        <v>25</v>
      </c>
      <c r="N335" s="29"/>
      <c r="O335" s="29"/>
      <c r="P335" s="29"/>
      <c r="Q335" s="29"/>
      <c r="R335" s="29"/>
      <c r="S335" s="29"/>
      <c r="T335" s="29"/>
      <c r="U335" s="30">
        <f t="shared" si="22"/>
        <v>25</v>
      </c>
      <c r="V335" s="31">
        <f t="shared" si="23"/>
        <v>68</v>
      </c>
    </row>
    <row r="336" spans="1:22" ht="14.25" hidden="1" customHeight="1" x14ac:dyDescent="0.3">
      <c r="A336" s="25">
        <v>329</v>
      </c>
      <c r="B336" s="26" t="s">
        <v>380</v>
      </c>
      <c r="C336" s="27" t="str">
        <f t="shared" si="20"/>
        <v>Masculino</v>
      </c>
      <c r="D336" s="2" t="str">
        <f>IFERROR(INDEX(SKUs!$E$6:$E$1997,MATCH(B336,SKUs!$C$6:$C$1997,0)),"")</f>
        <v>CAMISETA</v>
      </c>
      <c r="E336" s="28" t="str">
        <f>IFERROR(VLOOKUP(D336,Configurações!$N$5:$O$46,2,FALSE()),"OUTROS")</f>
        <v>VESTUÁRIO</v>
      </c>
      <c r="F336" s="2" t="str">
        <f>IFERROR(INDEX(SKUs!$F$6:$F$1997,MATCH(B336,SKUs!$C$6:$C$1997,0)),"")</f>
        <v>CAMISETA FIO EGIPCIO MASC.</v>
      </c>
      <c r="G336" s="2" t="str">
        <f>IFERROR(INDEX(SKUs!$G$6:$G$1997,MATCH(B336,SKUs!$C$6:$C$1997,0)),"")</f>
        <v>BRANCA</v>
      </c>
      <c r="H336" s="25" t="str">
        <f>IFERROR(INDEX(SKUs!$H$6:$H$1997,MATCH(B336,SKUs!$C$6:$C$1997,0)),"")</f>
        <v>GG</v>
      </c>
      <c r="I336" s="4" t="str">
        <f>IFERROR(INDEX(SKUs!#REF!,MATCH(B336,SKUs!$C$6:$C$1997,0)),"")</f>
        <v/>
      </c>
      <c r="J336" s="3">
        <v>6</v>
      </c>
      <c r="K336" s="4">
        <f t="shared" si="21"/>
        <v>0</v>
      </c>
      <c r="L336" s="3">
        <f>COUNTIF(SKUs!$C$6:$C$1997,B336)</f>
        <v>2</v>
      </c>
      <c r="M336" s="29">
        <v>6</v>
      </c>
      <c r="N336" s="29"/>
      <c r="O336" s="29"/>
      <c r="P336" s="29"/>
      <c r="Q336" s="29"/>
      <c r="R336" s="29"/>
      <c r="S336" s="29"/>
      <c r="T336" s="29"/>
      <c r="U336" s="30">
        <f t="shared" si="22"/>
        <v>6</v>
      </c>
      <c r="V336" s="31">
        <f t="shared" si="23"/>
        <v>6</v>
      </c>
    </row>
    <row r="337" spans="1:22" ht="14.25" hidden="1" customHeight="1" x14ac:dyDescent="0.3">
      <c r="A337" s="32">
        <v>330</v>
      </c>
      <c r="B337" s="26" t="s">
        <v>381</v>
      </c>
      <c r="C337" s="27" t="str">
        <f t="shared" si="20"/>
        <v>Masculino</v>
      </c>
      <c r="D337" s="33" t="str">
        <f>IFERROR(INDEX(SKUs!$E$6:$E$1997,MATCH(B337,SKUs!$C$6:$C$1997,0)),"")</f>
        <v>CAMISETA</v>
      </c>
      <c r="E337" s="28" t="str">
        <f>IFERROR(VLOOKUP(D337,Configurações!$N$5:$O$46,2,FALSE()),"OUTROS")</f>
        <v>VESTUÁRIO</v>
      </c>
      <c r="F337" s="33" t="str">
        <f>IFERROR(INDEX(SKUs!$F$6:$F$1997,MATCH(B337,SKUs!$C$6:$C$1997,0)),"")</f>
        <v>CAMISETA FIO EGIPCIO MASC.</v>
      </c>
      <c r="G337" s="33" t="str">
        <f>IFERROR(INDEX(SKUs!$G$6:$G$1997,MATCH(B337,SKUs!$C$6:$C$1997,0)),"")</f>
        <v>BRANCA</v>
      </c>
      <c r="H337" s="32" t="str">
        <f>IFERROR(INDEX(SKUs!$H$6:$H$1997,MATCH(B337,SKUs!$C$6:$C$1997,0)),"")</f>
        <v>XG</v>
      </c>
      <c r="I337" s="34" t="str">
        <f>IFERROR(INDEX(SKUs!#REF!,MATCH(B337,SKUs!$C$6:$C$1997,0)),"")</f>
        <v/>
      </c>
      <c r="J337" s="35">
        <f>SUMIFS(SKUs!$I$6:$I$1997,SKUs!$C$6:$C$1997,B337)</f>
        <v>0</v>
      </c>
      <c r="K337" s="34">
        <f t="shared" si="21"/>
        <v>0</v>
      </c>
      <c r="L337" s="35">
        <f>COUNTIF(SKUs!$C$6:$C$1997,B337)</f>
        <v>2</v>
      </c>
      <c r="M337" s="29">
        <v>10</v>
      </c>
      <c r="N337" s="29"/>
      <c r="O337" s="29"/>
      <c r="P337" s="29"/>
      <c r="Q337" s="29"/>
      <c r="R337" s="29"/>
      <c r="S337" s="29"/>
      <c r="T337" s="29"/>
      <c r="U337" s="30">
        <f t="shared" si="22"/>
        <v>10</v>
      </c>
      <c r="V337" s="31">
        <f t="shared" si="23"/>
        <v>0</v>
      </c>
    </row>
    <row r="338" spans="1:22" ht="14.25" hidden="1" customHeight="1" x14ac:dyDescent="0.3">
      <c r="A338" s="25">
        <v>331</v>
      </c>
      <c r="B338" s="26" t="s">
        <v>382</v>
      </c>
      <c r="C338" s="27" t="str">
        <f t="shared" si="20"/>
        <v>Feminino</v>
      </c>
      <c r="D338" s="2" t="str">
        <f>IFERROR(INDEX(SKUs!$E$6:$E$1997,MATCH(B338,SKUs!$C$6:$C$1997,0)),"")</f>
        <v>CAMISETA</v>
      </c>
      <c r="E338" s="28" t="str">
        <f>IFERROR(VLOOKUP(D338,Configurações!$N$5:$O$46,2,FALSE()),"OUTROS")</f>
        <v>VESTUÁRIO</v>
      </c>
      <c r="F338" s="2" t="str">
        <f>IFERROR(INDEX(SKUs!$F$6:$F$1997,MATCH(B338,SKUs!$C$6:$C$1997,0)),"")</f>
        <v>CAMISETA FIO EGIPCIO FEM.</v>
      </c>
      <c r="G338" s="2" t="str">
        <f>IFERROR(INDEX(SKUs!$G$6:$G$1997,MATCH(B338,SKUs!$C$6:$C$1997,0)),"")</f>
        <v>PRETA</v>
      </c>
      <c r="H338" s="25" t="str">
        <f>IFERROR(INDEX(SKUs!$H$6:$H$1997,MATCH(B338,SKUs!$C$6:$C$1997,0)),"")</f>
        <v>P</v>
      </c>
      <c r="I338" s="4" t="str">
        <f>IFERROR(INDEX(SKUs!#REF!,MATCH(B338,SKUs!$C$6:$C$1997,0)),"")</f>
        <v/>
      </c>
      <c r="J338" s="3">
        <f>SUMIFS(SKUs!$I$6:$I$1997,SKUs!$C$6:$C$1997,B338)</f>
        <v>0</v>
      </c>
      <c r="K338" s="4">
        <f t="shared" si="21"/>
        <v>0</v>
      </c>
      <c r="L338" s="3">
        <f>COUNTIF(SKUs!$C$6:$C$1997,B338)</f>
        <v>2</v>
      </c>
      <c r="M338" s="29">
        <v>17</v>
      </c>
      <c r="N338" s="29"/>
      <c r="O338" s="29"/>
      <c r="P338" s="29"/>
      <c r="Q338" s="29"/>
      <c r="R338" s="29"/>
      <c r="S338" s="29"/>
      <c r="T338" s="29"/>
      <c r="U338" s="30">
        <f t="shared" si="22"/>
        <v>17</v>
      </c>
      <c r="V338" s="31">
        <f t="shared" si="23"/>
        <v>0</v>
      </c>
    </row>
    <row r="339" spans="1:22" ht="14.25" hidden="1" customHeight="1" x14ac:dyDescent="0.3">
      <c r="A339" s="32">
        <v>332</v>
      </c>
      <c r="B339" s="26" t="s">
        <v>383</v>
      </c>
      <c r="C339" s="27" t="str">
        <f t="shared" si="20"/>
        <v>Feminino</v>
      </c>
      <c r="D339" s="33" t="str">
        <f>IFERROR(INDEX(SKUs!$E$6:$E$1997,MATCH(B339,SKUs!$C$6:$C$1997,0)),"")</f>
        <v>CAMISETA</v>
      </c>
      <c r="E339" s="28" t="str">
        <f>IFERROR(VLOOKUP(D339,Configurações!$N$5:$O$46,2,FALSE()),"OUTROS")</f>
        <v>VESTUÁRIO</v>
      </c>
      <c r="F339" s="33" t="str">
        <f>IFERROR(INDEX(SKUs!$F$6:$F$1997,MATCH(B339,SKUs!$C$6:$C$1997,0)),"")</f>
        <v>CAMISETA FIO EGIPCIO FEM.</v>
      </c>
      <c r="G339" s="33" t="str">
        <f>IFERROR(INDEX(SKUs!$G$6:$G$1997,MATCH(B339,SKUs!$C$6:$C$1997,0)),"")</f>
        <v>PRETA</v>
      </c>
      <c r="H339" s="32" t="str">
        <f>IFERROR(INDEX(SKUs!$H$6:$H$1997,MATCH(B339,SKUs!$C$6:$C$1997,0)),"")</f>
        <v>M</v>
      </c>
      <c r="I339" s="34" t="str">
        <f>IFERROR(INDEX(SKUs!#REF!,MATCH(B339,SKUs!$C$6:$C$1997,0)),"")</f>
        <v/>
      </c>
      <c r="J339" s="35">
        <f>SUMIFS(SKUs!$I$6:$I$1997,SKUs!$C$6:$C$1997,B339)</f>
        <v>0</v>
      </c>
      <c r="K339" s="34">
        <f t="shared" si="21"/>
        <v>0</v>
      </c>
      <c r="L339" s="35">
        <f>COUNTIF(SKUs!$C$6:$C$1997,B339)</f>
        <v>2</v>
      </c>
      <c r="M339" s="29">
        <v>6</v>
      </c>
      <c r="N339" s="29"/>
      <c r="O339" s="29"/>
      <c r="P339" s="29"/>
      <c r="Q339" s="29"/>
      <c r="R339" s="29"/>
      <c r="S339" s="29"/>
      <c r="T339" s="29"/>
      <c r="U339" s="30">
        <f t="shared" si="22"/>
        <v>6</v>
      </c>
      <c r="V339" s="31">
        <f t="shared" si="23"/>
        <v>0</v>
      </c>
    </row>
    <row r="340" spans="1:22" ht="14.25" hidden="1" customHeight="1" x14ac:dyDescent="0.3">
      <c r="A340" s="25">
        <v>333</v>
      </c>
      <c r="B340" s="26" t="s">
        <v>384</v>
      </c>
      <c r="C340" s="27" t="str">
        <f t="shared" si="20"/>
        <v>Feminino</v>
      </c>
      <c r="D340" s="2" t="str">
        <f>IFERROR(INDEX(SKUs!$E$6:$E$1997,MATCH(B340,SKUs!$C$6:$C$1997,0)),"")</f>
        <v>CAMISETA</v>
      </c>
      <c r="E340" s="28" t="str">
        <f>IFERROR(VLOOKUP(D340,Configurações!$N$5:$O$46,2,FALSE()),"OUTROS")</f>
        <v>VESTUÁRIO</v>
      </c>
      <c r="F340" s="2" t="str">
        <f>IFERROR(INDEX(SKUs!$F$6:$F$1997,MATCH(B340,SKUs!$C$6:$C$1997,0)),"")</f>
        <v>CAMISETA FIO EGIPCIO FEM.</v>
      </c>
      <c r="G340" s="2" t="str">
        <f>IFERROR(INDEX(SKUs!$G$6:$G$1997,MATCH(B340,SKUs!$C$6:$C$1997,0)),"")</f>
        <v>PRETA</v>
      </c>
      <c r="H340" s="25" t="str">
        <f>IFERROR(INDEX(SKUs!$H$6:$H$1997,MATCH(B340,SKUs!$C$6:$C$1997,0)),"")</f>
        <v>GG</v>
      </c>
      <c r="I340" s="4" t="str">
        <f>IFERROR(INDEX(SKUs!#REF!,MATCH(B340,SKUs!$C$6:$C$1997,0)),"")</f>
        <v/>
      </c>
      <c r="J340" s="3">
        <f>SUMIFS(SKUs!$I$6:$I$1997,SKUs!$C$6:$C$1997,B340)</f>
        <v>0</v>
      </c>
      <c r="K340" s="4">
        <f t="shared" si="21"/>
        <v>0</v>
      </c>
      <c r="L340" s="3">
        <f>COUNTIF(SKUs!$C$6:$C$1997,B340)</f>
        <v>2</v>
      </c>
      <c r="M340" s="29">
        <v>6</v>
      </c>
      <c r="N340" s="29"/>
      <c r="O340" s="29"/>
      <c r="P340" s="29"/>
      <c r="Q340" s="29"/>
      <c r="R340" s="29"/>
      <c r="S340" s="29"/>
      <c r="T340" s="29"/>
      <c r="U340" s="30">
        <f t="shared" si="22"/>
        <v>6</v>
      </c>
      <c r="V340" s="31">
        <f t="shared" si="23"/>
        <v>0</v>
      </c>
    </row>
    <row r="341" spans="1:22" ht="14.25" hidden="1" customHeight="1" x14ac:dyDescent="0.3">
      <c r="A341" s="32">
        <v>334</v>
      </c>
      <c r="B341" s="26" t="s">
        <v>385</v>
      </c>
      <c r="C341" s="27" t="str">
        <f t="shared" si="20"/>
        <v>Masculino</v>
      </c>
      <c r="D341" s="33" t="str">
        <f>IFERROR(INDEX(SKUs!$E$6:$E$1997,MATCH(B341,SKUs!$C$6:$C$1997,0)),"")</f>
        <v>CAMISETA</v>
      </c>
      <c r="E341" s="28" t="str">
        <f>IFERROR(VLOOKUP(D341,Configurações!$N$5:$O$46,2,FALSE()),"OUTROS")</f>
        <v>VESTUÁRIO</v>
      </c>
      <c r="F341" s="33" t="str">
        <f>IFERROR(INDEX(SKUs!$F$6:$F$1997,MATCH(B341,SKUs!$C$6:$C$1997,0)),"")</f>
        <v>CAMISETA ESPORTE MASC.</v>
      </c>
      <c r="G341" s="33" t="str">
        <f>IFERROR(INDEX(SKUs!$G$6:$G$1997,MATCH(B341,SKUs!$C$6:$C$1997,0)),"")</f>
        <v>AZUL CLARO</v>
      </c>
      <c r="H341" s="32" t="str">
        <f>IFERROR(INDEX(SKUs!$H$6:$H$1997,MATCH(B341,SKUs!$C$6:$C$1997,0)),"")</f>
        <v>P</v>
      </c>
      <c r="I341" s="34" t="str">
        <f>IFERROR(INDEX(SKUs!#REF!,MATCH(B341,SKUs!$C$6:$C$1997,0)),"")</f>
        <v/>
      </c>
      <c r="J341" s="35">
        <f>SUMIFS(SKUs!$I$6:$I$1997,SKUs!$C$6:$C$1997,B341)</f>
        <v>0</v>
      </c>
      <c r="K341" s="34">
        <f t="shared" si="21"/>
        <v>0</v>
      </c>
      <c r="L341" s="35">
        <f>COUNTIF(SKUs!$C$6:$C$1997,B341)</f>
        <v>1</v>
      </c>
      <c r="M341" s="29">
        <v>7</v>
      </c>
      <c r="N341" s="29"/>
      <c r="O341" s="29"/>
      <c r="P341" s="29"/>
      <c r="Q341" s="29"/>
      <c r="R341" s="29"/>
      <c r="S341" s="29"/>
      <c r="T341" s="29"/>
      <c r="U341" s="30">
        <f t="shared" si="22"/>
        <v>7</v>
      </c>
      <c r="V341" s="31">
        <f t="shared" si="23"/>
        <v>0</v>
      </c>
    </row>
    <row r="342" spans="1:22" ht="14.25" hidden="1" customHeight="1" x14ac:dyDescent="0.3">
      <c r="A342" s="25">
        <v>335</v>
      </c>
      <c r="B342" s="26" t="s">
        <v>386</v>
      </c>
      <c r="C342" s="27" t="str">
        <f t="shared" si="20"/>
        <v>Masculino</v>
      </c>
      <c r="D342" s="2" t="str">
        <f>IFERROR(INDEX(SKUs!$E$6:$E$1997,MATCH(B342,SKUs!$C$6:$C$1997,0)),"")</f>
        <v>CAMISETA</v>
      </c>
      <c r="E342" s="28" t="str">
        <f>IFERROR(VLOOKUP(D342,Configurações!$N$5:$O$46,2,FALSE()),"OUTROS")</f>
        <v>VESTUÁRIO</v>
      </c>
      <c r="F342" s="2" t="str">
        <f>IFERROR(INDEX(SKUs!$F$6:$F$1997,MATCH(B342,SKUs!$C$6:$C$1997,0)),"")</f>
        <v>CAMISETA ESPORTE MASC.</v>
      </c>
      <c r="G342" s="2" t="str">
        <f>IFERROR(INDEX(SKUs!$G$6:$G$1997,MATCH(B342,SKUs!$C$6:$C$1997,0)),"")</f>
        <v>AZUL CLARO</v>
      </c>
      <c r="H342" s="25" t="str">
        <f>IFERROR(INDEX(SKUs!$H$6:$H$1997,MATCH(B342,SKUs!$C$6:$C$1997,0)),"")</f>
        <v>M</v>
      </c>
      <c r="I342" s="4" t="str">
        <f>IFERROR(INDEX(SKUs!#REF!,MATCH(B342,SKUs!$C$6:$C$1997,0)),"")</f>
        <v/>
      </c>
      <c r="J342" s="3">
        <f>SUMIFS(SKUs!$I$6:$I$1997,SKUs!$C$6:$C$1997,B342)</f>
        <v>0</v>
      </c>
      <c r="K342" s="4">
        <f t="shared" si="21"/>
        <v>0</v>
      </c>
      <c r="L342" s="3">
        <f>COUNTIF(SKUs!$C$6:$C$1997,B342)</f>
        <v>1</v>
      </c>
      <c r="M342" s="29">
        <v>11</v>
      </c>
      <c r="N342" s="29"/>
      <c r="O342" s="29"/>
      <c r="P342" s="29"/>
      <c r="Q342" s="29"/>
      <c r="R342" s="29"/>
      <c r="S342" s="29"/>
      <c r="T342" s="29"/>
      <c r="U342" s="30">
        <f t="shared" si="22"/>
        <v>11</v>
      </c>
      <c r="V342" s="31">
        <f t="shared" si="23"/>
        <v>0</v>
      </c>
    </row>
    <row r="343" spans="1:22" ht="14.25" hidden="1" customHeight="1" x14ac:dyDescent="0.3">
      <c r="A343" s="32">
        <v>336</v>
      </c>
      <c r="B343" s="26" t="s">
        <v>387</v>
      </c>
      <c r="C343" s="27" t="str">
        <f t="shared" si="20"/>
        <v>Masculino</v>
      </c>
      <c r="D343" s="33" t="str">
        <f>IFERROR(INDEX(SKUs!$E$6:$E$1997,MATCH(B343,SKUs!$C$6:$C$1997,0)),"")</f>
        <v>CAMISETA</v>
      </c>
      <c r="E343" s="28" t="str">
        <f>IFERROR(VLOOKUP(D343,Configurações!$N$5:$O$46,2,FALSE()),"OUTROS")</f>
        <v>VESTUÁRIO</v>
      </c>
      <c r="F343" s="33" t="str">
        <f>IFERROR(INDEX(SKUs!$F$6:$F$1997,MATCH(B343,SKUs!$C$6:$C$1997,0)),"")</f>
        <v>CAMISETA ESPORTE MASC.</v>
      </c>
      <c r="G343" s="33" t="str">
        <f>IFERROR(INDEX(SKUs!$G$6:$G$1997,MATCH(B343,SKUs!$C$6:$C$1997,0)),"")</f>
        <v>AZUL CLARO</v>
      </c>
      <c r="H343" s="32" t="str">
        <f>IFERROR(INDEX(SKUs!$H$6:$H$1997,MATCH(B343,SKUs!$C$6:$C$1997,0)),"")</f>
        <v>GG</v>
      </c>
      <c r="I343" s="34" t="str">
        <f>IFERROR(INDEX(SKUs!#REF!,MATCH(B343,SKUs!$C$6:$C$1997,0)),"")</f>
        <v/>
      </c>
      <c r="J343" s="35">
        <f>SUMIFS(SKUs!$I$6:$I$1997,SKUs!$C$6:$C$1997,B343)</f>
        <v>0</v>
      </c>
      <c r="K343" s="34">
        <f t="shared" si="21"/>
        <v>0</v>
      </c>
      <c r="L343" s="35">
        <f>COUNTIF(SKUs!$C$6:$C$1997,B343)</f>
        <v>1</v>
      </c>
      <c r="M343" s="29">
        <v>3</v>
      </c>
      <c r="N343" s="29"/>
      <c r="O343" s="29"/>
      <c r="P343" s="29"/>
      <c r="Q343" s="29"/>
      <c r="R343" s="29"/>
      <c r="S343" s="29"/>
      <c r="T343" s="29"/>
      <c r="U343" s="30">
        <f t="shared" si="22"/>
        <v>3</v>
      </c>
      <c r="V343" s="31">
        <f t="shared" si="23"/>
        <v>0</v>
      </c>
    </row>
    <row r="344" spans="1:22" ht="14.25" hidden="1" customHeight="1" x14ac:dyDescent="0.3">
      <c r="A344" s="25">
        <v>337</v>
      </c>
      <c r="B344" s="26" t="s">
        <v>388</v>
      </c>
      <c r="C344" s="27" t="str">
        <f t="shared" si="20"/>
        <v>—</v>
      </c>
      <c r="D344" s="2" t="str">
        <f>IFERROR(INDEX(SKUs!$E$6:$E$1997,MATCH(B344,SKUs!$C$6:$C$1997,0)),"")</f>
        <v>LENÇO</v>
      </c>
      <c r="E344" s="28" t="str">
        <f>IFERROR(VLOOKUP(D344,Configurações!$N$5:$O$46,2,FALSE()),"OUTROS")</f>
        <v>ACESSÓRIOS</v>
      </c>
      <c r="F344" s="2" t="str">
        <f>IFERROR(INDEX(SKUs!$F$6:$F$1997,MATCH(B344,SKUs!$C$6:$C$1997,0)),"")</f>
        <v>LENÇO ECHARPE FEM</v>
      </c>
      <c r="G344" s="2" t="str">
        <f>IFERROR(INDEX(SKUs!$G$6:$G$1997,MATCH(B344,SKUs!$C$6:$C$1997,0)),"")</f>
        <v>CINZA</v>
      </c>
      <c r="H344" s="25" t="str">
        <f>IFERROR(INDEX(SKUs!$H$6:$H$1997,MATCH(B344,SKUs!$C$6:$C$1997,0)),"")</f>
        <v>UNICO</v>
      </c>
      <c r="I344" s="4" t="str">
        <f>IFERROR(INDEX(SKUs!#REF!,MATCH(B344,SKUs!$C$6:$C$1997,0)),"")</f>
        <v/>
      </c>
      <c r="J344" s="3">
        <f>SUMIFS(SKUs!$I$6:$I$1997,SKUs!$C$6:$C$1997,B344)</f>
        <v>0</v>
      </c>
      <c r="K344" s="4">
        <f t="shared" si="21"/>
        <v>0</v>
      </c>
      <c r="L344" s="3">
        <f>COUNTIF(SKUs!$C$6:$C$1997,B344)</f>
        <v>1</v>
      </c>
      <c r="M344" s="29">
        <v>6</v>
      </c>
      <c r="N344" s="29"/>
      <c r="O344" s="29"/>
      <c r="P344" s="29"/>
      <c r="Q344" s="29"/>
      <c r="R344" s="29"/>
      <c r="S344" s="29"/>
      <c r="T344" s="29"/>
      <c r="U344" s="30">
        <f t="shared" si="22"/>
        <v>6</v>
      </c>
      <c r="V344" s="31">
        <f t="shared" si="23"/>
        <v>0</v>
      </c>
    </row>
    <row r="345" spans="1:22" ht="14.25" hidden="1" customHeight="1" x14ac:dyDescent="0.3">
      <c r="A345" s="32">
        <v>338</v>
      </c>
      <c r="B345" s="26" t="s">
        <v>389</v>
      </c>
      <c r="C345" s="27" t="str">
        <f t="shared" si="20"/>
        <v>—</v>
      </c>
      <c r="D345" s="33" t="str">
        <f>IFERROR(INDEX(SKUs!$E$6:$E$1997,MATCH(B345,SKUs!$C$6:$C$1997,0)),"")</f>
        <v>LENÇO</v>
      </c>
      <c r="E345" s="28" t="str">
        <f>IFERROR(VLOOKUP(D345,Configurações!$N$5:$O$46,2,FALSE()),"OUTROS")</f>
        <v>ACESSÓRIOS</v>
      </c>
      <c r="F345" s="33" t="str">
        <f>IFERROR(INDEX(SKUs!$F$6:$F$1997,MATCH(B345,SKUs!$C$6:$C$1997,0)),"")</f>
        <v>LENÇO ECHARPE FEM</v>
      </c>
      <c r="G345" s="33" t="str">
        <f>IFERROR(INDEX(SKUs!$G$6:$G$1997,MATCH(B345,SKUs!$C$6:$C$1997,0)),"")</f>
        <v>CRU</v>
      </c>
      <c r="H345" s="32" t="str">
        <f>IFERROR(INDEX(SKUs!$H$6:$H$1997,MATCH(B345,SKUs!$C$6:$C$1997,0)),"")</f>
        <v>UNICO</v>
      </c>
      <c r="I345" s="34" t="str">
        <f>IFERROR(INDEX(SKUs!#REF!,MATCH(B345,SKUs!$C$6:$C$1997,0)),"")</f>
        <v/>
      </c>
      <c r="J345" s="35">
        <f>SUMIFS(SKUs!$I$6:$I$1997,SKUs!$C$6:$C$1997,B345)</f>
        <v>0</v>
      </c>
      <c r="K345" s="34">
        <f t="shared" si="21"/>
        <v>0</v>
      </c>
      <c r="L345" s="35">
        <f>COUNTIF(SKUs!$C$6:$C$1997,B345)</f>
        <v>1</v>
      </c>
      <c r="M345" s="29">
        <v>6</v>
      </c>
      <c r="N345" s="29"/>
      <c r="O345" s="29"/>
      <c r="P345" s="29"/>
      <c r="Q345" s="29"/>
      <c r="R345" s="29"/>
      <c r="S345" s="29"/>
      <c r="T345" s="29"/>
      <c r="U345" s="30">
        <f t="shared" si="22"/>
        <v>6</v>
      </c>
      <c r="V345" s="31">
        <f t="shared" si="23"/>
        <v>0</v>
      </c>
    </row>
    <row r="346" spans="1:22" ht="14.25" hidden="1" customHeight="1" x14ac:dyDescent="0.3">
      <c r="A346" s="25">
        <v>339</v>
      </c>
      <c r="B346" s="26" t="s">
        <v>390</v>
      </c>
      <c r="C346" s="27" t="str">
        <f t="shared" si="20"/>
        <v>—</v>
      </c>
      <c r="D346" s="2" t="str">
        <f>IFERROR(INDEX(SKUs!$E$6:$E$1997,MATCH(B346,SKUs!$C$6:$C$1997,0)),"")</f>
        <v>LENÇO</v>
      </c>
      <c r="E346" s="28" t="str">
        <f>IFERROR(VLOOKUP(D346,Configurações!$N$5:$O$46,2,FALSE()),"OUTROS")</f>
        <v>ACESSÓRIOS</v>
      </c>
      <c r="F346" s="2" t="str">
        <f>IFERROR(INDEX(SKUs!$F$6:$F$1997,MATCH(B346,SKUs!$C$6:$C$1997,0)),"")</f>
        <v>LENÇO ECHARPE FEM</v>
      </c>
      <c r="G346" s="2" t="str">
        <f>IFERROR(INDEX(SKUs!$G$6:$G$1997,MATCH(B346,SKUs!$C$6:$C$1997,0)),"")</f>
        <v>PRETO</v>
      </c>
      <c r="H346" s="25" t="str">
        <f>IFERROR(INDEX(SKUs!$H$6:$H$1997,MATCH(B346,SKUs!$C$6:$C$1997,0)),"")</f>
        <v>UNICO</v>
      </c>
      <c r="I346" s="4" t="str">
        <f>IFERROR(INDEX(SKUs!#REF!,MATCH(B346,SKUs!$C$6:$C$1997,0)),"")</f>
        <v/>
      </c>
      <c r="J346" s="3">
        <f>SUMIFS(SKUs!$I$6:$I$1997,SKUs!$C$6:$C$1997,B346)</f>
        <v>0</v>
      </c>
      <c r="K346" s="4">
        <f t="shared" si="21"/>
        <v>0</v>
      </c>
      <c r="L346" s="3">
        <f>COUNTIF(SKUs!$C$6:$C$1997,B346)</f>
        <v>1</v>
      </c>
      <c r="M346" s="29">
        <v>6</v>
      </c>
      <c r="N346" s="29"/>
      <c r="O346" s="29"/>
      <c r="P346" s="29"/>
      <c r="Q346" s="29"/>
      <c r="R346" s="29"/>
      <c r="S346" s="29"/>
      <c r="T346" s="29"/>
      <c r="U346" s="30">
        <f t="shared" si="22"/>
        <v>6</v>
      </c>
      <c r="V346" s="31">
        <f t="shared" si="23"/>
        <v>0</v>
      </c>
    </row>
    <row r="347" spans="1:22" ht="14.25" hidden="1" customHeight="1" x14ac:dyDescent="0.3">
      <c r="A347" s="32">
        <v>340</v>
      </c>
      <c r="B347" s="26" t="s">
        <v>391</v>
      </c>
      <c r="C347" s="27" t="str">
        <f t="shared" si="20"/>
        <v>—</v>
      </c>
      <c r="D347" s="33" t="str">
        <f>IFERROR(INDEX(SKUs!$E$6:$E$1997,MATCH(B347,SKUs!$C$6:$C$1997,0)),"")</f>
        <v>LENÇO</v>
      </c>
      <c r="E347" s="28" t="str">
        <f>IFERROR(VLOOKUP(D347,Configurações!$N$5:$O$46,2,FALSE()),"OUTROS")</f>
        <v>ACESSÓRIOS</v>
      </c>
      <c r="F347" s="33" t="str">
        <f>IFERROR(INDEX(SKUs!$F$6:$F$1997,MATCH(B347,SKUs!$C$6:$C$1997,0)),"")</f>
        <v>LENÇO ECHARPE FEM</v>
      </c>
      <c r="G347" s="33" t="str">
        <f>IFERROR(INDEX(SKUs!$G$6:$G$1997,MATCH(B347,SKUs!$C$6:$C$1997,0)),"")</f>
        <v>AZUL MARINHO</v>
      </c>
      <c r="H347" s="32" t="str">
        <f>IFERROR(INDEX(SKUs!$H$6:$H$1997,MATCH(B347,SKUs!$C$6:$C$1997,0)),"")</f>
        <v>UNICO</v>
      </c>
      <c r="I347" s="34" t="str">
        <f>IFERROR(INDEX(SKUs!#REF!,MATCH(B347,SKUs!$C$6:$C$1997,0)),"")</f>
        <v/>
      </c>
      <c r="J347" s="35">
        <f>SUMIFS(SKUs!$I$6:$I$1997,SKUs!$C$6:$C$1997,B347)</f>
        <v>0</v>
      </c>
      <c r="K347" s="34">
        <f t="shared" si="21"/>
        <v>0</v>
      </c>
      <c r="L347" s="35">
        <f>COUNTIF(SKUs!$C$6:$C$1997,B347)</f>
        <v>1</v>
      </c>
      <c r="M347" s="29">
        <v>6</v>
      </c>
      <c r="N347" s="29"/>
      <c r="O347" s="29"/>
      <c r="P347" s="29"/>
      <c r="Q347" s="29"/>
      <c r="R347" s="29"/>
      <c r="S347" s="29"/>
      <c r="T347" s="29"/>
      <c r="U347" s="30">
        <f t="shared" si="22"/>
        <v>6</v>
      </c>
      <c r="V347" s="31">
        <f t="shared" si="23"/>
        <v>0</v>
      </c>
    </row>
    <row r="348" spans="1:22" ht="14.25" hidden="1" customHeight="1" x14ac:dyDescent="0.3">
      <c r="A348" s="25">
        <v>341</v>
      </c>
      <c r="B348" s="26" t="s">
        <v>392</v>
      </c>
      <c r="C348" s="27" t="str">
        <f t="shared" si="20"/>
        <v>—</v>
      </c>
      <c r="D348" s="2" t="str">
        <f>IFERROR(INDEX(SKUs!$E$6:$E$1997,MATCH(B348,SKUs!$C$6:$C$1997,0)),"")</f>
        <v>PORTA VINHO</v>
      </c>
      <c r="E348" s="28" t="str">
        <f>IFERROR(VLOOKUP(D348,Configurações!$N$5:$O$46,2,FALSE()),"OUTROS")</f>
        <v>BEBIDAS E MESA</v>
      </c>
      <c r="F348" s="2" t="str">
        <f>IFERROR(INDEX(SKUs!$F$6:$F$1997,MATCH(B348,SKUs!$C$6:$C$1997,0)),"")</f>
        <v>PORTA VINHO - NYLON</v>
      </c>
      <c r="G348" s="2" t="str">
        <f>IFERROR(INDEX(SKUs!$G$6:$G$1997,MATCH(B348,SKUs!$C$6:$C$1997,0)),"")</f>
        <v>AZUL</v>
      </c>
      <c r="H348" s="25" t="str">
        <f>IFERROR(INDEX(SKUs!$H$6:$H$1997,MATCH(B348,SKUs!$C$6:$C$1997,0)),"")</f>
        <v>32X10</v>
      </c>
      <c r="I348" s="4" t="str">
        <f>IFERROR(INDEX(SKUs!#REF!,MATCH(B348,SKUs!$C$6:$C$1997,0)),"")</f>
        <v/>
      </c>
      <c r="J348" s="3">
        <f>SUMIFS(SKUs!$I$6:$I$1997,SKUs!$C$6:$C$1997,B348)</f>
        <v>15</v>
      </c>
      <c r="K348" s="4">
        <f t="shared" si="21"/>
        <v>0</v>
      </c>
      <c r="L348" s="3">
        <f>COUNTIF(SKUs!$C$6:$C$1997,B348)</f>
        <v>1</v>
      </c>
      <c r="M348" s="29"/>
      <c r="N348" s="29"/>
      <c r="O348" s="29"/>
      <c r="P348" s="29"/>
      <c r="Q348" s="29"/>
      <c r="R348" s="29"/>
      <c r="S348" s="29"/>
      <c r="T348" s="29"/>
      <c r="U348" s="30">
        <f t="shared" si="22"/>
        <v>0</v>
      </c>
      <c r="V348" s="31">
        <f t="shared" si="23"/>
        <v>15</v>
      </c>
    </row>
    <row r="349" spans="1:22" ht="14.25" hidden="1" customHeight="1" x14ac:dyDescent="0.3">
      <c r="A349" s="32">
        <v>342</v>
      </c>
      <c r="B349" s="26" t="s">
        <v>393</v>
      </c>
      <c r="C349" s="27" t="str">
        <f t="shared" si="20"/>
        <v>—</v>
      </c>
      <c r="D349" s="33" t="str">
        <f>IFERROR(INDEX(SKUs!$E$6:$E$1997,MATCH(B349,SKUs!$C$6:$C$1997,0)),"")</f>
        <v>PORTA VINHO</v>
      </c>
      <c r="E349" s="28" t="str">
        <f>IFERROR(VLOOKUP(D349,Configurações!$N$5:$O$46,2,FALSE()),"OUTROS")</f>
        <v>BEBIDAS E MESA</v>
      </c>
      <c r="F349" s="33" t="str">
        <f>IFERROR(INDEX(SKUs!$F$6:$F$1997,MATCH(B349,SKUs!$C$6:$C$1997,0)),"")</f>
        <v>PORTA VINHO - COURO</v>
      </c>
      <c r="G349" s="33" t="str">
        <f>IFERROR(INDEX(SKUs!$G$6:$G$1997,MATCH(B349,SKUs!$C$6:$C$1997,0)),"")</f>
        <v>PRETO</v>
      </c>
      <c r="H349" s="32" t="str">
        <f>IFERROR(INDEX(SKUs!$H$6:$H$1997,MATCH(B349,SKUs!$C$6:$C$1997,0)),"")</f>
        <v>40X13</v>
      </c>
      <c r="I349" s="34" t="str">
        <f>IFERROR(INDEX(SKUs!#REF!,MATCH(B349,SKUs!$C$6:$C$1997,0)),"")</f>
        <v/>
      </c>
      <c r="J349" s="35">
        <f>SUMIFS(SKUs!$I$6:$I$1997,SKUs!$C$6:$C$1997,B349)</f>
        <v>16</v>
      </c>
      <c r="K349" s="34">
        <f t="shared" si="21"/>
        <v>0</v>
      </c>
      <c r="L349" s="35">
        <f>COUNTIF(SKUs!$C$6:$C$1997,B349)</f>
        <v>1</v>
      </c>
      <c r="M349" s="29"/>
      <c r="N349" s="29"/>
      <c r="O349" s="29"/>
      <c r="P349" s="29"/>
      <c r="Q349" s="29"/>
      <c r="R349" s="29"/>
      <c r="S349" s="29"/>
      <c r="T349" s="29"/>
      <c r="U349" s="30">
        <f t="shared" si="22"/>
        <v>0</v>
      </c>
      <c r="V349" s="31">
        <f t="shared" si="23"/>
        <v>16</v>
      </c>
    </row>
    <row r="350" spans="1:22" ht="14.25" hidden="1" customHeight="1" x14ac:dyDescent="0.3">
      <c r="A350" s="25">
        <v>343</v>
      </c>
      <c r="B350" s="26" t="s">
        <v>394</v>
      </c>
      <c r="C350" s="27" t="str">
        <f t="shared" si="20"/>
        <v>—</v>
      </c>
      <c r="D350" s="2" t="str">
        <f>IFERROR(INDEX(SKUs!$E$6:$E$1997,MATCH(B350,SKUs!$C$6:$C$1997,0)),"")</f>
        <v>CHAVEIRO</v>
      </c>
      <c r="E350" s="28" t="str">
        <f>IFERROR(VLOOKUP(D350,Configurações!$N$5:$O$46,2,FALSE()),"OUTROS")</f>
        <v>ESCRITÓRIOS E PAPELARIA</v>
      </c>
      <c r="F350" s="2" t="str">
        <f>IFERROR(INDEX(SKUs!$F$6:$F$1997,MATCH(B350,SKUs!$C$6:$C$1997,0)),"")</f>
        <v>CHAVEIRO TENIS</v>
      </c>
      <c r="G350" s="2" t="str">
        <f>IFERROR(INDEX(SKUs!$G$6:$G$1997,MATCH(B350,SKUs!$C$6:$C$1997,0)),"")</f>
        <v>TENIS</v>
      </c>
      <c r="H350" s="25" t="str">
        <f>IFERROR(INDEX(SKUs!$H$6:$H$1997,MATCH(B350,SKUs!$C$6:$C$1997,0)),"")</f>
        <v>UNICO</v>
      </c>
      <c r="I350" s="4" t="str">
        <f>IFERROR(INDEX(SKUs!#REF!,MATCH(B350,SKUs!$C$6:$C$1997,0)),"")</f>
        <v/>
      </c>
      <c r="J350" s="3">
        <f>SUMIFS(SKUs!$I$6:$I$1997,SKUs!$C$6:$C$1997,B350)</f>
        <v>63</v>
      </c>
      <c r="K350" s="4">
        <f t="shared" si="21"/>
        <v>0</v>
      </c>
      <c r="L350" s="3">
        <f>COUNTIF(SKUs!$C$6:$C$1997,B350)</f>
        <v>1</v>
      </c>
      <c r="M350" s="29"/>
      <c r="N350" s="29"/>
      <c r="O350" s="29"/>
      <c r="P350" s="29"/>
      <c r="Q350" s="29"/>
      <c r="R350" s="29"/>
      <c r="S350" s="29"/>
      <c r="T350" s="29"/>
      <c r="U350" s="30">
        <f t="shared" si="22"/>
        <v>0</v>
      </c>
      <c r="V350" s="31">
        <f t="shared" si="23"/>
        <v>63</v>
      </c>
    </row>
    <row r="351" spans="1:22" ht="14.25" hidden="1" customHeight="1" x14ac:dyDescent="0.3">
      <c r="A351" s="32">
        <v>344</v>
      </c>
      <c r="B351" s="26" t="s">
        <v>395</v>
      </c>
      <c r="C351" s="27" t="str">
        <f t="shared" si="20"/>
        <v>Feminino</v>
      </c>
      <c r="D351" s="33" t="str">
        <f>IFERROR(INDEX(SKUs!$E$6:$E$1997,MATCH(B351,SKUs!$C$6:$C$1997,0)),"")</f>
        <v>SHORTS</v>
      </c>
      <c r="E351" s="28" t="str">
        <f>IFERROR(VLOOKUP(D351,Configurações!$N$5:$O$46,2,FALSE()),"OUTROS")</f>
        <v>VESTUÁRIO</v>
      </c>
      <c r="F351" s="33" t="str">
        <f>IFERROR(INDEX(SKUs!$F$6:$F$1997,MATCH(B351,SKUs!$C$6:$C$1997,0)),"")</f>
        <v>SHORTS ESPORTE UNISSEX</v>
      </c>
      <c r="G351" s="33" t="str">
        <f>IFERROR(INDEX(SKUs!$G$6:$G$1997,MATCH(B351,SKUs!$C$6:$C$1997,0)),"")</f>
        <v>PRETA</v>
      </c>
      <c r="H351" s="32" t="str">
        <f>IFERROR(INDEX(SKUs!$H$6:$H$1997,MATCH(B351,SKUs!$C$6:$C$1997,0)),"")</f>
        <v>PP</v>
      </c>
      <c r="I351" s="34" t="str">
        <f>IFERROR(INDEX(SKUs!#REF!,MATCH(B351,SKUs!$C$6:$C$1997,0)),"")</f>
        <v/>
      </c>
      <c r="J351" s="35">
        <f>SUMIFS(SKUs!$I$6:$I$1997,SKUs!$C$6:$C$1997,B351)</f>
        <v>0</v>
      </c>
      <c r="K351" s="34">
        <f t="shared" si="21"/>
        <v>0</v>
      </c>
      <c r="L351" s="35">
        <f>COUNTIF(SKUs!$C$6:$C$1997,B351)</f>
        <v>1</v>
      </c>
      <c r="M351" s="29">
        <v>5</v>
      </c>
      <c r="N351" s="29"/>
      <c r="O351" s="29"/>
      <c r="P351" s="29"/>
      <c r="Q351" s="29"/>
      <c r="R351" s="29"/>
      <c r="S351" s="29"/>
      <c r="T351" s="29"/>
      <c r="U351" s="30">
        <f t="shared" si="22"/>
        <v>5</v>
      </c>
      <c r="V351" s="31">
        <f t="shared" si="23"/>
        <v>0</v>
      </c>
    </row>
    <row r="352" spans="1:22" ht="14.25" hidden="1" customHeight="1" x14ac:dyDescent="0.3">
      <c r="A352" s="25">
        <v>345</v>
      </c>
      <c r="B352" s="26" t="s">
        <v>396</v>
      </c>
      <c r="C352" s="27" t="str">
        <f t="shared" si="20"/>
        <v>Feminino</v>
      </c>
      <c r="D352" s="2" t="str">
        <f>IFERROR(INDEX(SKUs!$E$6:$E$1997,MATCH(B352,SKUs!$C$6:$C$1997,0)),"")</f>
        <v>SHORTS</v>
      </c>
      <c r="E352" s="28" t="str">
        <f>IFERROR(VLOOKUP(D352,Configurações!$N$5:$O$46,2,FALSE()),"OUTROS")</f>
        <v>VESTUÁRIO</v>
      </c>
      <c r="F352" s="2" t="str">
        <f>IFERROR(INDEX(SKUs!$F$6:$F$1997,MATCH(B352,SKUs!$C$6:$C$1997,0)),"")</f>
        <v>SHORTS ESPORTE UNISSEX</v>
      </c>
      <c r="G352" s="2" t="str">
        <f>IFERROR(INDEX(SKUs!$G$6:$G$1997,MATCH(B352,SKUs!$C$6:$C$1997,0)),"")</f>
        <v>PRETA</v>
      </c>
      <c r="H352" s="25" t="str">
        <f>IFERROR(INDEX(SKUs!$H$6:$H$1997,MATCH(B352,SKUs!$C$6:$C$1997,0)),"")</f>
        <v>P</v>
      </c>
      <c r="I352" s="4" t="str">
        <f>IFERROR(INDEX(SKUs!#REF!,MATCH(B352,SKUs!$C$6:$C$1997,0)),"")</f>
        <v/>
      </c>
      <c r="J352" s="3">
        <f>SUMIFS(SKUs!$I$6:$I$1997,SKUs!$C$6:$C$1997,B352)</f>
        <v>0</v>
      </c>
      <c r="K352" s="4">
        <f t="shared" si="21"/>
        <v>0</v>
      </c>
      <c r="L352" s="3">
        <f>COUNTIF(SKUs!$C$6:$C$1997,B352)</f>
        <v>1</v>
      </c>
      <c r="M352" s="29">
        <v>3</v>
      </c>
      <c r="N352" s="29"/>
      <c r="O352" s="29"/>
      <c r="P352" s="29"/>
      <c r="Q352" s="29"/>
      <c r="R352" s="29"/>
      <c r="S352" s="29"/>
      <c r="T352" s="29"/>
      <c r="U352" s="30">
        <f t="shared" si="22"/>
        <v>3</v>
      </c>
      <c r="V352" s="31">
        <f t="shared" si="23"/>
        <v>0</v>
      </c>
    </row>
    <row r="353" spans="1:22" ht="14.25" hidden="1" customHeight="1" x14ac:dyDescent="0.3">
      <c r="A353" s="32">
        <v>346</v>
      </c>
      <c r="B353" s="26" t="s">
        <v>397</v>
      </c>
      <c r="C353" s="27" t="str">
        <f t="shared" si="20"/>
        <v>Feminino</v>
      </c>
      <c r="D353" s="33" t="str">
        <f>IFERROR(INDEX(SKUs!$E$6:$E$1997,MATCH(B353,SKUs!$C$6:$C$1997,0)),"")</f>
        <v>SHORTS</v>
      </c>
      <c r="E353" s="28" t="str">
        <f>IFERROR(VLOOKUP(D353,Configurações!$N$5:$O$46,2,FALSE()),"OUTROS")</f>
        <v>VESTUÁRIO</v>
      </c>
      <c r="F353" s="33" t="str">
        <f>IFERROR(INDEX(SKUs!$F$6:$F$1997,MATCH(B353,SKUs!$C$6:$C$1997,0)),"")</f>
        <v>SHORTS ESPORTE UNISSEX</v>
      </c>
      <c r="G353" s="33" t="str">
        <f>IFERROR(INDEX(SKUs!$G$6:$G$1997,MATCH(B353,SKUs!$C$6:$C$1997,0)),"")</f>
        <v>PRETA</v>
      </c>
      <c r="H353" s="32" t="str">
        <f>IFERROR(INDEX(SKUs!$H$6:$H$1997,MATCH(B353,SKUs!$C$6:$C$1997,0)),"")</f>
        <v>M</v>
      </c>
      <c r="I353" s="34" t="str">
        <f>IFERROR(INDEX(SKUs!#REF!,MATCH(B353,SKUs!$C$6:$C$1997,0)),"")</f>
        <v/>
      </c>
      <c r="J353" s="35">
        <f>SUMIFS(SKUs!$I$6:$I$1997,SKUs!$C$6:$C$1997,B353)</f>
        <v>0</v>
      </c>
      <c r="K353" s="34">
        <f t="shared" si="21"/>
        <v>0</v>
      </c>
      <c r="L353" s="35">
        <f>COUNTIF(SKUs!$C$6:$C$1997,B353)</f>
        <v>1</v>
      </c>
      <c r="M353" s="29">
        <v>4</v>
      </c>
      <c r="N353" s="29"/>
      <c r="O353" s="29"/>
      <c r="P353" s="29"/>
      <c r="Q353" s="29"/>
      <c r="R353" s="29"/>
      <c r="S353" s="29"/>
      <c r="T353" s="29"/>
      <c r="U353" s="30">
        <f t="shared" si="22"/>
        <v>4</v>
      </c>
      <c r="V353" s="31">
        <f t="shared" si="23"/>
        <v>0</v>
      </c>
    </row>
    <row r="354" spans="1:22" ht="14.25" hidden="1" customHeight="1" x14ac:dyDescent="0.3">
      <c r="A354" s="25">
        <v>347</v>
      </c>
      <c r="B354" s="26" t="s">
        <v>398</v>
      </c>
      <c r="C354" s="27" t="str">
        <f t="shared" si="20"/>
        <v>Feminino</v>
      </c>
      <c r="D354" s="2" t="str">
        <f>IFERROR(INDEX(SKUs!$E$6:$E$1997,MATCH(B354,SKUs!$C$6:$C$1997,0)),"")</f>
        <v>SHORTS</v>
      </c>
      <c r="E354" s="28" t="str">
        <f>IFERROR(VLOOKUP(D354,Configurações!$N$5:$O$46,2,FALSE()),"OUTROS")</f>
        <v>VESTUÁRIO</v>
      </c>
      <c r="F354" s="2" t="str">
        <f>IFERROR(INDEX(SKUs!$F$6:$F$1997,MATCH(B354,SKUs!$C$6:$C$1997,0)),"")</f>
        <v>SHORTS ESPORTE UNISSEX</v>
      </c>
      <c r="G354" s="2" t="str">
        <f>IFERROR(INDEX(SKUs!$G$6:$G$1997,MATCH(B354,SKUs!$C$6:$C$1997,0)),"")</f>
        <v>PRETA</v>
      </c>
      <c r="H354" s="25" t="str">
        <f>IFERROR(INDEX(SKUs!$H$6:$H$1997,MATCH(B354,SKUs!$C$6:$C$1997,0)),"")</f>
        <v>G</v>
      </c>
      <c r="I354" s="4" t="str">
        <f>IFERROR(INDEX(SKUs!#REF!,MATCH(B354,SKUs!$C$6:$C$1997,0)),"")</f>
        <v/>
      </c>
      <c r="J354" s="3">
        <f>SUMIFS(SKUs!$I$6:$I$1997,SKUs!$C$6:$C$1997,B354)</f>
        <v>0</v>
      </c>
      <c r="K354" s="4">
        <f t="shared" si="21"/>
        <v>0</v>
      </c>
      <c r="L354" s="3">
        <f>COUNTIF(SKUs!$C$6:$C$1997,B354)</f>
        <v>1</v>
      </c>
      <c r="M354" s="29">
        <v>5</v>
      </c>
      <c r="N354" s="29"/>
      <c r="O354" s="29"/>
      <c r="P354" s="29"/>
      <c r="Q354" s="29"/>
      <c r="R354" s="29"/>
      <c r="S354" s="29"/>
      <c r="T354" s="29"/>
      <c r="U354" s="30">
        <f t="shared" si="22"/>
        <v>5</v>
      </c>
      <c r="V354" s="31">
        <f t="shared" si="23"/>
        <v>0</v>
      </c>
    </row>
    <row r="355" spans="1:22" ht="14.25" hidden="1" customHeight="1" x14ac:dyDescent="0.3">
      <c r="A355" s="32">
        <v>348</v>
      </c>
      <c r="B355" s="26" t="s">
        <v>399</v>
      </c>
      <c r="C355" s="27" t="str">
        <f t="shared" si="20"/>
        <v>Feminino</v>
      </c>
      <c r="D355" s="33" t="str">
        <f>IFERROR(INDEX(SKUs!$E$6:$E$1997,MATCH(B355,SKUs!$C$6:$C$1997,0)),"")</f>
        <v>SHORTS</v>
      </c>
      <c r="E355" s="28" t="str">
        <f>IFERROR(VLOOKUP(D355,Configurações!$N$5:$O$46,2,FALSE()),"OUTROS")</f>
        <v>VESTUÁRIO</v>
      </c>
      <c r="F355" s="33" t="str">
        <f>IFERROR(INDEX(SKUs!$F$6:$F$1997,MATCH(B355,SKUs!$C$6:$C$1997,0)),"")</f>
        <v>SHORTS ESPORTE UNISSEX</v>
      </c>
      <c r="G355" s="33" t="str">
        <f>IFERROR(INDEX(SKUs!$G$6:$G$1997,MATCH(B355,SKUs!$C$6:$C$1997,0)),"")</f>
        <v>PRETA</v>
      </c>
      <c r="H355" s="32" t="str">
        <f>IFERROR(INDEX(SKUs!$H$6:$H$1997,MATCH(B355,SKUs!$C$6:$C$1997,0)),"")</f>
        <v>GG</v>
      </c>
      <c r="I355" s="34" t="str">
        <f>IFERROR(INDEX(SKUs!#REF!,MATCH(B355,SKUs!$C$6:$C$1997,0)),"")</f>
        <v/>
      </c>
      <c r="J355" s="35">
        <f>SUMIFS(SKUs!$I$6:$I$1997,SKUs!$C$6:$C$1997,B355)</f>
        <v>0</v>
      </c>
      <c r="K355" s="34">
        <f t="shared" si="21"/>
        <v>0</v>
      </c>
      <c r="L355" s="35">
        <f>COUNTIF(SKUs!$C$6:$C$1997,B355)</f>
        <v>1</v>
      </c>
      <c r="M355" s="29">
        <v>4</v>
      </c>
      <c r="N355" s="29"/>
      <c r="O355" s="29"/>
      <c r="P355" s="29"/>
      <c r="Q355" s="29"/>
      <c r="R355" s="29"/>
      <c r="S355" s="29"/>
      <c r="T355" s="29"/>
      <c r="U355" s="30">
        <f t="shared" si="22"/>
        <v>4</v>
      </c>
      <c r="V355" s="31">
        <f t="shared" si="23"/>
        <v>0</v>
      </c>
    </row>
    <row r="356" spans="1:22" ht="14.25" hidden="1" customHeight="1" x14ac:dyDescent="0.3">
      <c r="A356" s="25">
        <v>349</v>
      </c>
      <c r="B356" s="26" t="s">
        <v>400</v>
      </c>
      <c r="C356" s="27" t="str">
        <f t="shared" si="20"/>
        <v>Feminino</v>
      </c>
      <c r="D356" s="2" t="str">
        <f>IFERROR(INDEX(SKUs!$E$6:$E$1997,MATCH(B356,SKUs!$C$6:$C$1997,0)),"")</f>
        <v>BERMUDA</v>
      </c>
      <c r="E356" s="28" t="str">
        <f>IFERROR(VLOOKUP(D356,Configurações!$N$5:$O$46,2,FALSE()),"OUTROS")</f>
        <v>VESTUÁRIO</v>
      </c>
      <c r="F356" s="2" t="str">
        <f>IFERROR(INDEX(SKUs!$F$6:$F$1997,MATCH(B356,SKUs!$C$6:$C$1997,0)),"")</f>
        <v>BERMUDA FEMININA BTG</v>
      </c>
      <c r="G356" s="2" t="str">
        <f>IFERROR(INDEX(SKUs!$G$6:$G$1997,MATCH(B356,SKUs!$C$6:$C$1997,0)),"")</f>
        <v>AZUL</v>
      </c>
      <c r="H356" s="25" t="str">
        <f>IFERROR(INDEX(SKUs!$H$6:$H$1997,MATCH(B356,SKUs!$C$6:$C$1997,0)),"")</f>
        <v>P</v>
      </c>
      <c r="I356" s="4" t="str">
        <f>IFERROR(INDEX(SKUs!#REF!,MATCH(B356,SKUs!$C$6:$C$1997,0)),"")</f>
        <v/>
      </c>
      <c r="J356" s="3">
        <f>SUMIFS(SKUs!$I$6:$I$1997,SKUs!$C$6:$C$1997,B356)</f>
        <v>6</v>
      </c>
      <c r="K356" s="4">
        <f t="shared" si="21"/>
        <v>0</v>
      </c>
      <c r="L356" s="3">
        <f>COUNTIF(SKUs!$C$6:$C$1997,B356)</f>
        <v>2</v>
      </c>
      <c r="M356" s="29">
        <v>10</v>
      </c>
      <c r="N356" s="29"/>
      <c r="O356" s="29"/>
      <c r="P356" s="29"/>
      <c r="Q356" s="29"/>
      <c r="R356" s="29"/>
      <c r="S356" s="29"/>
      <c r="T356" s="29"/>
      <c r="U356" s="30">
        <f t="shared" si="22"/>
        <v>10</v>
      </c>
      <c r="V356" s="31">
        <f t="shared" si="23"/>
        <v>6</v>
      </c>
    </row>
    <row r="357" spans="1:22" ht="14.25" hidden="1" customHeight="1" x14ac:dyDescent="0.3">
      <c r="A357" s="32">
        <v>350</v>
      </c>
      <c r="B357" s="26" t="s">
        <v>401</v>
      </c>
      <c r="C357" s="27" t="str">
        <f t="shared" si="20"/>
        <v>Feminino</v>
      </c>
      <c r="D357" s="33" t="str">
        <f>IFERROR(INDEX(SKUs!$E$6:$E$1997,MATCH(B357,SKUs!$C$6:$C$1997,0)),"")</f>
        <v>BERMUDA</v>
      </c>
      <c r="E357" s="28" t="str">
        <f>IFERROR(VLOOKUP(D357,Configurações!$N$5:$O$46,2,FALSE()),"OUTROS")</f>
        <v>VESTUÁRIO</v>
      </c>
      <c r="F357" s="33" t="str">
        <f>IFERROR(INDEX(SKUs!$F$6:$F$1997,MATCH(B357,SKUs!$C$6:$C$1997,0)),"")</f>
        <v>BERMUDA FEMININA BTG</v>
      </c>
      <c r="G357" s="33" t="str">
        <f>IFERROR(INDEX(SKUs!$G$6:$G$1997,MATCH(B357,SKUs!$C$6:$C$1997,0)),"")</f>
        <v>AZUL</v>
      </c>
      <c r="H357" s="32" t="str">
        <f>IFERROR(INDEX(SKUs!$H$6:$H$1997,MATCH(B357,SKUs!$C$6:$C$1997,0)),"")</f>
        <v>M</v>
      </c>
      <c r="I357" s="34" t="str">
        <f>IFERROR(INDEX(SKUs!#REF!,MATCH(B357,SKUs!$C$6:$C$1997,0)),"")</f>
        <v/>
      </c>
      <c r="J357" s="35">
        <f>SUMIFS(SKUs!$I$6:$I$1997,SKUs!$C$6:$C$1997,B357)</f>
        <v>29</v>
      </c>
      <c r="K357" s="34">
        <f t="shared" si="21"/>
        <v>0</v>
      </c>
      <c r="L357" s="35">
        <f>COUNTIF(SKUs!$C$6:$C$1997,B357)</f>
        <v>2</v>
      </c>
      <c r="M357" s="29">
        <v>10</v>
      </c>
      <c r="N357" s="29"/>
      <c r="O357" s="29"/>
      <c r="P357" s="29"/>
      <c r="Q357" s="29"/>
      <c r="R357" s="29"/>
      <c r="S357" s="29"/>
      <c r="T357" s="29"/>
      <c r="U357" s="30">
        <f t="shared" si="22"/>
        <v>10</v>
      </c>
      <c r="V357" s="31">
        <f t="shared" si="23"/>
        <v>29</v>
      </c>
    </row>
    <row r="358" spans="1:22" ht="14.25" hidden="1" customHeight="1" x14ac:dyDescent="0.3">
      <c r="A358" s="25">
        <v>351</v>
      </c>
      <c r="B358" s="26" t="s">
        <v>402</v>
      </c>
      <c r="C358" s="27" t="str">
        <f t="shared" si="20"/>
        <v>Feminino</v>
      </c>
      <c r="D358" s="2" t="str">
        <f>IFERROR(INDEX(SKUs!$E$6:$E$1997,MATCH(B358,SKUs!$C$6:$C$1997,0)),"")</f>
        <v>BERMUDA</v>
      </c>
      <c r="E358" s="28" t="str">
        <f>IFERROR(VLOOKUP(D358,Configurações!$N$5:$O$46,2,FALSE()),"OUTROS")</f>
        <v>VESTUÁRIO</v>
      </c>
      <c r="F358" s="2" t="str">
        <f>IFERROR(INDEX(SKUs!$F$6:$F$1997,MATCH(B358,SKUs!$C$6:$C$1997,0)),"")</f>
        <v>BERMUDA FEMININA BTG</v>
      </c>
      <c r="G358" s="2" t="str">
        <f>IFERROR(INDEX(SKUs!$G$6:$G$1997,MATCH(B358,SKUs!$C$6:$C$1997,0)),"")</f>
        <v>AZUL</v>
      </c>
      <c r="H358" s="25" t="str">
        <f>IFERROR(INDEX(SKUs!$H$6:$H$1997,MATCH(B358,SKUs!$C$6:$C$1997,0)),"")</f>
        <v>G</v>
      </c>
      <c r="I358" s="4" t="str">
        <f>IFERROR(INDEX(SKUs!#REF!,MATCH(B358,SKUs!$C$6:$C$1997,0)),"")</f>
        <v/>
      </c>
      <c r="J358" s="3">
        <f>SUMIFS(SKUs!$I$6:$I$1997,SKUs!$C$6:$C$1997,B358)</f>
        <v>30</v>
      </c>
      <c r="K358" s="4">
        <f t="shared" si="21"/>
        <v>0</v>
      </c>
      <c r="L358" s="3">
        <f>COUNTIF(SKUs!$C$6:$C$1997,B358)</f>
        <v>2</v>
      </c>
      <c r="M358" s="29">
        <v>10</v>
      </c>
      <c r="N358" s="29"/>
      <c r="O358" s="29"/>
      <c r="P358" s="29"/>
      <c r="Q358" s="29"/>
      <c r="R358" s="29"/>
      <c r="S358" s="29"/>
      <c r="T358" s="29"/>
      <c r="U358" s="30">
        <f t="shared" si="22"/>
        <v>10</v>
      </c>
      <c r="V358" s="31">
        <f t="shared" si="23"/>
        <v>30</v>
      </c>
    </row>
    <row r="359" spans="1:22" ht="14.25" hidden="1" customHeight="1" x14ac:dyDescent="0.3">
      <c r="A359" s="32">
        <v>352</v>
      </c>
      <c r="B359" s="26" t="s">
        <v>403</v>
      </c>
      <c r="C359" s="27" t="str">
        <f t="shared" si="20"/>
        <v>Feminino</v>
      </c>
      <c r="D359" s="33" t="str">
        <f>IFERROR(INDEX(SKUs!$E$6:$E$1997,MATCH(B359,SKUs!$C$6:$C$1997,0)),"")</f>
        <v>BERMUDA</v>
      </c>
      <c r="E359" s="28" t="str">
        <f>IFERROR(VLOOKUP(D359,Configurações!$N$5:$O$46,2,FALSE()),"OUTROS")</f>
        <v>VESTUÁRIO</v>
      </c>
      <c r="F359" s="33" t="str">
        <f>IFERROR(INDEX(SKUs!$F$6:$F$1997,MATCH(B359,SKUs!$C$6:$C$1997,0)),"")</f>
        <v>BERMUDA FEMININA BTG</v>
      </c>
      <c r="G359" s="33" t="str">
        <f>IFERROR(INDEX(SKUs!$G$6:$G$1997,MATCH(B359,SKUs!$C$6:$C$1997,0)),"")</f>
        <v>AZUL</v>
      </c>
      <c r="H359" s="32" t="str">
        <f>IFERROR(INDEX(SKUs!$H$6:$H$1997,MATCH(B359,SKUs!$C$6:$C$1997,0)),"")</f>
        <v>GG</v>
      </c>
      <c r="I359" s="34" t="str">
        <f>IFERROR(INDEX(SKUs!#REF!,MATCH(B359,SKUs!$C$6:$C$1997,0)),"")</f>
        <v/>
      </c>
      <c r="J359" s="35">
        <f>SUMIFS(SKUs!$I$6:$I$1997,SKUs!$C$6:$C$1997,B359)</f>
        <v>6</v>
      </c>
      <c r="K359" s="34">
        <f t="shared" si="21"/>
        <v>0</v>
      </c>
      <c r="L359" s="35">
        <f>COUNTIF(SKUs!$C$6:$C$1997,B359)</f>
        <v>2</v>
      </c>
      <c r="M359" s="29">
        <v>10</v>
      </c>
      <c r="N359" s="29"/>
      <c r="O359" s="29"/>
      <c r="P359" s="29"/>
      <c r="Q359" s="29"/>
      <c r="R359" s="29"/>
      <c r="S359" s="29"/>
      <c r="T359" s="29"/>
      <c r="U359" s="30">
        <f t="shared" si="22"/>
        <v>10</v>
      </c>
      <c r="V359" s="31">
        <f t="shared" si="23"/>
        <v>6</v>
      </c>
    </row>
    <row r="360" spans="1:22" ht="14.25" hidden="1" customHeight="1" x14ac:dyDescent="0.3">
      <c r="A360" s="25">
        <v>353</v>
      </c>
      <c r="B360" s="26" t="s">
        <v>404</v>
      </c>
      <c r="C360" s="27" t="str">
        <f t="shared" si="20"/>
        <v>—</v>
      </c>
      <c r="D360" s="2" t="str">
        <f>IFERROR(INDEX(SKUs!$E$6:$E$1997,MATCH(B360,SKUs!$C$6:$C$1997,0)),"")</f>
        <v>MOLESKINE</v>
      </c>
      <c r="E360" s="28" t="str">
        <f>IFERROR(VLOOKUP(D360,Configurações!$N$5:$O$46,2,FALSE()),"OUTROS")</f>
        <v>ESCRITÓRIOS E PAPELARIA</v>
      </c>
      <c r="F360" s="2" t="str">
        <f>IFERROR(INDEX(SKUs!$F$6:$F$1997,MATCH(B360,SKUs!$C$6:$C$1997,0)),"")</f>
        <v>MOLESKINE COM PAUTA</v>
      </c>
      <c r="G360" s="2" t="str">
        <f>IFERROR(INDEX(SKUs!$G$6:$G$1997,MATCH(B360,SKUs!$C$6:$C$1997,0)),"")</f>
        <v>AZUL</v>
      </c>
      <c r="H360" s="25" t="str">
        <f>IFERROR(INDEX(SKUs!$H$6:$H$1997,MATCH(B360,SKUs!$C$6:$C$1997,0)),"")</f>
        <v>14X21</v>
      </c>
      <c r="I360" s="4" t="str">
        <f>IFERROR(INDEX(SKUs!#REF!,MATCH(B360,SKUs!$C$6:$C$1997,0)),"")</f>
        <v/>
      </c>
      <c r="J360" s="3">
        <f>SUMIFS(SKUs!$I$6:$I$1997,SKUs!$C$6:$C$1997,B360)</f>
        <v>28</v>
      </c>
      <c r="K360" s="4">
        <f t="shared" si="21"/>
        <v>0</v>
      </c>
      <c r="L360" s="3">
        <f>COUNTIF(SKUs!$C$6:$C$1997,B360)</f>
        <v>2</v>
      </c>
      <c r="M360" s="29"/>
      <c r="N360" s="29"/>
      <c r="O360" s="29"/>
      <c r="P360" s="29"/>
      <c r="Q360" s="29"/>
      <c r="R360" s="29"/>
      <c r="S360" s="29"/>
      <c r="T360" s="29"/>
      <c r="U360" s="30">
        <f t="shared" si="22"/>
        <v>0</v>
      </c>
      <c r="V360" s="31">
        <f t="shared" si="23"/>
        <v>28</v>
      </c>
    </row>
    <row r="361" spans="1:22" ht="14.25" hidden="1" customHeight="1" x14ac:dyDescent="0.3">
      <c r="A361" s="32">
        <v>354</v>
      </c>
      <c r="B361" s="26" t="s">
        <v>405</v>
      </c>
      <c r="C361" s="27" t="str">
        <f t="shared" si="20"/>
        <v>—</v>
      </c>
      <c r="D361" s="33" t="str">
        <f>IFERROR(INDEX(SKUs!$E$6:$E$1997,MATCH(B361,SKUs!$C$6:$C$1997,0)),"")</f>
        <v>BANDANA</v>
      </c>
      <c r="E361" s="28" t="str">
        <f>IFERROR(VLOOKUP(D361,Configurações!$N$5:$O$46,2,FALSE()),"OUTROS")</f>
        <v>ACESSÓRIOS</v>
      </c>
      <c r="F361" s="33" t="str">
        <f>IFERROR(INDEX(SKUs!$F$6:$F$1997,MATCH(B361,SKUs!$C$6:$C$1997,0)),"")</f>
        <v>BANDANA MATOS RACING</v>
      </c>
      <c r="G361" s="33" t="str">
        <f>IFERROR(INDEX(SKUs!$G$6:$G$1997,MATCH(B361,SKUs!$C$6:$C$1997,0)),"")</f>
        <v>AZUL</v>
      </c>
      <c r="H361" s="32" t="str">
        <f>IFERROR(INDEX(SKUs!$H$6:$H$1997,MATCH(B361,SKUs!$C$6:$C$1997,0)),"")</f>
        <v>UNICO</v>
      </c>
      <c r="I361" s="34" t="str">
        <f>IFERROR(INDEX(SKUs!#REF!,MATCH(B361,SKUs!$C$6:$C$1997,0)),"")</f>
        <v/>
      </c>
      <c r="J361" s="35">
        <f>SUMIFS(SKUs!$I$6:$I$1997,SKUs!$C$6:$C$1997,B361)</f>
        <v>9</v>
      </c>
      <c r="K361" s="34">
        <f t="shared" si="21"/>
        <v>0</v>
      </c>
      <c r="L361" s="35">
        <f>COUNTIF(SKUs!$C$6:$C$1997,B361)</f>
        <v>1</v>
      </c>
      <c r="M361" s="29"/>
      <c r="N361" s="29"/>
      <c r="O361" s="29"/>
      <c r="P361" s="29"/>
      <c r="Q361" s="29"/>
      <c r="R361" s="29"/>
      <c r="S361" s="29"/>
      <c r="T361" s="29"/>
      <c r="U361" s="30">
        <f t="shared" si="22"/>
        <v>0</v>
      </c>
      <c r="V361" s="31">
        <f t="shared" si="23"/>
        <v>9</v>
      </c>
    </row>
    <row r="362" spans="1:22" ht="14.25" hidden="1" customHeight="1" x14ac:dyDescent="0.3">
      <c r="A362" s="25">
        <v>355</v>
      </c>
      <c r="B362" s="26" t="s">
        <v>406</v>
      </c>
      <c r="C362" s="27" t="str">
        <f t="shared" si="20"/>
        <v>—</v>
      </c>
      <c r="D362" s="2" t="str">
        <f>IFERROR(INDEX(SKUs!$E$6:$E$1997,MATCH(B362,SKUs!$C$6:$C$1997,0)),"")</f>
        <v>MANGUITO</v>
      </c>
      <c r="E362" s="28" t="str">
        <f>IFERROR(VLOOKUP(D362,Configurações!$N$5:$O$46,2,FALSE()),"OUTROS")</f>
        <v>ACESSÓRIOS</v>
      </c>
      <c r="F362" s="2" t="str">
        <f>IFERROR(INDEX(SKUs!$F$6:$F$1997,MATCH(B362,SKUs!$C$6:$C$1997,0)),"")</f>
        <v>MANGUITO BIKE</v>
      </c>
      <c r="G362" s="2" t="str">
        <f>IFERROR(INDEX(SKUs!$G$6:$G$1997,MATCH(B362,SKUs!$C$6:$C$1997,0)),"")</f>
        <v>AZUL</v>
      </c>
      <c r="H362" s="25" t="str">
        <f>IFERROR(INDEX(SKUs!$H$6:$H$1997,MATCH(B362,SKUs!$C$6:$C$1997,0)),"")</f>
        <v>P</v>
      </c>
      <c r="I362" s="4" t="str">
        <f>IFERROR(INDEX(SKUs!#REF!,MATCH(B362,SKUs!$C$6:$C$1997,0)),"")</f>
        <v/>
      </c>
      <c r="J362" s="3">
        <f>SUMIFS(SKUs!$I$6:$I$1997,SKUs!$C$6:$C$1997,B362)</f>
        <v>0</v>
      </c>
      <c r="K362" s="4">
        <f t="shared" si="21"/>
        <v>0</v>
      </c>
      <c r="L362" s="3">
        <f>COUNTIF(SKUs!$C$6:$C$1997,B362)</f>
        <v>2</v>
      </c>
      <c r="M362" s="29">
        <v>10</v>
      </c>
      <c r="N362" s="29"/>
      <c r="O362" s="29"/>
      <c r="P362" s="29"/>
      <c r="Q362" s="29"/>
      <c r="R362" s="29"/>
      <c r="S362" s="29"/>
      <c r="T362" s="29"/>
      <c r="U362" s="30">
        <f t="shared" si="22"/>
        <v>10</v>
      </c>
      <c r="V362" s="31">
        <f t="shared" si="23"/>
        <v>0</v>
      </c>
    </row>
    <row r="363" spans="1:22" ht="14.25" hidden="1" customHeight="1" x14ac:dyDescent="0.3">
      <c r="A363" s="32">
        <v>356</v>
      </c>
      <c r="B363" s="26" t="s">
        <v>407</v>
      </c>
      <c r="C363" s="27" t="str">
        <f t="shared" si="20"/>
        <v>—</v>
      </c>
      <c r="D363" s="33" t="str">
        <f>IFERROR(INDEX(SKUs!$E$6:$E$1997,MATCH(B363,SKUs!$C$6:$C$1997,0)),"")</f>
        <v>MANGUITO</v>
      </c>
      <c r="E363" s="28" t="str">
        <f>IFERROR(VLOOKUP(D363,Configurações!$N$5:$O$46,2,FALSE()),"OUTROS")</f>
        <v>ACESSÓRIOS</v>
      </c>
      <c r="F363" s="33" t="str">
        <f>IFERROR(INDEX(SKUs!$F$6:$F$1997,MATCH(B363,SKUs!$C$6:$C$1997,0)),"")</f>
        <v>MANGUITO BIKE</v>
      </c>
      <c r="G363" s="33" t="str">
        <f>IFERROR(INDEX(SKUs!$G$6:$G$1997,MATCH(B363,SKUs!$C$6:$C$1997,0)),"")</f>
        <v>AZUL</v>
      </c>
      <c r="H363" s="32" t="str">
        <f>IFERROR(INDEX(SKUs!$H$6:$H$1997,MATCH(B363,SKUs!$C$6:$C$1997,0)),"")</f>
        <v>M</v>
      </c>
      <c r="I363" s="34" t="str">
        <f>IFERROR(INDEX(SKUs!#REF!,MATCH(B363,SKUs!$C$6:$C$1997,0)),"")</f>
        <v/>
      </c>
      <c r="J363" s="35">
        <f>SUMIFS(SKUs!$I$6:$I$1997,SKUs!$C$6:$C$1997,B363)</f>
        <v>0</v>
      </c>
      <c r="K363" s="34">
        <f t="shared" si="21"/>
        <v>0</v>
      </c>
      <c r="L363" s="35">
        <f>COUNTIF(SKUs!$C$6:$C$1997,B363)</f>
        <v>2</v>
      </c>
      <c r="M363" s="29">
        <v>8</v>
      </c>
      <c r="N363" s="29"/>
      <c r="O363" s="29"/>
      <c r="P363" s="29"/>
      <c r="Q363" s="29"/>
      <c r="R363" s="29"/>
      <c r="S363" s="29"/>
      <c r="T363" s="29"/>
      <c r="U363" s="30">
        <f t="shared" si="22"/>
        <v>8</v>
      </c>
      <c r="V363" s="31">
        <f t="shared" si="23"/>
        <v>0</v>
      </c>
    </row>
    <row r="364" spans="1:22" ht="14.25" hidden="1" customHeight="1" x14ac:dyDescent="0.3">
      <c r="A364" s="25">
        <v>357</v>
      </c>
      <c r="B364" s="26" t="s">
        <v>408</v>
      </c>
      <c r="C364" s="27" t="str">
        <f t="shared" si="20"/>
        <v>—</v>
      </c>
      <c r="D364" s="2" t="str">
        <f>IFERROR(INDEX(SKUs!$E$6:$E$1997,MATCH(B364,SKUs!$C$6:$C$1997,0)),"")</f>
        <v>MANGUITO</v>
      </c>
      <c r="E364" s="28" t="str">
        <f>IFERROR(VLOOKUP(D364,Configurações!$N$5:$O$46,2,FALSE()),"OUTROS")</f>
        <v>ACESSÓRIOS</v>
      </c>
      <c r="F364" s="2" t="str">
        <f>IFERROR(INDEX(SKUs!$F$6:$F$1997,MATCH(B364,SKUs!$C$6:$C$1997,0)),"")</f>
        <v>MANGUITO BIKE</v>
      </c>
      <c r="G364" s="2" t="str">
        <f>IFERROR(INDEX(SKUs!$G$6:$G$1997,MATCH(B364,SKUs!$C$6:$C$1997,0)),"")</f>
        <v>AZUL</v>
      </c>
      <c r="H364" s="25" t="str">
        <f>IFERROR(INDEX(SKUs!$H$6:$H$1997,MATCH(B364,SKUs!$C$6:$C$1997,0)),"")</f>
        <v>G</v>
      </c>
      <c r="I364" s="4" t="str">
        <f>IFERROR(INDEX(SKUs!#REF!,MATCH(B364,SKUs!$C$6:$C$1997,0)),"")</f>
        <v/>
      </c>
      <c r="J364" s="3">
        <f>SUMIFS(SKUs!$I$6:$I$1997,SKUs!$C$6:$C$1997,B364)</f>
        <v>0</v>
      </c>
      <c r="K364" s="4">
        <f t="shared" si="21"/>
        <v>0</v>
      </c>
      <c r="L364" s="3">
        <f>COUNTIF(SKUs!$C$6:$C$1997,B364)</f>
        <v>2</v>
      </c>
      <c r="M364" s="29">
        <v>12</v>
      </c>
      <c r="N364" s="29"/>
      <c r="O364" s="29"/>
      <c r="P364" s="29"/>
      <c r="Q364" s="29"/>
      <c r="R364" s="29"/>
      <c r="S364" s="29"/>
      <c r="T364" s="29"/>
      <c r="U364" s="30">
        <f t="shared" si="22"/>
        <v>12</v>
      </c>
      <c r="V364" s="31">
        <f t="shared" si="23"/>
        <v>0</v>
      </c>
    </row>
    <row r="365" spans="1:22" ht="14.25" hidden="1" customHeight="1" x14ac:dyDescent="0.3">
      <c r="A365" s="32">
        <v>358</v>
      </c>
      <c r="B365" s="26" t="s">
        <v>409</v>
      </c>
      <c r="C365" s="27" t="str">
        <f t="shared" si="20"/>
        <v>—</v>
      </c>
      <c r="D365" s="33" t="str">
        <f>IFERROR(INDEX(SKUs!$E$6:$E$1997,MATCH(B365,SKUs!$C$6:$C$1997,0)),"")</f>
        <v>MOUSE</v>
      </c>
      <c r="E365" s="28" t="str">
        <f>IFERROR(VLOOKUP(D365,Configurações!$N$5:$O$46,2,FALSE()),"OUTROS")</f>
        <v>ESCRITÓRIOS E PAPELARIA</v>
      </c>
      <c r="F365" s="33" t="str">
        <f>IFERROR(INDEX(SKUs!$F$6:$F$1997,MATCH(B365,SKUs!$C$6:$C$1997,0)),"")</f>
        <v>MOUSE PAD- PUNHO SILICONE</v>
      </c>
      <c r="G365" s="33" t="str">
        <f>IFERROR(INDEX(SKUs!$G$6:$G$1997,MATCH(B365,SKUs!$C$6:$C$1997,0)),"")</f>
        <v>PRETO</v>
      </c>
      <c r="H365" s="32" t="str">
        <f>IFERROR(INDEX(SKUs!$H$6:$H$1997,MATCH(B365,SKUs!$C$6:$C$1997,0)),"")</f>
        <v>UNICO</v>
      </c>
      <c r="I365" s="34" t="str">
        <f>IFERROR(INDEX(SKUs!#REF!,MATCH(B365,SKUs!$C$6:$C$1997,0)),"")</f>
        <v/>
      </c>
      <c r="J365" s="35">
        <f>SUMIFS(SKUs!$I$6:$I$1997,SKUs!$C$6:$C$1997,B365)</f>
        <v>11</v>
      </c>
      <c r="K365" s="34">
        <f t="shared" si="21"/>
        <v>0</v>
      </c>
      <c r="L365" s="35">
        <f>COUNTIF(SKUs!$C$6:$C$1997,B365)</f>
        <v>1</v>
      </c>
      <c r="M365" s="29"/>
      <c r="N365" s="29"/>
      <c r="O365" s="29"/>
      <c r="P365" s="29"/>
      <c r="Q365" s="29"/>
      <c r="R365" s="29"/>
      <c r="S365" s="29"/>
      <c r="T365" s="29"/>
      <c r="U365" s="30">
        <f t="shared" si="22"/>
        <v>0</v>
      </c>
      <c r="V365" s="31">
        <f t="shared" si="23"/>
        <v>11</v>
      </c>
    </row>
    <row r="366" spans="1:22" ht="14.25" hidden="1" customHeight="1" x14ac:dyDescent="0.3">
      <c r="A366" s="25">
        <v>359</v>
      </c>
      <c r="B366" s="26" t="s">
        <v>410</v>
      </c>
      <c r="C366" s="27" t="str">
        <f t="shared" si="20"/>
        <v>—</v>
      </c>
      <c r="D366" s="2" t="str">
        <f>IFERROR(INDEX(SKUs!$E$6:$E$1997,MATCH(B366,SKUs!$C$6:$C$1997,0)),"")</f>
        <v>SACOLINHA</v>
      </c>
      <c r="E366" s="28" t="str">
        <f>IFERROR(VLOOKUP(D366,Configurações!$N$5:$O$46,2,FALSE()),"OUTROS")</f>
        <v>BOLSAS E MALAS</v>
      </c>
      <c r="F366" s="2" t="str">
        <f>IFERROR(INDEX(SKUs!$F$6:$F$1997,MATCH(B366,SKUs!$C$6:$C$1997,0)),"")</f>
        <v>SACOCHILA BTG</v>
      </c>
      <c r="G366" s="2" t="str">
        <f>IFERROR(INDEX(SKUs!$G$6:$G$1997,MATCH(B366,SKUs!$C$6:$C$1997,0)),"")</f>
        <v>AZUL</v>
      </c>
      <c r="H366" s="25" t="str">
        <f>IFERROR(INDEX(SKUs!$H$6:$H$1997,MATCH(B366,SKUs!$C$6:$C$1997,0)),"")</f>
        <v>UNICO</v>
      </c>
      <c r="I366" s="4" t="str">
        <f>IFERROR(INDEX(SKUs!#REF!,MATCH(B366,SKUs!$C$6:$C$1997,0)),"")</f>
        <v/>
      </c>
      <c r="J366" s="3">
        <f>SUMIFS(SKUs!$I$6:$I$1997,SKUs!$C$6:$C$1997,B366)</f>
        <v>6</v>
      </c>
      <c r="K366" s="4">
        <f t="shared" si="21"/>
        <v>0</v>
      </c>
      <c r="L366" s="3">
        <f>COUNTIF(SKUs!$C$6:$C$1997,B366)</f>
        <v>1</v>
      </c>
      <c r="M366" s="29"/>
      <c r="N366" s="29"/>
      <c r="O366" s="29"/>
      <c r="P366" s="29"/>
      <c r="Q366" s="29"/>
      <c r="R366" s="29"/>
      <c r="S366" s="29"/>
      <c r="T366" s="29"/>
      <c r="U366" s="30">
        <f t="shared" si="22"/>
        <v>0</v>
      </c>
      <c r="V366" s="31">
        <f t="shared" si="23"/>
        <v>6</v>
      </c>
    </row>
    <row r="367" spans="1:22" ht="14.25" hidden="1" customHeight="1" x14ac:dyDescent="0.3">
      <c r="A367" s="32">
        <v>360</v>
      </c>
      <c r="B367" s="26" t="s">
        <v>411</v>
      </c>
      <c r="C367" s="27" t="str">
        <f t="shared" si="20"/>
        <v>—</v>
      </c>
      <c r="D367" s="33" t="str">
        <f>IFERROR(INDEX(SKUs!$E$6:$E$1997,MATCH(B367,SKUs!$C$6:$C$1997,0)),"")</f>
        <v>PIN</v>
      </c>
      <c r="E367" s="28" t="str">
        <f>IFERROR(VLOOKUP(D367,Configurações!$N$5:$O$46,2,FALSE()),"OUTROS")</f>
        <v>ESCRITÓRIOS E PAPELARIA</v>
      </c>
      <c r="F367" s="33" t="str">
        <f>IFERROR(INDEX(SKUs!$F$6:$F$1997,MATCH(B367,SKUs!$C$6:$C$1997,0)),"")</f>
        <v>PIN BTG PACTUAL</v>
      </c>
      <c r="G367" s="33" t="str">
        <f>IFERROR(INDEX(SKUs!$G$6:$G$1997,MATCH(B367,SKUs!$C$6:$C$1997,0)),"")</f>
        <v>CINZA</v>
      </c>
      <c r="H367" s="32" t="str">
        <f>IFERROR(INDEX(SKUs!$H$6:$H$1997,MATCH(B367,SKUs!$C$6:$C$1997,0)),"")</f>
        <v>UNICO</v>
      </c>
      <c r="I367" s="34" t="str">
        <f>IFERROR(INDEX(SKUs!#REF!,MATCH(B367,SKUs!$C$6:$C$1997,0)),"")</f>
        <v/>
      </c>
      <c r="J367" s="35">
        <f>SUMIFS(SKUs!$I$6:$I$1997,SKUs!$C$6:$C$1997,B367)</f>
        <v>40</v>
      </c>
      <c r="K367" s="34">
        <f t="shared" si="21"/>
        <v>0</v>
      </c>
      <c r="L367" s="35">
        <f>COUNTIF(SKUs!$C$6:$C$1997,B367)</f>
        <v>1</v>
      </c>
      <c r="M367" s="29"/>
      <c r="N367" s="29"/>
      <c r="O367" s="29"/>
      <c r="P367" s="29"/>
      <c r="Q367" s="29"/>
      <c r="R367" s="29"/>
      <c r="S367" s="29"/>
      <c r="T367" s="29"/>
      <c r="U367" s="30">
        <f t="shared" si="22"/>
        <v>0</v>
      </c>
      <c r="V367" s="31">
        <f t="shared" si="23"/>
        <v>40</v>
      </c>
    </row>
    <row r="368" spans="1:22" ht="14.25" hidden="1" customHeight="1" x14ac:dyDescent="0.3">
      <c r="A368" s="25">
        <v>361</v>
      </c>
      <c r="B368" s="26" t="s">
        <v>412</v>
      </c>
      <c r="C368" s="27" t="str">
        <f t="shared" si="20"/>
        <v>—</v>
      </c>
      <c r="D368" s="2" t="str">
        <f>IFERROR(INDEX(SKUs!$E$6:$E$1997,MATCH(B368,SKUs!$C$6:$C$1997,0)),"")</f>
        <v>ANTIVIBRADOR</v>
      </c>
      <c r="E368" s="28" t="str">
        <f>IFERROR(VLOOKUP(D368,Configurações!$N$5:$O$46,2,FALSE()),"OUTROS")</f>
        <v>ACESSÓRIOS</v>
      </c>
      <c r="F368" s="2" t="str">
        <f>IFERROR(INDEX(SKUs!$F$6:$F$1997,MATCH(B368,SKUs!$C$6:$C$1997,0)),"")</f>
        <v>ANTIVIBRADOR</v>
      </c>
      <c r="G368" s="2" t="str">
        <f>IFERROR(INDEX(SKUs!$G$6:$G$1997,MATCH(B368,SKUs!$C$6:$C$1997,0)),"")</f>
        <v>AZUL</v>
      </c>
      <c r="H368" s="25" t="str">
        <f>IFERROR(INDEX(SKUs!$H$6:$H$1997,MATCH(B368,SKUs!$C$6:$C$1997,0)),"")</f>
        <v>UNICO</v>
      </c>
      <c r="I368" s="4" t="str">
        <f>IFERROR(INDEX(SKUs!#REF!,MATCH(B368,SKUs!$C$6:$C$1997,0)),"")</f>
        <v/>
      </c>
      <c r="J368" s="3">
        <f>SUMIFS(SKUs!$I$6:$I$1997,SKUs!$C$6:$C$1997,B368)</f>
        <v>28</v>
      </c>
      <c r="K368" s="4">
        <f t="shared" si="21"/>
        <v>0</v>
      </c>
      <c r="L368" s="3">
        <f>COUNTIF(SKUs!$C$6:$C$1997,B368)</f>
        <v>1</v>
      </c>
      <c r="M368" s="29"/>
      <c r="N368" s="29"/>
      <c r="O368" s="29"/>
      <c r="P368" s="29"/>
      <c r="Q368" s="29"/>
      <c r="R368" s="29"/>
      <c r="S368" s="29"/>
      <c r="T368" s="29"/>
      <c r="U368" s="30">
        <f t="shared" si="22"/>
        <v>0</v>
      </c>
      <c r="V368" s="31">
        <f t="shared" si="23"/>
        <v>28</v>
      </c>
    </row>
    <row r="369" spans="1:22" ht="14.25" hidden="1" customHeight="1" x14ac:dyDescent="0.3">
      <c r="A369" s="32">
        <v>362</v>
      </c>
      <c r="B369" s="26" t="s">
        <v>413</v>
      </c>
      <c r="C369" s="27" t="str">
        <f t="shared" si="20"/>
        <v>—</v>
      </c>
      <c r="D369" s="33" t="str">
        <f>IFERROR(INDEX(SKUs!$E$6:$E$1997,MATCH(B369,SKUs!$C$6:$C$1997,0)),"")</f>
        <v>SAQUINHO</v>
      </c>
      <c r="E369" s="28" t="str">
        <f>IFERROR(VLOOKUP(D369,Configurações!$N$5:$O$46,2,FALSE()),"OUTROS")</f>
        <v>BOLSAS E MALAS</v>
      </c>
      <c r="F369" s="33" t="str">
        <f>IFERROR(INDEX(SKUs!$F$6:$F$1997,MATCH(B369,SKUs!$C$6:$C$1997,0)),"")</f>
        <v>SAQUINHO VELUDO - CANETA</v>
      </c>
      <c r="G369" s="33" t="str">
        <f>IFERROR(INDEX(SKUs!$G$6:$G$1997,MATCH(B369,SKUs!$C$6:$C$1997,0)),"")</f>
        <v>PRETO</v>
      </c>
      <c r="H369" s="32" t="str">
        <f>IFERROR(INDEX(SKUs!$H$6:$H$1997,MATCH(B369,SKUs!$C$6:$C$1997,0)),"")</f>
        <v>UNICO</v>
      </c>
      <c r="I369" s="34" t="str">
        <f>IFERROR(INDEX(SKUs!#REF!,MATCH(B369,SKUs!$C$6:$C$1997,0)),"")</f>
        <v/>
      </c>
      <c r="J369" s="35">
        <f>SUMIFS(SKUs!$I$6:$I$1997,SKUs!$C$6:$C$1997,B369)</f>
        <v>114</v>
      </c>
      <c r="K369" s="34">
        <f t="shared" si="21"/>
        <v>0</v>
      </c>
      <c r="L369" s="35">
        <f>COUNTIF(SKUs!$C$6:$C$1997,B369)</f>
        <v>1</v>
      </c>
      <c r="M369" s="29"/>
      <c r="N369" s="29"/>
      <c r="O369" s="29"/>
      <c r="P369" s="29"/>
      <c r="Q369" s="29"/>
      <c r="R369" s="29"/>
      <c r="S369" s="29"/>
      <c r="T369" s="29"/>
      <c r="U369" s="30">
        <f t="shared" si="22"/>
        <v>0</v>
      </c>
      <c r="V369" s="31">
        <f t="shared" si="23"/>
        <v>114</v>
      </c>
    </row>
    <row r="370" spans="1:22" ht="14.25" hidden="1" customHeight="1" x14ac:dyDescent="0.3">
      <c r="A370" s="25">
        <v>363</v>
      </c>
      <c r="B370" s="26" t="s">
        <v>414</v>
      </c>
      <c r="C370" s="27" t="str">
        <f t="shared" si="20"/>
        <v>—</v>
      </c>
      <c r="D370" s="2" t="str">
        <f>IFERROR(INDEX(SKUs!$E$6:$E$1997,MATCH(B370,SKUs!$C$6:$C$1997,0)),"")</f>
        <v>BONÉ</v>
      </c>
      <c r="E370" s="28" t="str">
        <f>IFERROR(VLOOKUP(D370,Configurações!$N$5:$O$46,2,FALSE()),"OUTROS")</f>
        <v>VESTUÁRIO</v>
      </c>
      <c r="F370" s="2" t="str">
        <f>IFERROR(INDEX(SKUs!$F$6:$F$1997,MATCH(B370,SKUs!$C$6:$C$1997,0)),"")</f>
        <v>BONÉ ESTRUTURADO - BTG</v>
      </c>
      <c r="G370" s="2" t="str">
        <f>IFERROR(INDEX(SKUs!$G$6:$G$1997,MATCH(B370,SKUs!$C$6:$C$1997,0)),"")</f>
        <v>AZUL</v>
      </c>
      <c r="H370" s="25" t="str">
        <f>IFERROR(INDEX(SKUs!$H$6:$H$1997,MATCH(B370,SKUs!$C$6:$C$1997,0)),"")</f>
        <v>UNICO</v>
      </c>
      <c r="I370" s="4" t="str">
        <f>IFERROR(INDEX(SKUs!#REF!,MATCH(B370,SKUs!$C$6:$C$1997,0)),"")</f>
        <v/>
      </c>
      <c r="J370" s="3">
        <f>SUMIFS(SKUs!$I$6:$I$1997,SKUs!$C$6:$C$1997,B370)</f>
        <v>22</v>
      </c>
      <c r="K370" s="4">
        <f t="shared" si="21"/>
        <v>0</v>
      </c>
      <c r="L370" s="3">
        <f>COUNTIF(SKUs!$C$6:$C$1997,B370)</f>
        <v>1</v>
      </c>
      <c r="M370" s="29"/>
      <c r="N370" s="29"/>
      <c r="O370" s="29"/>
      <c r="P370" s="29"/>
      <c r="Q370" s="29"/>
      <c r="R370" s="29"/>
      <c r="S370" s="29"/>
      <c r="T370" s="29"/>
      <c r="U370" s="30">
        <f t="shared" si="22"/>
        <v>0</v>
      </c>
      <c r="V370" s="31">
        <f t="shared" si="23"/>
        <v>22</v>
      </c>
    </row>
    <row r="371" spans="1:22" ht="14.25" hidden="1" customHeight="1" x14ac:dyDescent="0.3">
      <c r="A371" s="32">
        <v>364</v>
      </c>
      <c r="B371" s="26" t="s">
        <v>415</v>
      </c>
      <c r="C371" s="27" t="str">
        <f t="shared" si="20"/>
        <v>—</v>
      </c>
      <c r="D371" s="33" t="str">
        <f>IFERROR(INDEX(SKUs!$E$6:$E$1997,MATCH(B371,SKUs!$C$6:$C$1997,0)),"")</f>
        <v>BONÉ</v>
      </c>
      <c r="E371" s="28" t="str">
        <f>IFERROR(VLOOKUP(D371,Configurações!$N$5:$O$46,2,FALSE()),"OUTROS")</f>
        <v>VESTUÁRIO</v>
      </c>
      <c r="F371" s="33" t="str">
        <f>IFERROR(INDEX(SKUs!$F$6:$F$1997,MATCH(B371,SKUs!$C$6:$C$1997,0)),"")</f>
        <v>BONÉ ESTRUTURADO - BTG</v>
      </c>
      <c r="G371" s="33" t="str">
        <f>IFERROR(INDEX(SKUs!$G$6:$G$1997,MATCH(B371,SKUs!$C$6:$C$1997,0)),"")</f>
        <v>PRETO</v>
      </c>
      <c r="H371" s="32" t="str">
        <f>IFERROR(INDEX(SKUs!$H$6:$H$1997,MATCH(B371,SKUs!$C$6:$C$1997,0)),"")</f>
        <v>UNICO</v>
      </c>
      <c r="I371" s="34" t="str">
        <f>IFERROR(INDEX(SKUs!#REF!,MATCH(B371,SKUs!$C$6:$C$1997,0)),"")</f>
        <v/>
      </c>
      <c r="J371" s="35">
        <f>SUMIFS(SKUs!$I$6:$I$1997,SKUs!$C$6:$C$1997,B371)</f>
        <v>0</v>
      </c>
      <c r="K371" s="34">
        <f t="shared" si="21"/>
        <v>0</v>
      </c>
      <c r="L371" s="35">
        <f>COUNTIF(SKUs!$C$6:$C$1997,B371)</f>
        <v>1</v>
      </c>
      <c r="M371" s="29">
        <v>33</v>
      </c>
      <c r="N371" s="29"/>
      <c r="O371" s="29"/>
      <c r="P371" s="29"/>
      <c r="Q371" s="29"/>
      <c r="R371" s="29"/>
      <c r="S371" s="29"/>
      <c r="T371" s="29"/>
      <c r="U371" s="30">
        <f t="shared" si="22"/>
        <v>33</v>
      </c>
      <c r="V371" s="31">
        <f t="shared" si="23"/>
        <v>0</v>
      </c>
    </row>
    <row r="372" spans="1:22" ht="14.25" hidden="1" customHeight="1" x14ac:dyDescent="0.3">
      <c r="A372" s="25">
        <v>365</v>
      </c>
      <c r="B372" s="26" t="s">
        <v>416</v>
      </c>
      <c r="C372" s="27" t="str">
        <f t="shared" si="20"/>
        <v>—</v>
      </c>
      <c r="D372" s="2" t="str">
        <f>IFERROR(INDEX(SKUs!$E$6:$E$1997,MATCH(B372,SKUs!$C$6:$C$1997,0)),"")</f>
        <v>BONÉ</v>
      </c>
      <c r="E372" s="28" t="str">
        <f>IFERROR(VLOOKUP(D372,Configurações!$N$5:$O$46,2,FALSE()),"OUTROS")</f>
        <v>VESTUÁRIO</v>
      </c>
      <c r="F372" s="2" t="str">
        <f>IFERROR(INDEX(SKUs!$F$6:$F$1997,MATCH(B372,SKUs!$C$6:$C$1997,0)),"")</f>
        <v>BONE BRIM - BTG</v>
      </c>
      <c r="G372" s="2" t="str">
        <f>IFERROR(INDEX(SKUs!$G$6:$G$1997,MATCH(B372,SKUs!$C$6:$C$1997,0)),"")</f>
        <v>CINZA</v>
      </c>
      <c r="H372" s="25" t="str">
        <f>IFERROR(INDEX(SKUs!$H$6:$H$1997,MATCH(B372,SKUs!$C$6:$C$1997,0)),"")</f>
        <v>UNICO</v>
      </c>
      <c r="I372" s="4" t="str">
        <f>IFERROR(INDEX(SKUs!#REF!,MATCH(B372,SKUs!$C$6:$C$1997,0)),"")</f>
        <v/>
      </c>
      <c r="J372" s="3">
        <f>SUMIFS(SKUs!$I$6:$I$1997,SKUs!$C$6:$C$1997,B372)</f>
        <v>0</v>
      </c>
      <c r="K372" s="4">
        <f t="shared" si="21"/>
        <v>0</v>
      </c>
      <c r="L372" s="3">
        <f>COUNTIF(SKUs!$C$6:$C$1997,B372)</f>
        <v>1</v>
      </c>
      <c r="M372" s="29">
        <v>20</v>
      </c>
      <c r="N372" s="29"/>
      <c r="O372" s="29"/>
      <c r="P372" s="29"/>
      <c r="Q372" s="29"/>
      <c r="R372" s="29"/>
      <c r="S372" s="29"/>
      <c r="T372" s="29"/>
      <c r="U372" s="30">
        <f t="shared" si="22"/>
        <v>20</v>
      </c>
      <c r="V372" s="31">
        <f t="shared" si="23"/>
        <v>0</v>
      </c>
    </row>
    <row r="373" spans="1:22" ht="14.25" hidden="1" customHeight="1" x14ac:dyDescent="0.3">
      <c r="A373" s="32">
        <v>366</v>
      </c>
      <c r="B373" s="26" t="s">
        <v>417</v>
      </c>
      <c r="C373" s="27" t="str">
        <f t="shared" si="20"/>
        <v>—</v>
      </c>
      <c r="D373" s="33" t="str">
        <f>IFERROR(INDEX(SKUs!$E$6:$E$1997,MATCH(B373,SKUs!$C$6:$C$1997,0)),"")</f>
        <v>BONÉ</v>
      </c>
      <c r="E373" s="28" t="str">
        <f>IFERROR(VLOOKUP(D373,Configurações!$N$5:$O$46,2,FALSE()),"OUTROS")</f>
        <v>VESTUÁRIO</v>
      </c>
      <c r="F373" s="33" t="str">
        <f>IFERROR(INDEX(SKUs!$F$6:$F$1997,MATCH(B373,SKUs!$C$6:$C$1997,0)),"")</f>
        <v>BONE BRIM - BTG</v>
      </c>
      <c r="G373" s="33" t="str">
        <f>IFERROR(INDEX(SKUs!$G$6:$G$1997,MATCH(B373,SKUs!$C$6:$C$1997,0)),"")</f>
        <v>ROSA</v>
      </c>
      <c r="H373" s="32" t="str">
        <f>IFERROR(INDEX(SKUs!$H$6:$H$1997,MATCH(B373,SKUs!$C$6:$C$1997,0)),"")</f>
        <v>UNICO</v>
      </c>
      <c r="I373" s="34" t="str">
        <f>IFERROR(INDEX(SKUs!#REF!,MATCH(B373,SKUs!$C$6:$C$1997,0)),"")</f>
        <v/>
      </c>
      <c r="J373" s="35">
        <f>SUMIFS(SKUs!$I$6:$I$1997,SKUs!$C$6:$C$1997,B373)</f>
        <v>1</v>
      </c>
      <c r="K373" s="34">
        <f t="shared" si="21"/>
        <v>0</v>
      </c>
      <c r="L373" s="35">
        <f>COUNTIF(SKUs!$C$6:$C$1997,B373)</f>
        <v>1</v>
      </c>
      <c r="M373" s="29"/>
      <c r="N373" s="29"/>
      <c r="O373" s="29"/>
      <c r="P373" s="29"/>
      <c r="Q373" s="29"/>
      <c r="R373" s="29"/>
      <c r="S373" s="29"/>
      <c r="T373" s="29"/>
      <c r="U373" s="30">
        <f t="shared" si="22"/>
        <v>0</v>
      </c>
      <c r="V373" s="31">
        <f t="shared" si="23"/>
        <v>1</v>
      </c>
    </row>
    <row r="374" spans="1:22" ht="14.25" hidden="1" customHeight="1" x14ac:dyDescent="0.3">
      <c r="A374" s="25">
        <v>367</v>
      </c>
      <c r="B374" s="26" t="s">
        <v>418</v>
      </c>
      <c r="C374" s="27" t="str">
        <f t="shared" si="20"/>
        <v>—</v>
      </c>
      <c r="D374" s="2" t="str">
        <f>IFERROR(INDEX(SKUs!$E$6:$E$1997,MATCH(B374,SKUs!$C$6:$C$1997,0)),"")</f>
        <v>LANCHEIRA</v>
      </c>
      <c r="E374" s="28" t="str">
        <f>IFERROR(VLOOKUP(D374,Configurações!$N$5:$O$46,2,FALSE()),"OUTROS")</f>
        <v>BOLSAS E MALAS</v>
      </c>
      <c r="F374" s="2" t="str">
        <f>IFERROR(INDEX(SKUs!$F$6:$F$1997,MATCH(B374,SKUs!$C$6:$C$1997,0)),"")</f>
        <v>LANCHEIRA - PT</v>
      </c>
      <c r="G374" s="2" t="str">
        <f>IFERROR(INDEX(SKUs!$G$6:$G$1997,MATCH(B374,SKUs!$C$6:$C$1997,0)),"")</f>
        <v>PRETA</v>
      </c>
      <c r="H374" s="25" t="str">
        <f>IFERROR(INDEX(SKUs!$H$6:$H$1997,MATCH(B374,SKUs!$C$6:$C$1997,0)),"")</f>
        <v>UNICO</v>
      </c>
      <c r="I374" s="4" t="str">
        <f>IFERROR(INDEX(SKUs!#REF!,MATCH(B374,SKUs!$C$6:$C$1997,0)),"")</f>
        <v/>
      </c>
      <c r="J374" s="3">
        <f>SUMIFS(SKUs!$I$6:$I$1997,SKUs!$C$6:$C$1997,B374)</f>
        <v>18</v>
      </c>
      <c r="K374" s="4">
        <f t="shared" si="21"/>
        <v>0</v>
      </c>
      <c r="L374" s="3">
        <f>COUNTIF(SKUs!$C$6:$C$1997,B374)</f>
        <v>1</v>
      </c>
      <c r="M374" s="29"/>
      <c r="N374" s="29"/>
      <c r="O374" s="29"/>
      <c r="P374" s="29"/>
      <c r="Q374" s="29"/>
      <c r="R374" s="29"/>
      <c r="S374" s="29"/>
      <c r="T374" s="29"/>
      <c r="U374" s="30">
        <f t="shared" si="22"/>
        <v>0</v>
      </c>
      <c r="V374" s="31">
        <f t="shared" si="23"/>
        <v>18</v>
      </c>
    </row>
    <row r="375" spans="1:22" ht="14.25" hidden="1" customHeight="1" x14ac:dyDescent="0.3">
      <c r="A375" s="32">
        <v>368</v>
      </c>
      <c r="B375" s="26" t="s">
        <v>419</v>
      </c>
      <c r="C375" s="27" t="str">
        <f t="shared" si="20"/>
        <v>—</v>
      </c>
      <c r="D375" s="33" t="str">
        <f>IFERROR(INDEX(SKUs!$E$6:$E$1997,MATCH(B375,SKUs!$C$6:$C$1997,0)),"")</f>
        <v>ALMOFADA</v>
      </c>
      <c r="E375" s="28" t="str">
        <f>IFERROR(VLOOKUP(D375,Configurações!$N$5:$O$46,2,FALSE()),"OUTROS")</f>
        <v>ACESSÓRIOS</v>
      </c>
      <c r="F375" s="33" t="str">
        <f>IFERROR(INDEX(SKUs!$F$6:$F$1997,MATCH(B375,SKUs!$C$6:$C$1997,0)),"")</f>
        <v>ALMOFADA DUO- FOM</v>
      </c>
      <c r="G375" s="33" t="str">
        <f>IFERROR(INDEX(SKUs!$G$6:$G$1997,MATCH(B375,SKUs!$C$6:$C$1997,0)),"")</f>
        <v>AZUL</v>
      </c>
      <c r="H375" s="32" t="str">
        <f>IFERROR(INDEX(SKUs!$H$6:$H$1997,MATCH(B375,SKUs!$C$6:$C$1997,0)),"")</f>
        <v>UNICO</v>
      </c>
      <c r="I375" s="34" t="str">
        <f>IFERROR(INDEX(SKUs!#REF!,MATCH(B375,SKUs!$C$6:$C$1997,0)),"")</f>
        <v/>
      </c>
      <c r="J375" s="35">
        <f>SUMIFS(SKUs!$I$6:$I$1997,SKUs!$C$6:$C$1997,B375)</f>
        <v>22</v>
      </c>
      <c r="K375" s="34">
        <f t="shared" si="21"/>
        <v>0</v>
      </c>
      <c r="L375" s="35">
        <f>COUNTIF(SKUs!$C$6:$C$1997,B375)</f>
        <v>4</v>
      </c>
      <c r="M375" s="29"/>
      <c r="N375" s="29"/>
      <c r="O375" s="29"/>
      <c r="P375" s="29"/>
      <c r="Q375" s="29"/>
      <c r="R375" s="29"/>
      <c r="S375" s="29"/>
      <c r="T375" s="29"/>
      <c r="U375" s="30">
        <f t="shared" si="22"/>
        <v>0</v>
      </c>
      <c r="V375" s="31">
        <f t="shared" si="23"/>
        <v>22</v>
      </c>
    </row>
    <row r="376" spans="1:22" ht="14.25" hidden="1" customHeight="1" x14ac:dyDescent="0.3">
      <c r="A376" s="25">
        <v>369</v>
      </c>
      <c r="B376" s="26" t="s">
        <v>420</v>
      </c>
      <c r="C376" s="27" t="str">
        <f t="shared" si="20"/>
        <v>—</v>
      </c>
      <c r="D376" s="2" t="str">
        <f>IFERROR(INDEX(SKUs!$E$6:$E$1997,MATCH(B376,SKUs!$C$6:$C$1997,0)),"")</f>
        <v>GARRAFA</v>
      </c>
      <c r="E376" s="28" t="str">
        <f>IFERROR(VLOOKUP(D376,Configurações!$N$5:$O$46,2,FALSE()),"OUTROS")</f>
        <v>BEBIDAS E MESA</v>
      </c>
      <c r="F376" s="2" t="str">
        <f>IFERROR(INDEX(SKUs!$F$6:$F$1997,MATCH(B376,SKUs!$C$6:$C$1997,0)),"")</f>
        <v>GARRAFA PAN INOX</v>
      </c>
      <c r="G376" s="2" t="str">
        <f>IFERROR(INDEX(SKUs!$G$6:$G$1997,MATCH(B376,SKUs!$C$6:$C$1997,0)),"")</f>
        <v>CINZA</v>
      </c>
      <c r="H376" s="25" t="str">
        <f>IFERROR(INDEX(SKUs!$H$6:$H$1997,MATCH(B376,SKUs!$C$6:$C$1997,0)),"")</f>
        <v>UNICO</v>
      </c>
      <c r="I376" s="4" t="str">
        <f>IFERROR(INDEX(SKUs!#REF!,MATCH(B376,SKUs!$C$6:$C$1997,0)),"")</f>
        <v/>
      </c>
      <c r="J376" s="3">
        <f>SUMIFS(SKUs!$I$6:$I$1997,SKUs!$C$6:$C$1997,B376)</f>
        <v>0</v>
      </c>
      <c r="K376" s="4">
        <f t="shared" si="21"/>
        <v>0</v>
      </c>
      <c r="L376" s="3">
        <f>COUNTIF(SKUs!$C$6:$C$1997,B376)</f>
        <v>1</v>
      </c>
      <c r="M376" s="29">
        <v>6</v>
      </c>
      <c r="N376" s="29"/>
      <c r="O376" s="29"/>
      <c r="P376" s="29"/>
      <c r="Q376" s="29"/>
      <c r="R376" s="29"/>
      <c r="S376" s="29"/>
      <c r="T376" s="29"/>
      <c r="U376" s="30">
        <f t="shared" si="22"/>
        <v>6</v>
      </c>
      <c r="V376" s="31">
        <f t="shared" si="23"/>
        <v>0</v>
      </c>
    </row>
    <row r="377" spans="1:22" ht="14.25" hidden="1" customHeight="1" x14ac:dyDescent="0.3">
      <c r="A377" s="32">
        <v>370</v>
      </c>
      <c r="B377" s="26" t="s">
        <v>421</v>
      </c>
      <c r="C377" s="27" t="str">
        <f t="shared" si="20"/>
        <v>—</v>
      </c>
      <c r="D377" s="33" t="str">
        <f>IFERROR(INDEX(SKUs!$E$6:$E$1997,MATCH(B377,SKUs!$C$6:$C$1997,0)),"")</f>
        <v>CANECA</v>
      </c>
      <c r="E377" s="28" t="str">
        <f>IFERROR(VLOOKUP(D377,Configurações!$N$5:$O$46,2,FALSE()),"OUTROS")</f>
        <v>BEBIDAS E MESA</v>
      </c>
      <c r="F377" s="33" t="str">
        <f>IFERROR(INDEX(SKUs!$F$6:$F$1997,MATCH(B377,SKUs!$C$6:$C$1997,0)),"")</f>
        <v>CANECA TREMICA FOKUS</v>
      </c>
      <c r="G377" s="33" t="str">
        <f>IFERROR(INDEX(SKUs!$G$6:$G$1997,MATCH(B377,SKUs!$C$6:$C$1997,0)),"")</f>
        <v>PRETA</v>
      </c>
      <c r="H377" s="32" t="str">
        <f>IFERROR(INDEX(SKUs!$H$6:$H$1997,MATCH(B377,SKUs!$C$6:$C$1997,0)),"")</f>
        <v>295ML</v>
      </c>
      <c r="I377" s="34" t="str">
        <f>IFERROR(INDEX(SKUs!#REF!,MATCH(B377,SKUs!$C$6:$C$1997,0)),"")</f>
        <v/>
      </c>
      <c r="J377" s="35">
        <f>SUMIFS(SKUs!$I$6:$I$1997,SKUs!$C$6:$C$1997,B377)</f>
        <v>0</v>
      </c>
      <c r="K377" s="34">
        <f t="shared" si="21"/>
        <v>0</v>
      </c>
      <c r="L377" s="35">
        <f>COUNTIF(SKUs!$C$6:$C$1997,B377)</f>
        <v>1</v>
      </c>
      <c r="M377" s="29">
        <v>9</v>
      </c>
      <c r="N377" s="29"/>
      <c r="O377" s="29"/>
      <c r="P377" s="29"/>
      <c r="Q377" s="29"/>
      <c r="R377" s="29"/>
      <c r="S377" s="29"/>
      <c r="T377" s="29"/>
      <c r="U377" s="30">
        <f t="shared" si="22"/>
        <v>9</v>
      </c>
      <c r="V377" s="31">
        <f t="shared" si="23"/>
        <v>0</v>
      </c>
    </row>
    <row r="378" spans="1:22" ht="14.25" hidden="1" customHeight="1" x14ac:dyDescent="0.3">
      <c r="A378" s="25">
        <v>371</v>
      </c>
      <c r="B378" s="26" t="s">
        <v>422</v>
      </c>
      <c r="C378" s="27" t="str">
        <f t="shared" si="20"/>
        <v>—</v>
      </c>
      <c r="D378" s="2" t="str">
        <f>IFERROR(INDEX(SKUs!$E$6:$E$1997,MATCH(B378,SKUs!$C$6:$C$1997,0)),"")</f>
        <v>NECESSARIE</v>
      </c>
      <c r="E378" s="28" t="str">
        <f>IFERROR(VLOOKUP(D378,Configurações!$N$5:$O$46,2,FALSE()),"OUTROS")</f>
        <v>BOLSAS E MALAS</v>
      </c>
      <c r="F378" s="2" t="str">
        <f>IFERROR(INDEX(SKUs!$F$6:$F$1997,MATCH(B378,SKUs!$C$6:$C$1997,0)),"")</f>
        <v>NECESSARIE</v>
      </c>
      <c r="G378" s="2" t="str">
        <f>IFERROR(INDEX(SKUs!$G$6:$G$1997,MATCH(B378,SKUs!$C$6:$C$1997,0)),"")</f>
        <v>PRETA</v>
      </c>
      <c r="H378" s="25" t="str">
        <f>IFERROR(INDEX(SKUs!$H$6:$H$1997,MATCH(B378,SKUs!$C$6:$C$1997,0)),"")</f>
        <v>UNICO</v>
      </c>
      <c r="I378" s="4" t="str">
        <f>IFERROR(INDEX(SKUs!#REF!,MATCH(B378,SKUs!$C$6:$C$1997,0)),"")</f>
        <v/>
      </c>
      <c r="J378" s="3">
        <f>SUMIFS(SKUs!$I$6:$I$1997,SKUs!$C$6:$C$1997,B378)</f>
        <v>24</v>
      </c>
      <c r="K378" s="4">
        <f t="shared" si="21"/>
        <v>0</v>
      </c>
      <c r="L378" s="3">
        <f>COUNTIF(SKUs!$C$6:$C$1997,B378)</f>
        <v>1</v>
      </c>
      <c r="M378" s="29"/>
      <c r="N378" s="29"/>
      <c r="O378" s="29"/>
      <c r="P378" s="29"/>
      <c r="Q378" s="29"/>
      <c r="R378" s="29"/>
      <c r="S378" s="29"/>
      <c r="T378" s="29"/>
      <c r="U378" s="30">
        <f t="shared" si="22"/>
        <v>0</v>
      </c>
      <c r="V378" s="31">
        <f t="shared" si="23"/>
        <v>24</v>
      </c>
    </row>
    <row r="379" spans="1:22" ht="14.25" hidden="1" customHeight="1" x14ac:dyDescent="0.3">
      <c r="A379" s="32">
        <v>372</v>
      </c>
      <c r="B379" s="26" t="s">
        <v>423</v>
      </c>
      <c r="C379" s="27" t="str">
        <f t="shared" si="20"/>
        <v>Feminino</v>
      </c>
      <c r="D379" s="33" t="str">
        <f>IFERROR(INDEX(SKUs!$E$6:$E$1997,MATCH(B379,SKUs!$C$6:$C$1997,0)),"")</f>
        <v>POLO</v>
      </c>
      <c r="E379" s="28" t="str">
        <f>IFERROR(VLOOKUP(D379,Configurações!$N$5:$O$46,2,FALSE()),"OUTROS")</f>
        <v>VESTUÁRIO</v>
      </c>
      <c r="F379" s="33" t="str">
        <f>IFERROR(INDEX(SKUs!$F$6:$F$1997,MATCH(B379,SKUs!$C$6:$C$1997,0)),"")</f>
        <v>POLO COPA FEM.</v>
      </c>
      <c r="G379" s="33" t="str">
        <f>IFERROR(INDEX(SKUs!$G$6:$G$1997,MATCH(B379,SKUs!$C$6:$C$1997,0)),"")</f>
        <v>AZUL</v>
      </c>
      <c r="H379" s="32" t="str">
        <f>IFERROR(INDEX(SKUs!$H$6:$H$1997,MATCH(B379,SKUs!$C$6:$C$1997,0)),"")</f>
        <v>P</v>
      </c>
      <c r="I379" s="34" t="str">
        <f>IFERROR(INDEX(SKUs!#REF!,MATCH(B379,SKUs!$C$6:$C$1997,0)),"")</f>
        <v/>
      </c>
      <c r="J379" s="35">
        <f>SUMIFS(SKUs!$I$6:$I$1997,SKUs!$C$6:$C$1997,B379)</f>
        <v>8</v>
      </c>
      <c r="K379" s="34">
        <f t="shared" si="21"/>
        <v>0</v>
      </c>
      <c r="L379" s="35">
        <f>COUNTIF(SKUs!$C$6:$C$1997,B379)</f>
        <v>1</v>
      </c>
      <c r="M379" s="29"/>
      <c r="N379" s="29"/>
      <c r="O379" s="29"/>
      <c r="P379" s="29"/>
      <c r="Q379" s="29"/>
      <c r="R379" s="29"/>
      <c r="S379" s="29"/>
      <c r="T379" s="29"/>
      <c r="U379" s="30">
        <f t="shared" si="22"/>
        <v>0</v>
      </c>
      <c r="V379" s="31">
        <f t="shared" si="23"/>
        <v>8</v>
      </c>
    </row>
    <row r="380" spans="1:22" ht="14.25" hidden="1" customHeight="1" x14ac:dyDescent="0.3">
      <c r="A380" s="25">
        <v>373</v>
      </c>
      <c r="B380" s="26" t="s">
        <v>424</v>
      </c>
      <c r="C380" s="27" t="str">
        <f t="shared" si="20"/>
        <v>Feminino</v>
      </c>
      <c r="D380" s="2" t="str">
        <f>IFERROR(INDEX(SKUs!$E$6:$E$1997,MATCH(B380,SKUs!$C$6:$C$1997,0)),"")</f>
        <v>POLO</v>
      </c>
      <c r="E380" s="28" t="str">
        <f>IFERROR(VLOOKUP(D380,Configurações!$N$5:$O$46,2,FALSE()),"OUTROS")</f>
        <v>VESTUÁRIO</v>
      </c>
      <c r="F380" s="2" t="str">
        <f>IFERROR(INDEX(SKUs!$F$6:$F$1997,MATCH(B380,SKUs!$C$6:$C$1997,0)),"")</f>
        <v>POLO COPA FEM.</v>
      </c>
      <c r="G380" s="2" t="str">
        <f>IFERROR(INDEX(SKUs!$G$6:$G$1997,MATCH(B380,SKUs!$C$6:$C$1997,0)),"")</f>
        <v>AZUL</v>
      </c>
      <c r="H380" s="25" t="str">
        <f>IFERROR(INDEX(SKUs!$H$6:$H$1997,MATCH(B380,SKUs!$C$6:$C$1997,0)),"")</f>
        <v>M</v>
      </c>
      <c r="I380" s="4" t="str">
        <f>IFERROR(INDEX(SKUs!#REF!,MATCH(B380,SKUs!$C$6:$C$1997,0)),"")</f>
        <v/>
      </c>
      <c r="J380" s="3">
        <f>SUMIFS(SKUs!$I$6:$I$1997,SKUs!$C$6:$C$1997,B380)</f>
        <v>10</v>
      </c>
      <c r="K380" s="4">
        <f t="shared" si="21"/>
        <v>0</v>
      </c>
      <c r="L380" s="3">
        <f>COUNTIF(SKUs!$C$6:$C$1997,B380)</f>
        <v>1</v>
      </c>
      <c r="M380" s="29"/>
      <c r="N380" s="29"/>
      <c r="O380" s="29"/>
      <c r="P380" s="29"/>
      <c r="Q380" s="29"/>
      <c r="R380" s="29"/>
      <c r="S380" s="29"/>
      <c r="T380" s="29"/>
      <c r="U380" s="30">
        <f t="shared" si="22"/>
        <v>0</v>
      </c>
      <c r="V380" s="31">
        <f t="shared" si="23"/>
        <v>10</v>
      </c>
    </row>
    <row r="381" spans="1:22" ht="14.25" hidden="1" customHeight="1" x14ac:dyDescent="0.3">
      <c r="A381" s="32">
        <v>374</v>
      </c>
      <c r="B381" s="26" t="s">
        <v>425</v>
      </c>
      <c r="C381" s="27" t="str">
        <f t="shared" si="20"/>
        <v>Feminino</v>
      </c>
      <c r="D381" s="33" t="str">
        <f>IFERROR(INDEX(SKUs!$E$6:$E$1997,MATCH(B381,SKUs!$C$6:$C$1997,0)),"")</f>
        <v>POLO</v>
      </c>
      <c r="E381" s="28" t="str">
        <f>IFERROR(VLOOKUP(D381,Configurações!$N$5:$O$46,2,FALSE()),"OUTROS")</f>
        <v>VESTUÁRIO</v>
      </c>
      <c r="F381" s="33" t="str">
        <f>IFERROR(INDEX(SKUs!$F$6:$F$1997,MATCH(B381,SKUs!$C$6:$C$1997,0)),"")</f>
        <v>POLO COPA FEM.</v>
      </c>
      <c r="G381" s="33" t="str">
        <f>IFERROR(INDEX(SKUs!$G$6:$G$1997,MATCH(B381,SKUs!$C$6:$C$1997,0)),"")</f>
        <v>AZUL</v>
      </c>
      <c r="H381" s="32" t="str">
        <f>IFERROR(INDEX(SKUs!$H$6:$H$1997,MATCH(B381,SKUs!$C$6:$C$1997,0)),"")</f>
        <v>G</v>
      </c>
      <c r="I381" s="34" t="str">
        <f>IFERROR(INDEX(SKUs!#REF!,MATCH(B381,SKUs!$C$6:$C$1997,0)),"")</f>
        <v/>
      </c>
      <c r="J381" s="35">
        <f>SUMIFS(SKUs!$I$6:$I$1997,SKUs!$C$6:$C$1997,B381)</f>
        <v>10</v>
      </c>
      <c r="K381" s="34">
        <f t="shared" si="21"/>
        <v>0</v>
      </c>
      <c r="L381" s="35">
        <f>COUNTIF(SKUs!$C$6:$C$1997,B381)</f>
        <v>1</v>
      </c>
      <c r="M381" s="29"/>
      <c r="N381" s="29"/>
      <c r="O381" s="29"/>
      <c r="P381" s="29"/>
      <c r="Q381" s="29"/>
      <c r="R381" s="29"/>
      <c r="S381" s="29"/>
      <c r="T381" s="29"/>
      <c r="U381" s="30">
        <f t="shared" si="22"/>
        <v>0</v>
      </c>
      <c r="V381" s="31">
        <f t="shared" si="23"/>
        <v>10</v>
      </c>
    </row>
    <row r="382" spans="1:22" ht="14.25" hidden="1" customHeight="1" x14ac:dyDescent="0.3">
      <c r="A382" s="25">
        <v>375</v>
      </c>
      <c r="B382" s="26" t="s">
        <v>426</v>
      </c>
      <c r="C382" s="27" t="str">
        <f t="shared" si="20"/>
        <v>Feminino</v>
      </c>
      <c r="D382" s="2" t="str">
        <f>IFERROR(INDEX(SKUs!$E$6:$E$1997,MATCH(B382,SKUs!$C$6:$C$1997,0)),"")</f>
        <v>POLO</v>
      </c>
      <c r="E382" s="28" t="str">
        <f>IFERROR(VLOOKUP(D382,Configurações!$N$5:$O$46,2,FALSE()),"OUTROS")</f>
        <v>VESTUÁRIO</v>
      </c>
      <c r="F382" s="2" t="str">
        <f>IFERROR(INDEX(SKUs!$F$6:$F$1997,MATCH(B382,SKUs!$C$6:$C$1997,0)),"")</f>
        <v>POLO COPA FEM.</v>
      </c>
      <c r="G382" s="2" t="str">
        <f>IFERROR(INDEX(SKUs!$G$6:$G$1997,MATCH(B382,SKUs!$C$6:$C$1997,0)),"")</f>
        <v>AZUL</v>
      </c>
      <c r="H382" s="25" t="str">
        <f>IFERROR(INDEX(SKUs!$H$6:$H$1997,MATCH(B382,SKUs!$C$6:$C$1997,0)),"")</f>
        <v>GG</v>
      </c>
      <c r="I382" s="4" t="str">
        <f>IFERROR(INDEX(SKUs!#REF!,MATCH(B382,SKUs!$C$6:$C$1997,0)),"")</f>
        <v/>
      </c>
      <c r="J382" s="3">
        <f>SUMIFS(SKUs!$I$6:$I$1997,SKUs!$C$6:$C$1997,B382)</f>
        <v>13</v>
      </c>
      <c r="K382" s="4">
        <f t="shared" si="21"/>
        <v>0</v>
      </c>
      <c r="L382" s="3">
        <f>COUNTIF(SKUs!$C$6:$C$1997,B382)</f>
        <v>1</v>
      </c>
      <c r="M382" s="29"/>
      <c r="N382" s="29"/>
      <c r="O382" s="29"/>
      <c r="P382" s="29"/>
      <c r="Q382" s="29"/>
      <c r="R382" s="29"/>
      <c r="S382" s="29"/>
      <c r="T382" s="29"/>
      <c r="U382" s="30">
        <f t="shared" si="22"/>
        <v>0</v>
      </c>
      <c r="V382" s="31">
        <f t="shared" si="23"/>
        <v>13</v>
      </c>
    </row>
    <row r="383" spans="1:22" ht="14.25" hidden="1" customHeight="1" x14ac:dyDescent="0.3">
      <c r="A383" s="32">
        <v>376</v>
      </c>
      <c r="B383" s="26" t="s">
        <v>427</v>
      </c>
      <c r="C383" s="27" t="str">
        <f t="shared" si="20"/>
        <v>Feminino</v>
      </c>
      <c r="D383" s="33" t="str">
        <f>IFERROR(INDEX(SKUs!$E$6:$E$1997,MATCH(B383,SKUs!$C$6:$C$1997,0)),"")</f>
        <v>POLO</v>
      </c>
      <c r="E383" s="28" t="str">
        <f>IFERROR(VLOOKUP(D383,Configurações!$N$5:$O$46,2,FALSE()),"OUTROS")</f>
        <v>VESTUÁRIO</v>
      </c>
      <c r="F383" s="33" t="str">
        <f>IFERROR(INDEX(SKUs!$F$6:$F$1997,MATCH(B383,SKUs!$C$6:$C$1997,0)),"")</f>
        <v>POLO COPA FEM.</v>
      </c>
      <c r="G383" s="33" t="str">
        <f>IFERROR(INDEX(SKUs!$G$6:$G$1997,MATCH(B383,SKUs!$C$6:$C$1997,0)),"")</f>
        <v>AZUL</v>
      </c>
      <c r="H383" s="32" t="str">
        <f>IFERROR(INDEX(SKUs!$H$6:$H$1997,MATCH(B383,SKUs!$C$6:$C$1997,0)),"")</f>
        <v>XG</v>
      </c>
      <c r="I383" s="34" t="str">
        <f>IFERROR(INDEX(SKUs!#REF!,MATCH(B383,SKUs!$C$6:$C$1997,0)),"")</f>
        <v/>
      </c>
      <c r="J383" s="35">
        <f>SUMIFS(SKUs!$I$6:$I$1997,SKUs!$C$6:$C$1997,B383)</f>
        <v>10</v>
      </c>
      <c r="K383" s="34">
        <f t="shared" si="21"/>
        <v>0</v>
      </c>
      <c r="L383" s="35">
        <f>COUNTIF(SKUs!$C$6:$C$1997,B383)</f>
        <v>1</v>
      </c>
      <c r="M383" s="29"/>
      <c r="N383" s="29"/>
      <c r="O383" s="29"/>
      <c r="P383" s="29"/>
      <c r="Q383" s="29"/>
      <c r="R383" s="29"/>
      <c r="S383" s="29"/>
      <c r="T383" s="29"/>
      <c r="U383" s="30">
        <f t="shared" si="22"/>
        <v>0</v>
      </c>
      <c r="V383" s="31">
        <f t="shared" si="23"/>
        <v>10</v>
      </c>
    </row>
    <row r="384" spans="1:22" ht="14.25" hidden="1" customHeight="1" x14ac:dyDescent="0.3">
      <c r="A384" s="25">
        <v>377</v>
      </c>
      <c r="B384" s="26" t="s">
        <v>428</v>
      </c>
      <c r="C384" s="27" t="str">
        <f t="shared" si="20"/>
        <v>Feminino</v>
      </c>
      <c r="D384" s="2" t="str">
        <f>IFERROR(INDEX(SKUs!$E$6:$E$1997,MATCH(B384,SKUs!$C$6:$C$1997,0)),"")</f>
        <v>CAMISETA</v>
      </c>
      <c r="E384" s="28" t="str">
        <f>IFERROR(VLOOKUP(D384,Configurações!$N$5:$O$46,2,FALSE()),"OUTROS")</f>
        <v>VESTUÁRIO</v>
      </c>
      <c r="F384" s="2" t="str">
        <f>IFERROR(INDEX(SKUs!$F$6:$F$1997,MATCH(B384,SKUs!$C$6:$C$1997,0)),"")</f>
        <v>CAMISETA FIO EGIPCIO FEM.</v>
      </c>
      <c r="G384" s="2" t="str">
        <f>IFERROR(INDEX(SKUs!$G$6:$G$1997,MATCH(B384,SKUs!$C$6:$C$1997,0)),"")</f>
        <v>BRANCA</v>
      </c>
      <c r="H384" s="25" t="str">
        <f>IFERROR(INDEX(SKUs!$H$6:$H$1997,MATCH(B384,SKUs!$C$6:$C$1997,0)),"")</f>
        <v>P</v>
      </c>
      <c r="I384" s="4" t="str">
        <f>IFERROR(INDEX(SKUs!#REF!,MATCH(B384,SKUs!$C$6:$C$1997,0)),"")</f>
        <v/>
      </c>
      <c r="J384" s="3">
        <f>SUMIFS(SKUs!$I$6:$I$1997,SKUs!$C$6:$C$1997,B384)</f>
        <v>0</v>
      </c>
      <c r="K384" s="4">
        <f t="shared" si="21"/>
        <v>0</v>
      </c>
      <c r="L384" s="3">
        <f>COUNTIF(SKUs!$C$6:$C$1997,B384)</f>
        <v>2</v>
      </c>
      <c r="M384" s="29">
        <v>8</v>
      </c>
      <c r="N384" s="29"/>
      <c r="O384" s="29"/>
      <c r="P384" s="29"/>
      <c r="Q384" s="29"/>
      <c r="R384" s="29"/>
      <c r="S384" s="29"/>
      <c r="T384" s="29"/>
      <c r="U384" s="30">
        <f t="shared" si="22"/>
        <v>8</v>
      </c>
      <c r="V384" s="31">
        <f t="shared" si="23"/>
        <v>0</v>
      </c>
    </row>
    <row r="385" spans="1:22" ht="14.25" hidden="1" customHeight="1" x14ac:dyDescent="0.3">
      <c r="A385" s="32">
        <v>378</v>
      </c>
      <c r="B385" s="26" t="s">
        <v>429</v>
      </c>
      <c r="C385" s="27" t="str">
        <f t="shared" si="20"/>
        <v>Feminino</v>
      </c>
      <c r="D385" s="33" t="str">
        <f>IFERROR(INDEX(SKUs!$E$6:$E$1997,MATCH(B385,SKUs!$C$6:$C$1997,0)),"")</f>
        <v>CAMISETA</v>
      </c>
      <c r="E385" s="28" t="str">
        <f>IFERROR(VLOOKUP(D385,Configurações!$N$5:$O$46,2,FALSE()),"OUTROS")</f>
        <v>VESTUÁRIO</v>
      </c>
      <c r="F385" s="33" t="str">
        <f>IFERROR(INDEX(SKUs!$F$6:$F$1997,MATCH(B385,SKUs!$C$6:$C$1997,0)),"")</f>
        <v>CAMISETA FIO EGIPCIO FEM.</v>
      </c>
      <c r="G385" s="33" t="str">
        <f>IFERROR(INDEX(SKUs!$G$6:$G$1997,MATCH(B385,SKUs!$C$6:$C$1997,0)),"")</f>
        <v>BRANCA</v>
      </c>
      <c r="H385" s="32" t="str">
        <f>IFERROR(INDEX(SKUs!$H$6:$H$1997,MATCH(B385,SKUs!$C$6:$C$1997,0)),"")</f>
        <v>M</v>
      </c>
      <c r="I385" s="34" t="str">
        <f>IFERROR(INDEX(SKUs!#REF!,MATCH(B385,SKUs!$C$6:$C$1997,0)),"")</f>
        <v/>
      </c>
      <c r="J385" s="35">
        <f>SUMIFS(SKUs!$I$6:$I$1997,SKUs!$C$6:$C$1997,B385)</f>
        <v>0</v>
      </c>
      <c r="K385" s="34">
        <f t="shared" si="21"/>
        <v>0</v>
      </c>
      <c r="L385" s="35">
        <f>COUNTIF(SKUs!$C$6:$C$1997,B385)</f>
        <v>1</v>
      </c>
      <c r="M385" s="29">
        <v>5</v>
      </c>
      <c r="N385" s="29"/>
      <c r="O385" s="29"/>
      <c r="P385" s="29"/>
      <c r="Q385" s="29"/>
      <c r="R385" s="29"/>
      <c r="S385" s="29"/>
      <c r="T385" s="29"/>
      <c r="U385" s="30">
        <f t="shared" si="22"/>
        <v>5</v>
      </c>
      <c r="V385" s="31">
        <f t="shared" si="23"/>
        <v>0</v>
      </c>
    </row>
    <row r="386" spans="1:22" ht="14.25" hidden="1" customHeight="1" x14ac:dyDescent="0.3">
      <c r="A386" s="25">
        <v>379</v>
      </c>
      <c r="B386" s="26" t="s">
        <v>430</v>
      </c>
      <c r="C386" s="27" t="str">
        <f t="shared" si="20"/>
        <v>Feminino</v>
      </c>
      <c r="D386" s="2" t="str">
        <f>IFERROR(INDEX(SKUs!$E$6:$E$1997,MATCH(B386,SKUs!$C$6:$C$1997,0)),"")</f>
        <v>CAMISETA</v>
      </c>
      <c r="E386" s="28" t="str">
        <f>IFERROR(VLOOKUP(D386,Configurações!$N$5:$O$46,2,FALSE()),"OUTROS")</f>
        <v>VESTUÁRIO</v>
      </c>
      <c r="F386" s="2" t="str">
        <f>IFERROR(INDEX(SKUs!$F$6:$F$1997,MATCH(B386,SKUs!$C$6:$C$1997,0)),"")</f>
        <v>CAMISETA FIO EGIPCIO FEM.</v>
      </c>
      <c r="G386" s="2" t="str">
        <f>IFERROR(INDEX(SKUs!$G$6:$G$1997,MATCH(B386,SKUs!$C$6:$C$1997,0)),"")</f>
        <v>BRANCA</v>
      </c>
      <c r="H386" s="25" t="str">
        <f>IFERROR(INDEX(SKUs!$H$6:$H$1997,MATCH(B386,SKUs!$C$6:$C$1997,0)),"")</f>
        <v>G</v>
      </c>
      <c r="I386" s="4" t="str">
        <f>IFERROR(INDEX(SKUs!#REF!,MATCH(B386,SKUs!$C$6:$C$1997,0)),"")</f>
        <v/>
      </c>
      <c r="J386" s="3">
        <f>SUMIFS(SKUs!$I$6:$I$1997,SKUs!$C$6:$C$1997,B386)</f>
        <v>0</v>
      </c>
      <c r="K386" s="4">
        <f t="shared" si="21"/>
        <v>0</v>
      </c>
      <c r="L386" s="3">
        <f>COUNTIF(SKUs!$C$6:$C$1997,B386)</f>
        <v>1</v>
      </c>
      <c r="M386" s="29">
        <v>5</v>
      </c>
      <c r="N386" s="29"/>
      <c r="O386" s="29"/>
      <c r="P386" s="29"/>
      <c r="Q386" s="29"/>
      <c r="R386" s="29"/>
      <c r="S386" s="29"/>
      <c r="T386" s="29"/>
      <c r="U386" s="30">
        <f t="shared" si="22"/>
        <v>5</v>
      </c>
      <c r="V386" s="31">
        <f t="shared" si="23"/>
        <v>0</v>
      </c>
    </row>
    <row r="387" spans="1:22" ht="14.25" hidden="1" customHeight="1" x14ac:dyDescent="0.3">
      <c r="A387" s="32">
        <v>380</v>
      </c>
      <c r="B387" s="26" t="s">
        <v>431</v>
      </c>
      <c r="C387" s="27" t="str">
        <f t="shared" si="20"/>
        <v>Feminino</v>
      </c>
      <c r="D387" s="33" t="str">
        <f>IFERROR(INDEX(SKUs!$E$6:$E$1997,MATCH(B387,SKUs!$C$6:$C$1997,0)),"")</f>
        <v>CAMISETA</v>
      </c>
      <c r="E387" s="28" t="str">
        <f>IFERROR(VLOOKUP(D387,Configurações!$N$5:$O$46,2,FALSE()),"OUTROS")</f>
        <v>VESTUÁRIO</v>
      </c>
      <c r="F387" s="33" t="str">
        <f>IFERROR(INDEX(SKUs!$F$6:$F$1997,MATCH(B387,SKUs!$C$6:$C$1997,0)),"")</f>
        <v>CAMISETA FIO EGIPCIO FEM.</v>
      </c>
      <c r="G387" s="33" t="str">
        <f>IFERROR(INDEX(SKUs!$G$6:$G$1997,MATCH(B387,SKUs!$C$6:$C$1997,0)),"")</f>
        <v>BRANCA</v>
      </c>
      <c r="H387" s="32" t="str">
        <f>IFERROR(INDEX(SKUs!$H$6:$H$1997,MATCH(B387,SKUs!$C$6:$C$1997,0)),"")</f>
        <v>GG</v>
      </c>
      <c r="I387" s="34" t="str">
        <f>IFERROR(INDEX(SKUs!#REF!,MATCH(B387,SKUs!$C$6:$C$1997,0)),"")</f>
        <v/>
      </c>
      <c r="J387" s="35">
        <f>SUMIFS(SKUs!$I$6:$I$1997,SKUs!$C$6:$C$1997,B387)</f>
        <v>0</v>
      </c>
      <c r="K387" s="34">
        <f t="shared" si="21"/>
        <v>0</v>
      </c>
      <c r="L387" s="35">
        <f>COUNTIF(SKUs!$C$6:$C$1997,B387)</f>
        <v>1</v>
      </c>
      <c r="M387" s="29">
        <v>5</v>
      </c>
      <c r="N387" s="29"/>
      <c r="O387" s="29"/>
      <c r="P387" s="29"/>
      <c r="Q387" s="29"/>
      <c r="R387" s="29"/>
      <c r="S387" s="29"/>
      <c r="T387" s="29"/>
      <c r="U387" s="30">
        <f t="shared" si="22"/>
        <v>5</v>
      </c>
      <c r="V387" s="31">
        <f t="shared" si="23"/>
        <v>0</v>
      </c>
    </row>
    <row r="388" spans="1:22" ht="14.25" hidden="1" customHeight="1" x14ac:dyDescent="0.3">
      <c r="A388" s="25">
        <v>381</v>
      </c>
      <c r="B388" s="26" t="s">
        <v>432</v>
      </c>
      <c r="C388" s="27" t="str">
        <f t="shared" si="20"/>
        <v>Feminino</v>
      </c>
      <c r="D388" s="2" t="str">
        <f>IFERROR(INDEX(SKUs!$E$6:$E$1997,MATCH(B388,SKUs!$C$6:$C$1997,0)),"")</f>
        <v>CAMISETA</v>
      </c>
      <c r="E388" s="28" t="str">
        <f>IFERROR(VLOOKUP(D388,Configurações!$N$5:$O$46,2,FALSE()),"OUTROS")</f>
        <v>VESTUÁRIO</v>
      </c>
      <c r="F388" s="2" t="str">
        <f>IFERROR(INDEX(SKUs!$F$6:$F$1997,MATCH(B388,SKUs!$C$6:$C$1997,0)),"")</f>
        <v>CAMISETA FIO EGIPCIO FEM.</v>
      </c>
      <c r="G388" s="2" t="str">
        <f>IFERROR(INDEX(SKUs!$G$6:$G$1997,MATCH(B388,SKUs!$C$6:$C$1997,0)),"")</f>
        <v>BRANCA</v>
      </c>
      <c r="H388" s="25" t="str">
        <f>IFERROR(INDEX(SKUs!$H$6:$H$1997,MATCH(B388,SKUs!$C$6:$C$1997,0)),"")</f>
        <v>XG</v>
      </c>
      <c r="I388" s="4" t="str">
        <f>IFERROR(INDEX(SKUs!#REF!,MATCH(B388,SKUs!$C$6:$C$1997,0)),"")</f>
        <v/>
      </c>
      <c r="J388" s="3">
        <f>SUMIFS(SKUs!$I$6:$I$1997,SKUs!$C$6:$C$1997,B388)</f>
        <v>0</v>
      </c>
      <c r="K388" s="4">
        <f t="shared" si="21"/>
        <v>0</v>
      </c>
      <c r="L388" s="3">
        <f>COUNTIF(SKUs!$C$6:$C$1997,B388)</f>
        <v>1</v>
      </c>
      <c r="M388" s="29">
        <v>2</v>
      </c>
      <c r="N388" s="29"/>
      <c r="O388" s="29"/>
      <c r="P388" s="29"/>
      <c r="Q388" s="29"/>
      <c r="R388" s="29"/>
      <c r="S388" s="29"/>
      <c r="T388" s="29"/>
      <c r="U388" s="30">
        <f t="shared" si="22"/>
        <v>2</v>
      </c>
      <c r="V388" s="31">
        <f t="shared" si="23"/>
        <v>0</v>
      </c>
    </row>
    <row r="389" spans="1:22" ht="14.25" hidden="1" customHeight="1" x14ac:dyDescent="0.3">
      <c r="A389" s="32">
        <v>382</v>
      </c>
      <c r="B389" s="26" t="s">
        <v>433</v>
      </c>
      <c r="C389" s="27" t="str">
        <f t="shared" si="20"/>
        <v>Feminino</v>
      </c>
      <c r="D389" s="33" t="str">
        <f>IFERROR(INDEX(SKUs!$E$6:$E$1997,MATCH(B389,SKUs!$C$6:$C$1997,0)),"")</f>
        <v>CAMISETA</v>
      </c>
      <c r="E389" s="28" t="str">
        <f>IFERROR(VLOOKUP(D389,Configurações!$N$5:$O$46,2,FALSE()),"OUTROS")</f>
        <v>VESTUÁRIO</v>
      </c>
      <c r="F389" s="33" t="str">
        <f>IFERROR(INDEX(SKUs!$F$6:$F$1997,MATCH(B389,SKUs!$C$6:$C$1997,0)),"")</f>
        <v>CAMISETA FIO EGIPCIO FEM.</v>
      </c>
      <c r="G389" s="33" t="str">
        <f>IFERROR(INDEX(SKUs!$G$6:$G$1997,MATCH(B389,SKUs!$C$6:$C$1997,0)),"")</f>
        <v>PRETA</v>
      </c>
      <c r="H389" s="32" t="str">
        <f>IFERROR(INDEX(SKUs!$H$6:$H$1997,MATCH(B389,SKUs!$C$6:$C$1997,0)),"")</f>
        <v>G</v>
      </c>
      <c r="I389" s="34" t="str">
        <f>IFERROR(INDEX(SKUs!#REF!,MATCH(B389,SKUs!$C$6:$C$1997,0)),"")</f>
        <v/>
      </c>
      <c r="J389" s="35">
        <f>SUMIFS(SKUs!$I$6:$I$1997,SKUs!$C$6:$C$1997,B389)</f>
        <v>0</v>
      </c>
      <c r="K389" s="34">
        <f t="shared" si="21"/>
        <v>0</v>
      </c>
      <c r="L389" s="35">
        <f>COUNTIF(SKUs!$C$6:$C$1997,B389)</f>
        <v>1</v>
      </c>
      <c r="M389" s="29">
        <v>6</v>
      </c>
      <c r="N389" s="29"/>
      <c r="O389" s="29"/>
      <c r="P389" s="29"/>
      <c r="Q389" s="29"/>
      <c r="R389" s="29"/>
      <c r="S389" s="29"/>
      <c r="T389" s="29"/>
      <c r="U389" s="30">
        <f t="shared" si="22"/>
        <v>6</v>
      </c>
      <c r="V389" s="31">
        <f t="shared" si="23"/>
        <v>0</v>
      </c>
    </row>
    <row r="390" spans="1:22" ht="14.25" hidden="1" customHeight="1" x14ac:dyDescent="0.3">
      <c r="A390" s="25">
        <v>383</v>
      </c>
      <c r="B390" s="26" t="s">
        <v>434</v>
      </c>
      <c r="C390" s="27" t="str">
        <f t="shared" si="20"/>
        <v>Feminino</v>
      </c>
      <c r="D390" s="2" t="str">
        <f>IFERROR(INDEX(SKUs!$E$6:$E$1997,MATCH(B390,SKUs!$C$6:$C$1997,0)),"")</f>
        <v>CAMISETA</v>
      </c>
      <c r="E390" s="28" t="str">
        <f>IFERROR(VLOOKUP(D390,Configurações!$N$5:$O$46,2,FALSE()),"OUTROS")</f>
        <v>VESTUÁRIO</v>
      </c>
      <c r="F390" s="2" t="str">
        <f>IFERROR(INDEX(SKUs!$F$6:$F$1997,MATCH(B390,SKUs!$C$6:$C$1997,0)),"")</f>
        <v>CAMISETA FIO EGIPCIO FEM.</v>
      </c>
      <c r="G390" s="2" t="str">
        <f>IFERROR(INDEX(SKUs!$G$6:$G$1997,MATCH(B390,SKUs!$C$6:$C$1997,0)),"")</f>
        <v>PRETA</v>
      </c>
      <c r="H390" s="25" t="str">
        <f>IFERROR(INDEX(SKUs!$H$6:$H$1997,MATCH(B390,SKUs!$C$6:$C$1997,0)),"")</f>
        <v>XG</v>
      </c>
      <c r="I390" s="4" t="str">
        <f>IFERROR(INDEX(SKUs!#REF!,MATCH(B390,SKUs!$C$6:$C$1997,0)),"")</f>
        <v/>
      </c>
      <c r="J390" s="3">
        <f>SUMIFS(SKUs!$I$6:$I$1997,SKUs!$C$6:$C$1997,B390)</f>
        <v>0</v>
      </c>
      <c r="K390" s="4">
        <f t="shared" si="21"/>
        <v>0</v>
      </c>
      <c r="L390" s="3">
        <f>COUNTIF(SKUs!$C$6:$C$1997,B390)</f>
        <v>1</v>
      </c>
      <c r="M390" s="29">
        <v>6</v>
      </c>
      <c r="N390" s="29"/>
      <c r="O390" s="29"/>
      <c r="P390" s="29"/>
      <c r="Q390" s="29"/>
      <c r="R390" s="29"/>
      <c r="S390" s="29"/>
      <c r="T390" s="29"/>
      <c r="U390" s="30">
        <f t="shared" si="22"/>
        <v>6</v>
      </c>
      <c r="V390" s="31">
        <f t="shared" si="23"/>
        <v>0</v>
      </c>
    </row>
    <row r="391" spans="1:22" ht="14.25" hidden="1" customHeight="1" x14ac:dyDescent="0.3">
      <c r="A391" s="32">
        <v>384</v>
      </c>
      <c r="B391" s="26" t="s">
        <v>435</v>
      </c>
      <c r="C391" s="27" t="str">
        <f t="shared" si="20"/>
        <v>—</v>
      </c>
      <c r="D391" s="33" t="str">
        <f>IFERROR(INDEX(SKUs!$E$6:$E$1997,MATCH(B391,SKUs!$C$6:$C$1997,0)),"")</f>
        <v>PORTA CARTÃO</v>
      </c>
      <c r="E391" s="28" t="str">
        <f>IFERROR(VLOOKUP(D391,Configurações!$N$5:$O$46,2,FALSE()),"OUTROS")</f>
        <v>ESCRITÓRIOS E PAPELARIA</v>
      </c>
      <c r="F391" s="33" t="str">
        <f>IFERROR(INDEX(SKUs!$F$6:$F$1997,MATCH(B391,SKUs!$C$6:$C$1997,0)),"")</f>
        <v>PORTA CARTÃO - COURO</v>
      </c>
      <c r="G391" s="33" t="str">
        <f>IFERROR(INDEX(SKUs!$G$6:$G$1997,MATCH(B391,SKUs!$C$6:$C$1997,0)),"")</f>
        <v>AZUL</v>
      </c>
      <c r="H391" s="32" t="str">
        <f>IFERROR(INDEX(SKUs!$H$6:$H$1997,MATCH(B391,SKUs!$C$6:$C$1997,0)),"")</f>
        <v>UNICO</v>
      </c>
      <c r="I391" s="34" t="str">
        <f>IFERROR(INDEX(SKUs!#REF!,MATCH(B391,SKUs!$C$6:$C$1997,0)),"")</f>
        <v/>
      </c>
      <c r="J391" s="35">
        <f>SUMIFS(SKUs!$I$6:$I$1997,SKUs!$C$6:$C$1997,B391)</f>
        <v>24</v>
      </c>
      <c r="K391" s="34">
        <f t="shared" si="21"/>
        <v>0</v>
      </c>
      <c r="L391" s="35">
        <f>COUNTIF(SKUs!$C$6:$C$1997,B391)</f>
        <v>1</v>
      </c>
      <c r="M391" s="29"/>
      <c r="N391" s="29"/>
      <c r="O391" s="29"/>
      <c r="P391" s="29"/>
      <c r="Q391" s="29"/>
      <c r="R391" s="29"/>
      <c r="S391" s="29"/>
      <c r="T391" s="29"/>
      <c r="U391" s="30">
        <f t="shared" si="22"/>
        <v>0</v>
      </c>
      <c r="V391" s="31">
        <f t="shared" si="23"/>
        <v>24</v>
      </c>
    </row>
    <row r="392" spans="1:22" ht="14.25" hidden="1" customHeight="1" x14ac:dyDescent="0.3">
      <c r="A392" s="25">
        <v>385</v>
      </c>
      <c r="B392" s="26" t="s">
        <v>436</v>
      </c>
      <c r="C392" s="27" t="str">
        <f t="shared" ref="C392:C455" si="24">IF(B392="","",IFERROR(IF(TRIM(MID(SUBSTITUTE(B392,".",REPT(" ",50)),51,50))="01","Masculino",IF(TRIM(MID(SUBSTITUTE(B392,".",REPT(" ",50)),51,50))="02","Feminino",IF(TRIM(MID(SUBSTITUTE(B392,".",REPT(" ",50)),51,50))="03","Outros","—"))),"—"))</f>
        <v>—</v>
      </c>
      <c r="D392" s="2" t="str">
        <f>IFERROR(INDEX(SKUs!$E$6:$E$1997,MATCH(B392,SKUs!$C$6:$C$1997,0)),"")</f>
        <v>PORTA CARTÃO</v>
      </c>
      <c r="E392" s="28" t="str">
        <f>IFERROR(VLOOKUP(D392,Configurações!$N$5:$O$46,2,FALSE()),"OUTROS")</f>
        <v>ESCRITÓRIOS E PAPELARIA</v>
      </c>
      <c r="F392" s="2" t="str">
        <f>IFERROR(INDEX(SKUs!$F$6:$F$1997,MATCH(B392,SKUs!$C$6:$C$1997,0)),"")</f>
        <v>PORTA CARTÃO - COURO</v>
      </c>
      <c r="G392" s="2" t="str">
        <f>IFERROR(INDEX(SKUs!$G$6:$G$1997,MATCH(B392,SKUs!$C$6:$C$1997,0)),"")</f>
        <v>PRETO</v>
      </c>
      <c r="H392" s="25" t="str">
        <f>IFERROR(INDEX(SKUs!$H$6:$H$1997,MATCH(B392,SKUs!$C$6:$C$1997,0)),"")</f>
        <v>UNICO</v>
      </c>
      <c r="I392" s="4" t="str">
        <f>IFERROR(INDEX(SKUs!#REF!,MATCH(B392,SKUs!$C$6:$C$1997,0)),"")</f>
        <v/>
      </c>
      <c r="J392" s="3">
        <f>SUMIFS(SKUs!$I$6:$I$1997,SKUs!$C$6:$C$1997,B392)</f>
        <v>30</v>
      </c>
      <c r="K392" s="4">
        <f t="shared" ref="K392:K455" si="25">IFERROR(I392*J392,0)</f>
        <v>0</v>
      </c>
      <c r="L392" s="3">
        <f>COUNTIF(SKUs!$C$6:$C$1997,B392)</f>
        <v>1</v>
      </c>
      <c r="M392" s="29"/>
      <c r="N392" s="29"/>
      <c r="O392" s="29"/>
      <c r="P392" s="29"/>
      <c r="Q392" s="29"/>
      <c r="R392" s="29"/>
      <c r="S392" s="29"/>
      <c r="T392" s="29"/>
      <c r="U392" s="30">
        <f t="shared" ref="U392:U455" si="26">SUM(M392:R392)</f>
        <v>0</v>
      </c>
      <c r="V392" s="31">
        <f t="shared" ref="V392:V455" si="27">IF(B392="","",J392)</f>
        <v>30</v>
      </c>
    </row>
    <row r="393" spans="1:22" ht="14.25" hidden="1" customHeight="1" x14ac:dyDescent="0.3">
      <c r="A393" s="32">
        <v>386</v>
      </c>
      <c r="B393" s="26" t="s">
        <v>437</v>
      </c>
      <c r="C393" s="27" t="str">
        <f t="shared" si="24"/>
        <v>—</v>
      </c>
      <c r="D393" s="33" t="str">
        <f>IFERROR(INDEX(SKUs!$E$6:$E$1997,MATCH(B393,SKUs!$C$6:$C$1997,0)),"")</f>
        <v>PORTA CARTÃO</v>
      </c>
      <c r="E393" s="28" t="str">
        <f>IFERROR(VLOOKUP(D393,Configurações!$N$5:$O$46,2,FALSE()),"OUTROS")</f>
        <v>ESCRITÓRIOS E PAPELARIA</v>
      </c>
      <c r="F393" s="33" t="str">
        <f>IFERROR(INDEX(SKUs!$F$6:$F$1997,MATCH(B393,SKUs!$C$6:$C$1997,0)),"")</f>
        <v>PORTA CARTÃO - COURO</v>
      </c>
      <c r="G393" s="33" t="str">
        <f>IFERROR(INDEX(SKUs!$G$6:$G$1997,MATCH(B393,SKUs!$C$6:$C$1997,0)),"")</f>
        <v>ROSA</v>
      </c>
      <c r="H393" s="32" t="str">
        <f>IFERROR(INDEX(SKUs!$H$6:$H$1997,MATCH(B393,SKUs!$C$6:$C$1997,0)),"")</f>
        <v>UNICO</v>
      </c>
      <c r="I393" s="34" t="str">
        <f>IFERROR(INDEX(SKUs!#REF!,MATCH(B393,SKUs!$C$6:$C$1997,0)),"")</f>
        <v/>
      </c>
      <c r="J393" s="35">
        <f>SUMIFS(SKUs!$I$6:$I$1997,SKUs!$C$6:$C$1997,B393)</f>
        <v>0</v>
      </c>
      <c r="K393" s="34">
        <f t="shared" si="25"/>
        <v>0</v>
      </c>
      <c r="L393" s="35">
        <f>COUNTIF(SKUs!$C$6:$C$1997,B393)</f>
        <v>1</v>
      </c>
      <c r="M393" s="29">
        <v>5</v>
      </c>
      <c r="N393" s="29"/>
      <c r="O393" s="29"/>
      <c r="P393" s="29"/>
      <c r="Q393" s="29"/>
      <c r="R393" s="29"/>
      <c r="S393" s="29"/>
      <c r="T393" s="29"/>
      <c r="U393" s="30">
        <f t="shared" si="26"/>
        <v>5</v>
      </c>
      <c r="V393" s="31">
        <f t="shared" si="27"/>
        <v>0</v>
      </c>
    </row>
    <row r="394" spans="1:22" ht="14.25" hidden="1" customHeight="1" x14ac:dyDescent="0.3">
      <c r="A394" s="25">
        <v>387</v>
      </c>
      <c r="B394" s="26" t="s">
        <v>438</v>
      </c>
      <c r="C394" s="27" t="str">
        <f t="shared" si="24"/>
        <v>—</v>
      </c>
      <c r="D394" s="2" t="str">
        <f>IFERROR(INDEX(SKUs!$E$6:$E$1997,MATCH(B394,SKUs!$C$6:$C$1997,0)),"")</f>
        <v>PORTA CARTÃO</v>
      </c>
      <c r="E394" s="28" t="str">
        <f>IFERROR(VLOOKUP(D394,Configurações!$N$5:$O$46,2,FALSE()),"OUTROS")</f>
        <v>ESCRITÓRIOS E PAPELARIA</v>
      </c>
      <c r="F394" s="2" t="str">
        <f>IFERROR(INDEX(SKUs!$F$6:$F$1997,MATCH(B394,SKUs!$C$6:$C$1997,0)),"")</f>
        <v>PORTA CARTÃO CHUMBO - BTG</v>
      </c>
      <c r="G394" s="2" t="str">
        <f>IFERROR(INDEX(SKUs!$G$6:$G$1997,MATCH(B394,SKUs!$C$6:$C$1997,0)),"")</f>
        <v>PRETO</v>
      </c>
      <c r="H394" s="25" t="str">
        <f>IFERROR(INDEX(SKUs!$H$6:$H$1997,MATCH(B394,SKUs!$C$6:$C$1997,0)),"")</f>
        <v>UNICO</v>
      </c>
      <c r="I394" s="4" t="str">
        <f>IFERROR(INDEX(SKUs!#REF!,MATCH(B394,SKUs!$C$6:$C$1997,0)),"")</f>
        <v/>
      </c>
      <c r="J394" s="3">
        <f>SUMIFS(SKUs!$I$6:$I$1997,SKUs!$C$6:$C$1997,B394)</f>
        <v>47</v>
      </c>
      <c r="K394" s="4">
        <f t="shared" si="25"/>
        <v>0</v>
      </c>
      <c r="L394" s="3">
        <f>COUNTIF(SKUs!$C$6:$C$1997,B394)</f>
        <v>1</v>
      </c>
      <c r="M394" s="29"/>
      <c r="N394" s="29"/>
      <c r="O394" s="29"/>
      <c r="P394" s="29"/>
      <c r="Q394" s="29"/>
      <c r="R394" s="29"/>
      <c r="S394" s="29"/>
      <c r="T394" s="29"/>
      <c r="U394" s="30">
        <f t="shared" si="26"/>
        <v>0</v>
      </c>
      <c r="V394" s="31">
        <f t="shared" si="27"/>
        <v>47</v>
      </c>
    </row>
    <row r="395" spans="1:22" ht="14.25" hidden="1" customHeight="1" x14ac:dyDescent="0.3">
      <c r="A395" s="32">
        <v>388</v>
      </c>
      <c r="B395" s="26" t="s">
        <v>439</v>
      </c>
      <c r="C395" s="27" t="str">
        <f t="shared" si="24"/>
        <v>—</v>
      </c>
      <c r="D395" s="33" t="str">
        <f>IFERROR(INDEX(SKUs!$E$6:$E$1997,MATCH(B395,SKUs!$C$6:$C$1997,0)),"")</f>
        <v>PORTA PASSAPORTE</v>
      </c>
      <c r="E395" s="28" t="str">
        <f>IFERROR(VLOOKUP(D395,Configurações!$N$5:$O$46,2,FALSE()),"OUTROS")</f>
        <v>ESCRITÓRIOS E PAPELARIA</v>
      </c>
      <c r="F395" s="33" t="str">
        <f>IFERROR(INDEX(SKUs!$F$6:$F$1997,MATCH(B395,SKUs!$C$6:$C$1997,0)),"")</f>
        <v>PORTA PASSAPORTE + TAG MALA</v>
      </c>
      <c r="G395" s="33" t="str">
        <f>IFERROR(INDEX(SKUs!$G$6:$G$1997,MATCH(B395,SKUs!$C$6:$C$1997,0)),"")</f>
        <v>PRETO</v>
      </c>
      <c r="H395" s="32" t="str">
        <f>IFERROR(INDEX(SKUs!$H$6:$H$1997,MATCH(B395,SKUs!$C$6:$C$1997,0)),"")</f>
        <v>UNICO</v>
      </c>
      <c r="I395" s="34" t="str">
        <f>IFERROR(INDEX(SKUs!#REF!,MATCH(B395,SKUs!$C$6:$C$1997,0)),"")</f>
        <v/>
      </c>
      <c r="J395" s="35">
        <f>SUMIFS(SKUs!$I$6:$I$1997,SKUs!$C$6:$C$1997,B395)</f>
        <v>14</v>
      </c>
      <c r="K395" s="34">
        <f t="shared" si="25"/>
        <v>0</v>
      </c>
      <c r="L395" s="35">
        <f>COUNTIF(SKUs!$C$6:$C$1997,B395)</f>
        <v>1</v>
      </c>
      <c r="M395" s="29"/>
      <c r="N395" s="29"/>
      <c r="O395" s="29"/>
      <c r="P395" s="29"/>
      <c r="Q395" s="29"/>
      <c r="R395" s="29"/>
      <c r="S395" s="29"/>
      <c r="T395" s="29"/>
      <c r="U395" s="30">
        <f t="shared" si="26"/>
        <v>0</v>
      </c>
      <c r="V395" s="31">
        <f t="shared" si="27"/>
        <v>14</v>
      </c>
    </row>
    <row r="396" spans="1:22" ht="14.25" hidden="1" customHeight="1" x14ac:dyDescent="0.3">
      <c r="A396" s="25">
        <v>389</v>
      </c>
      <c r="B396" s="26" t="s">
        <v>440</v>
      </c>
      <c r="C396" s="27" t="str">
        <f t="shared" si="24"/>
        <v>—</v>
      </c>
      <c r="D396" s="2" t="str">
        <f>IFERROR(INDEX(SKUs!$E$6:$E$1997,MATCH(B396,SKUs!$C$6:$C$1997,0)),"")</f>
        <v>PORTA PASSAPORTE</v>
      </c>
      <c r="E396" s="28" t="str">
        <f>IFERROR(VLOOKUP(D396,Configurações!$N$5:$O$46,2,FALSE()),"OUTROS")</f>
        <v>ESCRITÓRIOS E PAPELARIA</v>
      </c>
      <c r="F396" s="2" t="str">
        <f>IFERROR(INDEX(SKUs!$F$6:$F$1997,MATCH(B396,SKUs!$C$6:$C$1997,0)),"")</f>
        <v>PORTA PASSAPORTE + TAG MALA</v>
      </c>
      <c r="G396" s="2" t="str">
        <f>IFERROR(INDEX(SKUs!$G$6:$G$1997,MATCH(B396,SKUs!$C$6:$C$1997,0)),"")</f>
        <v>AZUL</v>
      </c>
      <c r="H396" s="25" t="str">
        <f>IFERROR(INDEX(SKUs!$H$6:$H$1997,MATCH(B396,SKUs!$C$6:$C$1997,0)),"")</f>
        <v>UNICO</v>
      </c>
      <c r="I396" s="4" t="str">
        <f>IFERROR(INDEX(SKUs!#REF!,MATCH(B396,SKUs!$C$6:$C$1997,0)),"")</f>
        <v/>
      </c>
      <c r="J396" s="3">
        <f>SUMIFS(SKUs!$I$6:$I$1997,SKUs!$C$6:$C$1997,B396)</f>
        <v>0</v>
      </c>
      <c r="K396" s="4">
        <f t="shared" si="25"/>
        <v>0</v>
      </c>
      <c r="L396" s="3">
        <f>COUNTIF(SKUs!$C$6:$C$1997,B396)</f>
        <v>1</v>
      </c>
      <c r="M396" s="29">
        <v>11</v>
      </c>
      <c r="N396" s="29"/>
      <c r="O396" s="29"/>
      <c r="P396" s="29"/>
      <c r="Q396" s="29"/>
      <c r="R396" s="29"/>
      <c r="S396" s="29"/>
      <c r="T396" s="29"/>
      <c r="U396" s="30">
        <f t="shared" si="26"/>
        <v>11</v>
      </c>
      <c r="V396" s="31">
        <f t="shared" si="27"/>
        <v>0</v>
      </c>
    </row>
    <row r="397" spans="1:22" ht="14.25" hidden="1" customHeight="1" x14ac:dyDescent="0.3">
      <c r="A397" s="32">
        <v>390</v>
      </c>
      <c r="B397" s="26" t="s">
        <v>441</v>
      </c>
      <c r="C397" s="27" t="str">
        <f t="shared" si="24"/>
        <v>—</v>
      </c>
      <c r="D397" s="33" t="str">
        <f>IFERROR(INDEX(SKUs!$E$6:$E$1997,MATCH(B397,SKUs!$C$6:$C$1997,0)),"")</f>
        <v>BOLSINHA DE MÃO</v>
      </c>
      <c r="E397" s="28" t="str">
        <f>IFERROR(VLOOKUP(D397,Configurações!$N$5:$O$46,2,FALSE()),"OUTROS")</f>
        <v>BOLSAS E MALAS</v>
      </c>
      <c r="F397" s="33" t="str">
        <f>IFERROR(INDEX(SKUs!$F$6:$F$1997,MATCH(B397,SKUs!$C$6:$C$1997,0)),"")</f>
        <v>BOLSINHA DE MÃO EM COURO</v>
      </c>
      <c r="G397" s="33" t="str">
        <f>IFERROR(INDEX(SKUs!$G$6:$G$1997,MATCH(B397,SKUs!$C$6:$C$1997,0)),"")</f>
        <v>AZUL MARINHO</v>
      </c>
      <c r="H397" s="32" t="str">
        <f>IFERROR(INDEX(SKUs!$H$6:$H$1997,MATCH(B397,SKUs!$C$6:$C$1997,0)),"")</f>
        <v>UNICO</v>
      </c>
      <c r="I397" s="34" t="str">
        <f>IFERROR(INDEX(SKUs!#REF!,MATCH(B397,SKUs!$C$6:$C$1997,0)),"")</f>
        <v/>
      </c>
      <c r="J397" s="35">
        <f>SUMIFS(SKUs!$I$6:$I$1997,SKUs!$C$6:$C$1997,B397)</f>
        <v>0</v>
      </c>
      <c r="K397" s="34">
        <f t="shared" si="25"/>
        <v>0</v>
      </c>
      <c r="L397" s="35">
        <f>COUNTIF(SKUs!$C$6:$C$1997,B397)</f>
        <v>1</v>
      </c>
      <c r="M397" s="29">
        <v>15</v>
      </c>
      <c r="N397" s="29"/>
      <c r="O397" s="29"/>
      <c r="P397" s="29"/>
      <c r="Q397" s="29"/>
      <c r="R397" s="29"/>
      <c r="S397" s="29"/>
      <c r="T397" s="29"/>
      <c r="U397" s="30">
        <f t="shared" si="26"/>
        <v>15</v>
      </c>
      <c r="V397" s="31">
        <f t="shared" si="27"/>
        <v>0</v>
      </c>
    </row>
    <row r="398" spans="1:22" ht="14.25" hidden="1" customHeight="1" x14ac:dyDescent="0.3">
      <c r="A398" s="25">
        <v>391</v>
      </c>
      <c r="B398" s="26" t="s">
        <v>442</v>
      </c>
      <c r="C398" s="27" t="str">
        <f t="shared" si="24"/>
        <v>—</v>
      </c>
      <c r="D398" s="2" t="str">
        <f>IFERROR(INDEX(SKUs!$E$6:$E$1997,MATCH(B398,SKUs!$C$6:$C$1997,0)),"")</f>
        <v>BOLSINHA DE MÃO</v>
      </c>
      <c r="E398" s="28" t="str">
        <f>IFERROR(VLOOKUP(D398,Configurações!$N$5:$O$46,2,FALSE()),"OUTROS")</f>
        <v>BOLSAS E MALAS</v>
      </c>
      <c r="F398" s="2" t="str">
        <f>IFERROR(INDEX(SKUs!$F$6:$F$1997,MATCH(B398,SKUs!$C$6:$C$1997,0)),"")</f>
        <v>BOLSINHA DE MÃO EM COURO</v>
      </c>
      <c r="G398" s="2" t="str">
        <f>IFERROR(INDEX(SKUs!$G$6:$G$1997,MATCH(B398,SKUs!$C$6:$C$1997,0)),"")</f>
        <v>PRETO</v>
      </c>
      <c r="H398" s="25" t="str">
        <f>IFERROR(INDEX(SKUs!$H$6:$H$1997,MATCH(B398,SKUs!$C$6:$C$1997,0)),"")</f>
        <v>UNICO</v>
      </c>
      <c r="I398" s="4" t="str">
        <f>IFERROR(INDEX(SKUs!#REF!,MATCH(B398,SKUs!$C$6:$C$1997,0)),"")</f>
        <v/>
      </c>
      <c r="J398" s="3">
        <f>SUMIFS(SKUs!$I$6:$I$1997,SKUs!$C$6:$C$1997,B398)</f>
        <v>0</v>
      </c>
      <c r="K398" s="4">
        <f t="shared" si="25"/>
        <v>0</v>
      </c>
      <c r="L398" s="3">
        <f>COUNTIF(SKUs!$C$6:$C$1997,B398)</f>
        <v>1</v>
      </c>
      <c r="M398" s="29">
        <v>20</v>
      </c>
      <c r="N398" s="29"/>
      <c r="O398" s="29"/>
      <c r="P398" s="29"/>
      <c r="Q398" s="29"/>
      <c r="R398" s="29"/>
      <c r="S398" s="29"/>
      <c r="T398" s="29"/>
      <c r="U398" s="30">
        <f t="shared" si="26"/>
        <v>20</v>
      </c>
      <c r="V398" s="31">
        <f t="shared" si="27"/>
        <v>0</v>
      </c>
    </row>
    <row r="399" spans="1:22" ht="14.25" hidden="1" customHeight="1" x14ac:dyDescent="0.3">
      <c r="A399" s="32">
        <v>392</v>
      </c>
      <c r="B399" s="26" t="s">
        <v>443</v>
      </c>
      <c r="C399" s="27" t="str">
        <f t="shared" si="24"/>
        <v>—</v>
      </c>
      <c r="D399" s="33" t="str">
        <f>IFERROR(INDEX(SKUs!$E$6:$E$1997,MATCH(B399,SKUs!$C$6:$C$1997,0)),"")</f>
        <v>MATERIAL DE EVENTO</v>
      </c>
      <c r="E399" s="28" t="str">
        <f>IFERROR(VLOOKUP(D399,Configurações!$N$5:$O$46,2,FALSE()),"OUTROS")</f>
        <v>MATERIAL DE EVENTO</v>
      </c>
      <c r="F399" s="33" t="str">
        <f>IFERROR(INDEX(SKUs!$F$6:$F$1997,MATCH(B399,SKUs!$C$6:$C$1997,0)),"")</f>
        <v>CESTO PEQUENO</v>
      </c>
      <c r="G399" s="33" t="str">
        <f>IFERROR(INDEX(SKUs!$G$6:$G$1997,MATCH(B399,SKUs!$C$6:$C$1997,0)),"")</f>
        <v>PALHA</v>
      </c>
      <c r="H399" s="32" t="str">
        <f>IFERROR(INDEX(SKUs!$H$6:$H$1997,MATCH(B399,SKUs!$C$6:$C$1997,0)),"")</f>
        <v>28X22</v>
      </c>
      <c r="I399" s="34" t="str">
        <f>IFERROR(INDEX(SKUs!#REF!,MATCH(B399,SKUs!$C$6:$C$1997,0)),"")</f>
        <v/>
      </c>
      <c r="J399" s="35">
        <f>SUMIFS(SKUs!$I$6:$I$1997,SKUs!$C$6:$C$1997,B399)</f>
        <v>1</v>
      </c>
      <c r="K399" s="34">
        <f t="shared" si="25"/>
        <v>0</v>
      </c>
      <c r="L399" s="35">
        <f>COUNTIF(SKUs!$C$6:$C$1997,B399)</f>
        <v>1</v>
      </c>
      <c r="M399" s="29"/>
      <c r="N399" s="29"/>
      <c r="O399" s="29"/>
      <c r="P399" s="29"/>
      <c r="Q399" s="29"/>
      <c r="R399" s="29"/>
      <c r="S399" s="29"/>
      <c r="T399" s="29"/>
      <c r="U399" s="30">
        <f t="shared" si="26"/>
        <v>0</v>
      </c>
      <c r="V399" s="31">
        <f t="shared" si="27"/>
        <v>1</v>
      </c>
    </row>
    <row r="400" spans="1:22" ht="14.25" hidden="1" customHeight="1" x14ac:dyDescent="0.3">
      <c r="A400" s="25">
        <v>393</v>
      </c>
      <c r="B400" s="26" t="s">
        <v>444</v>
      </c>
      <c r="C400" s="27" t="str">
        <f t="shared" si="24"/>
        <v>—</v>
      </c>
      <c r="D400" s="2" t="str">
        <f>IFERROR(INDEX(SKUs!$E$6:$E$1997,MATCH(B400,SKUs!$C$6:$C$1997,0)),"")</f>
        <v>MATERIAL DE EVENTO</v>
      </c>
      <c r="E400" s="28" t="str">
        <f>IFERROR(VLOOKUP(D400,Configurações!$N$5:$O$46,2,FALSE()),"OUTROS")</f>
        <v>MATERIAL DE EVENTO</v>
      </c>
      <c r="F400" s="2" t="str">
        <f>IFERROR(INDEX(SKUs!$F$6:$F$1997,MATCH(B400,SKUs!$C$6:$C$1997,0)),"")</f>
        <v>CESTO GRANDE</v>
      </c>
      <c r="G400" s="2" t="str">
        <f>IFERROR(INDEX(SKUs!$G$6:$G$1997,MATCH(B400,SKUs!$C$6:$C$1997,0)),"")</f>
        <v>PALHA</v>
      </c>
      <c r="H400" s="25" t="str">
        <f>IFERROR(INDEX(SKUs!$H$6:$H$1997,MATCH(B400,SKUs!$C$6:$C$1997,0)),"")</f>
        <v>33X28</v>
      </c>
      <c r="I400" s="4" t="str">
        <f>IFERROR(INDEX(SKUs!#REF!,MATCH(B400,SKUs!$C$6:$C$1997,0)),"")</f>
        <v/>
      </c>
      <c r="J400" s="3">
        <f>SUMIFS(SKUs!$I$6:$I$1997,SKUs!$C$6:$C$1997,B400)</f>
        <v>4</v>
      </c>
      <c r="K400" s="4">
        <f t="shared" si="25"/>
        <v>0</v>
      </c>
      <c r="L400" s="3">
        <f>COUNTIF(SKUs!$C$6:$C$1997,B400)</f>
        <v>1</v>
      </c>
      <c r="M400" s="29"/>
      <c r="N400" s="29"/>
      <c r="O400" s="29"/>
      <c r="P400" s="29"/>
      <c r="Q400" s="29"/>
      <c r="R400" s="29"/>
      <c r="S400" s="29"/>
      <c r="T400" s="29"/>
      <c r="U400" s="30">
        <f t="shared" si="26"/>
        <v>0</v>
      </c>
      <c r="V400" s="31">
        <f t="shared" si="27"/>
        <v>4</v>
      </c>
    </row>
    <row r="401" spans="1:22" ht="14.25" hidden="1" customHeight="1" x14ac:dyDescent="0.3">
      <c r="A401" s="32">
        <v>394</v>
      </c>
      <c r="B401" s="26" t="s">
        <v>445</v>
      </c>
      <c r="C401" s="27" t="str">
        <f t="shared" si="24"/>
        <v>—</v>
      </c>
      <c r="D401" s="33" t="str">
        <f>IFERROR(INDEX(SKUs!$E$6:$E$1997,MATCH(B401,SKUs!$C$6:$C$1997,0)),"")</f>
        <v>MATERIAL DE EVENTO</v>
      </c>
      <c r="E401" s="28" t="str">
        <f>IFERROR(VLOOKUP(D401,Configurações!$N$5:$O$46,2,FALSE()),"OUTROS")</f>
        <v>MATERIAL DE EVENTO</v>
      </c>
      <c r="F401" s="33" t="str">
        <f>IFERROR(INDEX(SKUs!$F$6:$F$1997,MATCH(B401,SKUs!$C$6:$C$1997,0)),"")</f>
        <v>CESTO REDONDO - GRANDE</v>
      </c>
      <c r="G401" s="33" t="str">
        <f>IFERROR(INDEX(SKUs!$G$6:$G$1997,MATCH(B401,SKUs!$C$6:$C$1997,0)),"")</f>
        <v>PALHA</v>
      </c>
      <c r="H401" s="32" t="str">
        <f>IFERROR(INDEX(SKUs!$H$6:$H$1997,MATCH(B401,SKUs!$C$6:$C$1997,0)),"")</f>
        <v>UNICO</v>
      </c>
      <c r="I401" s="34" t="str">
        <f>IFERROR(INDEX(SKUs!#REF!,MATCH(B401,SKUs!$C$6:$C$1997,0)),"")</f>
        <v/>
      </c>
      <c r="J401" s="35">
        <f>SUMIFS(SKUs!$I$6:$I$1997,SKUs!$C$6:$C$1997,B401)</f>
        <v>1</v>
      </c>
      <c r="K401" s="34">
        <f t="shared" si="25"/>
        <v>0</v>
      </c>
      <c r="L401" s="35">
        <f>COUNTIF(SKUs!$C$6:$C$1997,B401)</f>
        <v>1</v>
      </c>
      <c r="M401" s="29"/>
      <c r="N401" s="29"/>
      <c r="O401" s="29"/>
      <c r="P401" s="29"/>
      <c r="Q401" s="29"/>
      <c r="R401" s="29"/>
      <c r="S401" s="29"/>
      <c r="T401" s="29"/>
      <c r="U401" s="30">
        <f t="shared" si="26"/>
        <v>0</v>
      </c>
      <c r="V401" s="31">
        <f t="shared" si="27"/>
        <v>1</v>
      </c>
    </row>
    <row r="402" spans="1:22" ht="14.25" hidden="1" customHeight="1" x14ac:dyDescent="0.3">
      <c r="A402" s="25">
        <v>395</v>
      </c>
      <c r="B402" s="26" t="s">
        <v>446</v>
      </c>
      <c r="C402" s="27" t="str">
        <f t="shared" si="24"/>
        <v>—</v>
      </c>
      <c r="D402" s="2" t="str">
        <f>IFERROR(INDEX(SKUs!$E$6:$E$1997,MATCH(B402,SKUs!$C$6:$C$1997,0)),"")</f>
        <v>MATERIAL DE EVENTO</v>
      </c>
      <c r="E402" s="28" t="str">
        <f>IFERROR(VLOOKUP(D402,Configurações!$N$5:$O$46,2,FALSE()),"OUTROS")</f>
        <v>MATERIAL DE EVENTO</v>
      </c>
      <c r="F402" s="2" t="str">
        <f>IFERROR(INDEX(SKUs!$F$6:$F$1997,MATCH(B402,SKUs!$C$6:$C$1997,0)),"")</f>
        <v>CESTO QUADRADO - GRANDE</v>
      </c>
      <c r="G402" s="2" t="str">
        <f>IFERROR(INDEX(SKUs!$G$6:$G$1997,MATCH(B402,SKUs!$C$6:$C$1997,0)),"")</f>
        <v>PALHA</v>
      </c>
      <c r="H402" s="25" t="str">
        <f>IFERROR(INDEX(SKUs!$H$6:$H$1997,MATCH(B402,SKUs!$C$6:$C$1997,0)),"")</f>
        <v>35X25</v>
      </c>
      <c r="I402" s="4" t="str">
        <f>IFERROR(INDEX(SKUs!#REF!,MATCH(B402,SKUs!$C$6:$C$1997,0)),"")</f>
        <v/>
      </c>
      <c r="J402" s="3">
        <f>SUMIFS(SKUs!$I$6:$I$1997,SKUs!$C$6:$C$1997,B402)</f>
        <v>5</v>
      </c>
      <c r="K402" s="4">
        <f t="shared" si="25"/>
        <v>0</v>
      </c>
      <c r="L402" s="3">
        <f>COUNTIF(SKUs!$C$6:$C$1997,B402)</f>
        <v>1</v>
      </c>
      <c r="M402" s="29"/>
      <c r="N402" s="29"/>
      <c r="O402" s="29"/>
      <c r="P402" s="29"/>
      <c r="Q402" s="29"/>
      <c r="R402" s="29"/>
      <c r="S402" s="29"/>
      <c r="T402" s="29"/>
      <c r="U402" s="30">
        <f t="shared" si="26"/>
        <v>0</v>
      </c>
      <c r="V402" s="31">
        <f t="shared" si="27"/>
        <v>5</v>
      </c>
    </row>
    <row r="403" spans="1:22" ht="14.25" hidden="1" customHeight="1" x14ac:dyDescent="0.3">
      <c r="A403" s="32">
        <v>396</v>
      </c>
      <c r="B403" s="26" t="s">
        <v>447</v>
      </c>
      <c r="C403" s="27" t="str">
        <f t="shared" si="24"/>
        <v>—</v>
      </c>
      <c r="D403" s="33" t="str">
        <f>IFERROR(INDEX(SKUs!$E$6:$E$1997,MATCH(B403,SKUs!$C$6:$C$1997,0)),"")</f>
        <v>MATERIAL DE EVENTO</v>
      </c>
      <c r="E403" s="28" t="str">
        <f>IFERROR(VLOOKUP(D403,Configurações!$N$5:$O$46,2,FALSE()),"OUTROS")</f>
        <v>MATERIAL DE EVENTO</v>
      </c>
      <c r="F403" s="33" t="str">
        <f>IFERROR(INDEX(SKUs!$F$6:$F$1997,MATCH(B403,SKUs!$C$6:$C$1997,0)),"")</f>
        <v>CESTO QUADRADO - PEQUENO</v>
      </c>
      <c r="G403" s="33" t="str">
        <f>IFERROR(INDEX(SKUs!$G$6:$G$1997,MATCH(B403,SKUs!$C$6:$C$1997,0)),"")</f>
        <v>PALHA</v>
      </c>
      <c r="H403" s="32" t="str">
        <f>IFERROR(INDEX(SKUs!$H$6:$H$1997,MATCH(B403,SKUs!$C$6:$C$1997,0)),"")</f>
        <v>UNICO</v>
      </c>
      <c r="I403" s="34" t="str">
        <f>IFERROR(INDEX(SKUs!#REF!,MATCH(B403,SKUs!$C$6:$C$1997,0)),"")</f>
        <v/>
      </c>
      <c r="J403" s="35">
        <f>SUMIFS(SKUs!$I$6:$I$1997,SKUs!$C$6:$C$1997,B403)</f>
        <v>1</v>
      </c>
      <c r="K403" s="34">
        <f t="shared" si="25"/>
        <v>0</v>
      </c>
      <c r="L403" s="35">
        <f>COUNTIF(SKUs!$C$6:$C$1997,B403)</f>
        <v>1</v>
      </c>
      <c r="M403" s="29"/>
      <c r="N403" s="29"/>
      <c r="O403" s="29"/>
      <c r="P403" s="29"/>
      <c r="Q403" s="29"/>
      <c r="R403" s="29"/>
      <c r="S403" s="29"/>
      <c r="T403" s="29"/>
      <c r="U403" s="30">
        <f t="shared" si="26"/>
        <v>0</v>
      </c>
      <c r="V403" s="31">
        <f t="shared" si="27"/>
        <v>1</v>
      </c>
    </row>
    <row r="404" spans="1:22" ht="14.25" hidden="1" customHeight="1" x14ac:dyDescent="0.3">
      <c r="A404" s="25">
        <v>397</v>
      </c>
      <c r="B404" s="26" t="s">
        <v>448</v>
      </c>
      <c r="C404" s="27" t="str">
        <f t="shared" si="24"/>
        <v>—</v>
      </c>
      <c r="D404" s="2" t="str">
        <f>IFERROR(INDEX(SKUs!$E$6:$E$1997,MATCH(B404,SKUs!$C$6:$C$1997,0)),"")</f>
        <v>MATERIAL DE EVENTO</v>
      </c>
      <c r="E404" s="28" t="str">
        <f>IFERROR(VLOOKUP(D404,Configurações!$N$5:$O$46,2,FALSE()),"OUTROS")</f>
        <v>MATERIAL DE EVENTO</v>
      </c>
      <c r="F404" s="2" t="str">
        <f>IFERROR(INDEX(SKUs!$F$6:$F$1997,MATCH(B404,SKUs!$C$6:$C$1997,0)),"")</f>
        <v>CESTO QUADRADO - GRANDE</v>
      </c>
      <c r="G404" s="2" t="str">
        <f>IFERROR(INDEX(SKUs!$G$6:$G$1997,MATCH(B404,SKUs!$C$6:$C$1997,0)),"")</f>
        <v>PRETO</v>
      </c>
      <c r="H404" s="25" t="str">
        <f>IFERROR(INDEX(SKUs!$H$6:$H$1997,MATCH(B404,SKUs!$C$6:$C$1997,0)),"")</f>
        <v>35X25</v>
      </c>
      <c r="I404" s="4" t="str">
        <f>IFERROR(INDEX(SKUs!#REF!,MATCH(B404,SKUs!$C$6:$C$1997,0)),"")</f>
        <v/>
      </c>
      <c r="J404" s="3">
        <f>SUMIFS(SKUs!$I$6:$I$1997,SKUs!$C$6:$C$1997,B404)</f>
        <v>5</v>
      </c>
      <c r="K404" s="4">
        <f t="shared" si="25"/>
        <v>0</v>
      </c>
      <c r="L404" s="3">
        <f>COUNTIF(SKUs!$C$6:$C$1997,B404)</f>
        <v>1</v>
      </c>
      <c r="M404" s="29"/>
      <c r="N404" s="29"/>
      <c r="O404" s="29"/>
      <c r="P404" s="29"/>
      <c r="Q404" s="29"/>
      <c r="R404" s="29"/>
      <c r="S404" s="29"/>
      <c r="T404" s="29"/>
      <c r="U404" s="30">
        <f t="shared" si="26"/>
        <v>0</v>
      </c>
      <c r="V404" s="31">
        <f t="shared" si="27"/>
        <v>5</v>
      </c>
    </row>
    <row r="405" spans="1:22" ht="14.25" hidden="1" customHeight="1" x14ac:dyDescent="0.3">
      <c r="A405" s="32">
        <v>398</v>
      </c>
      <c r="B405" s="26" t="s">
        <v>449</v>
      </c>
      <c r="C405" s="27" t="str">
        <f t="shared" si="24"/>
        <v>—</v>
      </c>
      <c r="D405" s="33" t="str">
        <f>IFERROR(INDEX(SKUs!$E$6:$E$1997,MATCH(B405,SKUs!$C$6:$C$1997,0)),"")</f>
        <v>MATERIAL DE EVENTO</v>
      </c>
      <c r="E405" s="28" t="str">
        <f>IFERROR(VLOOKUP(D405,Configurações!$N$5:$O$46,2,FALSE()),"OUTROS")</f>
        <v>MATERIAL DE EVENTO</v>
      </c>
      <c r="F405" s="33" t="str">
        <f>IFERROR(INDEX(SKUs!$F$6:$F$1997,MATCH(B405,SKUs!$C$6:$C$1997,0)),"")</f>
        <v>CESTO QUADRADO - PEQUENO</v>
      </c>
      <c r="G405" s="33" t="str">
        <f>IFERROR(INDEX(SKUs!$G$6:$G$1997,MATCH(B405,SKUs!$C$6:$C$1997,0)),"")</f>
        <v>PRETO</v>
      </c>
      <c r="H405" s="32" t="str">
        <f>IFERROR(INDEX(SKUs!$H$6:$H$1997,MATCH(B405,SKUs!$C$6:$C$1997,0)),"")</f>
        <v>UNICO</v>
      </c>
      <c r="I405" s="34" t="str">
        <f>IFERROR(INDEX(SKUs!#REF!,MATCH(B405,SKUs!$C$6:$C$1997,0)),"")</f>
        <v/>
      </c>
      <c r="J405" s="35">
        <f>SUMIFS(SKUs!$I$6:$I$1997,SKUs!$C$6:$C$1997,B405)</f>
        <v>2</v>
      </c>
      <c r="K405" s="34">
        <f t="shared" si="25"/>
        <v>0</v>
      </c>
      <c r="L405" s="35">
        <f>COUNTIF(SKUs!$C$6:$C$1997,B405)</f>
        <v>1</v>
      </c>
      <c r="M405" s="29"/>
      <c r="N405" s="29"/>
      <c r="O405" s="29"/>
      <c r="P405" s="29"/>
      <c r="Q405" s="29"/>
      <c r="R405" s="29"/>
      <c r="S405" s="29"/>
      <c r="T405" s="29"/>
      <c r="U405" s="30">
        <f t="shared" si="26"/>
        <v>0</v>
      </c>
      <c r="V405" s="31">
        <f t="shared" si="27"/>
        <v>2</v>
      </c>
    </row>
    <row r="406" spans="1:22" ht="14.25" hidden="1" customHeight="1" x14ac:dyDescent="0.3">
      <c r="A406" s="25">
        <v>399</v>
      </c>
      <c r="B406" s="26" t="s">
        <v>450</v>
      </c>
      <c r="C406" s="27" t="str">
        <f t="shared" si="24"/>
        <v>Feminino</v>
      </c>
      <c r="D406" s="2" t="str">
        <f>IFERROR(INDEX(SKUs!$E$6:$E$1997,MATCH(B406,SKUs!$C$6:$C$1997,0)),"")</f>
        <v>LEGGING</v>
      </c>
      <c r="E406" s="28" t="str">
        <f>IFERROR(VLOOKUP(D406,Configurações!$N$5:$O$46,2,FALSE()),"OUTROS")</f>
        <v>VESTUÁRIO</v>
      </c>
      <c r="F406" s="2" t="str">
        <f>IFERROR(INDEX(SKUs!$F$6:$F$1997,MATCH(B406,SKUs!$C$6:$C$1997,0)),"")</f>
        <v>LEGGING BTG</v>
      </c>
      <c r="G406" s="2" t="str">
        <f>IFERROR(INDEX(SKUs!$G$6:$G$1997,MATCH(B406,SKUs!$C$6:$C$1997,0)),"")</f>
        <v>AZUL</v>
      </c>
      <c r="H406" s="25" t="str">
        <f>IFERROR(INDEX(SKUs!$H$6:$H$1997,MATCH(B406,SKUs!$C$6:$C$1997,0)),"")</f>
        <v>P</v>
      </c>
      <c r="I406" s="4" t="str">
        <f>IFERROR(INDEX(SKUs!#REF!,MATCH(B406,SKUs!$C$6:$C$1997,0)),"")</f>
        <v/>
      </c>
      <c r="J406" s="3">
        <f>SUMIFS(SKUs!$I$6:$I$1997,SKUs!$C$6:$C$1997,B406)</f>
        <v>9</v>
      </c>
      <c r="K406" s="4">
        <f t="shared" si="25"/>
        <v>0</v>
      </c>
      <c r="L406" s="3">
        <f>COUNTIF(SKUs!$C$6:$C$1997,B406)</f>
        <v>2</v>
      </c>
      <c r="M406" s="29">
        <v>5</v>
      </c>
      <c r="N406" s="29"/>
      <c r="O406" s="29"/>
      <c r="P406" s="29"/>
      <c r="Q406" s="29"/>
      <c r="R406" s="29"/>
      <c r="S406" s="29"/>
      <c r="T406" s="29"/>
      <c r="U406" s="30">
        <f t="shared" si="26"/>
        <v>5</v>
      </c>
      <c r="V406" s="31">
        <f t="shared" si="27"/>
        <v>9</v>
      </c>
    </row>
    <row r="407" spans="1:22" ht="14.25" hidden="1" customHeight="1" x14ac:dyDescent="0.3">
      <c r="A407" s="32">
        <v>400</v>
      </c>
      <c r="B407" s="26" t="s">
        <v>451</v>
      </c>
      <c r="C407" s="27" t="str">
        <f t="shared" si="24"/>
        <v>Feminino</v>
      </c>
      <c r="D407" s="33" t="str">
        <f>IFERROR(INDEX(SKUs!$E$6:$E$1997,MATCH(B407,SKUs!$C$6:$C$1997,0)),"")</f>
        <v>LEGGING</v>
      </c>
      <c r="E407" s="28" t="str">
        <f>IFERROR(VLOOKUP(D407,Configurações!$N$5:$O$46,2,FALSE()),"OUTROS")</f>
        <v>VESTUÁRIO</v>
      </c>
      <c r="F407" s="33" t="str">
        <f>IFERROR(INDEX(SKUs!$F$6:$F$1997,MATCH(B407,SKUs!$C$6:$C$1997,0)),"")</f>
        <v>LEGGING BTG</v>
      </c>
      <c r="G407" s="33" t="str">
        <f>IFERROR(INDEX(SKUs!$G$6:$G$1997,MATCH(B407,SKUs!$C$6:$C$1997,0)),"")</f>
        <v>AZUL</v>
      </c>
      <c r="H407" s="32" t="str">
        <f>IFERROR(INDEX(SKUs!$H$6:$H$1997,MATCH(B407,SKUs!$C$6:$C$1997,0)),"")</f>
        <v>M</v>
      </c>
      <c r="I407" s="34" t="str">
        <f>IFERROR(INDEX(SKUs!#REF!,MATCH(B407,SKUs!$C$6:$C$1997,0)),"")</f>
        <v/>
      </c>
      <c r="J407" s="35">
        <f>SUMIFS(SKUs!$I$6:$I$1997,SKUs!$C$6:$C$1997,B407)</f>
        <v>28</v>
      </c>
      <c r="K407" s="34">
        <f t="shared" si="25"/>
        <v>0</v>
      </c>
      <c r="L407" s="35">
        <f>COUNTIF(SKUs!$C$6:$C$1997,B407)</f>
        <v>2</v>
      </c>
      <c r="M407" s="29">
        <v>10</v>
      </c>
      <c r="N407" s="29"/>
      <c r="O407" s="29"/>
      <c r="P407" s="29"/>
      <c r="Q407" s="29"/>
      <c r="R407" s="29"/>
      <c r="S407" s="29"/>
      <c r="T407" s="29"/>
      <c r="U407" s="30">
        <f t="shared" si="26"/>
        <v>10</v>
      </c>
      <c r="V407" s="31">
        <f t="shared" si="27"/>
        <v>28</v>
      </c>
    </row>
    <row r="408" spans="1:22" ht="14.25" hidden="1" customHeight="1" x14ac:dyDescent="0.3">
      <c r="A408" s="25">
        <v>401</v>
      </c>
      <c r="B408" s="26" t="s">
        <v>452</v>
      </c>
      <c r="C408" s="27" t="str">
        <f t="shared" si="24"/>
        <v>Feminino</v>
      </c>
      <c r="D408" s="2" t="str">
        <f>IFERROR(INDEX(SKUs!$E$6:$E$1997,MATCH(B408,SKUs!$C$6:$C$1997,0)),"")</f>
        <v>LEGGING</v>
      </c>
      <c r="E408" s="28" t="str">
        <f>IFERROR(VLOOKUP(D408,Configurações!$N$5:$O$46,2,FALSE()),"OUTROS")</f>
        <v>VESTUÁRIO</v>
      </c>
      <c r="F408" s="2" t="str">
        <f>IFERROR(INDEX(SKUs!$F$6:$F$1997,MATCH(B408,SKUs!$C$6:$C$1997,0)),"")</f>
        <v>LEGGING BTG</v>
      </c>
      <c r="G408" s="2" t="str">
        <f>IFERROR(INDEX(SKUs!$G$6:$G$1997,MATCH(B408,SKUs!$C$6:$C$1997,0)),"")</f>
        <v>AZUL</v>
      </c>
      <c r="H408" s="25" t="str">
        <f>IFERROR(INDEX(SKUs!$H$6:$H$1997,MATCH(B408,SKUs!$C$6:$C$1997,0)),"")</f>
        <v>G</v>
      </c>
      <c r="I408" s="4" t="str">
        <f>IFERROR(INDEX(SKUs!#REF!,MATCH(B408,SKUs!$C$6:$C$1997,0)),"")</f>
        <v/>
      </c>
      <c r="J408" s="3">
        <f>SUMIFS(SKUs!$I$6:$I$1997,SKUs!$C$6:$C$1997,B408)</f>
        <v>33</v>
      </c>
      <c r="K408" s="4">
        <f t="shared" si="25"/>
        <v>0</v>
      </c>
      <c r="L408" s="3">
        <f>COUNTIF(SKUs!$C$6:$C$1997,B408)</f>
        <v>2</v>
      </c>
      <c r="M408" s="29">
        <v>5</v>
      </c>
      <c r="N408" s="29"/>
      <c r="O408" s="29"/>
      <c r="P408" s="29"/>
      <c r="Q408" s="29"/>
      <c r="R408" s="29"/>
      <c r="S408" s="29"/>
      <c r="T408" s="29"/>
      <c r="U408" s="30">
        <f t="shared" si="26"/>
        <v>5</v>
      </c>
      <c r="V408" s="31">
        <f t="shared" si="27"/>
        <v>33</v>
      </c>
    </row>
    <row r="409" spans="1:22" ht="14.25" hidden="1" customHeight="1" x14ac:dyDescent="0.3">
      <c r="A409" s="32">
        <v>402</v>
      </c>
      <c r="B409" s="26" t="s">
        <v>453</v>
      </c>
      <c r="C409" s="27" t="str">
        <f t="shared" si="24"/>
        <v>Feminino</v>
      </c>
      <c r="D409" s="33" t="str">
        <f>IFERROR(INDEX(SKUs!$E$6:$E$1997,MATCH(B409,SKUs!$C$6:$C$1997,0)),"")</f>
        <v>LEGGING</v>
      </c>
      <c r="E409" s="28" t="str">
        <f>IFERROR(VLOOKUP(D409,Configurações!$N$5:$O$46,2,FALSE()),"OUTROS")</f>
        <v>VESTUÁRIO</v>
      </c>
      <c r="F409" s="33" t="str">
        <f>IFERROR(INDEX(SKUs!$F$6:$F$1997,MATCH(B409,SKUs!$C$6:$C$1997,0)),"")</f>
        <v>LEGGING BTG</v>
      </c>
      <c r="G409" s="33" t="str">
        <f>IFERROR(INDEX(SKUs!$G$6:$G$1997,MATCH(B409,SKUs!$C$6:$C$1997,0)),"")</f>
        <v>AZUL</v>
      </c>
      <c r="H409" s="32" t="str">
        <f>IFERROR(INDEX(SKUs!$H$6:$H$1997,MATCH(B409,SKUs!$C$6:$C$1997,0)),"")</f>
        <v>GG</v>
      </c>
      <c r="I409" s="34" t="str">
        <f>IFERROR(INDEX(SKUs!#REF!,MATCH(B409,SKUs!$C$6:$C$1997,0)),"")</f>
        <v/>
      </c>
      <c r="J409" s="35">
        <f>SUMIFS(SKUs!$I$6:$I$1997,SKUs!$C$6:$C$1997,B409)</f>
        <v>11</v>
      </c>
      <c r="K409" s="34">
        <f t="shared" si="25"/>
        <v>0</v>
      </c>
      <c r="L409" s="35">
        <f>COUNTIF(SKUs!$C$6:$C$1997,B409)</f>
        <v>2</v>
      </c>
      <c r="M409" s="29">
        <v>3</v>
      </c>
      <c r="N409" s="29"/>
      <c r="O409" s="29"/>
      <c r="P409" s="29"/>
      <c r="Q409" s="29"/>
      <c r="R409" s="29"/>
      <c r="S409" s="29"/>
      <c r="T409" s="29"/>
      <c r="U409" s="30">
        <f t="shared" si="26"/>
        <v>3</v>
      </c>
      <c r="V409" s="31">
        <f t="shared" si="27"/>
        <v>11</v>
      </c>
    </row>
    <row r="410" spans="1:22" ht="14.25" hidden="1" customHeight="1" x14ac:dyDescent="0.3">
      <c r="A410" s="25">
        <v>403</v>
      </c>
      <c r="B410" s="26" t="s">
        <v>454</v>
      </c>
      <c r="C410" s="27" t="str">
        <f t="shared" si="24"/>
        <v>—</v>
      </c>
      <c r="D410" s="2" t="str">
        <f>IFERROR(INDEX(SKUs!$E$6:$E$1997,MATCH(B410,SKUs!$C$6:$C$1997,0)),"")</f>
        <v>MOCHILA</v>
      </c>
      <c r="E410" s="28" t="str">
        <f>IFERROR(VLOOKUP(D410,Configurações!$N$5:$O$46,2,FALSE()),"OUTROS")</f>
        <v>BOLSAS E MALAS</v>
      </c>
      <c r="F410" s="2" t="str">
        <f>IFERROR(INDEX(SKUs!$F$6:$F$1997,MATCH(B410,SKUs!$C$6:$C$1997,0)),"")</f>
        <v>MOCHILA NORTH FACE</v>
      </c>
      <c r="G410" s="2" t="str">
        <f>IFERROR(INDEX(SKUs!$G$6:$G$1997,MATCH(B410,SKUs!$C$6:$C$1997,0)),"")</f>
        <v>AZUL</v>
      </c>
      <c r="H410" s="25" t="str">
        <f>IFERROR(INDEX(SKUs!$H$6:$H$1997,MATCH(B410,SKUs!$C$6:$C$1997,0)),"")</f>
        <v>UNICO</v>
      </c>
      <c r="I410" s="4" t="str">
        <f>IFERROR(INDEX(SKUs!#REF!,MATCH(B410,SKUs!$C$6:$C$1997,0)),"")</f>
        <v/>
      </c>
      <c r="J410" s="3">
        <f>SUMIFS(SKUs!$I$6:$I$1997,SKUs!$C$6:$C$1997,B410)</f>
        <v>10</v>
      </c>
      <c r="K410" s="4">
        <f t="shared" si="25"/>
        <v>0</v>
      </c>
      <c r="L410" s="3">
        <f>COUNTIF(SKUs!$C$6:$C$1997,B410)</f>
        <v>1</v>
      </c>
      <c r="M410" s="29"/>
      <c r="N410" s="29"/>
      <c r="O410" s="29"/>
      <c r="P410" s="29"/>
      <c r="Q410" s="29"/>
      <c r="R410" s="29"/>
      <c r="S410" s="29"/>
      <c r="T410" s="29"/>
      <c r="U410" s="30">
        <f t="shared" si="26"/>
        <v>0</v>
      </c>
      <c r="V410" s="31">
        <f t="shared" si="27"/>
        <v>10</v>
      </c>
    </row>
    <row r="411" spans="1:22" ht="14.25" hidden="1" customHeight="1" x14ac:dyDescent="0.3">
      <c r="A411" s="32">
        <v>404</v>
      </c>
      <c r="B411" s="26" t="s">
        <v>455</v>
      </c>
      <c r="C411" s="27" t="str">
        <f t="shared" si="24"/>
        <v>—</v>
      </c>
      <c r="D411" s="33" t="str">
        <f>IFERROR(INDEX(SKUs!$E$6:$E$1997,MATCH(B411,SKUs!$C$6:$C$1997,0)),"")</f>
        <v>MATERIAL DE EVENTO</v>
      </c>
      <c r="E411" s="28" t="str">
        <f>IFERROR(VLOOKUP(D411,Configurações!$N$5:$O$46,2,FALSE()),"OUTROS")</f>
        <v>MATERIAL DE EVENTO</v>
      </c>
      <c r="F411" s="33" t="str">
        <f>IFERROR(INDEX(SKUs!$F$6:$F$1997,MATCH(B411,SKUs!$C$6:$C$1997,0)),"")</f>
        <v>MANEQUIM CRIANÇA</v>
      </c>
      <c r="G411" s="33" t="str">
        <f>IFERROR(INDEX(SKUs!$G$6:$G$1997,MATCH(B411,SKUs!$C$6:$C$1997,0)),"")</f>
        <v>BRANCA</v>
      </c>
      <c r="H411" s="32" t="str">
        <f>IFERROR(INDEX(SKUs!$H$6:$H$1997,MATCH(B411,SKUs!$C$6:$C$1997,0)),"")</f>
        <v>UNICO</v>
      </c>
      <c r="I411" s="34" t="str">
        <f>IFERROR(INDEX(SKUs!#REF!,MATCH(B411,SKUs!$C$6:$C$1997,0)),"")</f>
        <v/>
      </c>
      <c r="J411" s="35">
        <f>SUMIFS(SKUs!$I$6:$I$1997,SKUs!$C$6:$C$1997,B411)</f>
        <v>0</v>
      </c>
      <c r="K411" s="34">
        <f t="shared" si="25"/>
        <v>0</v>
      </c>
      <c r="L411" s="35">
        <f>COUNTIF(SKUs!$C$6:$C$1997,B411)</f>
        <v>1</v>
      </c>
      <c r="M411" s="29">
        <v>1</v>
      </c>
      <c r="N411" s="29"/>
      <c r="O411" s="29"/>
      <c r="P411" s="29"/>
      <c r="Q411" s="29"/>
      <c r="R411" s="29"/>
      <c r="S411" s="29"/>
      <c r="T411" s="29"/>
      <c r="U411" s="30">
        <f t="shared" si="26"/>
        <v>1</v>
      </c>
      <c r="V411" s="31">
        <f t="shared" si="27"/>
        <v>0</v>
      </c>
    </row>
    <row r="412" spans="1:22" ht="14.25" hidden="1" customHeight="1" x14ac:dyDescent="0.3">
      <c r="A412" s="25">
        <v>405</v>
      </c>
      <c r="B412" s="26" t="s">
        <v>456</v>
      </c>
      <c r="C412" s="27" t="str">
        <f t="shared" si="24"/>
        <v>—</v>
      </c>
      <c r="D412" s="2" t="str">
        <f>IFERROR(INDEX(SKUs!$E$6:$E$1997,MATCH(B412,SKUs!$C$6:$C$1997,0)),"")</f>
        <v>MATERIAL DE EVENTO</v>
      </c>
      <c r="E412" s="28" t="str">
        <f>IFERROR(VLOOKUP(D412,Configurações!$N$5:$O$46,2,FALSE()),"OUTROS")</f>
        <v>MATERIAL DE EVENTO</v>
      </c>
      <c r="F412" s="2" t="str">
        <f>IFERROR(INDEX(SKUs!$F$6:$F$1997,MATCH(B412,SKUs!$C$6:$C$1997,0)),"")</f>
        <v>MANEQUIM MULHER</v>
      </c>
      <c r="G412" s="2" t="str">
        <f>IFERROR(INDEX(SKUs!$G$6:$G$1997,MATCH(B412,SKUs!$C$6:$C$1997,0)),"")</f>
        <v>BRANCA</v>
      </c>
      <c r="H412" s="25" t="str">
        <f>IFERROR(INDEX(SKUs!$H$6:$H$1997,MATCH(B412,SKUs!$C$6:$C$1997,0)),"")</f>
        <v>UNICO</v>
      </c>
      <c r="I412" s="4" t="str">
        <f>IFERROR(INDEX(SKUs!#REF!,MATCH(B412,SKUs!$C$6:$C$1997,0)),"")</f>
        <v/>
      </c>
      <c r="J412" s="3">
        <f>SUMIFS(SKUs!$I$6:$I$1997,SKUs!$C$6:$C$1997,B412)</f>
        <v>0</v>
      </c>
      <c r="K412" s="4">
        <f t="shared" si="25"/>
        <v>0</v>
      </c>
      <c r="L412" s="3">
        <f>COUNTIF(SKUs!$C$6:$C$1997,B412)</f>
        <v>1</v>
      </c>
      <c r="M412" s="29">
        <v>3</v>
      </c>
      <c r="N412" s="29"/>
      <c r="O412" s="29"/>
      <c r="P412" s="29"/>
      <c r="Q412" s="29"/>
      <c r="R412" s="29"/>
      <c r="S412" s="29"/>
      <c r="T412" s="29"/>
      <c r="U412" s="30">
        <f t="shared" si="26"/>
        <v>3</v>
      </c>
      <c r="V412" s="31">
        <f t="shared" si="27"/>
        <v>0</v>
      </c>
    </row>
    <row r="413" spans="1:22" ht="14.25" hidden="1" customHeight="1" x14ac:dyDescent="0.3">
      <c r="A413" s="32">
        <v>406</v>
      </c>
      <c r="B413" s="26" t="s">
        <v>457</v>
      </c>
      <c r="C413" s="27" t="str">
        <f t="shared" si="24"/>
        <v>—</v>
      </c>
      <c r="D413" s="33" t="str">
        <f>IFERROR(INDEX(SKUs!$E$6:$E$1997,MATCH(B413,SKUs!$C$6:$C$1997,0)),"")</f>
        <v>MATERIAL DE EVENTO</v>
      </c>
      <c r="E413" s="28" t="str">
        <f>IFERROR(VLOOKUP(D413,Configurações!$N$5:$O$46,2,FALSE()),"OUTROS")</f>
        <v>MATERIAL DE EVENTO</v>
      </c>
      <c r="F413" s="33" t="str">
        <f>IFERROR(INDEX(SKUs!$F$6:$F$1997,MATCH(B413,SKUs!$C$6:$C$1997,0)),"")</f>
        <v>MANEQUIM MASCULINO</v>
      </c>
      <c r="G413" s="33" t="str">
        <f>IFERROR(INDEX(SKUs!$G$6:$G$1997,MATCH(B413,SKUs!$C$6:$C$1997,0)),"")</f>
        <v>BRANCA</v>
      </c>
      <c r="H413" s="32" t="str">
        <f>IFERROR(INDEX(SKUs!$H$6:$H$1997,MATCH(B413,SKUs!$C$6:$C$1997,0)),"")</f>
        <v>UNICO</v>
      </c>
      <c r="I413" s="34" t="str">
        <f>IFERROR(INDEX(SKUs!#REF!,MATCH(B413,SKUs!$C$6:$C$1997,0)),"")</f>
        <v/>
      </c>
      <c r="J413" s="35">
        <f>SUMIFS(SKUs!$I$6:$I$1997,SKUs!$C$6:$C$1997,B413)</f>
        <v>0</v>
      </c>
      <c r="K413" s="34">
        <f t="shared" si="25"/>
        <v>0</v>
      </c>
      <c r="L413" s="35">
        <f>COUNTIF(SKUs!$C$6:$C$1997,B413)</f>
        <v>1</v>
      </c>
      <c r="M413" s="29">
        <v>2</v>
      </c>
      <c r="N413" s="29"/>
      <c r="O413" s="29"/>
      <c r="P413" s="29"/>
      <c r="Q413" s="29"/>
      <c r="R413" s="29"/>
      <c r="S413" s="29"/>
      <c r="T413" s="29"/>
      <c r="U413" s="30">
        <f t="shared" si="26"/>
        <v>2</v>
      </c>
      <c r="V413" s="31">
        <f t="shared" si="27"/>
        <v>0</v>
      </c>
    </row>
    <row r="414" spans="1:22" ht="14.25" hidden="1" customHeight="1" x14ac:dyDescent="0.3">
      <c r="A414" s="25">
        <v>407</v>
      </c>
      <c r="B414" s="26" t="s">
        <v>458</v>
      </c>
      <c r="C414" s="27" t="str">
        <f t="shared" si="24"/>
        <v>—</v>
      </c>
      <c r="D414" s="2" t="str">
        <f>IFERROR(INDEX(SKUs!$E$6:$E$1997,MATCH(B414,SKUs!$C$6:$C$1997,0)),"")</f>
        <v>MATERIAL DE EVENTO</v>
      </c>
      <c r="E414" s="28" t="str">
        <f>IFERROR(VLOOKUP(D414,Configurações!$N$5:$O$46,2,FALSE()),"OUTROS")</f>
        <v>MATERIAL DE EVENTO</v>
      </c>
      <c r="F414" s="2" t="str">
        <f>IFERROR(INDEX(SKUs!$F$6:$F$1997,MATCH(B414,SKUs!$C$6:$C$1997,0)),"")</f>
        <v>PERSONALIZAÇÃO</v>
      </c>
      <c r="G414" s="2" t="str">
        <f>IFERROR(INDEX(SKUs!$G$6:$G$1997,MATCH(B414,SKUs!$C$6:$C$1997,0)),"")</f>
        <v>ACRILICO</v>
      </c>
      <c r="H414" s="25" t="str">
        <f>IFERROR(INDEX(SKUs!$H$6:$H$1997,MATCH(B414,SKUs!$C$6:$C$1997,0)),"")</f>
        <v>UNICO</v>
      </c>
      <c r="I414" s="4" t="str">
        <f>IFERROR(INDEX(SKUs!#REF!,MATCH(B414,SKUs!$C$6:$C$1997,0)),"")</f>
        <v/>
      </c>
      <c r="J414" s="3">
        <f>SUMIFS(SKUs!$I$6:$I$1997,SKUs!$C$6:$C$1997,B414)</f>
        <v>1</v>
      </c>
      <c r="K414" s="4">
        <f t="shared" si="25"/>
        <v>0</v>
      </c>
      <c r="L414" s="3">
        <f>COUNTIF(SKUs!$C$6:$C$1997,B414)</f>
        <v>1</v>
      </c>
      <c r="M414" s="29"/>
      <c r="N414" s="29"/>
      <c r="O414" s="29"/>
      <c r="P414" s="29"/>
      <c r="Q414" s="29"/>
      <c r="R414" s="29"/>
      <c r="S414" s="29"/>
      <c r="T414" s="29"/>
      <c r="U414" s="30">
        <f t="shared" si="26"/>
        <v>0</v>
      </c>
      <c r="V414" s="31">
        <f t="shared" si="27"/>
        <v>1</v>
      </c>
    </row>
    <row r="415" spans="1:22" ht="14.25" hidden="1" customHeight="1" x14ac:dyDescent="0.3">
      <c r="A415" s="32">
        <v>408</v>
      </c>
      <c r="B415" s="26" t="s">
        <v>459</v>
      </c>
      <c r="C415" s="27" t="str">
        <f t="shared" si="24"/>
        <v>—</v>
      </c>
      <c r="D415" s="33" t="str">
        <f>IFERROR(INDEX(SKUs!$E$6:$E$1997,MATCH(B415,SKUs!$C$6:$C$1997,0)),"")</f>
        <v>MATERIAL DE EVENTO</v>
      </c>
      <c r="E415" s="28" t="str">
        <f>IFERROR(VLOOKUP(D415,Configurações!$N$5:$O$46,2,FALSE()),"OUTROS")</f>
        <v>MATERIAL DE EVENTO</v>
      </c>
      <c r="F415" s="33" t="str">
        <f>IFERROR(INDEX(SKUs!$F$6:$F$1997,MATCH(B415,SKUs!$C$6:$C$1997,0)),"")</f>
        <v>ESPELHO</v>
      </c>
      <c r="G415" s="33" t="str">
        <f>IFERROR(INDEX(SKUs!$G$6:$G$1997,MATCH(B415,SKUs!$C$6:$C$1997,0)),"")</f>
        <v>NEUTRO</v>
      </c>
      <c r="H415" s="32" t="str">
        <f>IFERROR(INDEX(SKUs!$H$6:$H$1997,MATCH(B415,SKUs!$C$6:$C$1997,0)),"")</f>
        <v>UNICO</v>
      </c>
      <c r="I415" s="34" t="str">
        <f>IFERROR(INDEX(SKUs!#REF!,MATCH(B415,SKUs!$C$6:$C$1997,0)),"")</f>
        <v/>
      </c>
      <c r="J415" s="35">
        <f>SUMIFS(SKUs!$I$6:$I$1997,SKUs!$C$6:$C$1997,B415)</f>
        <v>1</v>
      </c>
      <c r="K415" s="34">
        <f t="shared" si="25"/>
        <v>0</v>
      </c>
      <c r="L415" s="35">
        <f>COUNTIF(SKUs!$C$6:$C$1997,B415)</f>
        <v>1</v>
      </c>
      <c r="M415" s="29"/>
      <c r="N415" s="29"/>
      <c r="O415" s="29"/>
      <c r="P415" s="29"/>
      <c r="Q415" s="29"/>
      <c r="R415" s="29"/>
      <c r="S415" s="29"/>
      <c r="T415" s="29"/>
      <c r="U415" s="30">
        <f t="shared" si="26"/>
        <v>0</v>
      </c>
      <c r="V415" s="31">
        <f t="shared" si="27"/>
        <v>1</v>
      </c>
    </row>
    <row r="416" spans="1:22" ht="14.25" hidden="1" customHeight="1" x14ac:dyDescent="0.3">
      <c r="A416" s="25">
        <v>409</v>
      </c>
      <c r="B416" s="26" t="s">
        <v>460</v>
      </c>
      <c r="C416" s="27" t="str">
        <f t="shared" si="24"/>
        <v>—</v>
      </c>
      <c r="D416" s="2" t="str">
        <f>IFERROR(INDEX(SKUs!$E$6:$E$1997,MATCH(B416,SKUs!$C$6:$C$1997,0)),"")</f>
        <v>MATERIAL DE EVENTO</v>
      </c>
      <c r="E416" s="28" t="str">
        <f>IFERROR(VLOOKUP(D416,Configurações!$N$5:$O$46,2,FALSE()),"OUTROS")</f>
        <v>MATERIAL DE EVENTO</v>
      </c>
      <c r="F416" s="2" t="str">
        <f>IFERROR(INDEX(SKUs!$F$6:$F$1997,MATCH(B416,SKUs!$C$6:$C$1997,0)),"")</f>
        <v>MOVEIS ILHA COM GAVETAS E NICHOS</v>
      </c>
      <c r="G416" s="2" t="str">
        <f>IFERROR(INDEX(SKUs!$G$6:$G$1997,MATCH(B416,SKUs!$C$6:$C$1997,0)),"")</f>
        <v>BEGE</v>
      </c>
      <c r="H416" s="25" t="str">
        <f>IFERROR(INDEX(SKUs!$H$6:$H$1997,MATCH(B416,SKUs!$C$6:$C$1997,0)),"")</f>
        <v>150X55X95</v>
      </c>
      <c r="I416" s="4" t="str">
        <f>IFERROR(INDEX(SKUs!#REF!,MATCH(B416,SKUs!$C$6:$C$1997,0)),"")</f>
        <v/>
      </c>
      <c r="J416" s="3">
        <f>SUMIFS(SKUs!$I$6:$I$1997,SKUs!$C$6:$C$1997,B416)</f>
        <v>2</v>
      </c>
      <c r="K416" s="4">
        <f t="shared" si="25"/>
        <v>0</v>
      </c>
      <c r="L416" s="3">
        <f>COUNTIF(SKUs!$C$6:$C$1997,B416)</f>
        <v>1</v>
      </c>
      <c r="M416" s="29"/>
      <c r="N416" s="29"/>
      <c r="O416" s="29"/>
      <c r="P416" s="29"/>
      <c r="Q416" s="29"/>
      <c r="R416" s="29"/>
      <c r="S416" s="29"/>
      <c r="T416" s="29"/>
      <c r="U416" s="30">
        <f t="shared" si="26"/>
        <v>0</v>
      </c>
      <c r="V416" s="31">
        <f t="shared" si="27"/>
        <v>2</v>
      </c>
    </row>
    <row r="417" spans="1:22" ht="14.25" hidden="1" customHeight="1" x14ac:dyDescent="0.3">
      <c r="A417" s="32">
        <v>410</v>
      </c>
      <c r="B417" s="26" t="s">
        <v>461</v>
      </c>
      <c r="C417" s="27" t="str">
        <f t="shared" si="24"/>
        <v>—</v>
      </c>
      <c r="D417" s="33" t="str">
        <f>IFERROR(INDEX(SKUs!$E$6:$E$1997,MATCH(B417,SKUs!$C$6:$C$1997,0)),"")</f>
        <v>MATERIAL DE EVENTO</v>
      </c>
      <c r="E417" s="28" t="str">
        <f>IFERROR(VLOOKUP(D417,Configurações!$N$5:$O$46,2,FALSE()),"OUTROS")</f>
        <v>MATERIAL DE EVENTO</v>
      </c>
      <c r="F417" s="33" t="str">
        <f>IFERROR(INDEX(SKUs!$F$6:$F$1997,MATCH(B417,SKUs!$C$6:$C$1997,0)),"")</f>
        <v>ESTANTE BIKE</v>
      </c>
      <c r="G417" s="33" t="str">
        <f>IFERROR(INDEX(SKUs!$G$6:$G$1997,MATCH(B417,SKUs!$C$6:$C$1997,0)),"")</f>
        <v>BEGE</v>
      </c>
      <c r="H417" s="32" t="str">
        <f>IFERROR(INDEX(SKUs!$H$6:$H$1997,MATCH(B417,SKUs!$C$6:$C$1997,0)),"")</f>
        <v>90X30X190</v>
      </c>
      <c r="I417" s="34" t="str">
        <f>IFERROR(INDEX(SKUs!#REF!,MATCH(B417,SKUs!$C$6:$C$1997,0)),"")</f>
        <v/>
      </c>
      <c r="J417" s="35">
        <f>SUMIFS(SKUs!$I$6:$I$1997,SKUs!$C$6:$C$1997,B417)</f>
        <v>2</v>
      </c>
      <c r="K417" s="34">
        <f t="shared" si="25"/>
        <v>0</v>
      </c>
      <c r="L417" s="35">
        <f>COUNTIF(SKUs!$C$6:$C$1997,B417)</f>
        <v>1</v>
      </c>
      <c r="M417" s="29"/>
      <c r="N417" s="29"/>
      <c r="O417" s="29"/>
      <c r="P417" s="29"/>
      <c r="Q417" s="29"/>
      <c r="R417" s="29"/>
      <c r="S417" s="29"/>
      <c r="T417" s="29"/>
      <c r="U417" s="30">
        <f t="shared" si="26"/>
        <v>0</v>
      </c>
      <c r="V417" s="31">
        <f t="shared" si="27"/>
        <v>2</v>
      </c>
    </row>
    <row r="418" spans="1:22" ht="14.25" hidden="1" customHeight="1" x14ac:dyDescent="0.3">
      <c r="A418" s="25">
        <v>411</v>
      </c>
      <c r="B418" s="26" t="s">
        <v>462</v>
      </c>
      <c r="C418" s="27" t="str">
        <f t="shared" si="24"/>
        <v>—</v>
      </c>
      <c r="D418" s="2" t="str">
        <f>IFERROR(INDEX(SKUs!$E$6:$E$1997,MATCH(B418,SKUs!$C$6:$C$1997,0)),"")</f>
        <v>MATERIAL DE EVENTO</v>
      </c>
      <c r="E418" s="28" t="str">
        <f>IFERROR(VLOOKUP(D418,Configurações!$N$5:$O$46,2,FALSE()),"OUTROS")</f>
        <v>MATERIAL DE EVENTO</v>
      </c>
      <c r="F418" s="2" t="str">
        <f>IFERROR(INDEX(SKUs!$F$6:$F$1997,MATCH(B418,SKUs!$C$6:$C$1997,0)),"")</f>
        <v>ESTANTE NOVA ARAMADA (SEM GAVETAS)</v>
      </c>
      <c r="G418" s="2" t="str">
        <f>IFERROR(INDEX(SKUs!$G$6:$G$1997,MATCH(B418,SKUs!$C$6:$C$1997,0)),"")</f>
        <v>PRETA</v>
      </c>
      <c r="H418" s="25" t="str">
        <f>IFERROR(INDEX(SKUs!$H$6:$H$1997,MATCH(B418,SKUs!$C$6:$C$1997,0)),"")</f>
        <v>122X55X198</v>
      </c>
      <c r="I418" s="4" t="str">
        <f>IFERROR(INDEX(SKUs!#REF!,MATCH(B418,SKUs!$C$6:$C$1997,0)),"")</f>
        <v/>
      </c>
      <c r="J418" s="3">
        <f>SUMIFS(SKUs!$I$6:$I$1997,SKUs!$C$6:$C$1997,B418)</f>
        <v>2</v>
      </c>
      <c r="K418" s="4">
        <f t="shared" si="25"/>
        <v>0</v>
      </c>
      <c r="L418" s="3">
        <f>COUNTIF(SKUs!$C$6:$C$1997,B418)</f>
        <v>1</v>
      </c>
      <c r="M418" s="29"/>
      <c r="N418" s="29"/>
      <c r="O418" s="29"/>
      <c r="P418" s="29"/>
      <c r="Q418" s="29"/>
      <c r="R418" s="29"/>
      <c r="S418" s="29"/>
      <c r="T418" s="29"/>
      <c r="U418" s="30">
        <f t="shared" si="26"/>
        <v>0</v>
      </c>
      <c r="V418" s="31">
        <f t="shared" si="27"/>
        <v>2</v>
      </c>
    </row>
    <row r="419" spans="1:22" ht="14.25" hidden="1" customHeight="1" x14ac:dyDescent="0.3">
      <c r="A419" s="32">
        <v>412</v>
      </c>
      <c r="B419" s="26" t="s">
        <v>463</v>
      </c>
      <c r="C419" s="27" t="str">
        <f t="shared" si="24"/>
        <v>—</v>
      </c>
      <c r="D419" s="33" t="str">
        <f>IFERROR(INDEX(SKUs!$E$6:$E$1997,MATCH(B419,SKUs!$C$6:$C$1997,0)),"")</f>
        <v>MATERIAL DE EVENTO</v>
      </c>
      <c r="E419" s="28" t="str">
        <f>IFERROR(VLOOKUP(D419,Configurações!$N$5:$O$46,2,FALSE()),"OUTROS")</f>
        <v>MATERIAL DE EVENTO</v>
      </c>
      <c r="F419" s="33" t="str">
        <f>IFERROR(INDEX(SKUs!$F$6:$F$1997,MATCH(B419,SKUs!$C$6:$C$1997,0)),"")</f>
        <v>GAVETÕES DAS ESTANTES ARAMADAS</v>
      </c>
      <c r="G419" s="33" t="str">
        <f>IFERROR(INDEX(SKUs!$G$6:$G$1997,MATCH(B419,SKUs!$C$6:$C$1997,0)),"")</f>
        <v>BEGE</v>
      </c>
      <c r="H419" s="32" t="str">
        <f>IFERROR(INDEX(SKUs!$H$6:$H$1997,MATCH(B419,SKUs!$C$6:$C$1997,0)),"")</f>
        <v>122X55X30</v>
      </c>
      <c r="I419" s="34" t="str">
        <f>IFERROR(INDEX(SKUs!#REF!,MATCH(B419,SKUs!$C$6:$C$1997,0)),"")</f>
        <v/>
      </c>
      <c r="J419" s="35">
        <f>SUMIFS(SKUs!$I$6:$I$1997,SKUs!$C$6:$C$1997,B419)</f>
        <v>4</v>
      </c>
      <c r="K419" s="34">
        <f t="shared" si="25"/>
        <v>0</v>
      </c>
      <c r="L419" s="35">
        <f>COUNTIF(SKUs!$C$6:$C$1997,B419)</f>
        <v>2</v>
      </c>
      <c r="M419" s="29"/>
      <c r="N419" s="29"/>
      <c r="O419" s="29"/>
      <c r="P419" s="29"/>
      <c r="Q419" s="29"/>
      <c r="R419" s="29"/>
      <c r="S419" s="29"/>
      <c r="T419" s="29"/>
      <c r="U419" s="30">
        <f t="shared" si="26"/>
        <v>0</v>
      </c>
      <c r="V419" s="31">
        <f t="shared" si="27"/>
        <v>4</v>
      </c>
    </row>
    <row r="420" spans="1:22" ht="14.25" hidden="1" customHeight="1" x14ac:dyDescent="0.3">
      <c r="A420" s="25">
        <v>413</v>
      </c>
      <c r="B420" s="26" t="s">
        <v>464</v>
      </c>
      <c r="C420" s="27" t="str">
        <f t="shared" si="24"/>
        <v>—</v>
      </c>
      <c r="D420" s="2" t="str">
        <f>IFERROR(INDEX(SKUs!$E$6:$E$1997,MATCH(B420,SKUs!$C$6:$C$1997,0)),"")</f>
        <v>MATERIAL DE EVENTO</v>
      </c>
      <c r="E420" s="28" t="str">
        <f>IFERROR(VLOOKUP(D420,Configurações!$N$5:$O$46,2,FALSE()),"OUTROS")</f>
        <v>MATERIAL DE EVENTO</v>
      </c>
      <c r="F420" s="2" t="str">
        <f>IFERROR(INDEX(SKUs!$F$6:$F$1997,MATCH(B420,SKUs!$C$6:$C$1997,0)),"")</f>
        <v>MOVEIS AZUIS COM PORTAS DE ABRIR</v>
      </c>
      <c r="G420" s="2" t="str">
        <f>IFERROR(INDEX(SKUs!$G$6:$G$1997,MATCH(B420,SKUs!$C$6:$C$1997,0)),"")</f>
        <v>AZUL</v>
      </c>
      <c r="H420" s="25" t="str">
        <f>IFERROR(INDEX(SKUs!$H$6:$H$1997,MATCH(B420,SKUs!$C$6:$C$1997,0)),"")</f>
        <v>REDONDO</v>
      </c>
      <c r="I420" s="4" t="str">
        <f>IFERROR(INDEX(SKUs!#REF!,MATCH(B420,SKUs!$C$6:$C$1997,0)),"")</f>
        <v/>
      </c>
      <c r="J420" s="3">
        <f>SUMIFS(SKUs!$I$6:$I$1997,SKUs!$C$6:$C$1997,B420)</f>
        <v>1</v>
      </c>
      <c r="K420" s="4">
        <f t="shared" si="25"/>
        <v>0</v>
      </c>
      <c r="L420" s="3">
        <f>COUNTIF(SKUs!$C$6:$C$1997,B420)</f>
        <v>1</v>
      </c>
      <c r="M420" s="29"/>
      <c r="N420" s="29"/>
      <c r="O420" s="29"/>
      <c r="P420" s="29"/>
      <c r="Q420" s="29"/>
      <c r="R420" s="29"/>
      <c r="S420" s="29"/>
      <c r="T420" s="29"/>
      <c r="U420" s="30">
        <f t="shared" si="26"/>
        <v>0</v>
      </c>
      <c r="V420" s="31">
        <f t="shared" si="27"/>
        <v>1</v>
      </c>
    </row>
    <row r="421" spans="1:22" ht="14.25" hidden="1" customHeight="1" x14ac:dyDescent="0.3">
      <c r="A421" s="32">
        <v>414</v>
      </c>
      <c r="B421" s="26" t="s">
        <v>465</v>
      </c>
      <c r="C421" s="27" t="str">
        <f t="shared" si="24"/>
        <v>Feminino</v>
      </c>
      <c r="D421" s="33" t="str">
        <f>IFERROR(INDEX(SKUs!$E$6:$E$1997,MATCH(B421,SKUs!$C$6:$C$1997,0)),"")</f>
        <v>POLO</v>
      </c>
      <c r="E421" s="28" t="str">
        <f>IFERROR(VLOOKUP(D421,Configurações!$N$5:$O$46,2,FALSE()),"OUTROS")</f>
        <v>VESTUÁRIO</v>
      </c>
      <c r="F421" s="33" t="str">
        <f>IFERROR(INDEX(SKUs!$F$6:$F$1997,MATCH(B421,SKUs!$C$6:$C$1997,0)),"")</f>
        <v>POLO PIQUET PAN FEM.</v>
      </c>
      <c r="G421" s="33" t="str">
        <f>IFERROR(INDEX(SKUs!$G$6:$G$1997,MATCH(B421,SKUs!$C$6:$C$1997,0)),"")</f>
        <v>ROSA</v>
      </c>
      <c r="H421" s="32" t="str">
        <f>IFERROR(INDEX(SKUs!$H$6:$H$1997,MATCH(B421,SKUs!$C$6:$C$1997,0)),"")</f>
        <v>M</v>
      </c>
      <c r="I421" s="34" t="str">
        <f>IFERROR(INDEX(SKUs!#REF!,MATCH(B421,SKUs!$C$6:$C$1997,0)),"")</f>
        <v/>
      </c>
      <c r="J421" s="35">
        <f>SUMIFS(SKUs!$I$6:$I$1997,SKUs!$C$6:$C$1997,B421)</f>
        <v>55</v>
      </c>
      <c r="K421" s="34">
        <f t="shared" si="25"/>
        <v>0</v>
      </c>
      <c r="L421" s="35">
        <f>COUNTIF(SKUs!$C$6:$C$1997,B421)</f>
        <v>1</v>
      </c>
      <c r="M421" s="29"/>
      <c r="N421" s="29"/>
      <c r="O421" s="29"/>
      <c r="P421" s="29"/>
      <c r="Q421" s="29"/>
      <c r="R421" s="29"/>
      <c r="S421" s="29"/>
      <c r="T421" s="29"/>
      <c r="U421" s="30">
        <f t="shared" si="26"/>
        <v>0</v>
      </c>
      <c r="V421" s="31">
        <f t="shared" si="27"/>
        <v>55</v>
      </c>
    </row>
    <row r="422" spans="1:22" ht="14.25" hidden="1" customHeight="1" x14ac:dyDescent="0.3">
      <c r="A422" s="25">
        <v>415</v>
      </c>
      <c r="B422" s="26" t="s">
        <v>466</v>
      </c>
      <c r="C422" s="27" t="str">
        <f t="shared" si="24"/>
        <v>Feminino</v>
      </c>
      <c r="D422" s="2" t="str">
        <f>IFERROR(INDEX(SKUs!$E$6:$E$1997,MATCH(B422,SKUs!$C$6:$C$1997,0)),"")</f>
        <v>POLO</v>
      </c>
      <c r="E422" s="28" t="str">
        <f>IFERROR(VLOOKUP(D422,Configurações!$N$5:$O$46,2,FALSE()),"OUTROS")</f>
        <v>VESTUÁRIO</v>
      </c>
      <c r="F422" s="2" t="str">
        <f>IFERROR(INDEX(SKUs!$F$6:$F$1997,MATCH(B422,SKUs!$C$6:$C$1997,0)),"")</f>
        <v>POLO PIQUET PAN FEM.</v>
      </c>
      <c r="G422" s="2" t="str">
        <f>IFERROR(INDEX(SKUs!$G$6:$G$1997,MATCH(B422,SKUs!$C$6:$C$1997,0)),"")</f>
        <v>ROSA</v>
      </c>
      <c r="H422" s="25" t="str">
        <f>IFERROR(INDEX(SKUs!$H$6:$H$1997,MATCH(B422,SKUs!$C$6:$C$1997,0)),"")</f>
        <v>G</v>
      </c>
      <c r="I422" s="4" t="str">
        <f>IFERROR(INDEX(SKUs!#REF!,MATCH(B422,SKUs!$C$6:$C$1997,0)),"")</f>
        <v/>
      </c>
      <c r="J422" s="3">
        <f>SUMIFS(SKUs!$I$6:$I$1997,SKUs!$C$6:$C$1997,B422)</f>
        <v>63</v>
      </c>
      <c r="K422" s="4">
        <f t="shared" si="25"/>
        <v>0</v>
      </c>
      <c r="L422" s="3">
        <f>COUNTIF(SKUs!$C$6:$C$1997,B422)</f>
        <v>3</v>
      </c>
      <c r="M422" s="29"/>
      <c r="N422" s="29"/>
      <c r="O422" s="29"/>
      <c r="P422" s="29"/>
      <c r="Q422" s="29"/>
      <c r="R422" s="29"/>
      <c r="S422" s="29"/>
      <c r="T422" s="29"/>
      <c r="U422" s="30">
        <f t="shared" si="26"/>
        <v>0</v>
      </c>
      <c r="V422" s="31">
        <f t="shared" si="27"/>
        <v>63</v>
      </c>
    </row>
    <row r="423" spans="1:22" ht="14.25" hidden="1" customHeight="1" x14ac:dyDescent="0.3">
      <c r="A423" s="32">
        <v>416</v>
      </c>
      <c r="B423" s="26" t="s">
        <v>467</v>
      </c>
      <c r="C423" s="27" t="str">
        <f t="shared" si="24"/>
        <v>Feminino</v>
      </c>
      <c r="D423" s="33" t="str">
        <f>IFERROR(INDEX(SKUs!$E$6:$E$1997,MATCH(B423,SKUs!$C$6:$C$1997,0)),"")</f>
        <v>POLO</v>
      </c>
      <c r="E423" s="28" t="str">
        <f>IFERROR(VLOOKUP(D423,Configurações!$N$5:$O$46,2,FALSE()),"OUTROS")</f>
        <v>VESTUÁRIO</v>
      </c>
      <c r="F423" s="33" t="str">
        <f>IFERROR(INDEX(SKUs!$F$6:$F$1997,MATCH(B423,SKUs!$C$6:$C$1997,0)),"")</f>
        <v>POLO PIQUET PAN FEM.</v>
      </c>
      <c r="G423" s="33" t="str">
        <f>IFERROR(INDEX(SKUs!$G$6:$G$1997,MATCH(B423,SKUs!$C$6:$C$1997,0)),"")</f>
        <v>ROSA</v>
      </c>
      <c r="H423" s="32" t="str">
        <f>IFERROR(INDEX(SKUs!$H$6:$H$1997,MATCH(B423,SKUs!$C$6:$C$1997,0)),"")</f>
        <v>GG</v>
      </c>
      <c r="I423" s="34" t="str">
        <f>IFERROR(INDEX(SKUs!#REF!,MATCH(B423,SKUs!$C$6:$C$1997,0)),"")</f>
        <v/>
      </c>
      <c r="J423" s="35">
        <f>SUMIFS(SKUs!$I$6:$I$1997,SKUs!$C$6:$C$1997,B423)</f>
        <v>15</v>
      </c>
      <c r="K423" s="34">
        <f t="shared" si="25"/>
        <v>0</v>
      </c>
      <c r="L423" s="35">
        <f>COUNTIF(SKUs!$C$6:$C$1997,B423)</f>
        <v>1</v>
      </c>
      <c r="M423" s="29"/>
      <c r="N423" s="29"/>
      <c r="O423" s="29"/>
      <c r="P423" s="29"/>
      <c r="Q423" s="29"/>
      <c r="R423" s="29"/>
      <c r="S423" s="29"/>
      <c r="T423" s="29"/>
      <c r="U423" s="30">
        <f t="shared" si="26"/>
        <v>0</v>
      </c>
      <c r="V423" s="31">
        <f t="shared" si="27"/>
        <v>15</v>
      </c>
    </row>
    <row r="424" spans="1:22" ht="14.25" hidden="1" customHeight="1" x14ac:dyDescent="0.3">
      <c r="A424" s="25">
        <v>417</v>
      </c>
      <c r="B424" s="26" t="s">
        <v>468</v>
      </c>
      <c r="C424" s="27" t="str">
        <f t="shared" si="24"/>
        <v>Feminino</v>
      </c>
      <c r="D424" s="2" t="str">
        <f>IFERROR(INDEX(SKUs!$E$6:$E$1997,MATCH(B424,SKUs!$C$6:$C$1997,0)),"")</f>
        <v>POLO</v>
      </c>
      <c r="E424" s="28" t="str">
        <f>IFERROR(VLOOKUP(D424,Configurações!$N$5:$O$46,2,FALSE()),"OUTROS")</f>
        <v>VESTUÁRIO</v>
      </c>
      <c r="F424" s="2" t="str">
        <f>IFERROR(INDEX(SKUs!$F$6:$F$1997,MATCH(B424,SKUs!$C$6:$C$1997,0)),"")</f>
        <v>POLO PIQUET PAN FEM.</v>
      </c>
      <c r="G424" s="2" t="str">
        <f>IFERROR(INDEX(SKUs!$G$6:$G$1997,MATCH(B424,SKUs!$C$6:$C$1997,0)),"")</f>
        <v>ROSA</v>
      </c>
      <c r="H424" s="25" t="str">
        <f>IFERROR(INDEX(SKUs!$H$6:$H$1997,MATCH(B424,SKUs!$C$6:$C$1997,0)),"")</f>
        <v>XG</v>
      </c>
      <c r="I424" s="4" t="str">
        <f>IFERROR(INDEX(SKUs!#REF!,MATCH(B424,SKUs!$C$6:$C$1997,0)),"")</f>
        <v/>
      </c>
      <c r="J424" s="3">
        <f>SUMIFS(SKUs!$I$6:$I$1997,SKUs!$C$6:$C$1997,B424)</f>
        <v>18</v>
      </c>
      <c r="K424" s="4">
        <f t="shared" si="25"/>
        <v>0</v>
      </c>
      <c r="L424" s="3">
        <f>COUNTIF(SKUs!$C$6:$C$1997,B424)</f>
        <v>1</v>
      </c>
      <c r="M424" s="29"/>
      <c r="N424" s="29"/>
      <c r="O424" s="29"/>
      <c r="P424" s="29"/>
      <c r="Q424" s="29"/>
      <c r="R424" s="29"/>
      <c r="S424" s="29"/>
      <c r="T424" s="29"/>
      <c r="U424" s="30">
        <f t="shared" si="26"/>
        <v>0</v>
      </c>
      <c r="V424" s="31">
        <f t="shared" si="27"/>
        <v>18</v>
      </c>
    </row>
    <row r="425" spans="1:22" ht="14.25" hidden="1" customHeight="1" x14ac:dyDescent="0.3">
      <c r="A425" s="32">
        <v>418</v>
      </c>
      <c r="B425" s="26" t="s">
        <v>469</v>
      </c>
      <c r="C425" s="27" t="str">
        <f t="shared" si="24"/>
        <v>Masculino</v>
      </c>
      <c r="D425" s="33" t="str">
        <f>IFERROR(INDEX(SKUs!$E$6:$E$1997,MATCH(B425,SKUs!$C$6:$C$1997,0)),"")</f>
        <v>POLO</v>
      </c>
      <c r="E425" s="28" t="str">
        <f>IFERROR(VLOOKUP(D425,Configurações!$N$5:$O$46,2,FALSE()),"OUTROS")</f>
        <v>VESTUÁRIO</v>
      </c>
      <c r="F425" s="33" t="str">
        <f>IFERROR(INDEX(SKUs!$F$6:$F$1997,MATCH(B425,SKUs!$C$6:$C$1997,0)),"")</f>
        <v>POLO PIQUET PAN MASC.</v>
      </c>
      <c r="G425" s="33" t="str">
        <f>IFERROR(INDEX(SKUs!$G$6:$G$1997,MATCH(B425,SKUs!$C$6:$C$1997,0)),"")</f>
        <v>ROSA</v>
      </c>
      <c r="H425" s="32" t="str">
        <f>IFERROR(INDEX(SKUs!$H$6:$H$1997,MATCH(B425,SKUs!$C$6:$C$1997,0)),"")</f>
        <v>GG</v>
      </c>
      <c r="I425" s="34" t="str">
        <f>IFERROR(INDEX(SKUs!#REF!,MATCH(B425,SKUs!$C$6:$C$1997,0)),"")</f>
        <v/>
      </c>
      <c r="J425" s="35">
        <f>SUMIFS(SKUs!$I$6:$I$1997,SKUs!$C$6:$C$1997,B425)</f>
        <v>22</v>
      </c>
      <c r="K425" s="34">
        <f t="shared" si="25"/>
        <v>0</v>
      </c>
      <c r="L425" s="35">
        <f>COUNTIF(SKUs!$C$6:$C$1997,B425)</f>
        <v>1</v>
      </c>
      <c r="M425" s="29"/>
      <c r="N425" s="29"/>
      <c r="O425" s="29"/>
      <c r="P425" s="29"/>
      <c r="Q425" s="29"/>
      <c r="R425" s="29"/>
      <c r="S425" s="29"/>
      <c r="T425" s="29"/>
      <c r="U425" s="30">
        <f t="shared" si="26"/>
        <v>0</v>
      </c>
      <c r="V425" s="31">
        <f t="shared" si="27"/>
        <v>22</v>
      </c>
    </row>
    <row r="426" spans="1:22" ht="14.25" hidden="1" customHeight="1" x14ac:dyDescent="0.3">
      <c r="A426" s="25">
        <v>419</v>
      </c>
      <c r="B426" s="26" t="s">
        <v>470</v>
      </c>
      <c r="C426" s="27" t="str">
        <f t="shared" si="24"/>
        <v>Masculino</v>
      </c>
      <c r="D426" s="2" t="str">
        <f>IFERROR(INDEX(SKUs!$E$6:$E$1997,MATCH(B426,SKUs!$C$6:$C$1997,0)),"")</f>
        <v>POLO</v>
      </c>
      <c r="E426" s="28" t="str">
        <f>IFERROR(VLOOKUP(D426,Configurações!$N$5:$O$46,2,FALSE()),"OUTROS")</f>
        <v>VESTUÁRIO</v>
      </c>
      <c r="F426" s="2" t="str">
        <f>IFERROR(INDEX(SKUs!$F$6:$F$1997,MATCH(B426,SKUs!$C$6:$C$1997,0)),"")</f>
        <v>POLO PIQUET PAN MASC.</v>
      </c>
      <c r="G426" s="2" t="str">
        <f>IFERROR(INDEX(SKUs!$G$6:$G$1997,MATCH(B426,SKUs!$C$6:$C$1997,0)),"")</f>
        <v>ROSA</v>
      </c>
      <c r="H426" s="25" t="str">
        <f>IFERROR(INDEX(SKUs!$H$6:$H$1997,MATCH(B426,SKUs!$C$6:$C$1997,0)),"")</f>
        <v>XG</v>
      </c>
      <c r="I426" s="4" t="str">
        <f>IFERROR(INDEX(SKUs!#REF!,MATCH(B426,SKUs!$C$6:$C$1997,0)),"")</f>
        <v/>
      </c>
      <c r="J426" s="3">
        <f>SUMIFS(SKUs!$I$6:$I$1997,SKUs!$C$6:$C$1997,B426)</f>
        <v>18</v>
      </c>
      <c r="K426" s="4">
        <f t="shared" si="25"/>
        <v>0</v>
      </c>
      <c r="L426" s="3">
        <f>COUNTIF(SKUs!$C$6:$C$1997,B426)</f>
        <v>1</v>
      </c>
      <c r="M426" s="29"/>
      <c r="N426" s="29"/>
      <c r="O426" s="29"/>
      <c r="P426" s="29"/>
      <c r="Q426" s="29"/>
      <c r="R426" s="29"/>
      <c r="S426" s="29"/>
      <c r="T426" s="29"/>
      <c r="U426" s="30">
        <f t="shared" si="26"/>
        <v>0</v>
      </c>
      <c r="V426" s="31">
        <f t="shared" si="27"/>
        <v>18</v>
      </c>
    </row>
    <row r="427" spans="1:22" ht="14.25" hidden="1" customHeight="1" x14ac:dyDescent="0.3">
      <c r="A427" s="32">
        <v>420</v>
      </c>
      <c r="B427" s="26" t="s">
        <v>471</v>
      </c>
      <c r="C427" s="27" t="str">
        <f t="shared" si="24"/>
        <v>Feminino</v>
      </c>
      <c r="D427" s="33" t="str">
        <f>IFERROR(INDEX(SKUs!$E$6:$E$1997,MATCH(B427,SKUs!$C$6:$C$1997,0)),"")</f>
        <v>POLO</v>
      </c>
      <c r="E427" s="28" t="str">
        <f>IFERROR(VLOOKUP(D427,Configurações!$N$5:$O$46,2,FALSE()),"OUTROS")</f>
        <v>VESTUÁRIO</v>
      </c>
      <c r="F427" s="33" t="str">
        <f>IFERROR(INDEX(SKUs!$F$6:$F$1997,MATCH(B427,SKUs!$C$6:$C$1997,0)),"")</f>
        <v>POLO PIQUET PAN FEM.</v>
      </c>
      <c r="G427" s="33" t="str">
        <f>IFERROR(INDEX(SKUs!$G$6:$G$1997,MATCH(B427,SKUs!$C$6:$C$1997,0)),"")</f>
        <v>CINZA</v>
      </c>
      <c r="H427" s="32" t="str">
        <f>IFERROR(INDEX(SKUs!$H$6:$H$1997,MATCH(B427,SKUs!$C$6:$C$1997,0)),"")</f>
        <v>PP</v>
      </c>
      <c r="I427" s="34" t="str">
        <f>IFERROR(INDEX(SKUs!#REF!,MATCH(B427,SKUs!$C$6:$C$1997,0)),"")</f>
        <v/>
      </c>
      <c r="J427" s="35">
        <f>SUMIFS(SKUs!$I$6:$I$1997,SKUs!$C$6:$C$1997,B427)</f>
        <v>25</v>
      </c>
      <c r="K427" s="34">
        <f t="shared" si="25"/>
        <v>0</v>
      </c>
      <c r="L427" s="35">
        <f>COUNTIF(SKUs!$C$6:$C$1997,B427)</f>
        <v>2</v>
      </c>
      <c r="M427" s="29"/>
      <c r="N427" s="29"/>
      <c r="O427" s="29"/>
      <c r="P427" s="29"/>
      <c r="Q427" s="29"/>
      <c r="R427" s="29"/>
      <c r="S427" s="29"/>
      <c r="T427" s="29"/>
      <c r="U427" s="30">
        <f t="shared" si="26"/>
        <v>0</v>
      </c>
      <c r="V427" s="31">
        <f t="shared" si="27"/>
        <v>25</v>
      </c>
    </row>
    <row r="428" spans="1:22" ht="14.25" hidden="1" customHeight="1" x14ac:dyDescent="0.3">
      <c r="A428" s="25">
        <v>421</v>
      </c>
      <c r="B428" s="26" t="s">
        <v>472</v>
      </c>
      <c r="C428" s="27" t="str">
        <f t="shared" si="24"/>
        <v>Feminino</v>
      </c>
      <c r="D428" s="2" t="str">
        <f>IFERROR(INDEX(SKUs!$E$6:$E$1997,MATCH(B428,SKUs!$C$6:$C$1997,0)),"")</f>
        <v>POLO</v>
      </c>
      <c r="E428" s="28" t="str">
        <f>IFERROR(VLOOKUP(D428,Configurações!$N$5:$O$46,2,FALSE()),"OUTROS")</f>
        <v>VESTUÁRIO</v>
      </c>
      <c r="F428" s="2" t="str">
        <f>IFERROR(INDEX(SKUs!$F$6:$F$1997,MATCH(B428,SKUs!$C$6:$C$1997,0)),"")</f>
        <v>POLO PIQUET PAN FEM.</v>
      </c>
      <c r="G428" s="2" t="str">
        <f>IFERROR(INDEX(SKUs!$G$6:$G$1997,MATCH(B428,SKUs!$C$6:$C$1997,0)),"")</f>
        <v>CINZA</v>
      </c>
      <c r="H428" s="25" t="str">
        <f>IFERROR(INDEX(SKUs!$H$6:$H$1997,MATCH(B428,SKUs!$C$6:$C$1997,0)),"")</f>
        <v>M</v>
      </c>
      <c r="I428" s="4" t="str">
        <f>IFERROR(INDEX(SKUs!#REF!,MATCH(B428,SKUs!$C$6:$C$1997,0)),"")</f>
        <v/>
      </c>
      <c r="J428" s="3">
        <f>SUMIFS(SKUs!$I$6:$I$1997,SKUs!$C$6:$C$1997,B428)</f>
        <v>26</v>
      </c>
      <c r="K428" s="4">
        <f t="shared" si="25"/>
        <v>0</v>
      </c>
      <c r="L428" s="3">
        <f>COUNTIF(SKUs!$C$6:$C$1997,B428)</f>
        <v>1</v>
      </c>
      <c r="M428" s="29"/>
      <c r="N428" s="29"/>
      <c r="O428" s="29"/>
      <c r="P428" s="29"/>
      <c r="Q428" s="29"/>
      <c r="R428" s="29"/>
      <c r="S428" s="29"/>
      <c r="T428" s="29"/>
      <c r="U428" s="30">
        <f t="shared" si="26"/>
        <v>0</v>
      </c>
      <c r="V428" s="31">
        <f t="shared" si="27"/>
        <v>26</v>
      </c>
    </row>
    <row r="429" spans="1:22" ht="14.25" hidden="1" customHeight="1" x14ac:dyDescent="0.3">
      <c r="A429" s="32">
        <v>422</v>
      </c>
      <c r="B429" s="26" t="s">
        <v>473</v>
      </c>
      <c r="C429" s="27" t="str">
        <f t="shared" si="24"/>
        <v>Feminino</v>
      </c>
      <c r="D429" s="33" t="str">
        <f>IFERROR(INDEX(SKUs!$E$6:$E$1997,MATCH(B429,SKUs!$C$6:$C$1997,0)),"")</f>
        <v>POLO</v>
      </c>
      <c r="E429" s="28" t="str">
        <f>IFERROR(VLOOKUP(D429,Configurações!$N$5:$O$46,2,FALSE()),"OUTROS")</f>
        <v>VESTUÁRIO</v>
      </c>
      <c r="F429" s="33" t="str">
        <f>IFERROR(INDEX(SKUs!$F$6:$F$1997,MATCH(B429,SKUs!$C$6:$C$1997,0)),"")</f>
        <v>POLO PIQUET PAN FEM.</v>
      </c>
      <c r="G429" s="33" t="str">
        <f>IFERROR(INDEX(SKUs!$G$6:$G$1997,MATCH(B429,SKUs!$C$6:$C$1997,0)),"")</f>
        <v>CINZA</v>
      </c>
      <c r="H429" s="32" t="str">
        <f>IFERROR(INDEX(SKUs!$H$6:$H$1997,MATCH(B429,SKUs!$C$6:$C$1997,0)),"")</f>
        <v>G</v>
      </c>
      <c r="I429" s="34" t="str">
        <f>IFERROR(INDEX(SKUs!#REF!,MATCH(B429,SKUs!$C$6:$C$1997,0)),"")</f>
        <v/>
      </c>
      <c r="J429" s="35">
        <f>SUMIFS(SKUs!$I$6:$I$1997,SKUs!$C$6:$C$1997,B429)</f>
        <v>7</v>
      </c>
      <c r="K429" s="34">
        <f t="shared" si="25"/>
        <v>0</v>
      </c>
      <c r="L429" s="35">
        <f>COUNTIF(SKUs!$C$6:$C$1997,B429)</f>
        <v>1</v>
      </c>
      <c r="M429" s="29"/>
      <c r="N429" s="29"/>
      <c r="O429" s="29"/>
      <c r="P429" s="29"/>
      <c r="Q429" s="29"/>
      <c r="R429" s="29"/>
      <c r="S429" s="29"/>
      <c r="T429" s="29"/>
      <c r="U429" s="30">
        <f t="shared" si="26"/>
        <v>0</v>
      </c>
      <c r="V429" s="31">
        <f t="shared" si="27"/>
        <v>7</v>
      </c>
    </row>
    <row r="430" spans="1:22" ht="14.25" hidden="1" customHeight="1" x14ac:dyDescent="0.3">
      <c r="A430" s="25">
        <v>423</v>
      </c>
      <c r="B430" s="26" t="s">
        <v>474</v>
      </c>
      <c r="C430" s="27" t="str">
        <f t="shared" si="24"/>
        <v>Feminino</v>
      </c>
      <c r="D430" s="2" t="str">
        <f>IFERROR(INDEX(SKUs!$E$6:$E$1997,MATCH(B430,SKUs!$C$6:$C$1997,0)),"")</f>
        <v>POLO</v>
      </c>
      <c r="E430" s="28" t="str">
        <f>IFERROR(VLOOKUP(D430,Configurações!$N$5:$O$46,2,FALSE()),"OUTROS")</f>
        <v>VESTUÁRIO</v>
      </c>
      <c r="F430" s="2" t="str">
        <f>IFERROR(INDEX(SKUs!$F$6:$F$1997,MATCH(B430,SKUs!$C$6:$C$1997,0)),"")</f>
        <v>POLO PIQUET PAN FEM.</v>
      </c>
      <c r="G430" s="2" t="str">
        <f>IFERROR(INDEX(SKUs!$G$6:$G$1997,MATCH(B430,SKUs!$C$6:$C$1997,0)),"")</f>
        <v>CINZA</v>
      </c>
      <c r="H430" s="25" t="str">
        <f>IFERROR(INDEX(SKUs!$H$6:$H$1997,MATCH(B430,SKUs!$C$6:$C$1997,0)),"")</f>
        <v>GG</v>
      </c>
      <c r="I430" s="4" t="str">
        <f>IFERROR(INDEX(SKUs!#REF!,MATCH(B430,SKUs!$C$6:$C$1997,0)),"")</f>
        <v/>
      </c>
      <c r="J430" s="3">
        <f>SUMIFS(SKUs!$I$6:$I$1997,SKUs!$C$6:$C$1997,B430)</f>
        <v>34</v>
      </c>
      <c r="K430" s="4">
        <f t="shared" si="25"/>
        <v>0</v>
      </c>
      <c r="L430" s="3">
        <f>COUNTIF(SKUs!$C$6:$C$1997,B430)</f>
        <v>1</v>
      </c>
      <c r="M430" s="29"/>
      <c r="N430" s="29"/>
      <c r="O430" s="29"/>
      <c r="P430" s="29"/>
      <c r="Q430" s="29"/>
      <c r="R430" s="29"/>
      <c r="S430" s="29"/>
      <c r="T430" s="29"/>
      <c r="U430" s="30">
        <f t="shared" si="26"/>
        <v>0</v>
      </c>
      <c r="V430" s="31">
        <f t="shared" si="27"/>
        <v>34</v>
      </c>
    </row>
    <row r="431" spans="1:22" ht="14.25" hidden="1" customHeight="1" x14ac:dyDescent="0.3">
      <c r="A431" s="32">
        <v>424</v>
      </c>
      <c r="B431" s="26" t="s">
        <v>475</v>
      </c>
      <c r="C431" s="27" t="str">
        <f t="shared" si="24"/>
        <v>Masculino</v>
      </c>
      <c r="D431" s="33" t="str">
        <f>IFERROR(INDEX(SKUs!$E$6:$E$1997,MATCH(B431,SKUs!$C$6:$C$1997,0)),"")</f>
        <v>POLO</v>
      </c>
      <c r="E431" s="28" t="str">
        <f>IFERROR(VLOOKUP(D431,Configurações!$N$5:$O$46,2,FALSE()),"OUTROS")</f>
        <v>VESTUÁRIO</v>
      </c>
      <c r="F431" s="33" t="str">
        <f>IFERROR(INDEX(SKUs!$F$6:$F$1997,MATCH(B431,SKUs!$C$6:$C$1997,0)),"")</f>
        <v>POLO BASICA MASC.</v>
      </c>
      <c r="G431" s="33" t="str">
        <f>IFERROR(INDEX(SKUs!$G$6:$G$1997,MATCH(B431,SKUs!$C$6:$C$1997,0)),"")</f>
        <v>PRETA</v>
      </c>
      <c r="H431" s="32" t="str">
        <f>IFERROR(INDEX(SKUs!$H$6:$H$1997,MATCH(B431,SKUs!$C$6:$C$1997,0)),"")</f>
        <v>PP</v>
      </c>
      <c r="I431" s="34" t="str">
        <f>IFERROR(INDEX(SKUs!#REF!,MATCH(B431,SKUs!$C$6:$C$1997,0)),"")</f>
        <v/>
      </c>
      <c r="J431" s="35">
        <f>SUMIFS(SKUs!$I$6:$I$1997,SKUs!$C$6:$C$1997,B431)</f>
        <v>35</v>
      </c>
      <c r="K431" s="34">
        <f t="shared" si="25"/>
        <v>0</v>
      </c>
      <c r="L431" s="35">
        <f>COUNTIF(SKUs!$C$6:$C$1997,B431)</f>
        <v>1</v>
      </c>
      <c r="M431" s="29">
        <v>25</v>
      </c>
      <c r="N431" s="29"/>
      <c r="O431" s="29"/>
      <c r="P431" s="29"/>
      <c r="Q431" s="29"/>
      <c r="R431" s="29"/>
      <c r="S431" s="29"/>
      <c r="T431" s="29"/>
      <c r="U431" s="30">
        <f t="shared" si="26"/>
        <v>25</v>
      </c>
      <c r="V431" s="31">
        <f t="shared" si="27"/>
        <v>35</v>
      </c>
    </row>
    <row r="432" spans="1:22" ht="14.25" hidden="1" customHeight="1" x14ac:dyDescent="0.3">
      <c r="A432" s="25">
        <v>425</v>
      </c>
      <c r="B432" s="26" t="s">
        <v>476</v>
      </c>
      <c r="C432" s="27" t="str">
        <f t="shared" si="24"/>
        <v>Masculino</v>
      </c>
      <c r="D432" s="2" t="str">
        <f>IFERROR(INDEX(SKUs!$E$6:$E$1997,MATCH(B432,SKUs!$C$6:$C$1997,0)),"")</f>
        <v>POLO</v>
      </c>
      <c r="E432" s="28" t="str">
        <f>IFERROR(VLOOKUP(D432,Configurações!$N$5:$O$46,2,FALSE()),"OUTROS")</f>
        <v>VESTUÁRIO</v>
      </c>
      <c r="F432" s="2" t="str">
        <f>IFERROR(INDEX(SKUs!$F$6:$F$1997,MATCH(B432,SKUs!$C$6:$C$1997,0)),"")</f>
        <v>POLO BASICA MASC.</v>
      </c>
      <c r="G432" s="2" t="str">
        <f>IFERROR(INDEX(SKUs!$G$6:$G$1997,MATCH(B432,SKUs!$C$6:$C$1997,0)),"")</f>
        <v>PRETA</v>
      </c>
      <c r="H432" s="25" t="str">
        <f>IFERROR(INDEX(SKUs!$H$6:$H$1997,MATCH(B432,SKUs!$C$6:$C$1997,0)),"")</f>
        <v>M</v>
      </c>
      <c r="I432" s="4" t="str">
        <f>IFERROR(INDEX(SKUs!#REF!,MATCH(B432,SKUs!$C$6:$C$1997,0)),"")</f>
        <v/>
      </c>
      <c r="J432" s="3">
        <f>SUMIFS(SKUs!$I$6:$I$1997,SKUs!$C$6:$C$1997,B432)</f>
        <v>75</v>
      </c>
      <c r="K432" s="4">
        <f t="shared" si="25"/>
        <v>0</v>
      </c>
      <c r="L432" s="3">
        <f>COUNTIF(SKUs!$C$6:$C$1997,B432)</f>
        <v>3</v>
      </c>
      <c r="M432" s="29">
        <v>25</v>
      </c>
      <c r="N432" s="29"/>
      <c r="O432" s="29"/>
      <c r="P432" s="29"/>
      <c r="Q432" s="29"/>
      <c r="R432" s="29"/>
      <c r="S432" s="29"/>
      <c r="T432" s="29"/>
      <c r="U432" s="30">
        <f t="shared" si="26"/>
        <v>25</v>
      </c>
      <c r="V432" s="31">
        <f t="shared" si="27"/>
        <v>75</v>
      </c>
    </row>
    <row r="433" spans="1:22" ht="14.25" hidden="1" customHeight="1" x14ac:dyDescent="0.3">
      <c r="A433" s="32">
        <v>426</v>
      </c>
      <c r="B433" s="26" t="s">
        <v>477</v>
      </c>
      <c r="C433" s="27" t="str">
        <f t="shared" si="24"/>
        <v>Feminino</v>
      </c>
      <c r="D433" s="33" t="str">
        <f>IFERROR(INDEX(SKUs!$E$6:$E$1997,MATCH(B433,SKUs!$C$6:$C$1997,0)),"")</f>
        <v>JAQUETA</v>
      </c>
      <c r="E433" s="28" t="str">
        <f>IFERROR(VLOOKUP(D433,Configurações!$N$5:$O$46,2,FALSE()),"OUTROS")</f>
        <v>VESTUÁRIO</v>
      </c>
      <c r="F433" s="33" t="str">
        <f>IFERROR(INDEX(SKUs!$F$6:$F$1997,MATCH(B433,SKUs!$C$6:$C$1997,0)),"")</f>
        <v>JAQUETA CAPUZ FEM.</v>
      </c>
      <c r="G433" s="33" t="str">
        <f>IFERROR(INDEX(SKUs!$G$6:$G$1997,MATCH(B433,SKUs!$C$6:$C$1997,0)),"")</f>
        <v>PRETA</v>
      </c>
      <c r="H433" s="32" t="str">
        <f>IFERROR(INDEX(SKUs!$H$6:$H$1997,MATCH(B433,SKUs!$C$6:$C$1997,0)),"")</f>
        <v>G</v>
      </c>
      <c r="I433" s="34" t="str">
        <f>IFERROR(INDEX(SKUs!#REF!,MATCH(B433,SKUs!$C$6:$C$1997,0)),"")</f>
        <v/>
      </c>
      <c r="J433" s="35">
        <f>SUMIFS(SKUs!$I$6:$I$1997,SKUs!$C$6:$C$1997,B433)</f>
        <v>13</v>
      </c>
      <c r="K433" s="34">
        <f t="shared" si="25"/>
        <v>0</v>
      </c>
      <c r="L433" s="35">
        <f>COUNTIF(SKUs!$C$6:$C$1997,B433)</f>
        <v>3</v>
      </c>
      <c r="M433" s="29"/>
      <c r="N433" s="29"/>
      <c r="O433" s="29"/>
      <c r="P433" s="29"/>
      <c r="Q433" s="29"/>
      <c r="R433" s="29"/>
      <c r="S433" s="29"/>
      <c r="T433" s="29"/>
      <c r="U433" s="30">
        <f t="shared" si="26"/>
        <v>0</v>
      </c>
      <c r="V433" s="31">
        <f t="shared" si="27"/>
        <v>13</v>
      </c>
    </row>
    <row r="434" spans="1:22" ht="14.25" hidden="1" customHeight="1" x14ac:dyDescent="0.3">
      <c r="A434" s="25">
        <v>427</v>
      </c>
      <c r="B434" s="26" t="s">
        <v>478</v>
      </c>
      <c r="C434" s="27" t="str">
        <f t="shared" si="24"/>
        <v>Feminino</v>
      </c>
      <c r="D434" s="2" t="str">
        <f>IFERROR(INDEX(SKUs!$E$6:$E$1997,MATCH(B434,SKUs!$C$6:$C$1997,0)),"")</f>
        <v>JAQUETA</v>
      </c>
      <c r="E434" s="28" t="str">
        <f>IFERROR(VLOOKUP(D434,Configurações!$N$5:$O$46,2,FALSE()),"OUTROS")</f>
        <v>VESTUÁRIO</v>
      </c>
      <c r="F434" s="2" t="str">
        <f>IFERROR(INDEX(SKUs!$F$6:$F$1997,MATCH(B434,SKUs!$C$6:$C$1997,0)),"")</f>
        <v>JAQUETA CAPUZ FEM.</v>
      </c>
      <c r="G434" s="2" t="str">
        <f>IFERROR(INDEX(SKUs!$G$6:$G$1997,MATCH(B434,SKUs!$C$6:$C$1997,0)),"")</f>
        <v>PRETA</v>
      </c>
      <c r="H434" s="25" t="str">
        <f>IFERROR(INDEX(SKUs!$H$6:$H$1997,MATCH(B434,SKUs!$C$6:$C$1997,0)),"")</f>
        <v>GG</v>
      </c>
      <c r="I434" s="4" t="str">
        <f>IFERROR(INDEX(SKUs!#REF!,MATCH(B434,SKUs!$C$6:$C$1997,0)),"")</f>
        <v/>
      </c>
      <c r="J434" s="3">
        <f>SUMIFS(SKUs!$I$6:$I$1997,SKUs!$C$6:$C$1997,B434)</f>
        <v>6</v>
      </c>
      <c r="K434" s="4">
        <f t="shared" si="25"/>
        <v>0</v>
      </c>
      <c r="L434" s="3">
        <f>COUNTIF(SKUs!$C$6:$C$1997,B434)</f>
        <v>3</v>
      </c>
      <c r="M434" s="29"/>
      <c r="N434" s="29"/>
      <c r="O434" s="29"/>
      <c r="P434" s="29"/>
      <c r="Q434" s="29"/>
      <c r="R434" s="29"/>
      <c r="S434" s="29"/>
      <c r="T434" s="29"/>
      <c r="U434" s="30">
        <f t="shared" si="26"/>
        <v>0</v>
      </c>
      <c r="V434" s="31">
        <f t="shared" si="27"/>
        <v>6</v>
      </c>
    </row>
    <row r="435" spans="1:22" ht="14.25" hidden="1" customHeight="1" x14ac:dyDescent="0.3">
      <c r="A435" s="32">
        <v>428</v>
      </c>
      <c r="B435" s="26" t="s">
        <v>479</v>
      </c>
      <c r="C435" s="27" t="str">
        <f t="shared" si="24"/>
        <v>Feminino</v>
      </c>
      <c r="D435" s="33" t="str">
        <f>IFERROR(INDEX(SKUs!$E$6:$E$1997,MATCH(B435,SKUs!$C$6:$C$1997,0)),"")</f>
        <v>JAQUETA</v>
      </c>
      <c r="E435" s="28" t="str">
        <f>IFERROR(VLOOKUP(D435,Configurações!$N$5:$O$46,2,FALSE()),"OUTROS")</f>
        <v>VESTUÁRIO</v>
      </c>
      <c r="F435" s="33" t="str">
        <f>IFERROR(INDEX(SKUs!$F$6:$F$1997,MATCH(B435,SKUs!$C$6:$C$1997,0)),"")</f>
        <v>JAQUETA CAPUZ OFF WHITE</v>
      </c>
      <c r="G435" s="33" t="str">
        <f>IFERROR(INDEX(SKUs!$G$6:$G$1997,MATCH(B435,SKUs!$C$6:$C$1997,0)),"")</f>
        <v>BRANCA</v>
      </c>
      <c r="H435" s="32" t="str">
        <f>IFERROR(INDEX(SKUs!$H$6:$H$1997,MATCH(B435,SKUs!$C$6:$C$1997,0)),"")</f>
        <v>G</v>
      </c>
      <c r="I435" s="34" t="str">
        <f>IFERROR(INDEX(SKUs!#REF!,MATCH(B435,SKUs!$C$6:$C$1997,0)),"")</f>
        <v/>
      </c>
      <c r="J435" s="35">
        <f>SUMIFS(SKUs!$I$6:$I$1997,SKUs!$C$6:$C$1997,B435)</f>
        <v>1</v>
      </c>
      <c r="K435" s="34">
        <f t="shared" si="25"/>
        <v>0</v>
      </c>
      <c r="L435" s="35">
        <f>COUNTIF(SKUs!$C$6:$C$1997,B435)</f>
        <v>1</v>
      </c>
      <c r="M435" s="29"/>
      <c r="N435" s="29"/>
      <c r="O435" s="29"/>
      <c r="P435" s="29"/>
      <c r="Q435" s="29"/>
      <c r="R435" s="29"/>
      <c r="S435" s="29"/>
      <c r="T435" s="29"/>
      <c r="U435" s="30">
        <f t="shared" si="26"/>
        <v>0</v>
      </c>
      <c r="V435" s="31">
        <f t="shared" si="27"/>
        <v>1</v>
      </c>
    </row>
    <row r="436" spans="1:22" ht="14.25" hidden="1" customHeight="1" x14ac:dyDescent="0.3">
      <c r="A436" s="25">
        <v>429</v>
      </c>
      <c r="B436" s="26" t="s">
        <v>480</v>
      </c>
      <c r="C436" s="27" t="str">
        <f t="shared" si="24"/>
        <v>Masculino</v>
      </c>
      <c r="D436" s="2" t="str">
        <f>IFERROR(INDEX(SKUs!$E$6:$E$1997,MATCH(B436,SKUs!$C$6:$C$1997,0)),"")</f>
        <v>JAQUETA</v>
      </c>
      <c r="E436" s="28" t="str">
        <f>IFERROR(VLOOKUP(D436,Configurações!$N$5:$O$46,2,FALSE()),"OUTROS")</f>
        <v>VESTUÁRIO</v>
      </c>
      <c r="F436" s="2" t="str">
        <f>IFERROR(INDEX(SKUs!$F$6:$F$1997,MATCH(B436,SKUs!$C$6:$C$1997,0)),"")</f>
        <v>JAQUETA BOMBER</v>
      </c>
      <c r="G436" s="2" t="str">
        <f>IFERROR(INDEX(SKUs!$G$6:$G$1997,MATCH(B436,SKUs!$C$6:$C$1997,0)),"")</f>
        <v>MARINHO</v>
      </c>
      <c r="H436" s="25" t="str">
        <f>IFERROR(INDEX(SKUs!$H$6:$H$1997,MATCH(B436,SKUs!$C$6:$C$1997,0)),"")</f>
        <v>P</v>
      </c>
      <c r="I436" s="4" t="str">
        <f>IFERROR(INDEX(SKUs!#REF!,MATCH(B436,SKUs!$C$6:$C$1997,0)),"")</f>
        <v/>
      </c>
      <c r="J436" s="3">
        <f>SUMIFS(SKUs!$I$6:$I$1997,SKUs!$C$6:$C$1997,B436)</f>
        <v>9</v>
      </c>
      <c r="K436" s="4">
        <f t="shared" si="25"/>
        <v>0</v>
      </c>
      <c r="L436" s="3">
        <f>COUNTIF(SKUs!$C$6:$C$1997,B436)</f>
        <v>2</v>
      </c>
      <c r="M436" s="29"/>
      <c r="N436" s="29"/>
      <c r="O436" s="29"/>
      <c r="P436" s="29"/>
      <c r="Q436" s="29"/>
      <c r="R436" s="29"/>
      <c r="S436" s="29"/>
      <c r="T436" s="29"/>
      <c r="U436" s="30">
        <f t="shared" si="26"/>
        <v>0</v>
      </c>
      <c r="V436" s="31">
        <f t="shared" si="27"/>
        <v>9</v>
      </c>
    </row>
    <row r="437" spans="1:22" ht="14.25" hidden="1" customHeight="1" x14ac:dyDescent="0.3">
      <c r="A437" s="32">
        <v>430</v>
      </c>
      <c r="B437" s="26" t="s">
        <v>481</v>
      </c>
      <c r="C437" s="27" t="str">
        <f t="shared" si="24"/>
        <v>Masculino</v>
      </c>
      <c r="D437" s="33" t="str">
        <f>IFERROR(INDEX(SKUs!$E$6:$E$1997,MATCH(B437,SKUs!$C$6:$C$1997,0)),"")</f>
        <v>CAMISETA</v>
      </c>
      <c r="E437" s="28" t="str">
        <f>IFERROR(VLOOKUP(D437,Configurações!$N$5:$O$46,2,FALSE()),"OUTROS")</f>
        <v>VESTUÁRIO</v>
      </c>
      <c r="F437" s="33" t="str">
        <f>IFERROR(INDEX(SKUs!$F$6:$F$1997,MATCH(B437,SKUs!$C$6:$C$1997,0)),"")</f>
        <v>CAMISETA FIO EGIPCIO MASC.</v>
      </c>
      <c r="G437" s="33" t="str">
        <f>IFERROR(INDEX(SKUs!$G$6:$G$1997,MATCH(B437,SKUs!$C$6:$C$1997,0)),"")</f>
        <v>CINZA</v>
      </c>
      <c r="H437" s="32" t="str">
        <f>IFERROR(INDEX(SKUs!$H$6:$H$1997,MATCH(B437,SKUs!$C$6:$C$1997,0)),"")</f>
        <v>P</v>
      </c>
      <c r="I437" s="34" t="str">
        <f>IFERROR(INDEX(SKUs!#REF!,MATCH(B437,SKUs!$C$6:$C$1997,0)),"")</f>
        <v/>
      </c>
      <c r="J437" s="35">
        <f>SUMIFS(SKUs!$I$6:$I$1997,SKUs!$C$6:$C$1997,B437)</f>
        <v>164</v>
      </c>
      <c r="K437" s="34">
        <f t="shared" si="25"/>
        <v>0</v>
      </c>
      <c r="L437" s="35">
        <f>COUNTIF(SKUs!$C$6:$C$1997,B437)</f>
        <v>4</v>
      </c>
      <c r="M437" s="29">
        <v>25</v>
      </c>
      <c r="N437" s="29"/>
      <c r="O437" s="29"/>
      <c r="P437" s="29"/>
      <c r="Q437" s="29"/>
      <c r="R437" s="29"/>
      <c r="S437" s="29"/>
      <c r="T437" s="29"/>
      <c r="U437" s="30">
        <f t="shared" si="26"/>
        <v>25</v>
      </c>
      <c r="V437" s="31">
        <f t="shared" si="27"/>
        <v>164</v>
      </c>
    </row>
    <row r="438" spans="1:22" ht="14.25" hidden="1" customHeight="1" x14ac:dyDescent="0.3">
      <c r="A438" s="25">
        <v>431</v>
      </c>
      <c r="B438" s="26" t="s">
        <v>482</v>
      </c>
      <c r="C438" s="27" t="str">
        <f t="shared" si="24"/>
        <v>Masculino</v>
      </c>
      <c r="D438" s="2" t="str">
        <f>IFERROR(INDEX(SKUs!$E$6:$E$1997,MATCH(B438,SKUs!$C$6:$C$1997,0)),"")</f>
        <v>CAMISETA</v>
      </c>
      <c r="E438" s="28" t="str">
        <f>IFERROR(VLOOKUP(D438,Configurações!$N$5:$O$46,2,FALSE()),"OUTROS")</f>
        <v>VESTUÁRIO</v>
      </c>
      <c r="F438" s="2" t="str">
        <f>IFERROR(INDEX(SKUs!$F$6:$F$1997,MATCH(B438,SKUs!$C$6:$C$1997,0)),"")</f>
        <v>CAMISETA FIO EGIPCIO MASC.</v>
      </c>
      <c r="G438" s="2" t="str">
        <f>IFERROR(INDEX(SKUs!$G$6:$G$1997,MATCH(B438,SKUs!$C$6:$C$1997,0)),"")</f>
        <v>CINZA</v>
      </c>
      <c r="H438" s="25" t="str">
        <f>IFERROR(INDEX(SKUs!$H$6:$H$1997,MATCH(B438,SKUs!$C$6:$C$1997,0)),"")</f>
        <v>M</v>
      </c>
      <c r="I438" s="4" t="str">
        <f>IFERROR(INDEX(SKUs!#REF!,MATCH(B438,SKUs!$C$6:$C$1997,0)),"")</f>
        <v/>
      </c>
      <c r="J438" s="3">
        <f>SUMIFS(SKUs!$I$6:$I$1997,SKUs!$C$6:$C$1997,B438)</f>
        <v>115</v>
      </c>
      <c r="K438" s="4">
        <f t="shared" si="25"/>
        <v>0</v>
      </c>
      <c r="L438" s="3">
        <f>COUNTIF(SKUs!$C$6:$C$1997,B438)</f>
        <v>3</v>
      </c>
      <c r="M438" s="29">
        <v>25</v>
      </c>
      <c r="N438" s="29"/>
      <c r="O438" s="29"/>
      <c r="P438" s="29"/>
      <c r="Q438" s="29"/>
      <c r="R438" s="29"/>
      <c r="S438" s="29"/>
      <c r="T438" s="29"/>
      <c r="U438" s="30">
        <f t="shared" si="26"/>
        <v>25</v>
      </c>
      <c r="V438" s="31">
        <f t="shared" si="27"/>
        <v>115</v>
      </c>
    </row>
    <row r="439" spans="1:22" ht="14.25" hidden="1" customHeight="1" x14ac:dyDescent="0.3">
      <c r="A439" s="32">
        <v>432</v>
      </c>
      <c r="B439" s="26" t="s">
        <v>483</v>
      </c>
      <c r="C439" s="27" t="str">
        <f t="shared" si="24"/>
        <v>Masculino</v>
      </c>
      <c r="D439" s="33" t="str">
        <f>IFERROR(INDEX(SKUs!$E$6:$E$1997,MATCH(B439,SKUs!$C$6:$C$1997,0)),"")</f>
        <v>CAMISETA</v>
      </c>
      <c r="E439" s="28" t="str">
        <f>IFERROR(VLOOKUP(D439,Configurações!$N$5:$O$46,2,FALSE()),"OUTROS")</f>
        <v>VESTUÁRIO</v>
      </c>
      <c r="F439" s="33" t="str">
        <f>IFERROR(INDEX(SKUs!$F$6:$F$1997,MATCH(B439,SKUs!$C$6:$C$1997,0)),"")</f>
        <v>CAMISETA FIO EGIPCIO MASC.</v>
      </c>
      <c r="G439" s="33" t="str">
        <f>IFERROR(INDEX(SKUs!$G$6:$G$1997,MATCH(B439,SKUs!$C$6:$C$1997,0)),"")</f>
        <v>CINZA</v>
      </c>
      <c r="H439" s="32" t="str">
        <f>IFERROR(INDEX(SKUs!$H$6:$H$1997,MATCH(B439,SKUs!$C$6:$C$1997,0)),"")</f>
        <v>G</v>
      </c>
      <c r="I439" s="34" t="str">
        <f>IFERROR(INDEX(SKUs!#REF!,MATCH(B439,SKUs!$C$6:$C$1997,0)),"")</f>
        <v/>
      </c>
      <c r="J439" s="35">
        <f>SUMIFS(SKUs!$I$6:$I$1997,SKUs!$C$6:$C$1997,B439)</f>
        <v>184</v>
      </c>
      <c r="K439" s="34">
        <f t="shared" si="25"/>
        <v>0</v>
      </c>
      <c r="L439" s="35">
        <f>COUNTIF(SKUs!$C$6:$C$1997,B439)</f>
        <v>4</v>
      </c>
      <c r="M439" s="29">
        <v>25</v>
      </c>
      <c r="N439" s="29"/>
      <c r="O439" s="29"/>
      <c r="P439" s="29"/>
      <c r="Q439" s="29"/>
      <c r="R439" s="29"/>
      <c r="S439" s="29"/>
      <c r="T439" s="29"/>
      <c r="U439" s="30">
        <f t="shared" si="26"/>
        <v>25</v>
      </c>
      <c r="V439" s="31">
        <f t="shared" si="27"/>
        <v>184</v>
      </c>
    </row>
    <row r="440" spans="1:22" ht="14.25" hidden="1" customHeight="1" x14ac:dyDescent="0.3">
      <c r="A440" s="25">
        <v>433</v>
      </c>
      <c r="B440" s="26" t="s">
        <v>484</v>
      </c>
      <c r="C440" s="27" t="str">
        <f t="shared" si="24"/>
        <v>Masculino</v>
      </c>
      <c r="D440" s="2" t="str">
        <f>IFERROR(INDEX(SKUs!$E$6:$E$1997,MATCH(B440,SKUs!$C$6:$C$1997,0)),"")</f>
        <v>CAMISETA</v>
      </c>
      <c r="E440" s="28" t="str">
        <f>IFERROR(VLOOKUP(D440,Configurações!$N$5:$O$46,2,FALSE()),"OUTROS")</f>
        <v>VESTUÁRIO</v>
      </c>
      <c r="F440" s="2" t="str">
        <f>IFERROR(INDEX(SKUs!$F$6:$F$1997,MATCH(B440,SKUs!$C$6:$C$1997,0)),"")</f>
        <v>CAMISETA FIO EGIPCIO MASC.</v>
      </c>
      <c r="G440" s="2" t="str">
        <f>IFERROR(INDEX(SKUs!$G$6:$G$1997,MATCH(B440,SKUs!$C$6:$C$1997,0)),"")</f>
        <v>CINZA</v>
      </c>
      <c r="H440" s="25" t="str">
        <f>IFERROR(INDEX(SKUs!$H$6:$H$1997,MATCH(B440,SKUs!$C$6:$C$1997,0)),"")</f>
        <v>GG</v>
      </c>
      <c r="I440" s="4" t="str">
        <f>IFERROR(INDEX(SKUs!#REF!,MATCH(B440,SKUs!$C$6:$C$1997,0)),"")</f>
        <v/>
      </c>
      <c r="J440" s="3">
        <f>SUMIFS(SKUs!$I$6:$I$1997,SKUs!$C$6:$C$1997,B440)</f>
        <v>13</v>
      </c>
      <c r="K440" s="4">
        <f t="shared" si="25"/>
        <v>0</v>
      </c>
      <c r="L440" s="3">
        <f>COUNTIF(SKUs!$C$6:$C$1997,B440)</f>
        <v>2</v>
      </c>
      <c r="M440" s="29">
        <v>25</v>
      </c>
      <c r="N440" s="29"/>
      <c r="O440" s="29"/>
      <c r="P440" s="29"/>
      <c r="Q440" s="29"/>
      <c r="R440" s="29"/>
      <c r="S440" s="29"/>
      <c r="T440" s="29"/>
      <c r="U440" s="30">
        <f t="shared" si="26"/>
        <v>25</v>
      </c>
      <c r="V440" s="31">
        <f t="shared" si="27"/>
        <v>13</v>
      </c>
    </row>
    <row r="441" spans="1:22" ht="14.25" customHeight="1" x14ac:dyDescent="0.3">
      <c r="A441" s="32">
        <v>434</v>
      </c>
      <c r="B441" s="26" t="s">
        <v>485</v>
      </c>
      <c r="C441" s="27" t="str">
        <f t="shared" si="24"/>
        <v>Masculino</v>
      </c>
      <c r="D441" s="33" t="str">
        <f>IFERROR(INDEX(SKUs!$E$6:$E$1997,MATCH(B441,SKUs!$C$6:$C$1997,0)),"")</f>
        <v>TRICO</v>
      </c>
      <c r="E441" s="28" t="str">
        <f>IFERROR(VLOOKUP(D441,Configurações!$N$5:$O$46,2,FALSE()),"OUTROS")</f>
        <v>VESTUÁRIO</v>
      </c>
      <c r="F441" s="33" t="str">
        <f>IFERROR(INDEX(SKUs!$F$6:$F$1997,MATCH(B441,SKUs!$C$6:$C$1997,0)),"")</f>
        <v>TRICO BASICO GOLA V</v>
      </c>
      <c r="G441" s="33" t="str">
        <f>IFERROR(INDEX(SKUs!$G$6:$G$1997,MATCH(B441,SKUs!$C$6:$C$1997,0)),"")</f>
        <v>MARINHO</v>
      </c>
      <c r="H441" s="32" t="str">
        <f>IFERROR(INDEX(SKUs!$H$6:$H$1997,MATCH(B441,SKUs!$C$6:$C$1997,0)),"")</f>
        <v>G</v>
      </c>
      <c r="I441" s="34" t="str">
        <f>IFERROR(INDEX(SKUs!#REF!,MATCH(B441,SKUs!$C$6:$C$1997,0)),"")</f>
        <v/>
      </c>
      <c r="J441" s="35">
        <f>SUMIFS(SKUs!$I$6:$I$1997,SKUs!$C$6:$C$1997,B441)</f>
        <v>8</v>
      </c>
      <c r="K441" s="34">
        <f t="shared" si="25"/>
        <v>0</v>
      </c>
      <c r="L441" s="35">
        <f>COUNTIF(SKUs!$C$6:$C$1997,B441)</f>
        <v>1</v>
      </c>
      <c r="M441" s="29"/>
      <c r="N441" s="29"/>
      <c r="O441" s="29"/>
      <c r="P441" s="29"/>
      <c r="Q441" s="29"/>
      <c r="R441" s="29"/>
      <c r="S441" s="29"/>
      <c r="T441" s="29"/>
      <c r="U441" s="30">
        <f t="shared" si="26"/>
        <v>0</v>
      </c>
      <c r="V441" s="31">
        <f t="shared" si="27"/>
        <v>8</v>
      </c>
    </row>
    <row r="442" spans="1:22" ht="14.25" hidden="1" customHeight="1" x14ac:dyDescent="0.3">
      <c r="A442" s="25">
        <v>435</v>
      </c>
      <c r="B442" s="26" t="s">
        <v>486</v>
      </c>
      <c r="C442" s="27" t="str">
        <f t="shared" si="24"/>
        <v>Masculino</v>
      </c>
      <c r="D442" s="2" t="str">
        <f>IFERROR(INDEX(SKUs!$E$6:$E$1997,MATCH(B442,SKUs!$C$6:$C$1997,0)),"")</f>
        <v>TRICO</v>
      </c>
      <c r="E442" s="28" t="str">
        <f>IFERROR(VLOOKUP(D442,Configurações!$N$5:$O$46,2,FALSE()),"OUTROS")</f>
        <v>VESTUÁRIO</v>
      </c>
      <c r="F442" s="2" t="str">
        <f>IFERROR(INDEX(SKUs!$F$6:$F$1997,MATCH(B442,SKUs!$C$6:$C$1997,0)),"")</f>
        <v>TRICO BASICO GOLA V</v>
      </c>
      <c r="G442" s="2" t="str">
        <f>IFERROR(INDEX(SKUs!$G$6:$G$1997,MATCH(B442,SKUs!$C$6:$C$1997,0)),"")</f>
        <v>CINZA</v>
      </c>
      <c r="H442" s="25" t="str">
        <f>IFERROR(INDEX(SKUs!$H$6:$H$1997,MATCH(B442,SKUs!$C$6:$C$1997,0)),"")</f>
        <v>G</v>
      </c>
      <c r="I442" s="4" t="str">
        <f>IFERROR(INDEX(SKUs!#REF!,MATCH(B442,SKUs!$C$6:$C$1997,0)),"")</f>
        <v/>
      </c>
      <c r="J442" s="3">
        <f>SUMIFS(SKUs!$I$6:$I$1997,SKUs!$C$6:$C$1997,B442)</f>
        <v>8</v>
      </c>
      <c r="K442" s="4">
        <f t="shared" si="25"/>
        <v>0</v>
      </c>
      <c r="L442" s="3">
        <f>COUNTIF(SKUs!$C$6:$C$1997,B442)</f>
        <v>2</v>
      </c>
      <c r="M442" s="29"/>
      <c r="N442" s="29"/>
      <c r="O442" s="29"/>
      <c r="P442" s="29"/>
      <c r="Q442" s="29"/>
      <c r="R442" s="29"/>
      <c r="S442" s="29"/>
      <c r="T442" s="29"/>
      <c r="U442" s="30">
        <f t="shared" si="26"/>
        <v>0</v>
      </c>
      <c r="V442" s="31">
        <f t="shared" si="27"/>
        <v>8</v>
      </c>
    </row>
    <row r="443" spans="1:22" ht="14.25" hidden="1" customHeight="1" x14ac:dyDescent="0.3">
      <c r="A443" s="32">
        <v>436</v>
      </c>
      <c r="B443" s="26" t="s">
        <v>487</v>
      </c>
      <c r="C443" s="27" t="str">
        <f t="shared" si="24"/>
        <v>Masculino</v>
      </c>
      <c r="D443" s="33" t="str">
        <f>IFERROR(INDEX(SKUs!$E$6:$E$1997,MATCH(B443,SKUs!$C$6:$C$1997,0)),"")</f>
        <v>TRICO</v>
      </c>
      <c r="E443" s="28" t="str">
        <f>IFERROR(VLOOKUP(D443,Configurações!$N$5:$O$46,2,FALSE()),"OUTROS")</f>
        <v>VESTUÁRIO</v>
      </c>
      <c r="F443" s="33" t="str">
        <f>IFERROR(INDEX(SKUs!$F$6:$F$1997,MATCH(B443,SKUs!$C$6:$C$1997,0)),"")</f>
        <v>TRICO BASICO GOLA V</v>
      </c>
      <c r="G443" s="33" t="str">
        <f>IFERROR(INDEX(SKUs!$G$6:$G$1997,MATCH(B443,SKUs!$C$6:$C$1997,0)),"")</f>
        <v>CINZA</v>
      </c>
      <c r="H443" s="32" t="str">
        <f>IFERROR(INDEX(SKUs!$H$6:$H$1997,MATCH(B443,SKUs!$C$6:$C$1997,0)),"")</f>
        <v>GG</v>
      </c>
      <c r="I443" s="34" t="str">
        <f>IFERROR(INDEX(SKUs!#REF!,MATCH(B443,SKUs!$C$6:$C$1997,0)),"")</f>
        <v/>
      </c>
      <c r="J443" s="35">
        <f>SUMIFS(SKUs!$I$6:$I$1997,SKUs!$C$6:$C$1997,B443)</f>
        <v>1</v>
      </c>
      <c r="K443" s="34">
        <f t="shared" si="25"/>
        <v>0</v>
      </c>
      <c r="L443" s="35">
        <f>COUNTIF(SKUs!$C$6:$C$1997,B443)</f>
        <v>1</v>
      </c>
      <c r="M443" s="29"/>
      <c r="N443" s="29"/>
      <c r="O443" s="29"/>
      <c r="P443" s="29"/>
      <c r="Q443" s="29"/>
      <c r="R443" s="29"/>
      <c r="S443" s="29"/>
      <c r="T443" s="29"/>
      <c r="U443" s="30">
        <f t="shared" si="26"/>
        <v>0</v>
      </c>
      <c r="V443" s="31">
        <f t="shared" si="27"/>
        <v>1</v>
      </c>
    </row>
    <row r="444" spans="1:22" ht="14.25" hidden="1" customHeight="1" x14ac:dyDescent="0.3">
      <c r="A444" s="25">
        <v>437</v>
      </c>
      <c r="B444" s="26" t="s">
        <v>488</v>
      </c>
      <c r="C444" s="27" t="str">
        <f t="shared" si="24"/>
        <v>Masculino</v>
      </c>
      <c r="D444" s="2" t="str">
        <f>IFERROR(INDEX(SKUs!$E$6:$E$1997,MATCH(B444,SKUs!$C$6:$C$1997,0)),"")</f>
        <v>TRICO</v>
      </c>
      <c r="E444" s="28" t="str">
        <f>IFERROR(VLOOKUP(D444,Configurações!$N$5:$O$46,2,FALSE()),"OUTROS")</f>
        <v>VESTUÁRIO</v>
      </c>
      <c r="F444" s="2" t="str">
        <f>IFERROR(INDEX(SKUs!$F$6:$F$1997,MATCH(B444,SKUs!$C$6:$C$1997,0)),"")</f>
        <v>TRICO BASICO GOLA V</v>
      </c>
      <c r="G444" s="2" t="str">
        <f>IFERROR(INDEX(SKUs!$G$6:$G$1997,MATCH(B444,SKUs!$C$6:$C$1997,0)),"")</f>
        <v>PRETO</v>
      </c>
      <c r="H444" s="25" t="str">
        <f>IFERROR(INDEX(SKUs!$H$6:$H$1997,MATCH(B444,SKUs!$C$6:$C$1997,0)),"")</f>
        <v>G</v>
      </c>
      <c r="I444" s="4" t="str">
        <f>IFERROR(INDEX(SKUs!#REF!,MATCH(B444,SKUs!$C$6:$C$1997,0)),"")</f>
        <v/>
      </c>
      <c r="J444" s="3">
        <f>SUMIFS(SKUs!$I$6:$I$1997,SKUs!$C$6:$C$1997,B444)</f>
        <v>18</v>
      </c>
      <c r="K444" s="4">
        <f t="shared" si="25"/>
        <v>0</v>
      </c>
      <c r="L444" s="3">
        <f>COUNTIF(SKUs!$C$6:$C$1997,B444)</f>
        <v>2</v>
      </c>
      <c r="M444" s="29"/>
      <c r="N444" s="29"/>
      <c r="O444" s="29"/>
      <c r="P444" s="29"/>
      <c r="Q444" s="29"/>
      <c r="R444" s="29"/>
      <c r="S444" s="29"/>
      <c r="T444" s="29"/>
      <c r="U444" s="30">
        <f t="shared" si="26"/>
        <v>0</v>
      </c>
      <c r="V444" s="31">
        <f t="shared" si="27"/>
        <v>18</v>
      </c>
    </row>
    <row r="445" spans="1:22" ht="14.25" hidden="1" customHeight="1" x14ac:dyDescent="0.3">
      <c r="A445" s="32">
        <v>438</v>
      </c>
      <c r="B445" s="26" t="s">
        <v>489</v>
      </c>
      <c r="C445" s="27" t="str">
        <f t="shared" si="24"/>
        <v>Masculino</v>
      </c>
      <c r="D445" s="33" t="str">
        <f>IFERROR(INDEX(SKUs!$E$6:$E$1997,MATCH(B445,SKUs!$C$6:$C$1997,0)),"")</f>
        <v>TRICO</v>
      </c>
      <c r="E445" s="28" t="str">
        <f>IFERROR(VLOOKUP(D445,Configurações!$N$5:$O$46,2,FALSE()),"OUTROS")</f>
        <v>VESTUÁRIO</v>
      </c>
      <c r="F445" s="33" t="str">
        <f>IFERROR(INDEX(SKUs!$F$6:$F$1997,MATCH(B445,SKUs!$C$6:$C$1997,0)),"")</f>
        <v>TRICO BASICO GOLA V</v>
      </c>
      <c r="G445" s="33" t="str">
        <f>IFERROR(INDEX(SKUs!$G$6:$G$1997,MATCH(B445,SKUs!$C$6:$C$1997,0)),"")</f>
        <v>PRETO</v>
      </c>
      <c r="H445" s="32" t="str">
        <f>IFERROR(INDEX(SKUs!$H$6:$H$1997,MATCH(B445,SKUs!$C$6:$C$1997,0)),"")</f>
        <v>GG</v>
      </c>
      <c r="I445" s="34" t="str">
        <f>IFERROR(INDEX(SKUs!#REF!,MATCH(B445,SKUs!$C$6:$C$1997,0)),"")</f>
        <v/>
      </c>
      <c r="J445" s="35">
        <f>SUMIFS(SKUs!$I$6:$I$1997,SKUs!$C$6:$C$1997,B445)</f>
        <v>9</v>
      </c>
      <c r="K445" s="34">
        <f t="shared" si="25"/>
        <v>0</v>
      </c>
      <c r="L445" s="35">
        <f>COUNTIF(SKUs!$C$6:$C$1997,B445)</f>
        <v>2</v>
      </c>
      <c r="M445" s="29"/>
      <c r="N445" s="29"/>
      <c r="O445" s="29"/>
      <c r="P445" s="29"/>
      <c r="Q445" s="29"/>
      <c r="R445" s="29"/>
      <c r="S445" s="29"/>
      <c r="T445" s="29"/>
      <c r="U445" s="30">
        <f t="shared" si="26"/>
        <v>0</v>
      </c>
      <c r="V445" s="31">
        <f t="shared" si="27"/>
        <v>9</v>
      </c>
    </row>
    <row r="446" spans="1:22" ht="14.25" hidden="1" customHeight="1" x14ac:dyDescent="0.3">
      <c r="A446" s="25">
        <v>439</v>
      </c>
      <c r="B446" s="26" t="s">
        <v>490</v>
      </c>
      <c r="C446" s="27" t="str">
        <f t="shared" si="24"/>
        <v>Masculino</v>
      </c>
      <c r="D446" s="2" t="str">
        <f>IFERROR(INDEX(SKUs!$E$6:$E$1997,MATCH(B446,SKUs!$C$6:$C$1997,0)),"")</f>
        <v>TRICO</v>
      </c>
      <c r="E446" s="28" t="str">
        <f>IFERROR(VLOOKUP(D446,Configurações!$N$5:$O$46,2,FALSE()),"OUTROS")</f>
        <v>VESTUÁRIO</v>
      </c>
      <c r="F446" s="2" t="str">
        <f>IFERROR(INDEX(SKUs!$F$6:$F$1997,MATCH(B446,SKUs!$C$6:$C$1997,0)),"")</f>
        <v>TRICO BASICO GOLA CARACA</v>
      </c>
      <c r="G446" s="2" t="str">
        <f>IFERROR(INDEX(SKUs!$G$6:$G$1997,MATCH(B446,SKUs!$C$6:$C$1997,0)),"")</f>
        <v>AZUL MARINHO</v>
      </c>
      <c r="H446" s="25" t="str">
        <f>IFERROR(INDEX(SKUs!$H$6:$H$1997,MATCH(B446,SKUs!$C$6:$C$1997,0)),"")</f>
        <v>GG</v>
      </c>
      <c r="I446" s="4" t="str">
        <f>IFERROR(INDEX(SKUs!#REF!,MATCH(B446,SKUs!$C$6:$C$1997,0)),"")</f>
        <v/>
      </c>
      <c r="J446" s="3">
        <f>SUMIFS(SKUs!$I$6:$I$1997,SKUs!$C$6:$C$1997,B446)</f>
        <v>2</v>
      </c>
      <c r="K446" s="4">
        <f t="shared" si="25"/>
        <v>0</v>
      </c>
      <c r="L446" s="3">
        <f>COUNTIF(SKUs!$C$6:$C$1997,B446)</f>
        <v>1</v>
      </c>
      <c r="M446" s="29"/>
      <c r="N446" s="29"/>
      <c r="O446" s="29"/>
      <c r="P446" s="29"/>
      <c r="Q446" s="29"/>
      <c r="R446" s="29"/>
      <c r="S446" s="29"/>
      <c r="T446" s="29"/>
      <c r="U446" s="30">
        <f t="shared" si="26"/>
        <v>0</v>
      </c>
      <c r="V446" s="31">
        <f t="shared" si="27"/>
        <v>2</v>
      </c>
    </row>
    <row r="447" spans="1:22" ht="14.25" hidden="1" customHeight="1" x14ac:dyDescent="0.3">
      <c r="A447" s="32">
        <v>440</v>
      </c>
      <c r="B447" s="26" t="s">
        <v>491</v>
      </c>
      <c r="C447" s="27" t="str">
        <f t="shared" si="24"/>
        <v>Masculino</v>
      </c>
      <c r="D447" s="33" t="str">
        <f>IFERROR(INDEX(SKUs!$E$6:$E$1997,MATCH(B447,SKUs!$C$6:$C$1997,0)),"")</f>
        <v>POLO</v>
      </c>
      <c r="E447" s="28" t="str">
        <f>IFERROR(VLOOKUP(D447,Configurações!$N$5:$O$46,2,FALSE()),"OUTROS")</f>
        <v>VESTUÁRIO</v>
      </c>
      <c r="F447" s="33" t="str">
        <f>IFERROR(INDEX(SKUs!$F$6:$F$1997,MATCH(B447,SKUs!$C$6:$C$1997,0)),"")</f>
        <v>POLO BASICA SIDE WALK</v>
      </c>
      <c r="G447" s="33" t="str">
        <f>IFERROR(INDEX(SKUs!$G$6:$G$1997,MATCH(B447,SKUs!$C$6:$C$1997,0)),"")</f>
        <v>PRETA</v>
      </c>
      <c r="H447" s="32" t="str">
        <f>IFERROR(INDEX(SKUs!$H$6:$H$1997,MATCH(B447,SKUs!$C$6:$C$1997,0)),"")</f>
        <v>P</v>
      </c>
      <c r="I447" s="34" t="str">
        <f>IFERROR(INDEX(SKUs!#REF!,MATCH(B447,SKUs!$C$6:$C$1997,0)),"")</f>
        <v/>
      </c>
      <c r="J447" s="35">
        <f>SUMIFS(SKUs!$I$6:$I$1997,SKUs!$C$6:$C$1997,B447)</f>
        <v>91</v>
      </c>
      <c r="K447" s="34">
        <f t="shared" si="25"/>
        <v>0</v>
      </c>
      <c r="L447" s="35">
        <f>COUNTIF(SKUs!$C$6:$C$1997,B447)</f>
        <v>3</v>
      </c>
      <c r="M447" s="29">
        <v>25</v>
      </c>
      <c r="N447" s="29"/>
      <c r="O447" s="29"/>
      <c r="P447" s="29"/>
      <c r="Q447" s="29"/>
      <c r="R447" s="29"/>
      <c r="S447" s="29"/>
      <c r="T447" s="29"/>
      <c r="U447" s="30">
        <f t="shared" si="26"/>
        <v>25</v>
      </c>
      <c r="V447" s="31">
        <f t="shared" si="27"/>
        <v>91</v>
      </c>
    </row>
    <row r="448" spans="1:22" ht="14.25" hidden="1" customHeight="1" x14ac:dyDescent="0.3">
      <c r="A448" s="25">
        <v>441</v>
      </c>
      <c r="B448" s="26" t="s">
        <v>492</v>
      </c>
      <c r="C448" s="27" t="str">
        <f t="shared" si="24"/>
        <v>Masculino</v>
      </c>
      <c r="D448" s="2" t="str">
        <f>IFERROR(INDEX(SKUs!$E$6:$E$1997,MATCH(B448,SKUs!$C$6:$C$1997,0)),"")</f>
        <v>CAMISETA</v>
      </c>
      <c r="E448" s="28" t="str">
        <f>IFERROR(VLOOKUP(D448,Configurações!$N$5:$O$46,2,FALSE()),"OUTROS")</f>
        <v>VESTUÁRIO</v>
      </c>
      <c r="F448" s="2" t="str">
        <f>IFERROR(INDEX(SKUs!$F$6:$F$1997,MATCH(B448,SKUs!$C$6:$C$1997,0)),"")</f>
        <v>CAMISETA FIO EGIPCIO MASC.</v>
      </c>
      <c r="G448" s="2" t="str">
        <f>IFERROR(INDEX(SKUs!$G$6:$G$1997,MATCH(B448,SKUs!$C$6:$C$1997,0)),"")</f>
        <v>PRETA</v>
      </c>
      <c r="H448" s="25" t="str">
        <f>IFERROR(INDEX(SKUs!$H$6:$H$1997,MATCH(B448,SKUs!$C$6:$C$1997,0)),"")</f>
        <v>P</v>
      </c>
      <c r="I448" s="4" t="str">
        <f>IFERROR(INDEX(SKUs!#REF!,MATCH(B448,SKUs!$C$6:$C$1997,0)),"")</f>
        <v/>
      </c>
      <c r="J448" s="3">
        <f>SUMIFS(SKUs!$I$6:$I$1997,SKUs!$C$6:$C$1997,B448)</f>
        <v>76</v>
      </c>
      <c r="K448" s="4">
        <f t="shared" si="25"/>
        <v>0</v>
      </c>
      <c r="L448" s="3">
        <f>COUNTIF(SKUs!$C$6:$C$1997,B448)</f>
        <v>1</v>
      </c>
      <c r="M448" s="29">
        <v>25</v>
      </c>
      <c r="N448" s="29"/>
      <c r="O448" s="29"/>
      <c r="P448" s="29"/>
      <c r="Q448" s="29"/>
      <c r="R448" s="29"/>
      <c r="S448" s="29"/>
      <c r="T448" s="29"/>
      <c r="U448" s="30">
        <f t="shared" si="26"/>
        <v>25</v>
      </c>
      <c r="V448" s="31">
        <f t="shared" si="27"/>
        <v>76</v>
      </c>
    </row>
    <row r="449" spans="1:22" ht="14.25" hidden="1" customHeight="1" x14ac:dyDescent="0.3">
      <c r="A449" s="32">
        <v>442</v>
      </c>
      <c r="B449" s="26" t="s">
        <v>493</v>
      </c>
      <c r="C449" s="27" t="str">
        <f t="shared" si="24"/>
        <v>Feminino</v>
      </c>
      <c r="D449" s="33" t="str">
        <f>IFERROR(INDEX(SKUs!$E$6:$E$1997,MATCH(B449,SKUs!$C$6:$C$1997,0)),"")</f>
        <v>POLO</v>
      </c>
      <c r="E449" s="28" t="str">
        <f>IFERROR(VLOOKUP(D449,Configurações!$N$5:$O$46,2,FALSE()),"OUTROS")</f>
        <v>VESTUÁRIO</v>
      </c>
      <c r="F449" s="33" t="str">
        <f>IFERROR(INDEX(SKUs!$F$6:$F$1997,MATCH(B449,SKUs!$C$6:$C$1997,0)),"")</f>
        <v>POLO BASICA FEM.</v>
      </c>
      <c r="G449" s="33" t="str">
        <f>IFERROR(INDEX(SKUs!$G$6:$G$1997,MATCH(B449,SKUs!$C$6:$C$1997,0)),"")</f>
        <v>PRETA</v>
      </c>
      <c r="H449" s="32" t="str">
        <f>IFERROR(INDEX(SKUs!$H$6:$H$1997,MATCH(B449,SKUs!$C$6:$C$1997,0)),"")</f>
        <v>PP</v>
      </c>
      <c r="I449" s="34" t="str">
        <f>IFERROR(INDEX(SKUs!#REF!,MATCH(B449,SKUs!$C$6:$C$1997,0)),"")</f>
        <v/>
      </c>
      <c r="J449" s="35">
        <f>SUMIFS(SKUs!$I$6:$I$1997,SKUs!$C$6:$C$1997,B449)</f>
        <v>64</v>
      </c>
      <c r="K449" s="34">
        <f t="shared" si="25"/>
        <v>0</v>
      </c>
      <c r="L449" s="35">
        <f>COUNTIF(SKUs!$C$6:$C$1997,B449)</f>
        <v>3</v>
      </c>
      <c r="M449" s="29">
        <v>25</v>
      </c>
      <c r="N449" s="29"/>
      <c r="O449" s="29"/>
      <c r="P449" s="29"/>
      <c r="Q449" s="29"/>
      <c r="R449" s="29"/>
      <c r="S449" s="29"/>
      <c r="T449" s="29"/>
      <c r="U449" s="30">
        <f t="shared" si="26"/>
        <v>25</v>
      </c>
      <c r="V449" s="31">
        <f t="shared" si="27"/>
        <v>64</v>
      </c>
    </row>
    <row r="450" spans="1:22" ht="14.25" hidden="1" customHeight="1" x14ac:dyDescent="0.3">
      <c r="A450" s="25">
        <v>443</v>
      </c>
      <c r="B450" s="26" t="s">
        <v>494</v>
      </c>
      <c r="C450" s="27" t="str">
        <f t="shared" si="24"/>
        <v>Feminino</v>
      </c>
      <c r="D450" s="2" t="str">
        <f>IFERROR(INDEX(SKUs!$E$6:$E$1997,MATCH(B450,SKUs!$C$6:$C$1997,0)),"")</f>
        <v>POLO</v>
      </c>
      <c r="E450" s="28" t="str">
        <f>IFERROR(VLOOKUP(D450,Configurações!$N$5:$O$46,2,FALSE()),"OUTROS")</f>
        <v>VESTUÁRIO</v>
      </c>
      <c r="F450" s="2" t="str">
        <f>IFERROR(INDEX(SKUs!$F$6:$F$1997,MATCH(B450,SKUs!$C$6:$C$1997,0)),"")</f>
        <v>POLO BASICA FEM.</v>
      </c>
      <c r="G450" s="2" t="str">
        <f>IFERROR(INDEX(SKUs!$G$6:$G$1997,MATCH(B450,SKUs!$C$6:$C$1997,0)),"")</f>
        <v>PRETA</v>
      </c>
      <c r="H450" s="25" t="str">
        <f>IFERROR(INDEX(SKUs!$H$6:$H$1997,MATCH(B450,SKUs!$C$6:$C$1997,0)),"")</f>
        <v>P</v>
      </c>
      <c r="I450" s="4" t="str">
        <f>IFERROR(INDEX(SKUs!#REF!,MATCH(B450,SKUs!$C$6:$C$1997,0)),"")</f>
        <v/>
      </c>
      <c r="J450" s="3">
        <f>SUMIFS(SKUs!$I$6:$I$1997,SKUs!$C$6:$C$1997,B450)</f>
        <v>70</v>
      </c>
      <c r="K450" s="4">
        <f t="shared" si="25"/>
        <v>0</v>
      </c>
      <c r="L450" s="3">
        <f>COUNTIF(SKUs!$C$6:$C$1997,B450)</f>
        <v>2</v>
      </c>
      <c r="M450" s="29">
        <v>25</v>
      </c>
      <c r="N450" s="29"/>
      <c r="O450" s="29"/>
      <c r="P450" s="29"/>
      <c r="Q450" s="29"/>
      <c r="R450" s="29"/>
      <c r="S450" s="29"/>
      <c r="T450" s="29"/>
      <c r="U450" s="30">
        <f t="shared" si="26"/>
        <v>25</v>
      </c>
      <c r="V450" s="31">
        <f t="shared" si="27"/>
        <v>70</v>
      </c>
    </row>
    <row r="451" spans="1:22" ht="14.25" hidden="1" customHeight="1" x14ac:dyDescent="0.3">
      <c r="A451" s="32">
        <v>444</v>
      </c>
      <c r="B451" s="26" t="s">
        <v>495</v>
      </c>
      <c r="C451" s="27" t="str">
        <f t="shared" si="24"/>
        <v>Masculino</v>
      </c>
      <c r="D451" s="33" t="str">
        <f>IFERROR(INDEX(SKUs!$E$6:$E$1997,MATCH(B451,SKUs!$C$6:$C$1997,0)),"")</f>
        <v>CAMISETA</v>
      </c>
      <c r="E451" s="28" t="str">
        <f>IFERROR(VLOOKUP(D451,Configurações!$N$5:$O$46,2,FALSE()),"OUTROS")</f>
        <v>VESTUÁRIO</v>
      </c>
      <c r="F451" s="33" t="str">
        <f>IFERROR(INDEX(SKUs!$F$6:$F$1997,MATCH(B451,SKUs!$C$6:$C$1997,0)),"")</f>
        <v>CAMISETA FIO EGIPCIO MASC.</v>
      </c>
      <c r="G451" s="33" t="str">
        <f>IFERROR(INDEX(SKUs!$G$6:$G$1997,MATCH(B451,SKUs!$C$6:$C$1997,0)),"")</f>
        <v>PRETA</v>
      </c>
      <c r="H451" s="32" t="str">
        <f>IFERROR(INDEX(SKUs!$H$6:$H$1997,MATCH(B451,SKUs!$C$6:$C$1997,0)),"")</f>
        <v>M</v>
      </c>
      <c r="I451" s="34" t="str">
        <f>IFERROR(INDEX(SKUs!#REF!,MATCH(B451,SKUs!$C$6:$C$1997,0)),"")</f>
        <v/>
      </c>
      <c r="J451" s="35">
        <f>SUMIFS(SKUs!$I$6:$I$1997,SKUs!$C$6:$C$1997,B451)</f>
        <v>0</v>
      </c>
      <c r="K451" s="34">
        <f t="shared" si="25"/>
        <v>0</v>
      </c>
      <c r="L451" s="35">
        <f>COUNTIF(SKUs!$C$6:$C$1997,B451)</f>
        <v>1</v>
      </c>
      <c r="M451" s="29">
        <v>2</v>
      </c>
      <c r="N451" s="29"/>
      <c r="O451" s="29"/>
      <c r="P451" s="29"/>
      <c r="Q451" s="29"/>
      <c r="R451" s="29"/>
      <c r="S451" s="29"/>
      <c r="T451" s="29"/>
      <c r="U451" s="30">
        <f t="shared" si="26"/>
        <v>2</v>
      </c>
      <c r="V451" s="31">
        <f t="shared" si="27"/>
        <v>0</v>
      </c>
    </row>
    <row r="452" spans="1:22" ht="14.25" hidden="1" customHeight="1" x14ac:dyDescent="0.3">
      <c r="A452" s="25">
        <v>445</v>
      </c>
      <c r="B452" s="26" t="s">
        <v>496</v>
      </c>
      <c r="C452" s="27" t="str">
        <f t="shared" si="24"/>
        <v>Masculino</v>
      </c>
      <c r="D452" s="2" t="str">
        <f>IFERROR(INDEX(SKUs!$E$6:$E$1997,MATCH(B452,SKUs!$C$6:$C$1997,0)),"")</f>
        <v>CAMISETA</v>
      </c>
      <c r="E452" s="28" t="str">
        <f>IFERROR(VLOOKUP(D452,Configurações!$N$5:$O$46,2,FALSE()),"OUTROS")</f>
        <v>VESTUÁRIO</v>
      </c>
      <c r="F452" s="2" t="str">
        <f>IFERROR(INDEX(SKUs!$F$6:$F$1997,MATCH(B452,SKUs!$C$6:$C$1997,0)),"")</f>
        <v>CAMISETA FIO EGIPCIO MASC.</v>
      </c>
      <c r="G452" s="2" t="str">
        <f>IFERROR(INDEX(SKUs!$G$6:$G$1997,MATCH(B452,SKUs!$C$6:$C$1997,0)),"")</f>
        <v>PRETA</v>
      </c>
      <c r="H452" s="25" t="str">
        <f>IFERROR(INDEX(SKUs!$H$6:$H$1997,MATCH(B452,SKUs!$C$6:$C$1997,0)),"")</f>
        <v>G</v>
      </c>
      <c r="I452" s="4" t="str">
        <f>IFERROR(INDEX(SKUs!#REF!,MATCH(B452,SKUs!$C$6:$C$1997,0)),"")</f>
        <v/>
      </c>
      <c r="J452" s="3">
        <f>SUMIFS(SKUs!$I$6:$I$1997,SKUs!$C$6:$C$1997,B452)</f>
        <v>0</v>
      </c>
      <c r="K452" s="4">
        <f t="shared" si="25"/>
        <v>0</v>
      </c>
      <c r="L452" s="3">
        <f>COUNTIF(SKUs!$C$6:$C$1997,B452)</f>
        <v>1</v>
      </c>
      <c r="M452" s="29">
        <v>1</v>
      </c>
      <c r="N452" s="29"/>
      <c r="O452" s="29"/>
      <c r="P452" s="29"/>
      <c r="Q452" s="29"/>
      <c r="R452" s="29"/>
      <c r="S452" s="29"/>
      <c r="T452" s="29"/>
      <c r="U452" s="30">
        <f t="shared" si="26"/>
        <v>1</v>
      </c>
      <c r="V452" s="31">
        <f t="shared" si="27"/>
        <v>0</v>
      </c>
    </row>
    <row r="453" spans="1:22" ht="14.25" hidden="1" customHeight="1" x14ac:dyDescent="0.3">
      <c r="A453" s="32">
        <v>446</v>
      </c>
      <c r="B453" s="26" t="s">
        <v>497</v>
      </c>
      <c r="C453" s="27" t="str">
        <f t="shared" si="24"/>
        <v>Masculino</v>
      </c>
      <c r="D453" s="33" t="str">
        <f>IFERROR(INDEX(SKUs!$E$6:$E$1997,MATCH(B453,SKUs!$C$6:$C$1997,0)),"")</f>
        <v>POLO</v>
      </c>
      <c r="E453" s="28" t="str">
        <f>IFERROR(VLOOKUP(D453,Configurações!$N$5:$O$46,2,FALSE()),"OUTROS")</f>
        <v>VESTUÁRIO</v>
      </c>
      <c r="F453" s="33" t="str">
        <f>IFERROR(INDEX(SKUs!$F$6:$F$1997,MATCH(B453,SKUs!$C$6:$C$1997,0)),"")</f>
        <v>POLO PIQUET PAN MASC.</v>
      </c>
      <c r="G453" s="33" t="str">
        <f>IFERROR(INDEX(SKUs!$G$6:$G$1997,MATCH(B453,SKUs!$C$6:$C$1997,0)),"")</f>
        <v>ROSA</v>
      </c>
      <c r="H453" s="32" t="str">
        <f>IFERROR(INDEX(SKUs!$H$6:$H$1997,MATCH(B453,SKUs!$C$6:$C$1997,0)),"")</f>
        <v>P</v>
      </c>
      <c r="I453" s="34" t="str">
        <f>IFERROR(INDEX(SKUs!#REF!,MATCH(B453,SKUs!$C$6:$C$1997,0)),"")</f>
        <v/>
      </c>
      <c r="J453" s="35">
        <f>SUMIFS(SKUs!$I$6:$I$1997,SKUs!$C$6:$C$1997,B453)</f>
        <v>11</v>
      </c>
      <c r="K453" s="34">
        <f t="shared" si="25"/>
        <v>0</v>
      </c>
      <c r="L453" s="35">
        <f>COUNTIF(SKUs!$C$6:$C$1997,B453)</f>
        <v>1</v>
      </c>
      <c r="M453" s="29"/>
      <c r="N453" s="29"/>
      <c r="O453" s="29"/>
      <c r="P453" s="29"/>
      <c r="Q453" s="29"/>
      <c r="R453" s="29"/>
      <c r="S453" s="29"/>
      <c r="T453" s="29"/>
      <c r="U453" s="30">
        <f t="shared" si="26"/>
        <v>0</v>
      </c>
      <c r="V453" s="31">
        <f t="shared" si="27"/>
        <v>11</v>
      </c>
    </row>
    <row r="454" spans="1:22" ht="14.25" hidden="1" customHeight="1" x14ac:dyDescent="0.3">
      <c r="A454" s="25">
        <v>447</v>
      </c>
      <c r="B454" s="26" t="s">
        <v>498</v>
      </c>
      <c r="C454" s="27" t="str">
        <f t="shared" si="24"/>
        <v>Masculino</v>
      </c>
      <c r="D454" s="2" t="str">
        <f>IFERROR(INDEX(SKUs!$E$6:$E$1997,MATCH(B454,SKUs!$C$6:$C$1997,0)),"")</f>
        <v>POLO</v>
      </c>
      <c r="E454" s="28" t="str">
        <f>IFERROR(VLOOKUP(D454,Configurações!$N$5:$O$46,2,FALSE()),"OUTROS")</f>
        <v>VESTUÁRIO</v>
      </c>
      <c r="F454" s="2" t="str">
        <f>IFERROR(INDEX(SKUs!$F$6:$F$1997,MATCH(B454,SKUs!$C$6:$C$1997,0)),"")</f>
        <v>POLO PIQUET PAN MASC.</v>
      </c>
      <c r="G454" s="2" t="str">
        <f>IFERROR(INDEX(SKUs!$G$6:$G$1997,MATCH(B454,SKUs!$C$6:$C$1997,0)),"")</f>
        <v>ROSA</v>
      </c>
      <c r="H454" s="25" t="str">
        <f>IFERROR(INDEX(SKUs!$H$6:$H$1997,MATCH(B454,SKUs!$C$6:$C$1997,0)),"")</f>
        <v>M</v>
      </c>
      <c r="I454" s="4" t="str">
        <f>IFERROR(INDEX(SKUs!#REF!,MATCH(B454,SKUs!$C$6:$C$1997,0)),"")</f>
        <v/>
      </c>
      <c r="J454" s="3">
        <f>SUMIFS(SKUs!$I$6:$I$1997,SKUs!$C$6:$C$1997,B454)</f>
        <v>30</v>
      </c>
      <c r="K454" s="4">
        <f t="shared" si="25"/>
        <v>0</v>
      </c>
      <c r="L454" s="3">
        <f>COUNTIF(SKUs!$C$6:$C$1997,B454)</f>
        <v>1</v>
      </c>
      <c r="M454" s="29"/>
      <c r="N454" s="29"/>
      <c r="O454" s="29"/>
      <c r="P454" s="29"/>
      <c r="Q454" s="29"/>
      <c r="R454" s="29"/>
      <c r="S454" s="29"/>
      <c r="T454" s="29"/>
      <c r="U454" s="30">
        <f t="shared" si="26"/>
        <v>0</v>
      </c>
      <c r="V454" s="31">
        <f t="shared" si="27"/>
        <v>30</v>
      </c>
    </row>
    <row r="455" spans="1:22" ht="14.25" hidden="1" customHeight="1" x14ac:dyDescent="0.3">
      <c r="A455" s="32">
        <v>448</v>
      </c>
      <c r="B455" s="26" t="s">
        <v>499</v>
      </c>
      <c r="C455" s="27" t="str">
        <f t="shared" si="24"/>
        <v>Masculino</v>
      </c>
      <c r="D455" s="33" t="str">
        <f>IFERROR(INDEX(SKUs!$E$6:$E$1997,MATCH(B455,SKUs!$C$6:$C$1997,0)),"")</f>
        <v>POLO</v>
      </c>
      <c r="E455" s="28" t="str">
        <f>IFERROR(VLOOKUP(D455,Configurações!$N$5:$O$46,2,FALSE()),"OUTROS")</f>
        <v>VESTUÁRIO</v>
      </c>
      <c r="F455" s="33" t="str">
        <f>IFERROR(INDEX(SKUs!$F$6:$F$1997,MATCH(B455,SKUs!$C$6:$C$1997,0)),"")</f>
        <v>POLO BASICA MASC.</v>
      </c>
      <c r="G455" s="33" t="str">
        <f>IFERROR(INDEX(SKUs!$G$6:$G$1997,MATCH(B455,SKUs!$C$6:$C$1997,0)),"")</f>
        <v>PRETA</v>
      </c>
      <c r="H455" s="32" t="str">
        <f>IFERROR(INDEX(SKUs!$H$6:$H$1997,MATCH(B455,SKUs!$C$6:$C$1997,0)),"")</f>
        <v>GG</v>
      </c>
      <c r="I455" s="34" t="str">
        <f>IFERROR(INDEX(SKUs!#REF!,MATCH(B455,SKUs!$C$6:$C$1997,0)),"")</f>
        <v/>
      </c>
      <c r="J455" s="35">
        <f>SUMIFS(SKUs!$I$6:$I$1997,SKUs!$C$6:$C$1997,B455)</f>
        <v>1</v>
      </c>
      <c r="K455" s="34">
        <f t="shared" si="25"/>
        <v>0</v>
      </c>
      <c r="L455" s="35">
        <f>COUNTIF(SKUs!$C$6:$C$1997,B455)</f>
        <v>1</v>
      </c>
      <c r="M455" s="29">
        <v>6</v>
      </c>
      <c r="N455" s="29"/>
      <c r="O455" s="29"/>
      <c r="P455" s="29"/>
      <c r="Q455" s="29"/>
      <c r="R455" s="29"/>
      <c r="S455" s="29"/>
      <c r="T455" s="29"/>
      <c r="U455" s="30">
        <f t="shared" si="26"/>
        <v>6</v>
      </c>
      <c r="V455" s="31">
        <f t="shared" si="27"/>
        <v>1</v>
      </c>
    </row>
    <row r="456" spans="1:22" ht="14.25" hidden="1" customHeight="1" x14ac:dyDescent="0.3">
      <c r="A456" s="25">
        <v>449</v>
      </c>
      <c r="B456" s="26" t="s">
        <v>500</v>
      </c>
      <c r="C456" s="27" t="str">
        <f t="shared" ref="C456:C519" si="28">IF(B456="","",IFERROR(IF(TRIM(MID(SUBSTITUTE(B456,".",REPT(" ",50)),51,50))="01","Masculino",IF(TRIM(MID(SUBSTITUTE(B456,".",REPT(" ",50)),51,50))="02","Feminino",IF(TRIM(MID(SUBSTITUTE(B456,".",REPT(" ",50)),51,50))="03","Outros","—"))),"—"))</f>
        <v>Masculino</v>
      </c>
      <c r="D456" s="2" t="str">
        <f>IFERROR(INDEX(SKUs!$E$6:$E$1997,MATCH(B456,SKUs!$C$6:$C$1997,0)),"")</f>
        <v>POLO</v>
      </c>
      <c r="E456" s="28" t="str">
        <f>IFERROR(VLOOKUP(D456,Configurações!$N$5:$O$46,2,FALSE()),"OUTROS")</f>
        <v>VESTUÁRIO</v>
      </c>
      <c r="F456" s="2" t="str">
        <f>IFERROR(INDEX(SKUs!$F$6:$F$1997,MATCH(B456,SKUs!$C$6:$C$1997,0)),"")</f>
        <v>POLO BASICA MASC.</v>
      </c>
      <c r="G456" s="2" t="str">
        <f>IFERROR(INDEX(SKUs!$G$6:$G$1997,MATCH(B456,SKUs!$C$6:$C$1997,0)),"")</f>
        <v>PRETA</v>
      </c>
      <c r="H456" s="25" t="str">
        <f>IFERROR(INDEX(SKUs!$H$6:$H$1997,MATCH(B456,SKUs!$C$6:$C$1997,0)),"")</f>
        <v>XG</v>
      </c>
      <c r="I456" s="4" t="str">
        <f>IFERROR(INDEX(SKUs!#REF!,MATCH(B456,SKUs!$C$6:$C$1997,0)),"")</f>
        <v/>
      </c>
      <c r="J456" s="3">
        <f>SUMIFS(SKUs!$I$6:$I$1997,SKUs!$C$6:$C$1997,B456)</f>
        <v>0</v>
      </c>
      <c r="K456" s="4">
        <f t="shared" ref="K456:K491" si="29">IFERROR(I456*J456,0)</f>
        <v>0</v>
      </c>
      <c r="L456" s="3">
        <f>COUNTIF(SKUs!$C$6:$C$1997,B456)</f>
        <v>1</v>
      </c>
      <c r="M456" s="29">
        <v>5</v>
      </c>
      <c r="N456" s="29"/>
      <c r="O456" s="29"/>
      <c r="P456" s="29"/>
      <c r="Q456" s="29"/>
      <c r="R456" s="29"/>
      <c r="S456" s="29"/>
      <c r="T456" s="29"/>
      <c r="U456" s="30">
        <f t="shared" ref="U456:U491" si="30">SUM(M456:R456)</f>
        <v>5</v>
      </c>
      <c r="V456" s="31">
        <f t="shared" ref="V456:V519" si="31">IF(B456="","",J456)</f>
        <v>0</v>
      </c>
    </row>
    <row r="457" spans="1:22" ht="14.25" hidden="1" customHeight="1" x14ac:dyDescent="0.3">
      <c r="A457" s="32">
        <v>450</v>
      </c>
      <c r="B457" s="26" t="s">
        <v>501</v>
      </c>
      <c r="C457" s="27" t="str">
        <f t="shared" si="28"/>
        <v>Masculino</v>
      </c>
      <c r="D457" s="33" t="str">
        <f>IFERROR(INDEX(SKUs!$E$6:$E$1997,MATCH(B457,SKUs!$C$6:$C$1997,0)),"")</f>
        <v>POLO</v>
      </c>
      <c r="E457" s="28" t="str">
        <f>IFERROR(VLOOKUP(D457,Configurações!$N$5:$O$46,2,FALSE()),"OUTROS")</f>
        <v>VESTUÁRIO</v>
      </c>
      <c r="F457" s="33" t="str">
        <f>IFERROR(INDEX(SKUs!$F$6:$F$1997,MATCH(B457,SKUs!$C$6:$C$1997,0)),"")</f>
        <v>POLO PIQUET MESCLA P&amp;F MASC.</v>
      </c>
      <c r="G457" s="33" t="str">
        <f>IFERROR(INDEX(SKUs!$G$6:$G$1997,MATCH(B457,SKUs!$C$6:$C$1997,0)),"")</f>
        <v>AZUL</v>
      </c>
      <c r="H457" s="32" t="str">
        <f>IFERROR(INDEX(SKUs!$H$6:$H$1997,MATCH(B457,SKUs!$C$6:$C$1997,0)),"")</f>
        <v>M</v>
      </c>
      <c r="I457" s="34" t="str">
        <f>IFERROR(INDEX(SKUs!#REF!,MATCH(B457,SKUs!$C$6:$C$1997,0)),"")</f>
        <v/>
      </c>
      <c r="J457" s="35">
        <f>SUMIFS(SKUs!$I$6:$I$1997,SKUs!$C$6:$C$1997,B457)</f>
        <v>33</v>
      </c>
      <c r="K457" s="34">
        <f t="shared" si="29"/>
        <v>0</v>
      </c>
      <c r="L457" s="35">
        <f>COUNTIF(SKUs!$C$6:$C$1997,B457)</f>
        <v>1</v>
      </c>
      <c r="M457" s="29"/>
      <c r="N457" s="29"/>
      <c r="O457" s="29"/>
      <c r="P457" s="29"/>
      <c r="Q457" s="29"/>
      <c r="R457" s="29"/>
      <c r="S457" s="29"/>
      <c r="T457" s="29"/>
      <c r="U457" s="30">
        <f t="shared" si="30"/>
        <v>0</v>
      </c>
      <c r="V457" s="31">
        <f t="shared" si="31"/>
        <v>33</v>
      </c>
    </row>
    <row r="458" spans="1:22" ht="14.25" hidden="1" customHeight="1" x14ac:dyDescent="0.3">
      <c r="A458" s="25">
        <v>451</v>
      </c>
      <c r="B458" s="26" t="s">
        <v>502</v>
      </c>
      <c r="C458" s="27" t="str">
        <f t="shared" si="28"/>
        <v>Masculino</v>
      </c>
      <c r="D458" s="2" t="str">
        <f>IFERROR(INDEX(SKUs!$E$6:$E$1997,MATCH(B458,SKUs!$C$6:$C$1997,0)),"")</f>
        <v>POLO</v>
      </c>
      <c r="E458" s="28" t="str">
        <f>IFERROR(VLOOKUP(D458,Configurações!$N$5:$O$46,2,FALSE()),"OUTROS")</f>
        <v>VESTUÁRIO</v>
      </c>
      <c r="F458" s="2" t="str">
        <f>IFERROR(INDEX(SKUs!$F$6:$F$1997,MATCH(B458,SKUs!$C$6:$C$1997,0)),"")</f>
        <v>POLO PIQUET MESCLA P&amp;F MASC.</v>
      </c>
      <c r="G458" s="2" t="str">
        <f>IFERROR(INDEX(SKUs!$G$6:$G$1997,MATCH(B458,SKUs!$C$6:$C$1997,0)),"")</f>
        <v>AZUL</v>
      </c>
      <c r="H458" s="25" t="str">
        <f>IFERROR(INDEX(SKUs!$H$6:$H$1997,MATCH(B458,SKUs!$C$6:$C$1997,0)),"")</f>
        <v>PP</v>
      </c>
      <c r="I458" s="4" t="str">
        <f>IFERROR(INDEX(SKUs!#REF!,MATCH(B458,SKUs!$C$6:$C$1997,0)),"")</f>
        <v/>
      </c>
      <c r="J458" s="3">
        <f>SUMIFS(SKUs!$I$6:$I$1997,SKUs!$C$6:$C$1997,B458)</f>
        <v>24</v>
      </c>
      <c r="K458" s="4">
        <f t="shared" si="29"/>
        <v>0</v>
      </c>
      <c r="L458" s="3">
        <f>COUNTIF(SKUs!$C$6:$C$1997,B458)</f>
        <v>1</v>
      </c>
      <c r="M458" s="29"/>
      <c r="N458" s="29"/>
      <c r="O458" s="29"/>
      <c r="P458" s="29"/>
      <c r="Q458" s="29"/>
      <c r="R458" s="29"/>
      <c r="S458" s="29"/>
      <c r="T458" s="29"/>
      <c r="U458" s="30">
        <f t="shared" si="30"/>
        <v>0</v>
      </c>
      <c r="V458" s="31">
        <f t="shared" si="31"/>
        <v>24</v>
      </c>
    </row>
    <row r="459" spans="1:22" ht="14.25" hidden="1" customHeight="1" x14ac:dyDescent="0.3">
      <c r="A459" s="32">
        <v>452</v>
      </c>
      <c r="B459" s="26" t="s">
        <v>503</v>
      </c>
      <c r="C459" s="27" t="str">
        <f t="shared" si="28"/>
        <v>Masculino</v>
      </c>
      <c r="D459" s="33" t="str">
        <f>IFERROR(INDEX(SKUs!$E$6:$E$1997,MATCH(B459,SKUs!$C$6:$C$1997,0)),"")</f>
        <v>POLO</v>
      </c>
      <c r="E459" s="28" t="str">
        <f>IFERROR(VLOOKUP(D459,Configurações!$N$5:$O$46,2,FALSE()),"OUTROS")</f>
        <v>VESTUÁRIO</v>
      </c>
      <c r="F459" s="33" t="str">
        <f>IFERROR(INDEX(SKUs!$F$6:$F$1997,MATCH(B459,SKUs!$C$6:$C$1997,0)),"")</f>
        <v>POLO PIQUET MESCLA P&amp;F MASC.</v>
      </c>
      <c r="G459" s="33" t="str">
        <f>IFERROR(INDEX(SKUs!$G$6:$G$1997,MATCH(B459,SKUs!$C$6:$C$1997,0)),"")</f>
        <v>AZUL</v>
      </c>
      <c r="H459" s="32" t="str">
        <f>IFERROR(INDEX(SKUs!$H$6:$H$1997,MATCH(B459,SKUs!$C$6:$C$1997,0)),"")</f>
        <v>P</v>
      </c>
      <c r="I459" s="34" t="str">
        <f>IFERROR(INDEX(SKUs!#REF!,MATCH(B459,SKUs!$C$6:$C$1997,0)),"")</f>
        <v/>
      </c>
      <c r="J459" s="35">
        <f>SUMIFS(SKUs!$I$6:$I$1997,SKUs!$C$6:$C$1997,B459)</f>
        <v>75</v>
      </c>
      <c r="K459" s="34">
        <f t="shared" si="29"/>
        <v>0</v>
      </c>
      <c r="L459" s="35">
        <f>COUNTIF(SKUs!$C$6:$C$1997,B459)</f>
        <v>2</v>
      </c>
      <c r="M459" s="29"/>
      <c r="N459" s="29"/>
      <c r="O459" s="29"/>
      <c r="P459" s="29"/>
      <c r="Q459" s="29"/>
      <c r="R459" s="29"/>
      <c r="S459" s="29"/>
      <c r="T459" s="29"/>
      <c r="U459" s="30">
        <f t="shared" si="30"/>
        <v>0</v>
      </c>
      <c r="V459" s="31">
        <f t="shared" si="31"/>
        <v>75</v>
      </c>
    </row>
    <row r="460" spans="1:22" ht="14.25" hidden="1" customHeight="1" x14ac:dyDescent="0.3">
      <c r="A460" s="25">
        <v>453</v>
      </c>
      <c r="B460" s="26" t="s">
        <v>504</v>
      </c>
      <c r="C460" s="27" t="str">
        <f t="shared" si="28"/>
        <v>Masculino</v>
      </c>
      <c r="D460" s="2" t="str">
        <f>IFERROR(INDEX(SKUs!$E$6:$E$1997,MATCH(B460,SKUs!$C$6:$C$1997,0)),"")</f>
        <v>POLO</v>
      </c>
      <c r="E460" s="28" t="str">
        <f>IFERROR(VLOOKUP(D460,Configurações!$N$5:$O$46,2,FALSE()),"OUTROS")</f>
        <v>VESTUÁRIO</v>
      </c>
      <c r="F460" s="2" t="str">
        <f>IFERROR(INDEX(SKUs!$F$6:$F$1997,MATCH(B460,SKUs!$C$6:$C$1997,0)),"")</f>
        <v>POLO PIQUET OUT. ROSA MASC.</v>
      </c>
      <c r="G460" s="2" t="str">
        <f>IFERROR(INDEX(SKUs!$G$6:$G$1997,MATCH(B460,SKUs!$C$6:$C$1997,0)),"")</f>
        <v>ROSA</v>
      </c>
      <c r="H460" s="25" t="str">
        <f>IFERROR(INDEX(SKUs!$H$6:$H$1997,MATCH(B460,SKUs!$C$6:$C$1997,0)),"")</f>
        <v>G</v>
      </c>
      <c r="I460" s="4" t="str">
        <f>IFERROR(INDEX(SKUs!#REF!,MATCH(B460,SKUs!$C$6:$C$1997,0)),"")</f>
        <v/>
      </c>
      <c r="J460" s="3">
        <f>SUMIFS(SKUs!$I$6:$I$1997,SKUs!$C$6:$C$1997,B460)</f>
        <v>23</v>
      </c>
      <c r="K460" s="4">
        <f t="shared" si="29"/>
        <v>0</v>
      </c>
      <c r="L460" s="3">
        <f>COUNTIF(SKUs!$C$6:$C$1997,B460)</f>
        <v>1</v>
      </c>
      <c r="M460" s="29"/>
      <c r="N460" s="29"/>
      <c r="O460" s="29"/>
      <c r="P460" s="29"/>
      <c r="Q460" s="29"/>
      <c r="R460" s="29"/>
      <c r="S460" s="29"/>
      <c r="T460" s="29"/>
      <c r="U460" s="30">
        <f t="shared" si="30"/>
        <v>0</v>
      </c>
      <c r="V460" s="31">
        <f t="shared" si="31"/>
        <v>23</v>
      </c>
    </row>
    <row r="461" spans="1:22" ht="14.25" hidden="1" customHeight="1" x14ac:dyDescent="0.3">
      <c r="A461" s="32">
        <v>454</v>
      </c>
      <c r="B461" s="26" t="s">
        <v>505</v>
      </c>
      <c r="C461" s="27" t="str">
        <f t="shared" si="28"/>
        <v>Feminino</v>
      </c>
      <c r="D461" s="33" t="str">
        <f>IFERROR(INDEX(SKUs!$E$6:$E$1997,MATCH(B461,SKUs!$C$6:$C$1997,0)),"")</f>
        <v>POLO</v>
      </c>
      <c r="E461" s="28" t="str">
        <f>IFERROR(VLOOKUP(D461,Configurações!$N$5:$O$46,2,FALSE()),"OUTROS")</f>
        <v>VESTUÁRIO</v>
      </c>
      <c r="F461" s="33" t="str">
        <f>IFERROR(INDEX(SKUs!$F$6:$F$1997,MATCH(B461,SKUs!$C$6:$C$1997,0)),"")</f>
        <v>POLO PIQUET PAN FEM.</v>
      </c>
      <c r="G461" s="33" t="str">
        <f>IFERROR(INDEX(SKUs!$G$6:$G$1997,MATCH(B461,SKUs!$C$6:$C$1997,0)),"")</f>
        <v>ROSA</v>
      </c>
      <c r="H461" s="32" t="str">
        <f>IFERROR(INDEX(SKUs!$H$6:$H$1997,MATCH(B461,SKUs!$C$6:$C$1997,0)),"")</f>
        <v>P</v>
      </c>
      <c r="I461" s="34" t="str">
        <f>IFERROR(INDEX(SKUs!#REF!,MATCH(B461,SKUs!$C$6:$C$1997,0)),"")</f>
        <v/>
      </c>
      <c r="J461" s="35">
        <f>SUMIFS(SKUs!$I$6:$I$1997,SKUs!$C$6:$C$1997,B461)</f>
        <v>60</v>
      </c>
      <c r="K461" s="34">
        <f t="shared" si="29"/>
        <v>0</v>
      </c>
      <c r="L461" s="35">
        <f>COUNTIF(SKUs!$C$6:$C$1997,B461)</f>
        <v>1</v>
      </c>
      <c r="M461" s="29"/>
      <c r="N461" s="29"/>
      <c r="O461" s="29"/>
      <c r="P461" s="29"/>
      <c r="Q461" s="29"/>
      <c r="R461" s="29"/>
      <c r="S461" s="29"/>
      <c r="T461" s="29"/>
      <c r="U461" s="30">
        <f t="shared" si="30"/>
        <v>0</v>
      </c>
      <c r="V461" s="31">
        <f t="shared" si="31"/>
        <v>60</v>
      </c>
    </row>
    <row r="462" spans="1:22" ht="14.25" hidden="1" customHeight="1" x14ac:dyDescent="0.3">
      <c r="A462" s="25">
        <v>455</v>
      </c>
      <c r="B462" s="26" t="s">
        <v>506</v>
      </c>
      <c r="C462" s="27" t="str">
        <f t="shared" si="28"/>
        <v>Feminino</v>
      </c>
      <c r="D462" s="2" t="str">
        <f>IFERROR(INDEX(SKUs!$E$6:$E$1997,MATCH(B462,SKUs!$C$6:$C$1997,0)),"")</f>
        <v>POLO</v>
      </c>
      <c r="E462" s="28" t="str">
        <f>IFERROR(VLOOKUP(D462,Configurações!$N$5:$O$46,2,FALSE()),"OUTROS")</f>
        <v>VESTUÁRIO</v>
      </c>
      <c r="F462" s="2" t="str">
        <f>IFERROR(INDEX(SKUs!$F$6:$F$1997,MATCH(B462,SKUs!$C$6:$C$1997,0)),"")</f>
        <v>POLO PIQUET PAN FEM.</v>
      </c>
      <c r="G462" s="2" t="str">
        <f>IFERROR(INDEX(SKUs!$G$6:$G$1997,MATCH(B462,SKUs!$C$6:$C$1997,0)),"")</f>
        <v>ROSA</v>
      </c>
      <c r="H462" s="25" t="str">
        <f>IFERROR(INDEX(SKUs!$H$6:$H$1997,MATCH(B462,SKUs!$C$6:$C$1997,0)),"")</f>
        <v>PP</v>
      </c>
      <c r="I462" s="4" t="str">
        <f>IFERROR(INDEX(SKUs!#REF!,MATCH(B462,SKUs!$C$6:$C$1997,0)),"")</f>
        <v/>
      </c>
      <c r="J462" s="3">
        <f>SUMIFS(SKUs!$I$6:$I$1997,SKUs!$C$6:$C$1997,B462)</f>
        <v>42</v>
      </c>
      <c r="K462" s="4">
        <f t="shared" si="29"/>
        <v>0</v>
      </c>
      <c r="L462" s="3">
        <f>COUNTIF(SKUs!$C$6:$C$1997,B462)</f>
        <v>1</v>
      </c>
      <c r="M462" s="29"/>
      <c r="N462" s="29"/>
      <c r="O462" s="29"/>
      <c r="P462" s="29"/>
      <c r="Q462" s="29"/>
      <c r="R462" s="29"/>
      <c r="S462" s="29"/>
      <c r="T462" s="29"/>
      <c r="U462" s="30">
        <f t="shared" si="30"/>
        <v>0</v>
      </c>
      <c r="V462" s="31">
        <f t="shared" si="31"/>
        <v>42</v>
      </c>
    </row>
    <row r="463" spans="1:22" ht="14.25" hidden="1" customHeight="1" x14ac:dyDescent="0.3">
      <c r="A463" s="32">
        <v>456</v>
      </c>
      <c r="B463" s="26" t="s">
        <v>507</v>
      </c>
      <c r="C463" s="27" t="str">
        <f t="shared" si="28"/>
        <v>Masculino</v>
      </c>
      <c r="D463" s="33" t="str">
        <f>IFERROR(INDEX(SKUs!$E$6:$E$1997,MATCH(B463,SKUs!$C$6:$C$1997,0)),"")</f>
        <v>POLO</v>
      </c>
      <c r="E463" s="28" t="str">
        <f>IFERROR(VLOOKUP(D463,Configurações!$N$5:$O$46,2,FALSE()),"OUTROS")</f>
        <v>VESTUÁRIO</v>
      </c>
      <c r="F463" s="33" t="str">
        <f>IFERROR(INDEX(SKUs!$F$6:$F$1997,MATCH(B463,SKUs!$C$6:$C$1997,0)),"")</f>
        <v>POLO PIQUET RISCOS MASC.</v>
      </c>
      <c r="G463" s="33" t="str">
        <f>IFERROR(INDEX(SKUs!$G$6:$G$1997,MATCH(B463,SKUs!$C$6:$C$1997,0)),"")</f>
        <v>CINZA</v>
      </c>
      <c r="H463" s="32" t="str">
        <f>IFERROR(INDEX(SKUs!$H$6:$H$1997,MATCH(B463,SKUs!$C$6:$C$1997,0)),"")</f>
        <v>M</v>
      </c>
      <c r="I463" s="34" t="str">
        <f>IFERROR(INDEX(SKUs!#REF!,MATCH(B463,SKUs!$C$6:$C$1997,0)),"")</f>
        <v/>
      </c>
      <c r="J463" s="35">
        <f>SUMIFS(SKUs!$I$6:$I$1997,SKUs!$C$6:$C$1997,B463)</f>
        <v>143</v>
      </c>
      <c r="K463" s="34">
        <f t="shared" si="29"/>
        <v>0</v>
      </c>
      <c r="L463" s="35">
        <f>COUNTIF(SKUs!$C$6:$C$1997,B463)</f>
        <v>3</v>
      </c>
      <c r="M463" s="29">
        <v>20</v>
      </c>
      <c r="N463" s="29"/>
      <c r="O463" s="29"/>
      <c r="P463" s="29"/>
      <c r="Q463" s="29"/>
      <c r="R463" s="29"/>
      <c r="S463" s="29"/>
      <c r="T463" s="29"/>
      <c r="U463" s="30">
        <f t="shared" si="30"/>
        <v>20</v>
      </c>
      <c r="V463" s="31">
        <f t="shared" si="31"/>
        <v>143</v>
      </c>
    </row>
    <row r="464" spans="1:22" ht="14.25" hidden="1" customHeight="1" x14ac:dyDescent="0.3">
      <c r="A464" s="25">
        <v>457</v>
      </c>
      <c r="B464" s="26" t="s">
        <v>508</v>
      </c>
      <c r="C464" s="27" t="str">
        <f t="shared" si="28"/>
        <v>Masculino</v>
      </c>
      <c r="D464" s="2" t="str">
        <f>IFERROR(INDEX(SKUs!$E$6:$E$1997,MATCH(B464,SKUs!$C$6:$C$1997,0)),"")</f>
        <v>POLO</v>
      </c>
      <c r="E464" s="28" t="str">
        <f>IFERROR(VLOOKUP(D464,Configurações!$N$5:$O$46,2,FALSE()),"OUTROS")</f>
        <v>VESTUÁRIO</v>
      </c>
      <c r="F464" s="2" t="str">
        <f>IFERROR(INDEX(SKUs!$F$6:$F$1997,MATCH(B464,SKUs!$C$6:$C$1997,0)),"")</f>
        <v>POLO PIQUET RISCOS MASC.</v>
      </c>
      <c r="G464" s="2" t="str">
        <f>IFERROR(INDEX(SKUs!$G$6:$G$1997,MATCH(B464,SKUs!$C$6:$C$1997,0)),"")</f>
        <v>CINZA</v>
      </c>
      <c r="H464" s="25" t="str">
        <f>IFERROR(INDEX(SKUs!$H$6:$H$1997,MATCH(B464,SKUs!$C$6:$C$1997,0)),"")</f>
        <v>XG</v>
      </c>
      <c r="I464" s="4" t="str">
        <f>IFERROR(INDEX(SKUs!#REF!,MATCH(B464,SKUs!$C$6:$C$1997,0)),"")</f>
        <v/>
      </c>
      <c r="J464" s="3">
        <f>SUMIFS(SKUs!$I$6:$I$1997,SKUs!$C$6:$C$1997,B464)</f>
        <v>0</v>
      </c>
      <c r="K464" s="4">
        <f t="shared" si="29"/>
        <v>0</v>
      </c>
      <c r="L464" s="3">
        <f>COUNTIF(SKUs!$C$6:$C$1997,B464)</f>
        <v>1</v>
      </c>
      <c r="M464" s="29">
        <v>10</v>
      </c>
      <c r="N464" s="29"/>
      <c r="O464" s="29"/>
      <c r="P464" s="29"/>
      <c r="Q464" s="29"/>
      <c r="R464" s="29"/>
      <c r="S464" s="29"/>
      <c r="T464" s="29"/>
      <c r="U464" s="30">
        <f t="shared" si="30"/>
        <v>10</v>
      </c>
      <c r="V464" s="31">
        <f t="shared" si="31"/>
        <v>0</v>
      </c>
    </row>
    <row r="465" spans="1:22" ht="14.25" hidden="1" customHeight="1" x14ac:dyDescent="0.3">
      <c r="A465" s="32">
        <v>458</v>
      </c>
      <c r="B465" s="26" t="s">
        <v>509</v>
      </c>
      <c r="C465" s="27" t="str">
        <f t="shared" si="28"/>
        <v>Masculino</v>
      </c>
      <c r="D465" s="33" t="str">
        <f>IFERROR(INDEX(SKUs!$E$6:$E$1997,MATCH(B465,SKUs!$C$6:$C$1997,0)),"")</f>
        <v>POLO</v>
      </c>
      <c r="E465" s="28" t="str">
        <f>IFERROR(VLOOKUP(D465,Configurações!$N$5:$O$46,2,FALSE()),"OUTROS")</f>
        <v>VESTUÁRIO</v>
      </c>
      <c r="F465" s="33" t="str">
        <f>IFERROR(INDEX(SKUs!$F$6:$F$1997,MATCH(B465,SKUs!$C$6:$C$1997,0)),"")</f>
        <v>POLO PIQUET RISCOS MASC.</v>
      </c>
      <c r="G465" s="33" t="str">
        <f>IFERROR(INDEX(SKUs!$G$6:$G$1997,MATCH(B465,SKUs!$C$6:$C$1997,0)),"")</f>
        <v>CINZA</v>
      </c>
      <c r="H465" s="32" t="str">
        <f>IFERROR(INDEX(SKUs!$H$6:$H$1997,MATCH(B465,SKUs!$C$6:$C$1997,0)),"")</f>
        <v>P</v>
      </c>
      <c r="I465" s="34" t="str">
        <f>IFERROR(INDEX(SKUs!#REF!,MATCH(B465,SKUs!$C$6:$C$1997,0)),"")</f>
        <v/>
      </c>
      <c r="J465" s="35">
        <f>SUMIFS(SKUs!$I$6:$I$1997,SKUs!$C$6:$C$1997,B465)</f>
        <v>65</v>
      </c>
      <c r="K465" s="34">
        <f t="shared" si="29"/>
        <v>0</v>
      </c>
      <c r="L465" s="35">
        <f>COUNTIF(SKUs!$C$6:$C$1997,B465)</f>
        <v>2</v>
      </c>
      <c r="M465" s="29">
        <v>20</v>
      </c>
      <c r="N465" s="29"/>
      <c r="O465" s="29"/>
      <c r="P465" s="29"/>
      <c r="Q465" s="29"/>
      <c r="R465" s="29"/>
      <c r="S465" s="29"/>
      <c r="T465" s="29"/>
      <c r="U465" s="30">
        <f t="shared" si="30"/>
        <v>20</v>
      </c>
      <c r="V465" s="31">
        <f t="shared" si="31"/>
        <v>65</v>
      </c>
    </row>
    <row r="466" spans="1:22" ht="14.25" hidden="1" customHeight="1" x14ac:dyDescent="0.3">
      <c r="A466" s="25">
        <v>459</v>
      </c>
      <c r="B466" s="26" t="s">
        <v>510</v>
      </c>
      <c r="C466" s="27" t="str">
        <f t="shared" si="28"/>
        <v>Masculino</v>
      </c>
      <c r="D466" s="2" t="str">
        <f>IFERROR(INDEX(SKUs!$E$6:$E$1997,MATCH(B466,SKUs!$C$6:$C$1997,0)),"")</f>
        <v>POLO</v>
      </c>
      <c r="E466" s="28" t="str">
        <f>IFERROR(VLOOKUP(D466,Configurações!$N$5:$O$46,2,FALSE()),"OUTROS")</f>
        <v>VESTUÁRIO</v>
      </c>
      <c r="F466" s="2" t="str">
        <f>IFERROR(INDEX(SKUs!$F$6:$F$1997,MATCH(B466,SKUs!$C$6:$C$1997,0)),"")</f>
        <v>POLO PIQUET RISCOS MASC.</v>
      </c>
      <c r="G466" s="2" t="str">
        <f>IFERROR(INDEX(SKUs!$G$6:$G$1997,MATCH(B466,SKUs!$C$6:$C$1997,0)),"")</f>
        <v>CINZA</v>
      </c>
      <c r="H466" s="25" t="str">
        <f>IFERROR(INDEX(SKUs!$H$6:$H$1997,MATCH(B466,SKUs!$C$6:$C$1997,0)),"")</f>
        <v>PP</v>
      </c>
      <c r="I466" s="4" t="str">
        <f>IFERROR(INDEX(SKUs!#REF!,MATCH(B466,SKUs!$C$6:$C$1997,0)),"")</f>
        <v/>
      </c>
      <c r="J466" s="3">
        <f>SUMIFS(SKUs!$I$6:$I$1997,SKUs!$C$6:$C$1997,B466)</f>
        <v>20</v>
      </c>
      <c r="K466" s="4">
        <f t="shared" si="29"/>
        <v>0</v>
      </c>
      <c r="L466" s="3">
        <f>COUNTIF(SKUs!$C$6:$C$1997,B466)</f>
        <v>1</v>
      </c>
      <c r="M466" s="29">
        <v>10</v>
      </c>
      <c r="N466" s="29"/>
      <c r="O466" s="29"/>
      <c r="P466" s="29"/>
      <c r="Q466" s="29"/>
      <c r="R466" s="29"/>
      <c r="S466" s="29"/>
      <c r="T466" s="29"/>
      <c r="U466" s="30">
        <f t="shared" si="30"/>
        <v>10</v>
      </c>
      <c r="V466" s="31">
        <f t="shared" si="31"/>
        <v>20</v>
      </c>
    </row>
    <row r="467" spans="1:22" ht="14.25" hidden="1" customHeight="1" x14ac:dyDescent="0.3">
      <c r="A467" s="32">
        <v>460</v>
      </c>
      <c r="B467" s="26" t="s">
        <v>511</v>
      </c>
      <c r="C467" s="27" t="str">
        <f t="shared" si="28"/>
        <v>Masculino</v>
      </c>
      <c r="D467" s="33" t="str">
        <f>IFERROR(INDEX(SKUs!$E$6:$E$1997,MATCH(B467,SKUs!$C$6:$C$1997,0)),"")</f>
        <v>CAMISETA</v>
      </c>
      <c r="E467" s="28" t="str">
        <f>IFERROR(VLOOKUP(D467,Configurações!$N$5:$O$46,2,FALSE()),"OUTROS")</f>
        <v>VESTUÁRIO</v>
      </c>
      <c r="F467" s="33" t="str">
        <f>IFERROR(INDEX(SKUs!$F$6:$F$1997,MATCH(B467,SKUs!$C$6:$C$1997,0)),"")</f>
        <v>CAMISETA FIO EGIPCIO PAN MASC.</v>
      </c>
      <c r="G467" s="33" t="str">
        <f>IFERROR(INDEX(SKUs!$G$6:$G$1997,MATCH(B467,SKUs!$C$6:$C$1997,0)),"")</f>
        <v>AZUL</v>
      </c>
      <c r="H467" s="32" t="str">
        <f>IFERROR(INDEX(SKUs!$H$6:$H$1997,MATCH(B467,SKUs!$C$6:$C$1997,0)),"")</f>
        <v>P</v>
      </c>
      <c r="I467" s="34" t="str">
        <f>IFERROR(INDEX(SKUs!#REF!,MATCH(B467,SKUs!$C$6:$C$1997,0)),"")</f>
        <v/>
      </c>
      <c r="J467" s="35">
        <f>SUMIFS(SKUs!$I$6:$I$1997,SKUs!$C$6:$C$1997,B467)</f>
        <v>28</v>
      </c>
      <c r="K467" s="34">
        <f t="shared" si="29"/>
        <v>0</v>
      </c>
      <c r="L467" s="35">
        <f>COUNTIF(SKUs!$C$6:$C$1997,B467)</f>
        <v>1</v>
      </c>
      <c r="M467" s="29"/>
      <c r="N467" s="29"/>
      <c r="O467" s="29"/>
      <c r="P467" s="29"/>
      <c r="Q467" s="29"/>
      <c r="R467" s="29"/>
      <c r="S467" s="29"/>
      <c r="T467" s="29"/>
      <c r="U467" s="30">
        <f t="shared" si="30"/>
        <v>0</v>
      </c>
      <c r="V467" s="31">
        <f t="shared" si="31"/>
        <v>28</v>
      </c>
    </row>
    <row r="468" spans="1:22" ht="14.25" hidden="1" customHeight="1" x14ac:dyDescent="0.3">
      <c r="A468" s="25">
        <v>461</v>
      </c>
      <c r="B468" s="26" t="s">
        <v>512</v>
      </c>
      <c r="C468" s="27" t="str">
        <f t="shared" si="28"/>
        <v>Masculino</v>
      </c>
      <c r="D468" s="2" t="str">
        <f>IFERROR(INDEX(SKUs!$E$6:$E$1997,MATCH(B468,SKUs!$C$6:$C$1997,0)),"")</f>
        <v>CAMISETA</v>
      </c>
      <c r="E468" s="28" t="str">
        <f>IFERROR(VLOOKUP(D468,Configurações!$N$5:$O$46,2,FALSE()),"OUTROS")</f>
        <v>VESTUÁRIO</v>
      </c>
      <c r="F468" s="2" t="str">
        <f>IFERROR(INDEX(SKUs!$F$6:$F$1997,MATCH(B468,SKUs!$C$6:$C$1997,0)),"")</f>
        <v>CAMISETA FIO EGIPCIO PAN MASC.</v>
      </c>
      <c r="G468" s="2" t="str">
        <f>IFERROR(INDEX(SKUs!$G$6:$G$1997,MATCH(B468,SKUs!$C$6:$C$1997,0)),"")</f>
        <v>AZUL</v>
      </c>
      <c r="H468" s="25" t="str">
        <f>IFERROR(INDEX(SKUs!$H$6:$H$1997,MATCH(B468,SKUs!$C$6:$C$1997,0)),"")</f>
        <v>M</v>
      </c>
      <c r="I468" s="4" t="str">
        <f>IFERROR(INDEX(SKUs!#REF!,MATCH(B468,SKUs!$C$6:$C$1997,0)),"")</f>
        <v/>
      </c>
      <c r="J468" s="3">
        <f>SUMIFS(SKUs!$I$6:$I$1997,SKUs!$C$6:$C$1997,B468)</f>
        <v>13</v>
      </c>
      <c r="K468" s="4">
        <f t="shared" si="29"/>
        <v>0</v>
      </c>
      <c r="L468" s="3">
        <f>COUNTIF(SKUs!$C$6:$C$1997,B468)</f>
        <v>1</v>
      </c>
      <c r="M468" s="29"/>
      <c r="N468" s="29"/>
      <c r="O468" s="29"/>
      <c r="P468" s="29"/>
      <c r="Q468" s="29"/>
      <c r="R468" s="29"/>
      <c r="S468" s="29"/>
      <c r="T468" s="29"/>
      <c r="U468" s="30">
        <f t="shared" si="30"/>
        <v>0</v>
      </c>
      <c r="V468" s="31">
        <f t="shared" si="31"/>
        <v>13</v>
      </c>
    </row>
    <row r="469" spans="1:22" ht="14.25" hidden="1" customHeight="1" x14ac:dyDescent="0.3">
      <c r="A469" s="32">
        <v>462</v>
      </c>
      <c r="B469" s="26" t="s">
        <v>513</v>
      </c>
      <c r="C469" s="27" t="str">
        <f t="shared" si="28"/>
        <v>Masculino</v>
      </c>
      <c r="D469" s="33" t="str">
        <f>IFERROR(INDEX(SKUs!$E$6:$E$1997,MATCH(B469,SKUs!$C$6:$C$1997,0)),"")</f>
        <v>CAMISETA</v>
      </c>
      <c r="E469" s="28" t="str">
        <f>IFERROR(VLOOKUP(D469,Configurações!$N$5:$O$46,2,FALSE()),"OUTROS")</f>
        <v>VESTUÁRIO</v>
      </c>
      <c r="F469" s="33" t="str">
        <f>IFERROR(INDEX(SKUs!$F$6:$F$1997,MATCH(B469,SKUs!$C$6:$C$1997,0)),"")</f>
        <v>CAMISETA FIO EGIPCIO PAN MASC.</v>
      </c>
      <c r="G469" s="33" t="str">
        <f>IFERROR(INDEX(SKUs!$G$6:$G$1997,MATCH(B469,SKUs!$C$6:$C$1997,0)),"")</f>
        <v>AZUL</v>
      </c>
      <c r="H469" s="32" t="str">
        <f>IFERROR(INDEX(SKUs!$H$6:$H$1997,MATCH(B469,SKUs!$C$6:$C$1997,0)),"")</f>
        <v>G</v>
      </c>
      <c r="I469" s="34" t="str">
        <f>IFERROR(INDEX(SKUs!#REF!,MATCH(B469,SKUs!$C$6:$C$1997,0)),"")</f>
        <v/>
      </c>
      <c r="J469" s="35">
        <f>SUMIFS(SKUs!$I$6:$I$1997,SKUs!$C$6:$C$1997,B469)</f>
        <v>5</v>
      </c>
      <c r="K469" s="34">
        <f t="shared" si="29"/>
        <v>0</v>
      </c>
      <c r="L469" s="35">
        <f>COUNTIF(SKUs!$C$6:$C$1997,B469)</f>
        <v>1</v>
      </c>
      <c r="M469" s="29"/>
      <c r="N469" s="29"/>
      <c r="O469" s="29"/>
      <c r="P469" s="29"/>
      <c r="Q469" s="29"/>
      <c r="R469" s="29"/>
      <c r="S469" s="29"/>
      <c r="T469" s="29"/>
      <c r="U469" s="30">
        <f t="shared" si="30"/>
        <v>0</v>
      </c>
      <c r="V469" s="31">
        <f t="shared" si="31"/>
        <v>5</v>
      </c>
    </row>
    <row r="470" spans="1:22" ht="14.25" hidden="1" customHeight="1" x14ac:dyDescent="0.3">
      <c r="A470" s="25">
        <v>463</v>
      </c>
      <c r="B470" s="26" t="s">
        <v>514</v>
      </c>
      <c r="C470" s="27" t="str">
        <f t="shared" si="28"/>
        <v>Masculino</v>
      </c>
      <c r="D470" s="2" t="str">
        <f>IFERROR(INDEX(SKUs!$E$6:$E$1997,MATCH(B470,SKUs!$C$6:$C$1997,0)),"")</f>
        <v>CAMISETA</v>
      </c>
      <c r="E470" s="28" t="str">
        <f>IFERROR(VLOOKUP(D470,Configurações!$N$5:$O$46,2,FALSE()),"OUTROS")</f>
        <v>VESTUÁRIO</v>
      </c>
      <c r="F470" s="2" t="str">
        <f>IFERROR(INDEX(SKUs!$F$6:$F$1997,MATCH(B470,SKUs!$C$6:$C$1997,0)),"")</f>
        <v>CAMISETA FIO EGIPCIO PAN MASC.</v>
      </c>
      <c r="G470" s="2" t="str">
        <f>IFERROR(INDEX(SKUs!$G$6:$G$1997,MATCH(B470,SKUs!$C$6:$C$1997,0)),"")</f>
        <v>AZUL</v>
      </c>
      <c r="H470" s="25" t="str">
        <f>IFERROR(INDEX(SKUs!$H$6:$H$1997,MATCH(B470,SKUs!$C$6:$C$1997,0)),"")</f>
        <v>GG</v>
      </c>
      <c r="I470" s="4" t="str">
        <f>IFERROR(INDEX(SKUs!#REF!,MATCH(B470,SKUs!$C$6:$C$1997,0)),"")</f>
        <v/>
      </c>
      <c r="J470" s="3">
        <f>SUMIFS(SKUs!$I$6:$I$1997,SKUs!$C$6:$C$1997,B470)</f>
        <v>25</v>
      </c>
      <c r="K470" s="4">
        <f t="shared" si="29"/>
        <v>0</v>
      </c>
      <c r="L470" s="3">
        <f>COUNTIF(SKUs!$C$6:$C$1997,B470)</f>
        <v>1</v>
      </c>
      <c r="M470" s="29"/>
      <c r="N470" s="29"/>
      <c r="O470" s="29"/>
      <c r="P470" s="29"/>
      <c r="Q470" s="29"/>
      <c r="R470" s="29"/>
      <c r="S470" s="29"/>
      <c r="T470" s="29"/>
      <c r="U470" s="30">
        <f t="shared" si="30"/>
        <v>0</v>
      </c>
      <c r="V470" s="31">
        <f t="shared" si="31"/>
        <v>25</v>
      </c>
    </row>
    <row r="471" spans="1:22" ht="14.25" hidden="1" customHeight="1" x14ac:dyDescent="0.3">
      <c r="A471" s="32">
        <v>464</v>
      </c>
      <c r="B471" s="26" t="s">
        <v>515</v>
      </c>
      <c r="C471" s="27" t="str">
        <f t="shared" si="28"/>
        <v>Masculino</v>
      </c>
      <c r="D471" s="33" t="str">
        <f>IFERROR(INDEX(SKUs!$E$6:$E$1997,MATCH(B471,SKUs!$C$6:$C$1997,0)),"")</f>
        <v>CAMISETA</v>
      </c>
      <c r="E471" s="28" t="str">
        <f>IFERROR(VLOOKUP(D471,Configurações!$N$5:$O$46,2,FALSE()),"OUTROS")</f>
        <v>VESTUÁRIO</v>
      </c>
      <c r="F471" s="33" t="str">
        <f>IFERROR(INDEX(SKUs!$F$6:$F$1997,MATCH(B471,SKUs!$C$6:$C$1997,0)),"")</f>
        <v>CAMISETA FIO EGIPCIO PAN MASC.</v>
      </c>
      <c r="G471" s="33" t="str">
        <f>IFERROR(INDEX(SKUs!$G$6:$G$1997,MATCH(B471,SKUs!$C$6:$C$1997,0)),"")</f>
        <v>AZUL</v>
      </c>
      <c r="H471" s="32" t="str">
        <f>IFERROR(INDEX(SKUs!$H$6:$H$1997,MATCH(B471,SKUs!$C$6:$C$1997,0)),"")</f>
        <v>XG</v>
      </c>
      <c r="I471" s="34" t="str">
        <f>IFERROR(INDEX(SKUs!#REF!,MATCH(B471,SKUs!$C$6:$C$1997,0)),"")</f>
        <v/>
      </c>
      <c r="J471" s="35">
        <f>SUMIFS(SKUs!$I$6:$I$1997,SKUs!$C$6:$C$1997,B471)</f>
        <v>15</v>
      </c>
      <c r="K471" s="34">
        <f t="shared" si="29"/>
        <v>0</v>
      </c>
      <c r="L471" s="35">
        <f>COUNTIF(SKUs!$C$6:$C$1997,B471)</f>
        <v>1</v>
      </c>
      <c r="M471" s="29"/>
      <c r="N471" s="29"/>
      <c r="O471" s="29"/>
      <c r="P471" s="29"/>
      <c r="Q471" s="29"/>
      <c r="R471" s="29"/>
      <c r="S471" s="29"/>
      <c r="T471" s="29"/>
      <c r="U471" s="30">
        <f t="shared" si="30"/>
        <v>0</v>
      </c>
      <c r="V471" s="31">
        <f t="shared" si="31"/>
        <v>15</v>
      </c>
    </row>
    <row r="472" spans="1:22" ht="14.25" hidden="1" customHeight="1" x14ac:dyDescent="0.3">
      <c r="A472" s="25">
        <v>465</v>
      </c>
      <c r="B472" s="26" t="s">
        <v>516</v>
      </c>
      <c r="C472" s="27" t="str">
        <f t="shared" si="28"/>
        <v>Feminino</v>
      </c>
      <c r="D472" s="2" t="str">
        <f>IFERROR(INDEX(SKUs!$E$6:$E$1997,MATCH(B472,SKUs!$C$6:$C$1997,0)),"")</f>
        <v>CAMISETA</v>
      </c>
      <c r="E472" s="28" t="str">
        <f>IFERROR(VLOOKUP(D472,Configurações!$N$5:$O$46,2,FALSE()),"OUTROS")</f>
        <v>VESTUÁRIO</v>
      </c>
      <c r="F472" s="2" t="str">
        <f>IFERROR(INDEX(SKUs!$F$6:$F$1997,MATCH(B472,SKUs!$C$6:$C$1997,0)),"")</f>
        <v>CAMISETA FIO EGIPCIO PAN FEM.</v>
      </c>
      <c r="G472" s="2" t="str">
        <f>IFERROR(INDEX(SKUs!$G$6:$G$1997,MATCH(B472,SKUs!$C$6:$C$1997,0)),"")</f>
        <v>BRANCA</v>
      </c>
      <c r="H472" s="25" t="str">
        <f>IFERROR(INDEX(SKUs!$H$6:$H$1997,MATCH(B472,SKUs!$C$6:$C$1997,0)),"")</f>
        <v xml:space="preserve">M </v>
      </c>
      <c r="I472" s="4" t="str">
        <f>IFERROR(INDEX(SKUs!#REF!,MATCH(B472,SKUs!$C$6:$C$1997,0)),"")</f>
        <v/>
      </c>
      <c r="J472" s="3">
        <f>SUMIFS(SKUs!$I$6:$I$1997,SKUs!$C$6:$C$1997,B472)</f>
        <v>15</v>
      </c>
      <c r="K472" s="4">
        <f t="shared" si="29"/>
        <v>0</v>
      </c>
      <c r="L472" s="3">
        <f>COUNTIF(SKUs!$C$6:$C$1997,B472)</f>
        <v>1</v>
      </c>
      <c r="M472" s="29"/>
      <c r="N472" s="29"/>
      <c r="O472" s="29"/>
      <c r="P472" s="29"/>
      <c r="Q472" s="29"/>
      <c r="R472" s="29"/>
      <c r="S472" s="29"/>
      <c r="T472" s="29"/>
      <c r="U472" s="30">
        <f t="shared" si="30"/>
        <v>0</v>
      </c>
      <c r="V472" s="31">
        <f t="shared" si="31"/>
        <v>15</v>
      </c>
    </row>
    <row r="473" spans="1:22" ht="14.25" hidden="1" customHeight="1" x14ac:dyDescent="0.3">
      <c r="A473" s="32">
        <v>466</v>
      </c>
      <c r="B473" s="26" t="s">
        <v>517</v>
      </c>
      <c r="C473" s="27" t="str">
        <f t="shared" si="28"/>
        <v>Feminino</v>
      </c>
      <c r="D473" s="33" t="str">
        <f>IFERROR(INDEX(SKUs!$E$6:$E$1997,MATCH(B473,SKUs!$C$6:$C$1997,0)),"")</f>
        <v>CAMISETA</v>
      </c>
      <c r="E473" s="28" t="str">
        <f>IFERROR(VLOOKUP(D473,Configurações!$N$5:$O$46,2,FALSE()),"OUTROS")</f>
        <v>VESTUÁRIO</v>
      </c>
      <c r="F473" s="33" t="str">
        <f>IFERROR(INDEX(SKUs!$F$6:$F$1997,MATCH(B473,SKUs!$C$6:$C$1997,0)),"")</f>
        <v>CAMISETA FIO EGIPCIO PAN FEM.</v>
      </c>
      <c r="G473" s="33" t="str">
        <f>IFERROR(INDEX(SKUs!$G$6:$G$1997,MATCH(B473,SKUs!$C$6:$C$1997,0)),"")</f>
        <v>BRANCA</v>
      </c>
      <c r="H473" s="32" t="str">
        <f>IFERROR(INDEX(SKUs!$H$6:$H$1997,MATCH(B473,SKUs!$C$6:$C$1997,0)),"")</f>
        <v>G</v>
      </c>
      <c r="I473" s="34" t="str">
        <f>IFERROR(INDEX(SKUs!#REF!,MATCH(B473,SKUs!$C$6:$C$1997,0)),"")</f>
        <v/>
      </c>
      <c r="J473" s="35">
        <f>SUMIFS(SKUs!$I$6:$I$1997,SKUs!$C$6:$C$1997,B473)</f>
        <v>34</v>
      </c>
      <c r="K473" s="34">
        <f t="shared" si="29"/>
        <v>0</v>
      </c>
      <c r="L473" s="35">
        <f>COUNTIF(SKUs!$C$6:$C$1997,B473)</f>
        <v>1</v>
      </c>
      <c r="M473" s="29"/>
      <c r="N473" s="29"/>
      <c r="O473" s="29"/>
      <c r="P473" s="29"/>
      <c r="Q473" s="29"/>
      <c r="R473" s="29"/>
      <c r="S473" s="29"/>
      <c r="T473" s="29"/>
      <c r="U473" s="30">
        <f t="shared" si="30"/>
        <v>0</v>
      </c>
      <c r="V473" s="31">
        <f t="shared" si="31"/>
        <v>34</v>
      </c>
    </row>
    <row r="474" spans="1:22" ht="14.25" hidden="1" customHeight="1" x14ac:dyDescent="0.3">
      <c r="A474" s="25">
        <v>467</v>
      </c>
      <c r="B474" s="26" t="s">
        <v>518</v>
      </c>
      <c r="C474" s="27" t="str">
        <f t="shared" si="28"/>
        <v>Feminino</v>
      </c>
      <c r="D474" s="2" t="str">
        <f>IFERROR(INDEX(SKUs!$E$6:$E$1997,MATCH(B474,SKUs!$C$6:$C$1997,0)),"")</f>
        <v>CAMISETA</v>
      </c>
      <c r="E474" s="28" t="str">
        <f>IFERROR(VLOOKUP(D474,Configurações!$N$5:$O$46,2,FALSE()),"OUTROS")</f>
        <v>VESTUÁRIO</v>
      </c>
      <c r="F474" s="2" t="str">
        <f>IFERROR(INDEX(SKUs!$F$6:$F$1997,MATCH(B474,SKUs!$C$6:$C$1997,0)),"")</f>
        <v>CAMISETA FIO EGIPCIO PAN FEM.</v>
      </c>
      <c r="G474" s="2" t="str">
        <f>IFERROR(INDEX(SKUs!$G$6:$G$1997,MATCH(B474,SKUs!$C$6:$C$1997,0)),"")</f>
        <v>BRANCA</v>
      </c>
      <c r="H474" s="25" t="str">
        <f>IFERROR(INDEX(SKUs!$H$6:$H$1997,MATCH(B474,SKUs!$C$6:$C$1997,0)),"")</f>
        <v>GG</v>
      </c>
      <c r="I474" s="4" t="str">
        <f>IFERROR(INDEX(SKUs!#REF!,MATCH(B474,SKUs!$C$6:$C$1997,0)),"")</f>
        <v/>
      </c>
      <c r="J474" s="3">
        <f>SUMIFS(SKUs!$I$6:$I$1997,SKUs!$C$6:$C$1997,B474)</f>
        <v>21</v>
      </c>
      <c r="K474" s="4">
        <f t="shared" si="29"/>
        <v>0</v>
      </c>
      <c r="L474" s="3">
        <f>COUNTIF(SKUs!$C$6:$C$1997,B474)</f>
        <v>1</v>
      </c>
      <c r="M474" s="29"/>
      <c r="N474" s="29"/>
      <c r="O474" s="29"/>
      <c r="P474" s="29"/>
      <c r="Q474" s="29"/>
      <c r="R474" s="29"/>
      <c r="S474" s="29"/>
      <c r="T474" s="29"/>
      <c r="U474" s="30">
        <f t="shared" si="30"/>
        <v>0</v>
      </c>
      <c r="V474" s="31">
        <f t="shared" si="31"/>
        <v>21</v>
      </c>
    </row>
    <row r="475" spans="1:22" ht="14.25" hidden="1" customHeight="1" x14ac:dyDescent="0.3">
      <c r="A475" s="32">
        <v>468</v>
      </c>
      <c r="B475" s="26" t="s">
        <v>519</v>
      </c>
      <c r="C475" s="27" t="str">
        <f t="shared" si="28"/>
        <v>Feminino</v>
      </c>
      <c r="D475" s="33" t="str">
        <f>IFERROR(INDEX(SKUs!$E$6:$E$1997,MATCH(B475,SKUs!$C$6:$C$1997,0)),"")</f>
        <v>CAMISETA</v>
      </c>
      <c r="E475" s="28" t="str">
        <f>IFERROR(VLOOKUP(D475,Configurações!$N$5:$O$46,2,FALSE()),"OUTROS")</f>
        <v>VESTUÁRIO</v>
      </c>
      <c r="F475" s="33" t="str">
        <f>IFERROR(INDEX(SKUs!$F$6:$F$1997,MATCH(B475,SKUs!$C$6:$C$1997,0)),"")</f>
        <v>CAMISETA FIO EGIPCIO PAN FEM.</v>
      </c>
      <c r="G475" s="33" t="str">
        <f>IFERROR(INDEX(SKUs!$G$6:$G$1997,MATCH(B475,SKUs!$C$6:$C$1997,0)),"")</f>
        <v>BRANCA</v>
      </c>
      <c r="H475" s="32" t="str">
        <f>IFERROR(INDEX(SKUs!$H$6:$H$1997,MATCH(B475,SKUs!$C$6:$C$1997,0)),"")</f>
        <v>XG</v>
      </c>
      <c r="I475" s="34" t="str">
        <f>IFERROR(INDEX(SKUs!#REF!,MATCH(B475,SKUs!$C$6:$C$1997,0)),"")</f>
        <v/>
      </c>
      <c r="J475" s="35">
        <f>SUMIFS(SKUs!$I$6:$I$1997,SKUs!$C$6:$C$1997,B475)</f>
        <v>12</v>
      </c>
      <c r="K475" s="34">
        <f t="shared" si="29"/>
        <v>0</v>
      </c>
      <c r="L475" s="35">
        <f>COUNTIF(SKUs!$C$6:$C$1997,B475)</f>
        <v>1</v>
      </c>
      <c r="M475" s="29"/>
      <c r="N475" s="29"/>
      <c r="O475" s="29"/>
      <c r="P475" s="29"/>
      <c r="Q475" s="29"/>
      <c r="R475" s="29"/>
      <c r="S475" s="29"/>
      <c r="T475" s="29"/>
      <c r="U475" s="30">
        <f t="shared" si="30"/>
        <v>0</v>
      </c>
      <c r="V475" s="31">
        <f t="shared" si="31"/>
        <v>12</v>
      </c>
    </row>
    <row r="476" spans="1:22" ht="14.25" hidden="1" customHeight="1" x14ac:dyDescent="0.3">
      <c r="A476" s="25">
        <v>469</v>
      </c>
      <c r="B476" s="26" t="s">
        <v>520</v>
      </c>
      <c r="C476" s="27" t="str">
        <f t="shared" si="28"/>
        <v>Masculino</v>
      </c>
      <c r="D476" s="2" t="str">
        <f>IFERROR(INDEX(SKUs!$E$6:$E$1997,MATCH(B476,SKUs!$C$6:$C$1997,0)),"")</f>
        <v>CAMISETA</v>
      </c>
      <c r="E476" s="28" t="str">
        <f>IFERROR(VLOOKUP(D476,Configurações!$N$5:$O$46,2,FALSE()),"OUTROS")</f>
        <v>VESTUÁRIO</v>
      </c>
      <c r="F476" s="2" t="str">
        <f>IFERROR(INDEX(SKUs!$F$6:$F$1997,MATCH(B476,SKUs!$C$6:$C$1997,0)),"")</f>
        <v>CAMISETA FIO EGIPCIO PAN MASC.</v>
      </c>
      <c r="G476" s="2" t="str">
        <f>IFERROR(INDEX(SKUs!$G$6:$G$1997,MATCH(B476,SKUs!$C$6:$C$1997,0)),"")</f>
        <v>BRANCA</v>
      </c>
      <c r="H476" s="25" t="str">
        <f>IFERROR(INDEX(SKUs!$H$6:$H$1997,MATCH(B476,SKUs!$C$6:$C$1997,0)),"")</f>
        <v>P</v>
      </c>
      <c r="I476" s="4" t="str">
        <f>IFERROR(INDEX(SKUs!#REF!,MATCH(B476,SKUs!$C$6:$C$1997,0)),"")</f>
        <v/>
      </c>
      <c r="J476" s="3">
        <f>SUMIFS(SKUs!$I$6:$I$1997,SKUs!$C$6:$C$1997,B476)</f>
        <v>22</v>
      </c>
      <c r="K476" s="4">
        <f t="shared" si="29"/>
        <v>0</v>
      </c>
      <c r="L476" s="3">
        <f>COUNTIF(SKUs!$C$6:$C$1997,B476)</f>
        <v>1</v>
      </c>
      <c r="M476" s="29"/>
      <c r="N476" s="29"/>
      <c r="O476" s="29"/>
      <c r="P476" s="29"/>
      <c r="Q476" s="29"/>
      <c r="R476" s="29"/>
      <c r="S476" s="29"/>
      <c r="T476" s="29"/>
      <c r="U476" s="30">
        <f t="shared" si="30"/>
        <v>0</v>
      </c>
      <c r="V476" s="31">
        <f t="shared" si="31"/>
        <v>22</v>
      </c>
    </row>
    <row r="477" spans="1:22" ht="14.25" hidden="1" customHeight="1" x14ac:dyDescent="0.3">
      <c r="A477" s="32">
        <v>470</v>
      </c>
      <c r="B477" s="26" t="s">
        <v>521</v>
      </c>
      <c r="C477" s="27" t="str">
        <f t="shared" si="28"/>
        <v>Masculino</v>
      </c>
      <c r="D477" s="33" t="str">
        <f>IFERROR(INDEX(SKUs!$E$6:$E$1997,MATCH(B477,SKUs!$C$6:$C$1997,0)),"")</f>
        <v>CAMISETA</v>
      </c>
      <c r="E477" s="28" t="str">
        <f>IFERROR(VLOOKUP(D477,Configurações!$N$5:$O$46,2,FALSE()),"OUTROS")</f>
        <v>VESTUÁRIO</v>
      </c>
      <c r="F477" s="33" t="str">
        <f>IFERROR(INDEX(SKUs!$F$6:$F$1997,MATCH(B477,SKUs!$C$6:$C$1997,0)),"")</f>
        <v>CAMISETA FIO EGIPCIO PAN MASC.</v>
      </c>
      <c r="G477" s="33" t="str">
        <f>IFERROR(INDEX(SKUs!$G$6:$G$1997,MATCH(B477,SKUs!$C$6:$C$1997,0)),"")</f>
        <v>BRANCA</v>
      </c>
      <c r="H477" s="32" t="str">
        <f>IFERROR(INDEX(SKUs!$H$6:$H$1997,MATCH(B477,SKUs!$C$6:$C$1997,0)),"")</f>
        <v>M</v>
      </c>
      <c r="I477" s="34" t="str">
        <f>IFERROR(INDEX(SKUs!#REF!,MATCH(B477,SKUs!$C$6:$C$1997,0)),"")</f>
        <v/>
      </c>
      <c r="J477" s="35">
        <f>SUMIFS(SKUs!$I$6:$I$1997,SKUs!$C$6:$C$1997,B477)</f>
        <v>52</v>
      </c>
      <c r="K477" s="34">
        <f t="shared" si="29"/>
        <v>0</v>
      </c>
      <c r="L477" s="35">
        <f>COUNTIF(SKUs!$C$6:$C$1997,B477)</f>
        <v>1</v>
      </c>
      <c r="M477" s="29"/>
      <c r="N477" s="29"/>
      <c r="O477" s="29"/>
      <c r="P477" s="29"/>
      <c r="Q477" s="29"/>
      <c r="R477" s="29"/>
      <c r="S477" s="29"/>
      <c r="T477" s="29"/>
      <c r="U477" s="30">
        <f t="shared" si="30"/>
        <v>0</v>
      </c>
      <c r="V477" s="31">
        <f t="shared" si="31"/>
        <v>52</v>
      </c>
    </row>
    <row r="478" spans="1:22" ht="14.25" hidden="1" customHeight="1" x14ac:dyDescent="0.3">
      <c r="A478" s="25">
        <v>471</v>
      </c>
      <c r="B478" s="26" t="s">
        <v>522</v>
      </c>
      <c r="C478" s="27" t="str">
        <f t="shared" si="28"/>
        <v>Masculino</v>
      </c>
      <c r="D478" s="2" t="str">
        <f>IFERROR(INDEX(SKUs!$E$6:$E$1997,MATCH(B478,SKUs!$C$6:$C$1997,0)),"")</f>
        <v>CAMISETA</v>
      </c>
      <c r="E478" s="28" t="str">
        <f>IFERROR(VLOOKUP(D478,Configurações!$N$5:$O$46,2,FALSE()),"OUTROS")</f>
        <v>VESTUÁRIO</v>
      </c>
      <c r="F478" s="2" t="str">
        <f>IFERROR(INDEX(SKUs!$F$6:$F$1997,MATCH(B478,SKUs!$C$6:$C$1997,0)),"")</f>
        <v>CAMISETA FIO EGIPCIO PAN MASC.</v>
      </c>
      <c r="G478" s="2" t="str">
        <f>IFERROR(INDEX(SKUs!$G$6:$G$1997,MATCH(B478,SKUs!$C$6:$C$1997,0)),"")</f>
        <v>PRETA</v>
      </c>
      <c r="H478" s="25" t="str">
        <f>IFERROR(INDEX(SKUs!$H$6:$H$1997,MATCH(B478,SKUs!$C$6:$C$1997,0)),"")</f>
        <v>P</v>
      </c>
      <c r="I478" s="4" t="str">
        <f>IFERROR(INDEX(SKUs!#REF!,MATCH(B478,SKUs!$C$6:$C$1997,0)),"")</f>
        <v/>
      </c>
      <c r="J478" s="3">
        <f>SUMIFS(SKUs!$I$6:$I$1997,SKUs!$C$6:$C$1997,B478)</f>
        <v>21</v>
      </c>
      <c r="K478" s="4">
        <f t="shared" si="29"/>
        <v>0</v>
      </c>
      <c r="L478" s="3">
        <f>COUNTIF(SKUs!$C$6:$C$1997,B478)</f>
        <v>1</v>
      </c>
      <c r="M478" s="29"/>
      <c r="N478" s="29"/>
      <c r="O478" s="29"/>
      <c r="P478" s="29"/>
      <c r="Q478" s="29"/>
      <c r="R478" s="29"/>
      <c r="S478" s="29"/>
      <c r="T478" s="29"/>
      <c r="U478" s="30">
        <f t="shared" si="30"/>
        <v>0</v>
      </c>
      <c r="V478" s="31">
        <f t="shared" si="31"/>
        <v>21</v>
      </c>
    </row>
    <row r="479" spans="1:22" ht="14.25" hidden="1" customHeight="1" x14ac:dyDescent="0.3">
      <c r="A479" s="32">
        <v>472</v>
      </c>
      <c r="B479" s="26" t="s">
        <v>523</v>
      </c>
      <c r="C479" s="27" t="str">
        <f t="shared" si="28"/>
        <v>Masculino</v>
      </c>
      <c r="D479" s="33" t="str">
        <f>IFERROR(INDEX(SKUs!$E$6:$E$1997,MATCH(B479,SKUs!$C$6:$C$1997,0)),"")</f>
        <v>CAMISETA</v>
      </c>
      <c r="E479" s="28" t="str">
        <f>IFERROR(VLOOKUP(D479,Configurações!$N$5:$O$46,2,FALSE()),"OUTROS")</f>
        <v>VESTUÁRIO</v>
      </c>
      <c r="F479" s="33" t="str">
        <f>IFERROR(INDEX(SKUs!$F$6:$F$1997,MATCH(B479,SKUs!$C$6:$C$1997,0)),"")</f>
        <v>CAMISETA FIO EGIPCIO PAN MASC.</v>
      </c>
      <c r="G479" s="33" t="str">
        <f>IFERROR(INDEX(SKUs!$G$6:$G$1997,MATCH(B479,SKUs!$C$6:$C$1997,0)),"")</f>
        <v>PRETA</v>
      </c>
      <c r="H479" s="32" t="str">
        <f>IFERROR(INDEX(SKUs!$H$6:$H$1997,MATCH(B479,SKUs!$C$6:$C$1997,0)),"")</f>
        <v>M</v>
      </c>
      <c r="I479" s="34" t="str">
        <f>IFERROR(INDEX(SKUs!#REF!,MATCH(B479,SKUs!$C$6:$C$1997,0)),"")</f>
        <v/>
      </c>
      <c r="J479" s="35">
        <f>SUMIFS(SKUs!$I$6:$I$1997,SKUs!$C$6:$C$1997,B479)</f>
        <v>49</v>
      </c>
      <c r="K479" s="34">
        <f t="shared" si="29"/>
        <v>0</v>
      </c>
      <c r="L479" s="35">
        <f>COUNTIF(SKUs!$C$6:$C$1997,B479)</f>
        <v>1</v>
      </c>
      <c r="M479" s="29"/>
      <c r="N479" s="29"/>
      <c r="O479" s="29"/>
      <c r="P479" s="29"/>
      <c r="Q479" s="29"/>
      <c r="R479" s="29"/>
      <c r="S479" s="29"/>
      <c r="T479" s="29"/>
      <c r="U479" s="30">
        <f t="shared" si="30"/>
        <v>0</v>
      </c>
      <c r="V479" s="31">
        <f t="shared" si="31"/>
        <v>49</v>
      </c>
    </row>
    <row r="480" spans="1:22" ht="14.25" hidden="1" customHeight="1" x14ac:dyDescent="0.3">
      <c r="A480" s="25">
        <v>473</v>
      </c>
      <c r="B480" s="26" t="s">
        <v>524</v>
      </c>
      <c r="C480" s="27" t="str">
        <f t="shared" si="28"/>
        <v>Masculino</v>
      </c>
      <c r="D480" s="2" t="str">
        <f>IFERROR(INDEX(SKUs!$E$6:$E$1997,MATCH(B480,SKUs!$C$6:$C$1997,0)),"")</f>
        <v>CAMISETA</v>
      </c>
      <c r="E480" s="28" t="str">
        <f>IFERROR(VLOOKUP(D480,Configurações!$N$5:$O$46,2,FALSE()),"OUTROS")</f>
        <v>VESTUÁRIO</v>
      </c>
      <c r="F480" s="2" t="str">
        <f>IFERROR(INDEX(SKUs!$F$6:$F$1997,MATCH(B480,SKUs!$C$6:$C$1997,0)),"")</f>
        <v>CAMISETA FIO EGIPCIO PAN MASC.</v>
      </c>
      <c r="G480" s="2" t="str">
        <f>IFERROR(INDEX(SKUs!$G$6:$G$1997,MATCH(B480,SKUs!$C$6:$C$1997,0)),"")</f>
        <v>PRETA</v>
      </c>
      <c r="H480" s="25" t="str">
        <f>IFERROR(INDEX(SKUs!$H$6:$H$1997,MATCH(B480,SKUs!$C$6:$C$1997,0)),"")</f>
        <v>GG</v>
      </c>
      <c r="I480" s="4" t="str">
        <f>IFERROR(INDEX(SKUs!#REF!,MATCH(B480,SKUs!$C$6:$C$1997,0)),"")</f>
        <v/>
      </c>
      <c r="J480" s="3">
        <f>SUMIFS(SKUs!$I$6:$I$1997,SKUs!$C$6:$C$1997,B480)</f>
        <v>1</v>
      </c>
      <c r="K480" s="4">
        <f t="shared" si="29"/>
        <v>0</v>
      </c>
      <c r="L480" s="3">
        <f>COUNTIF(SKUs!$C$6:$C$1997,B480)</f>
        <v>1</v>
      </c>
      <c r="M480" s="29"/>
      <c r="N480" s="29"/>
      <c r="O480" s="29"/>
      <c r="P480" s="29"/>
      <c r="Q480" s="29"/>
      <c r="R480" s="29"/>
      <c r="S480" s="29"/>
      <c r="T480" s="29"/>
      <c r="U480" s="30">
        <f t="shared" si="30"/>
        <v>0</v>
      </c>
      <c r="V480" s="31">
        <f t="shared" si="31"/>
        <v>1</v>
      </c>
    </row>
    <row r="481" spans="1:22" ht="14.25" hidden="1" customHeight="1" x14ac:dyDescent="0.3">
      <c r="A481" s="32">
        <v>474</v>
      </c>
      <c r="B481" s="26" t="s">
        <v>525</v>
      </c>
      <c r="C481" s="27" t="str">
        <f t="shared" si="28"/>
        <v>Masculino</v>
      </c>
      <c r="D481" s="33" t="str">
        <f>IFERROR(INDEX(SKUs!$E$6:$E$1997,MATCH(B481,SKUs!$C$6:$C$1997,0)),"")</f>
        <v>CAMISETA</v>
      </c>
      <c r="E481" s="28" t="str">
        <f>IFERROR(VLOOKUP(D481,Configurações!$N$5:$O$46,2,FALSE()),"OUTROS")</f>
        <v>VESTUÁRIO</v>
      </c>
      <c r="F481" s="33" t="str">
        <f>IFERROR(INDEX(SKUs!$F$6:$F$1997,MATCH(B481,SKUs!$C$6:$C$1997,0)),"")</f>
        <v>CAMISETA FIO EGIPCIO PAN MASC.</v>
      </c>
      <c r="G481" s="33" t="str">
        <f>IFERROR(INDEX(SKUs!$G$6:$G$1997,MATCH(B481,SKUs!$C$6:$C$1997,0)),"")</f>
        <v>PRETA</v>
      </c>
      <c r="H481" s="32" t="str">
        <f>IFERROR(INDEX(SKUs!$H$6:$H$1997,MATCH(B481,SKUs!$C$6:$C$1997,0)),"")</f>
        <v>XG</v>
      </c>
      <c r="I481" s="34" t="str">
        <f>IFERROR(INDEX(SKUs!#REF!,MATCH(B481,SKUs!$C$6:$C$1997,0)),"")</f>
        <v/>
      </c>
      <c r="J481" s="35">
        <f>SUMIFS(SKUs!$I$6:$I$1997,SKUs!$C$6:$C$1997,B481)</f>
        <v>12</v>
      </c>
      <c r="K481" s="34">
        <f t="shared" si="29"/>
        <v>0</v>
      </c>
      <c r="L481" s="35">
        <f>COUNTIF(SKUs!$C$6:$C$1997,B481)</f>
        <v>1</v>
      </c>
      <c r="M481" s="29"/>
      <c r="N481" s="29"/>
      <c r="O481" s="29"/>
      <c r="P481" s="29"/>
      <c r="Q481" s="29"/>
      <c r="R481" s="29"/>
      <c r="S481" s="29"/>
      <c r="T481" s="29"/>
      <c r="U481" s="30">
        <f t="shared" si="30"/>
        <v>0</v>
      </c>
      <c r="V481" s="31">
        <f t="shared" si="31"/>
        <v>12</v>
      </c>
    </row>
    <row r="482" spans="1:22" ht="14.25" hidden="1" customHeight="1" x14ac:dyDescent="0.3">
      <c r="A482" s="25">
        <v>475</v>
      </c>
      <c r="B482" s="26" t="s">
        <v>526</v>
      </c>
      <c r="C482" s="27" t="str">
        <f t="shared" si="28"/>
        <v>Feminino</v>
      </c>
      <c r="D482" s="2" t="str">
        <f>IFERROR(INDEX(SKUs!$E$6:$E$1997,MATCH(B482,SKUs!$C$6:$C$1997,0)),"")</f>
        <v>CAMISETA</v>
      </c>
      <c r="E482" s="28" t="str">
        <f>IFERROR(VLOOKUP(D482,Configurações!$N$5:$O$46,2,FALSE()),"OUTROS")</f>
        <v>VESTUÁRIO</v>
      </c>
      <c r="F482" s="2" t="str">
        <f>IFERROR(INDEX(SKUs!$F$6:$F$1997,MATCH(B482,SKUs!$C$6:$C$1997,0)),"")</f>
        <v>CAMISETA FIO EGIPCIO PAN FEM.</v>
      </c>
      <c r="G482" s="2" t="str">
        <f>IFERROR(INDEX(SKUs!$G$6:$G$1997,MATCH(B482,SKUs!$C$6:$C$1997,0)),"")</f>
        <v>PRETA</v>
      </c>
      <c r="H482" s="25" t="str">
        <f>IFERROR(INDEX(SKUs!$H$6:$H$1997,MATCH(B482,SKUs!$C$6:$C$1997,0)),"")</f>
        <v>P</v>
      </c>
      <c r="I482" s="4" t="str">
        <f>IFERROR(INDEX(SKUs!#REF!,MATCH(B482,SKUs!$C$6:$C$1997,0)),"")</f>
        <v/>
      </c>
      <c r="J482" s="3">
        <f>SUMIFS(SKUs!$I$6:$I$1997,SKUs!$C$6:$C$1997,B482)</f>
        <v>4</v>
      </c>
      <c r="K482" s="4">
        <f t="shared" si="29"/>
        <v>0</v>
      </c>
      <c r="L482" s="3">
        <f>COUNTIF(SKUs!$C$6:$C$1997,B482)</f>
        <v>1</v>
      </c>
      <c r="M482" s="29"/>
      <c r="N482" s="29"/>
      <c r="O482" s="29"/>
      <c r="P482" s="29"/>
      <c r="Q482" s="29"/>
      <c r="R482" s="29"/>
      <c r="S482" s="29"/>
      <c r="T482" s="29"/>
      <c r="U482" s="30">
        <f t="shared" si="30"/>
        <v>0</v>
      </c>
      <c r="V482" s="31">
        <f t="shared" si="31"/>
        <v>4</v>
      </c>
    </row>
    <row r="483" spans="1:22" ht="14.25" hidden="1" customHeight="1" x14ac:dyDescent="0.3">
      <c r="A483" s="32">
        <v>476</v>
      </c>
      <c r="B483" s="26" t="s">
        <v>527</v>
      </c>
      <c r="C483" s="27" t="str">
        <f t="shared" si="28"/>
        <v>Feminino</v>
      </c>
      <c r="D483" s="33" t="str">
        <f>IFERROR(INDEX(SKUs!$E$6:$E$1997,MATCH(B483,SKUs!$C$6:$C$1997,0)),"")</f>
        <v>CAMISETA</v>
      </c>
      <c r="E483" s="28" t="str">
        <f>IFERROR(VLOOKUP(D483,Configurações!$N$5:$O$46,2,FALSE()),"OUTROS")</f>
        <v>VESTUÁRIO</v>
      </c>
      <c r="F483" s="33" t="str">
        <f>IFERROR(INDEX(SKUs!$F$6:$F$1997,MATCH(B483,SKUs!$C$6:$C$1997,0)),"")</f>
        <v>CAMISETA FIO EGIPCIO PAN FEM.</v>
      </c>
      <c r="G483" s="33" t="str">
        <f>IFERROR(INDEX(SKUs!$G$6:$G$1997,MATCH(B483,SKUs!$C$6:$C$1997,0)),"")</f>
        <v>PRETA</v>
      </c>
      <c r="H483" s="32" t="str">
        <f>IFERROR(INDEX(SKUs!$H$6:$H$1997,MATCH(B483,SKUs!$C$6:$C$1997,0)),"")</f>
        <v>M</v>
      </c>
      <c r="I483" s="34" t="str">
        <f>IFERROR(INDEX(SKUs!#REF!,MATCH(B483,SKUs!$C$6:$C$1997,0)),"")</f>
        <v/>
      </c>
      <c r="J483" s="35">
        <f>SUMIFS(SKUs!$I$6:$I$1997,SKUs!$C$6:$C$1997,B483)</f>
        <v>16</v>
      </c>
      <c r="K483" s="34">
        <f t="shared" si="29"/>
        <v>0</v>
      </c>
      <c r="L483" s="35">
        <f>COUNTIF(SKUs!$C$6:$C$1997,B483)</f>
        <v>1</v>
      </c>
      <c r="M483" s="29"/>
      <c r="N483" s="29"/>
      <c r="O483" s="29"/>
      <c r="P483" s="29"/>
      <c r="Q483" s="29"/>
      <c r="R483" s="29"/>
      <c r="S483" s="29"/>
      <c r="T483" s="29"/>
      <c r="U483" s="30">
        <f t="shared" si="30"/>
        <v>0</v>
      </c>
      <c r="V483" s="31">
        <f t="shared" si="31"/>
        <v>16</v>
      </c>
    </row>
    <row r="484" spans="1:22" ht="14.25" hidden="1" customHeight="1" x14ac:dyDescent="0.3">
      <c r="A484" s="25">
        <v>477</v>
      </c>
      <c r="B484" s="26" t="s">
        <v>528</v>
      </c>
      <c r="C484" s="27" t="str">
        <f t="shared" si="28"/>
        <v>Feminino</v>
      </c>
      <c r="D484" s="2" t="str">
        <f>IFERROR(INDEX(SKUs!$E$6:$E$1997,MATCH(B484,SKUs!$C$6:$C$1997,0)),"")</f>
        <v>CAMISETA</v>
      </c>
      <c r="E484" s="28" t="str">
        <f>IFERROR(VLOOKUP(D484,Configurações!$N$5:$O$46,2,FALSE()),"OUTROS")</f>
        <v>VESTUÁRIO</v>
      </c>
      <c r="F484" s="2" t="str">
        <f>IFERROR(INDEX(SKUs!$F$6:$F$1997,MATCH(B484,SKUs!$C$6:$C$1997,0)),"")</f>
        <v>CAMISETA FIO EGIPCIO PAN FEM.</v>
      </c>
      <c r="G484" s="2" t="str">
        <f>IFERROR(INDEX(SKUs!$G$6:$G$1997,MATCH(B484,SKUs!$C$6:$C$1997,0)),"")</f>
        <v>PRETA</v>
      </c>
      <c r="H484" s="25" t="str">
        <f>IFERROR(INDEX(SKUs!$H$6:$H$1997,MATCH(B484,SKUs!$C$6:$C$1997,0)),"")</f>
        <v>G</v>
      </c>
      <c r="I484" s="4" t="str">
        <f>IFERROR(INDEX(SKUs!#REF!,MATCH(B484,SKUs!$C$6:$C$1997,0)),"")</f>
        <v/>
      </c>
      <c r="J484" s="3">
        <f>SUMIFS(SKUs!$I$6:$I$1997,SKUs!$C$6:$C$1997,B484)</f>
        <v>4</v>
      </c>
      <c r="K484" s="4">
        <f t="shared" si="29"/>
        <v>0</v>
      </c>
      <c r="L484" s="3">
        <f>COUNTIF(SKUs!$C$6:$C$1997,B484)</f>
        <v>1</v>
      </c>
      <c r="M484" s="29"/>
      <c r="N484" s="29"/>
      <c r="O484" s="29"/>
      <c r="P484" s="29"/>
      <c r="Q484" s="29"/>
      <c r="R484" s="29"/>
      <c r="S484" s="29"/>
      <c r="T484" s="29"/>
      <c r="U484" s="30">
        <f t="shared" si="30"/>
        <v>0</v>
      </c>
      <c r="V484" s="31">
        <f t="shared" si="31"/>
        <v>4</v>
      </c>
    </row>
    <row r="485" spans="1:22" ht="14.25" hidden="1" customHeight="1" x14ac:dyDescent="0.3">
      <c r="A485" s="32">
        <v>478</v>
      </c>
      <c r="B485" s="26" t="s">
        <v>529</v>
      </c>
      <c r="C485" s="27" t="str">
        <f t="shared" si="28"/>
        <v>Feminino</v>
      </c>
      <c r="D485" s="33" t="str">
        <f>IFERROR(INDEX(SKUs!$E$6:$E$1997,MATCH(B485,SKUs!$C$6:$C$1997,0)),"")</f>
        <v>CAMISETA</v>
      </c>
      <c r="E485" s="28" t="str">
        <f>IFERROR(VLOOKUP(D485,Configurações!$N$5:$O$46,2,FALSE()),"OUTROS")</f>
        <v>VESTUÁRIO</v>
      </c>
      <c r="F485" s="33" t="str">
        <f>IFERROR(INDEX(SKUs!$F$6:$F$1997,MATCH(B485,SKUs!$C$6:$C$1997,0)),"")</f>
        <v>CAMISETA FIO EGIPCIO PAN FEM.</v>
      </c>
      <c r="G485" s="33" t="str">
        <f>IFERROR(INDEX(SKUs!$G$6:$G$1997,MATCH(B485,SKUs!$C$6:$C$1997,0)),"")</f>
        <v>PRETA</v>
      </c>
      <c r="H485" s="32" t="str">
        <f>IFERROR(INDEX(SKUs!$H$6:$H$1997,MATCH(B485,SKUs!$C$6:$C$1997,0)),"")</f>
        <v>GG</v>
      </c>
      <c r="I485" s="34" t="str">
        <f>IFERROR(INDEX(SKUs!#REF!,MATCH(B485,SKUs!$C$6:$C$1997,0)),"")</f>
        <v/>
      </c>
      <c r="J485" s="35">
        <f>SUMIFS(SKUs!$I$6:$I$1997,SKUs!$C$6:$C$1997,B485)</f>
        <v>10</v>
      </c>
      <c r="K485" s="34">
        <f t="shared" si="29"/>
        <v>0</v>
      </c>
      <c r="L485" s="35">
        <f>COUNTIF(SKUs!$C$6:$C$1997,B485)</f>
        <v>1</v>
      </c>
      <c r="M485" s="29"/>
      <c r="N485" s="29"/>
      <c r="O485" s="29"/>
      <c r="P485" s="29"/>
      <c r="Q485" s="29"/>
      <c r="R485" s="29"/>
      <c r="S485" s="29"/>
      <c r="T485" s="29"/>
      <c r="U485" s="30">
        <f t="shared" si="30"/>
        <v>0</v>
      </c>
      <c r="V485" s="31">
        <f t="shared" si="31"/>
        <v>10</v>
      </c>
    </row>
    <row r="486" spans="1:22" ht="14.25" hidden="1" customHeight="1" x14ac:dyDescent="0.3">
      <c r="A486" s="25">
        <v>479</v>
      </c>
      <c r="B486" s="26" t="s">
        <v>530</v>
      </c>
      <c r="C486" s="27" t="str">
        <f t="shared" si="28"/>
        <v>Masculino</v>
      </c>
      <c r="D486" s="2" t="str">
        <f>IFERROR(INDEX(SKUs!$E$6:$E$1997,MATCH(B486,SKUs!$C$6:$C$1997,0)),"")</f>
        <v>POLO</v>
      </c>
      <c r="E486" s="28" t="str">
        <f>IFERROR(VLOOKUP(D486,Configurações!$N$5:$O$46,2,FALSE()),"OUTROS")</f>
        <v>VESTUÁRIO</v>
      </c>
      <c r="F486" s="2" t="str">
        <f>IFERROR(INDEX(SKUs!$F$6:$F$1997,MATCH(B486,SKUs!$C$6:$C$1997,0)),"")</f>
        <v>POLO BASICA MASC.</v>
      </c>
      <c r="G486" s="2" t="str">
        <f>IFERROR(INDEX(SKUs!$G$6:$G$1997,MATCH(B486,SKUs!$C$6:$C$1997,0)),"")</f>
        <v>PRETA</v>
      </c>
      <c r="H486" s="25" t="str">
        <f>IFERROR(INDEX(SKUs!$H$6:$H$1997,MATCH(B486,SKUs!$C$6:$C$1997,0)),"")</f>
        <v>G</v>
      </c>
      <c r="I486" s="4" t="str">
        <f>IFERROR(INDEX(SKUs!#REF!,MATCH(B486,SKUs!$C$6:$C$1997,0)),"")</f>
        <v/>
      </c>
      <c r="J486" s="3">
        <f>SUMIFS(SKUs!$I$6:$I$1997,SKUs!$C$6:$C$1997,B486)</f>
        <v>67</v>
      </c>
      <c r="K486" s="4">
        <f t="shared" si="29"/>
        <v>0</v>
      </c>
      <c r="L486" s="3">
        <f>COUNTIF(SKUs!$C$6:$C$1997,B486)</f>
        <v>2</v>
      </c>
      <c r="M486" s="29">
        <v>25</v>
      </c>
      <c r="N486" s="29"/>
      <c r="O486" s="29"/>
      <c r="P486" s="29"/>
      <c r="Q486" s="29"/>
      <c r="R486" s="29"/>
      <c r="S486" s="29"/>
      <c r="T486" s="29"/>
      <c r="U486" s="30">
        <f t="shared" si="30"/>
        <v>25</v>
      </c>
      <c r="V486" s="31">
        <f t="shared" si="31"/>
        <v>67</v>
      </c>
    </row>
    <row r="487" spans="1:22" ht="14.25" hidden="1" customHeight="1" x14ac:dyDescent="0.3">
      <c r="A487" s="32">
        <v>480</v>
      </c>
      <c r="B487" s="26" t="s">
        <v>531</v>
      </c>
      <c r="C487" s="27" t="str">
        <f t="shared" si="28"/>
        <v>—</v>
      </c>
      <c r="D487" s="33" t="str">
        <f>IFERROR(INDEX(SKUs!$E$6:$E$1997,MATCH(B487,SKUs!$C$6:$C$1997,0)),"")</f>
        <v>MATERIAL DE EVENTO</v>
      </c>
      <c r="E487" s="28" t="str">
        <f>IFERROR(VLOOKUP(D487,Configurações!$N$5:$O$46,2,FALSE()),"OUTROS")</f>
        <v>MATERIAL DE EVENTO</v>
      </c>
      <c r="F487" s="33" t="str">
        <f>IFERROR(INDEX(SKUs!$F$6:$F$1997,MATCH(B487,SKUs!$C$6:$C$1997,0)),"")</f>
        <v>CABIDES</v>
      </c>
      <c r="G487" s="33" t="str">
        <f>IFERROR(INDEX(SKUs!$G$6:$G$1997,MATCH(B487,SKUs!$C$6:$C$1997,0)),"")</f>
        <v>PRETA</v>
      </c>
      <c r="H487" s="32" t="str">
        <f>IFERROR(INDEX(SKUs!$H$6:$H$1997,MATCH(B487,SKUs!$C$6:$C$1997,0)),"")</f>
        <v>ÚNICO</v>
      </c>
      <c r="I487" s="34" t="str">
        <f>IFERROR(INDEX(SKUs!#REF!,MATCH(B487,SKUs!$C$6:$C$1997,0)),"")</f>
        <v/>
      </c>
      <c r="J487" s="35">
        <f>SUMIFS(SKUs!$I$6:$I$1997,SKUs!$C$6:$C$1997,B487)</f>
        <v>97</v>
      </c>
      <c r="K487" s="34">
        <f t="shared" si="29"/>
        <v>0</v>
      </c>
      <c r="L487" s="35">
        <f>COUNTIF(SKUs!$C$6:$C$1997,B487)</f>
        <v>2</v>
      </c>
      <c r="M487" s="29"/>
      <c r="N487" s="29"/>
      <c r="O487" s="29"/>
      <c r="P487" s="29"/>
      <c r="Q487" s="29"/>
      <c r="R487" s="29"/>
      <c r="S487" s="29"/>
      <c r="T487" s="29"/>
      <c r="U487" s="30">
        <f t="shared" si="30"/>
        <v>0</v>
      </c>
      <c r="V487" s="31">
        <f t="shared" si="31"/>
        <v>97</v>
      </c>
    </row>
    <row r="488" spans="1:22" ht="14.25" hidden="1" customHeight="1" x14ac:dyDescent="0.3">
      <c r="A488" s="25">
        <v>481</v>
      </c>
      <c r="B488" s="26" t="s">
        <v>532</v>
      </c>
      <c r="C488" s="27" t="str">
        <f t="shared" si="28"/>
        <v>—</v>
      </c>
      <c r="D488" s="2" t="str">
        <f>IFERROR(INDEX(SKUs!$E$6:$E$1997,MATCH(B488,SKUs!$C$6:$C$1997,0)),"")</f>
        <v>GARRAFA</v>
      </c>
      <c r="E488" s="28" t="str">
        <f>IFERROR(VLOOKUP(D488,Configurações!$N$5:$O$46,2,FALSE()),"OUTROS")</f>
        <v>BEBIDAS E MESA</v>
      </c>
      <c r="F488" s="2" t="str">
        <f>IFERROR(INDEX(SKUs!$F$6:$F$1997,MATCH(B488,SKUs!$C$6:$C$1997,0)),"")</f>
        <v>GARRAFA TERMICA EM INOX</v>
      </c>
      <c r="G488" s="2" t="str">
        <f>IFERROR(INDEX(SKUs!$G$6:$G$1997,MATCH(B488,SKUs!$C$6:$C$1997,0)),"")</f>
        <v>MARINHO</v>
      </c>
      <c r="H488" s="25" t="str">
        <f>IFERROR(INDEX(SKUs!$H$6:$H$1997,MATCH(B488,SKUs!$C$6:$C$1997,0)),"")</f>
        <v>500ML</v>
      </c>
      <c r="I488" s="4" t="str">
        <f>IFERROR(INDEX(SKUs!#REF!,MATCH(B488,SKUs!$C$6:$C$1997,0)),"")</f>
        <v/>
      </c>
      <c r="J488" s="3">
        <f>SUMIFS(SKUs!$I$6:$I$1997,SKUs!$C$6:$C$1997,B488)</f>
        <v>0</v>
      </c>
      <c r="K488" s="4">
        <f t="shared" si="29"/>
        <v>0</v>
      </c>
      <c r="L488" s="3">
        <f>COUNTIF(SKUs!$C$6:$C$1997,B488)</f>
        <v>1</v>
      </c>
      <c r="M488" s="29">
        <v>1</v>
      </c>
      <c r="N488" s="29"/>
      <c r="O488" s="29"/>
      <c r="P488" s="29"/>
      <c r="Q488" s="29"/>
      <c r="R488" s="29"/>
      <c r="S488" s="29"/>
      <c r="T488" s="29"/>
      <c r="U488" s="30">
        <f t="shared" si="30"/>
        <v>1</v>
      </c>
      <c r="V488" s="31">
        <f t="shared" si="31"/>
        <v>0</v>
      </c>
    </row>
    <row r="489" spans="1:22" ht="14.25" hidden="1" customHeight="1" x14ac:dyDescent="0.3">
      <c r="A489" s="32">
        <v>482</v>
      </c>
      <c r="B489" s="26" t="s">
        <v>533</v>
      </c>
      <c r="C489" s="27" t="str">
        <f t="shared" si="28"/>
        <v>—</v>
      </c>
      <c r="D489" s="33" t="str">
        <f>IFERROR(INDEX(SKUs!$E$6:$E$1997,MATCH(B489,SKUs!$C$6:$C$1997,0)),"")</f>
        <v>COPO</v>
      </c>
      <c r="E489" s="28" t="str">
        <f>IFERROR(VLOOKUP(D489,Configurações!$N$5:$O$46,2,FALSE()),"OUTROS")</f>
        <v>BEBIDAS E MESA</v>
      </c>
      <c r="F489" s="33" t="str">
        <f>IFERROR(INDEX(SKUs!$F$6:$F$1997,MATCH(B489,SKUs!$C$6:$C$1997,0)),"")</f>
        <v>COPO STANLEY</v>
      </c>
      <c r="G489" s="33" t="str">
        <f>IFERROR(INDEX(SKUs!$G$6:$G$1997,MATCH(B489,SKUs!$C$6:$C$1997,0)),"")</f>
        <v>BRANCA</v>
      </c>
      <c r="H489" s="32" t="str">
        <f>IFERROR(INDEX(SKUs!$H$6:$H$1997,MATCH(B489,SKUs!$C$6:$C$1997,0)),"")</f>
        <v>473ML</v>
      </c>
      <c r="I489" s="34" t="str">
        <f>IFERROR(INDEX(SKUs!#REF!,MATCH(B489,SKUs!$C$6:$C$1997,0)),"")</f>
        <v/>
      </c>
      <c r="J489" s="35">
        <f>SUMIFS(SKUs!$I$6:$I$1997,SKUs!$C$6:$C$1997,B489)</f>
        <v>0</v>
      </c>
      <c r="K489" s="34">
        <f t="shared" si="29"/>
        <v>0</v>
      </c>
      <c r="L489" s="35">
        <f>COUNTIF(SKUs!$C$6:$C$1997,B489)</f>
        <v>1</v>
      </c>
      <c r="M489" s="29">
        <v>6</v>
      </c>
      <c r="N489" s="29"/>
      <c r="O489" s="29"/>
      <c r="P489" s="29"/>
      <c r="Q489" s="29"/>
      <c r="R489" s="29"/>
      <c r="S489" s="29"/>
      <c r="T489" s="29"/>
      <c r="U489" s="30">
        <f t="shared" si="30"/>
        <v>6</v>
      </c>
      <c r="V489" s="31">
        <f t="shared" si="31"/>
        <v>0</v>
      </c>
    </row>
    <row r="490" spans="1:22" ht="14.25" hidden="1" customHeight="1" x14ac:dyDescent="0.3">
      <c r="A490" s="25">
        <v>483</v>
      </c>
      <c r="B490" s="26" t="s">
        <v>534</v>
      </c>
      <c r="C490" s="27" t="str">
        <f t="shared" si="28"/>
        <v>Masculino</v>
      </c>
      <c r="D490" s="2" t="str">
        <f>IFERROR(INDEX(SKUs!$E$6:$E$1997,MATCH(B490,SKUs!$C$6:$C$1997,0)),"")</f>
        <v>JAQUETA</v>
      </c>
      <c r="E490" s="28" t="str">
        <f>IFERROR(VLOOKUP(D490,Configurações!$N$5:$O$46,2,FALSE()),"OUTROS")</f>
        <v>VESTUÁRIO</v>
      </c>
      <c r="F490" s="2" t="str">
        <f>IFERROR(INDEX(SKUs!$F$6:$F$1997,MATCH(B490,SKUs!$C$6:$C$1997,0)),"")</f>
        <v>JAQUETA PUFFER CAPUZ</v>
      </c>
      <c r="G490" s="2" t="str">
        <f>IFERROR(INDEX(SKUs!$G$6:$G$1997,MATCH(B490,SKUs!$C$6:$C$1997,0)),"")</f>
        <v>AZUL</v>
      </c>
      <c r="H490" s="25" t="str">
        <f>IFERROR(INDEX(SKUs!$H$6:$H$1997,MATCH(B490,SKUs!$C$6:$C$1997,0)),"")</f>
        <v>XG</v>
      </c>
      <c r="I490" s="4" t="str">
        <f>IFERROR(INDEX(SKUs!#REF!,MATCH(B490,SKUs!$C$6:$C$1997,0)),"")</f>
        <v/>
      </c>
      <c r="J490" s="3">
        <f>SUMIFS(SKUs!$I$6:$I$1997,SKUs!$C$6:$C$1997,B490)</f>
        <v>6</v>
      </c>
      <c r="K490" s="4">
        <f t="shared" si="29"/>
        <v>0</v>
      </c>
      <c r="L490" s="3">
        <f>COUNTIF(SKUs!$C$6:$C$1997,B490)</f>
        <v>2</v>
      </c>
      <c r="M490" s="29"/>
      <c r="N490" s="29"/>
      <c r="O490" s="29"/>
      <c r="P490" s="29"/>
      <c r="Q490" s="29"/>
      <c r="R490" s="29"/>
      <c r="S490" s="29"/>
      <c r="T490" s="29"/>
      <c r="U490" s="30">
        <f t="shared" si="30"/>
        <v>0</v>
      </c>
      <c r="V490" s="31">
        <f t="shared" si="31"/>
        <v>6</v>
      </c>
    </row>
    <row r="491" spans="1:22" ht="15" hidden="1" customHeight="1" x14ac:dyDescent="0.3">
      <c r="A491" s="32">
        <v>484</v>
      </c>
      <c r="B491" s="26" t="s">
        <v>535</v>
      </c>
      <c r="C491" s="27" t="str">
        <f t="shared" si="28"/>
        <v>Masculino</v>
      </c>
      <c r="D491" s="33" t="str">
        <f>IFERROR(INDEX(SKUs!$E$6:$E$1997,MATCH(B491,SKUs!$C$6:$C$1997,0)),"")</f>
        <v>JAQUETA</v>
      </c>
      <c r="E491" s="28" t="str">
        <f>IFERROR(VLOOKUP(D491,Configurações!$N$5:$O$46,2,FALSE()),"OUTROS")</f>
        <v>VESTUÁRIO</v>
      </c>
      <c r="F491" s="33" t="str">
        <f>IFERROR(INDEX(SKUs!$F$6:$F$1997,MATCH(B491,SKUs!$C$6:$C$1997,0)),"")</f>
        <v>JAQUETA NYLON LEVE</v>
      </c>
      <c r="G491" s="33" t="str">
        <f>IFERROR(INDEX(SKUs!$G$6:$G$1997,MATCH(B491,SKUs!$C$6:$C$1997,0)),"")</f>
        <v>PRETA</v>
      </c>
      <c r="H491" s="32" t="str">
        <f>IFERROR(INDEX(SKUs!$H$6:$H$1997,MATCH(B491,SKUs!$C$6:$C$1997,0)),"")</f>
        <v>P</v>
      </c>
      <c r="I491" s="34" t="str">
        <f>IFERROR(INDEX(SKUs!#REF!,MATCH(B491,SKUs!$C$6:$C$1997,0)),"")</f>
        <v/>
      </c>
      <c r="J491" s="35">
        <f>SUMIFS(SKUs!$I$6:$I$1997,SKUs!$C$6:$C$1997,B491)</f>
        <v>1</v>
      </c>
      <c r="K491" s="34">
        <f t="shared" si="29"/>
        <v>0</v>
      </c>
      <c r="L491" s="35">
        <f>COUNTIF(SKUs!$C$6:$C$1997,B491)</f>
        <v>1</v>
      </c>
      <c r="M491" s="29"/>
      <c r="N491" s="29"/>
      <c r="O491" s="29"/>
      <c r="P491" s="29"/>
      <c r="Q491" s="29"/>
      <c r="R491" s="29"/>
      <c r="S491" s="29"/>
      <c r="T491" s="29"/>
      <c r="U491" s="30">
        <f t="shared" si="30"/>
        <v>0</v>
      </c>
      <c r="V491" s="31">
        <f t="shared" si="31"/>
        <v>1</v>
      </c>
    </row>
    <row r="492" spans="1:22" ht="15" hidden="1" customHeight="1" x14ac:dyDescent="0.3">
      <c r="A492" s="25">
        <f t="shared" ref="A492:A523" si="32">IF(B492="","",ROW()-7)</f>
        <v>485</v>
      </c>
      <c r="B492" s="26" t="s">
        <v>536</v>
      </c>
      <c r="C492" s="27" t="str">
        <f t="shared" si="28"/>
        <v>Feminino</v>
      </c>
      <c r="D492" s="2" t="str">
        <f>IF(B492="","",IFERROR(INDEX(SKUs!$E$6:$E$1997,MATCH(B492,SKUs!$C$6:$C$1997,0)),""))</f>
        <v>CAMISETA</v>
      </c>
      <c r="E492" s="28" t="str">
        <f>IF(B492="","",IFERROR(VLOOKUP(D492,Configurações!$N$5:$O$46,2,FALSE()),"OUTROS"))</f>
        <v>VESTUÁRIO</v>
      </c>
      <c r="F492" s="2" t="str">
        <f>IF(B492="","",IFERROR(INDEX(SKUs!$F$6:$F$1997,MATCH(B492,SKUs!$C$6:$C$1997,0)),""))</f>
        <v>CAMISETA COPA FEM.</v>
      </c>
      <c r="G492" s="2" t="str">
        <f>IF(B492="","",IFERROR(INDEX(SKUs!$G$6:$G$1997,MATCH(B492,SKUs!$C$6:$C$1997,0)),""))</f>
        <v>AZUL</v>
      </c>
      <c r="H492" s="25" t="str">
        <f>IF(B492="","",IFERROR(INDEX(SKUs!$H$6:$H$1997,MATCH(B492,SKUs!$C$6:$C$1997,0)),""))</f>
        <v>P</v>
      </c>
      <c r="I492" s="4" t="str">
        <f>IF(B492="","",IFERROR(INDEX(SKUs!#REF!,MATCH(B492,SKUs!$C$6:$C$1997,0)),""))</f>
        <v/>
      </c>
      <c r="J492" s="3">
        <f>IF(B492="","",SUMIFS(SKUs!$I$6:$I$1997,SKUs!$C$6:$C$1997,B492))</f>
        <v>0</v>
      </c>
      <c r="K492" s="4">
        <f t="shared" ref="K492:K523" si="33">IF(B492="","",IFERROR(I492*J492,0))</f>
        <v>0</v>
      </c>
      <c r="L492" s="3">
        <f>IF(B492="","",COUNTIF(SKUs!$C$6:$C$1997,B492))</f>
        <v>1</v>
      </c>
      <c r="M492" s="29"/>
      <c r="N492" s="29"/>
      <c r="O492" s="29"/>
      <c r="P492" s="29"/>
      <c r="Q492" s="29"/>
      <c r="R492" s="29"/>
      <c r="S492" s="29"/>
      <c r="T492" s="29"/>
      <c r="U492" s="30">
        <f t="shared" ref="U492:U523" si="34">IF(B492="","",SUM(M492:R492))</f>
        <v>0</v>
      </c>
      <c r="V492" s="31">
        <f t="shared" si="31"/>
        <v>0</v>
      </c>
    </row>
    <row r="493" spans="1:22" ht="15" hidden="1" customHeight="1" x14ac:dyDescent="0.3">
      <c r="A493" s="25">
        <f t="shared" si="32"/>
        <v>486</v>
      </c>
      <c r="B493" s="26" t="s">
        <v>537</v>
      </c>
      <c r="C493" s="27" t="str">
        <f t="shared" si="28"/>
        <v>Feminino</v>
      </c>
      <c r="D493" s="2" t="str">
        <f>IF(B493="","",IFERROR(INDEX(SKUs!$E$6:$E$1997,MATCH(B493,SKUs!$C$6:$C$1997,0)),""))</f>
        <v>CAMISETA</v>
      </c>
      <c r="E493" s="28" t="str">
        <f>IF(B493="","",IFERROR(VLOOKUP(D493,Configurações!$N$5:$O$46,2,FALSE()),"OUTROS"))</f>
        <v>VESTUÁRIO</v>
      </c>
      <c r="F493" s="2" t="str">
        <f>IF(B493="","",IFERROR(INDEX(SKUs!$F$6:$F$1997,MATCH(B493,SKUs!$C$6:$C$1997,0)),""))</f>
        <v>CAMISETA COPA FEM.</v>
      </c>
      <c r="G493" s="2" t="str">
        <f>IF(B493="","",IFERROR(INDEX(SKUs!$G$6:$G$1997,MATCH(B493,SKUs!$C$6:$C$1997,0)),""))</f>
        <v>AZUL</v>
      </c>
      <c r="H493" s="25" t="str">
        <f>IF(B493="","",IFERROR(INDEX(SKUs!$H$6:$H$1997,MATCH(B493,SKUs!$C$6:$C$1997,0)),""))</f>
        <v>M</v>
      </c>
      <c r="I493" s="4" t="str">
        <f>IF(B493="","",IFERROR(INDEX(SKUs!#REF!,MATCH(B493,SKUs!$C$6:$C$1997,0)),""))</f>
        <v/>
      </c>
      <c r="J493" s="3">
        <f>IF(B493="","",SUMIFS(SKUs!$I$6:$I$1997,SKUs!$C$6:$C$1997,B493))</f>
        <v>0</v>
      </c>
      <c r="K493" s="4">
        <f t="shared" si="33"/>
        <v>0</v>
      </c>
      <c r="L493" s="3">
        <f>IF(B493="","",COUNTIF(SKUs!$C$6:$C$1997,B493))</f>
        <v>1</v>
      </c>
      <c r="M493" s="29"/>
      <c r="N493" s="29"/>
      <c r="O493" s="29"/>
      <c r="P493" s="29"/>
      <c r="Q493" s="29"/>
      <c r="R493" s="29"/>
      <c r="S493" s="29"/>
      <c r="T493" s="29"/>
      <c r="U493" s="30">
        <f t="shared" si="34"/>
        <v>0</v>
      </c>
      <c r="V493" s="31">
        <f t="shared" si="31"/>
        <v>0</v>
      </c>
    </row>
    <row r="494" spans="1:22" ht="15" hidden="1" customHeight="1" x14ac:dyDescent="0.3">
      <c r="A494" s="25">
        <f t="shared" si="32"/>
        <v>487</v>
      </c>
      <c r="B494" s="26" t="s">
        <v>538</v>
      </c>
      <c r="C494" s="27" t="str">
        <f t="shared" si="28"/>
        <v>Feminino</v>
      </c>
      <c r="D494" s="2" t="str">
        <f>IF(B494="","",IFERROR(INDEX(SKUs!$E$6:$E$1997,MATCH(B494,SKUs!$C$6:$C$1997,0)),""))</f>
        <v>POLO</v>
      </c>
      <c r="E494" s="28" t="str">
        <f>IF(B494="","",IFERROR(VLOOKUP(D494,Configurações!$N$5:$O$46,2,FALSE()),"OUTROS"))</f>
        <v>VESTUÁRIO</v>
      </c>
      <c r="F494" s="2" t="str">
        <f>IF(B494="","",IFERROR(INDEX(SKUs!$F$6:$F$1997,MATCH(B494,SKUs!$C$6:$C$1997,0)),""))</f>
        <v>POLO BASICA FEM.</v>
      </c>
      <c r="G494" s="2" t="str">
        <f>IF(B494="","",IFERROR(INDEX(SKUs!$G$6:$G$1997,MATCH(B494,SKUs!$C$6:$C$1997,0)),""))</f>
        <v>PRETA</v>
      </c>
      <c r="H494" s="25" t="str">
        <f>IF(B494="","",IFERROR(INDEX(SKUs!$H$6:$H$1997,MATCH(B494,SKUs!$C$6:$C$1997,0)),""))</f>
        <v>GG</v>
      </c>
      <c r="I494" s="4" t="str">
        <f>IF(B494="","",IFERROR(INDEX(SKUs!#REF!,MATCH(B494,SKUs!$C$6:$C$1997,0)),""))</f>
        <v/>
      </c>
      <c r="J494" s="3">
        <f>IF(B494="","",SUMIFS(SKUs!$I$6:$I$1997,SKUs!$C$6:$C$1997,B494))</f>
        <v>24</v>
      </c>
      <c r="K494" s="4">
        <f t="shared" si="33"/>
        <v>0</v>
      </c>
      <c r="L494" s="3">
        <f>IF(B494="","",COUNTIF(SKUs!$C$6:$C$1997,B494))</f>
        <v>1</v>
      </c>
      <c r="M494" s="29"/>
      <c r="N494" s="29"/>
      <c r="O494" s="29"/>
      <c r="P494" s="29"/>
      <c r="Q494" s="29"/>
      <c r="R494" s="29"/>
      <c r="S494" s="29"/>
      <c r="T494" s="29"/>
      <c r="U494" s="30">
        <f t="shared" si="34"/>
        <v>0</v>
      </c>
      <c r="V494" s="31">
        <f t="shared" si="31"/>
        <v>24</v>
      </c>
    </row>
    <row r="495" spans="1:22" ht="15" hidden="1" customHeight="1" x14ac:dyDescent="0.3">
      <c r="A495" s="25">
        <f t="shared" si="32"/>
        <v>488</v>
      </c>
      <c r="B495" s="26" t="s">
        <v>539</v>
      </c>
      <c r="C495" s="27" t="str">
        <f t="shared" si="28"/>
        <v>Feminino</v>
      </c>
      <c r="D495" s="2" t="str">
        <f>IF(B495="","",IFERROR(INDEX(SKUs!$E$6:$E$1997,MATCH(B495,SKUs!$C$6:$C$1997,0)),""))</f>
        <v>POLO</v>
      </c>
      <c r="E495" s="28" t="str">
        <f>IF(B495="","",IFERROR(VLOOKUP(D495,Configurações!$N$5:$O$46,2,FALSE()),"OUTROS"))</f>
        <v>VESTUÁRIO</v>
      </c>
      <c r="F495" s="2" t="str">
        <f>IF(B495="","",IFERROR(INDEX(SKUs!$F$6:$F$1997,MATCH(B495,SKUs!$C$6:$C$1997,0)),""))</f>
        <v>POLO BASICA FEM.</v>
      </c>
      <c r="G495" s="2" t="str">
        <f>IF(B495="","",IFERROR(INDEX(SKUs!$G$6:$G$1997,MATCH(B495,SKUs!$C$6:$C$1997,0)),""))</f>
        <v>PRETA</v>
      </c>
      <c r="H495" s="25" t="str">
        <f>IF(B495="","",IFERROR(INDEX(SKUs!$H$6:$H$1997,MATCH(B495,SKUs!$C$6:$C$1997,0)),""))</f>
        <v>M</v>
      </c>
      <c r="I495" s="4" t="str">
        <f>IF(B495="","",IFERROR(INDEX(SKUs!#REF!,MATCH(B495,SKUs!$C$6:$C$1997,0)),""))</f>
        <v/>
      </c>
      <c r="J495" s="3">
        <f>IF(B495="","",SUMIFS(SKUs!$I$6:$I$1997,SKUs!$C$6:$C$1997,B495))</f>
        <v>5</v>
      </c>
      <c r="K495" s="4">
        <f t="shared" si="33"/>
        <v>0</v>
      </c>
      <c r="L495" s="3">
        <f>IF(B495="","",COUNTIF(SKUs!$C$6:$C$1997,B495))</f>
        <v>1</v>
      </c>
      <c r="M495" s="29"/>
      <c r="N495" s="29"/>
      <c r="O495" s="29"/>
      <c r="P495" s="29"/>
      <c r="Q495" s="29"/>
      <c r="R495" s="29"/>
      <c r="S495" s="29"/>
      <c r="T495" s="29"/>
      <c r="U495" s="30">
        <f t="shared" si="34"/>
        <v>0</v>
      </c>
      <c r="V495" s="31">
        <f t="shared" si="31"/>
        <v>5</v>
      </c>
    </row>
    <row r="496" spans="1:22" ht="15" hidden="1" customHeight="1" x14ac:dyDescent="0.3">
      <c r="A496" s="25">
        <f t="shared" si="32"/>
        <v>489</v>
      </c>
      <c r="B496" s="26" t="s">
        <v>540</v>
      </c>
      <c r="C496" s="27" t="str">
        <f t="shared" si="28"/>
        <v>Masculino</v>
      </c>
      <c r="D496" s="2" t="str">
        <f>IF(B496="","",IFERROR(INDEX(SKUs!$E$6:$E$1997,MATCH(B496,SKUs!$C$6:$C$1997,0)),""))</f>
        <v>POLO</v>
      </c>
      <c r="E496" s="28" t="str">
        <f>IF(B496="","",IFERROR(VLOOKUP(D496,Configurações!$N$5:$O$46,2,FALSE()),"OUTROS"))</f>
        <v>VESTUÁRIO</v>
      </c>
      <c r="F496" s="2" t="str">
        <f>IF(B496="","",IFERROR(INDEX(SKUs!$F$6:$F$1997,MATCH(B496,SKUs!$C$6:$C$1997,0)),""))</f>
        <v>POLO PIQUET MASC.</v>
      </c>
      <c r="G496" s="2" t="str">
        <f>IF(B496="","",IFERROR(INDEX(SKUs!$G$6:$G$1997,MATCH(B496,SKUs!$C$6:$C$1997,0)),""))</f>
        <v>CINZA</v>
      </c>
      <c r="H496" s="25" t="str">
        <f>IF(B496="","",IFERROR(INDEX(SKUs!$H$6:$H$1997,MATCH(B496,SKUs!$C$6:$C$1997,0)),""))</f>
        <v>PP</v>
      </c>
      <c r="I496" s="4" t="str">
        <f>IF(B496="","",IFERROR(INDEX(SKUs!#REF!,MATCH(B496,SKUs!$C$6:$C$1997,0)),""))</f>
        <v/>
      </c>
      <c r="J496" s="3">
        <f>IF(B496="","",SUMIFS(SKUs!$I$6:$I$1997,SKUs!$C$6:$C$1997,B496))</f>
        <v>0</v>
      </c>
      <c r="K496" s="4">
        <f t="shared" si="33"/>
        <v>0</v>
      </c>
      <c r="L496" s="3">
        <f>IF(B496="","",COUNTIF(SKUs!$C$6:$C$1997,B496))</f>
        <v>3</v>
      </c>
      <c r="M496" s="29"/>
      <c r="N496" s="29"/>
      <c r="O496" s="29"/>
      <c r="P496" s="29"/>
      <c r="Q496" s="29"/>
      <c r="R496" s="29"/>
      <c r="S496" s="29"/>
      <c r="T496" s="29"/>
      <c r="U496" s="30">
        <f t="shared" si="34"/>
        <v>0</v>
      </c>
      <c r="V496" s="31">
        <f t="shared" si="31"/>
        <v>0</v>
      </c>
    </row>
    <row r="497" spans="1:22" ht="15" hidden="1" customHeight="1" x14ac:dyDescent="0.3">
      <c r="A497" s="25">
        <f t="shared" si="32"/>
        <v>490</v>
      </c>
      <c r="B497" s="26" t="s">
        <v>541</v>
      </c>
      <c r="C497" s="27" t="str">
        <f t="shared" si="28"/>
        <v>Masculino</v>
      </c>
      <c r="D497" s="2" t="str">
        <f>IF(B497="","",IFERROR(INDEX(SKUs!$E$6:$E$1997,MATCH(B497,SKUs!$C$6:$C$1997,0)),""))</f>
        <v>SUÉTER</v>
      </c>
      <c r="E497" s="28" t="str">
        <f>IF(B497="","",IFERROR(VLOOKUP(D497,Configurações!$N$5:$O$46,2,FALSE()),"OUTROS"))</f>
        <v>OUTROS</v>
      </c>
      <c r="F497" s="2" t="str">
        <f>IF(B497="","",IFERROR(INDEX(SKUs!$F$6:$F$1997,MATCH(B497,SKUs!$C$6:$C$1997,0)),""))</f>
        <v>SUÉTER KASTER MASC.</v>
      </c>
      <c r="G497" s="2" t="str">
        <f>IF(B497="","",IFERROR(INDEX(SKUs!$G$6:$G$1997,MATCH(B497,SKUs!$C$6:$C$1997,0)),""))</f>
        <v>AZUL</v>
      </c>
      <c r="H497" s="25" t="str">
        <f>IF(B497="","",IFERROR(INDEX(SKUs!$H$6:$H$1997,MATCH(B497,SKUs!$C$6:$C$1997,0)),""))</f>
        <v>P</v>
      </c>
      <c r="I497" s="4" t="str">
        <f>IF(B497="","",IFERROR(INDEX(SKUs!#REF!,MATCH(B497,SKUs!$C$6:$C$1997,0)),""))</f>
        <v/>
      </c>
      <c r="J497" s="3">
        <f>IF(B497="","",SUMIFS(SKUs!$I$6:$I$1997,SKUs!$C$6:$C$1997,B497))</f>
        <v>26</v>
      </c>
      <c r="K497" s="4">
        <f t="shared" si="33"/>
        <v>0</v>
      </c>
      <c r="L497" s="3">
        <f>IF(B497="","",COUNTIF(SKUs!$C$6:$C$1997,B497))</f>
        <v>1</v>
      </c>
      <c r="M497" s="29"/>
      <c r="N497" s="29"/>
      <c r="O497" s="29">
        <v>25</v>
      </c>
      <c r="P497" s="29"/>
      <c r="Q497" s="29"/>
      <c r="R497" s="29"/>
      <c r="S497" s="29"/>
      <c r="T497" s="29"/>
      <c r="U497" s="30">
        <f t="shared" si="34"/>
        <v>25</v>
      </c>
      <c r="V497" s="31">
        <f t="shared" si="31"/>
        <v>26</v>
      </c>
    </row>
    <row r="498" spans="1:22" ht="15" hidden="1" customHeight="1" x14ac:dyDescent="0.3">
      <c r="A498" s="25">
        <f t="shared" si="32"/>
        <v>491</v>
      </c>
      <c r="B498" s="26" t="s">
        <v>542</v>
      </c>
      <c r="C498" s="27" t="str">
        <f t="shared" si="28"/>
        <v>Masculino</v>
      </c>
      <c r="D498" s="2" t="str">
        <f>IF(B498="","",IFERROR(INDEX(SKUs!$E$6:$E$1997,MATCH(B498,SKUs!$C$6:$C$1997,0)),""))</f>
        <v>SUÉTER</v>
      </c>
      <c r="E498" s="28" t="str">
        <f>IF(B498="","",IFERROR(VLOOKUP(D498,Configurações!$N$5:$O$46,2,FALSE()),"OUTROS"))</f>
        <v>OUTROS</v>
      </c>
      <c r="F498" s="2" t="str">
        <f>IF(B498="","",IFERROR(INDEX(SKUs!$F$6:$F$1997,MATCH(B498,SKUs!$C$6:$C$1997,0)),""))</f>
        <v>SUÉTER KASTER MASC.</v>
      </c>
      <c r="G498" s="2" t="str">
        <f>IF(B498="","",IFERROR(INDEX(SKUs!$G$6:$G$1997,MATCH(B498,SKUs!$C$6:$C$1997,0)),""))</f>
        <v>AZUL</v>
      </c>
      <c r="H498" s="25" t="str">
        <f>IF(B498="","",IFERROR(INDEX(SKUs!$H$6:$H$1997,MATCH(B498,SKUs!$C$6:$C$1997,0)),""))</f>
        <v>M</v>
      </c>
      <c r="I498" s="4" t="str">
        <f>IF(B498="","",IFERROR(INDEX(SKUs!#REF!,MATCH(B498,SKUs!$C$6:$C$1997,0)),""))</f>
        <v/>
      </c>
      <c r="J498" s="3">
        <f>IF(B498="","",SUMIFS(SKUs!$I$6:$I$1997,SKUs!$C$6:$C$1997,B498))</f>
        <v>46</v>
      </c>
      <c r="K498" s="4">
        <f t="shared" si="33"/>
        <v>0</v>
      </c>
      <c r="L498" s="3">
        <f>IF(B498="","",COUNTIF(SKUs!$C$6:$C$1997,B498))</f>
        <v>1</v>
      </c>
      <c r="M498" s="29"/>
      <c r="N498" s="29"/>
      <c r="O498" s="29">
        <v>45</v>
      </c>
      <c r="P498" s="29"/>
      <c r="Q498" s="29"/>
      <c r="R498" s="29"/>
      <c r="S498" s="29"/>
      <c r="T498" s="29"/>
      <c r="U498" s="30">
        <f t="shared" si="34"/>
        <v>45</v>
      </c>
      <c r="V498" s="31">
        <f t="shared" si="31"/>
        <v>46</v>
      </c>
    </row>
    <row r="499" spans="1:22" ht="15" hidden="1" customHeight="1" x14ac:dyDescent="0.3">
      <c r="A499" s="25">
        <f t="shared" si="32"/>
        <v>492</v>
      </c>
      <c r="B499" s="26" t="s">
        <v>543</v>
      </c>
      <c r="C499" s="27" t="str">
        <f t="shared" si="28"/>
        <v>Masculino</v>
      </c>
      <c r="D499" s="2" t="str">
        <f>IF(B499="","",IFERROR(INDEX(SKUs!$E$6:$E$1997,MATCH(B499,SKUs!$C$6:$C$1997,0)),""))</f>
        <v>SUÉTER</v>
      </c>
      <c r="E499" s="28" t="str">
        <f>IF(B499="","",IFERROR(VLOOKUP(D499,Configurações!$N$5:$O$46,2,FALSE()),"OUTROS"))</f>
        <v>OUTROS</v>
      </c>
      <c r="F499" s="2" t="str">
        <f>IF(B499="","",IFERROR(INDEX(SKUs!$F$6:$F$1997,MATCH(B499,SKUs!$C$6:$C$1997,0)),""))</f>
        <v>SUÉTER KASTER MASC.</v>
      </c>
      <c r="G499" s="2" t="str">
        <f>IF(B499="","",IFERROR(INDEX(SKUs!$G$6:$G$1997,MATCH(B499,SKUs!$C$6:$C$1997,0)),""))</f>
        <v>AZUL</v>
      </c>
      <c r="H499" s="25" t="str">
        <f>IF(B499="","",IFERROR(INDEX(SKUs!$H$6:$H$1997,MATCH(B499,SKUs!$C$6:$C$1997,0)),""))</f>
        <v>G</v>
      </c>
      <c r="I499" s="4" t="str">
        <f>IF(B499="","",IFERROR(INDEX(SKUs!#REF!,MATCH(B499,SKUs!$C$6:$C$1997,0)),""))</f>
        <v/>
      </c>
      <c r="J499" s="3">
        <f>IF(B499="","",SUMIFS(SKUs!$I$6:$I$1997,SKUs!$C$6:$C$1997,B499))</f>
        <v>39</v>
      </c>
      <c r="K499" s="4">
        <f t="shared" si="33"/>
        <v>0</v>
      </c>
      <c r="L499" s="3">
        <f>IF(B499="","",COUNTIF(SKUs!$C$6:$C$1997,B499))</f>
        <v>1</v>
      </c>
      <c r="M499" s="29"/>
      <c r="N499" s="29"/>
      <c r="O499" s="29">
        <v>40</v>
      </c>
      <c r="P499" s="29"/>
      <c r="Q499" s="29"/>
      <c r="R499" s="29"/>
      <c r="S499" s="29"/>
      <c r="T499" s="29"/>
      <c r="U499" s="30">
        <f t="shared" si="34"/>
        <v>40</v>
      </c>
      <c r="V499" s="31">
        <f t="shared" si="31"/>
        <v>39</v>
      </c>
    </row>
    <row r="500" spans="1:22" ht="15" hidden="1" customHeight="1" x14ac:dyDescent="0.3">
      <c r="A500" s="25">
        <f t="shared" si="32"/>
        <v>493</v>
      </c>
      <c r="B500" s="26" t="s">
        <v>544</v>
      </c>
      <c r="C500" s="27" t="str">
        <f t="shared" si="28"/>
        <v>Masculino</v>
      </c>
      <c r="D500" s="2" t="str">
        <f>IF(B500="","",IFERROR(INDEX(SKUs!$E$6:$E$1997,MATCH(B500,SKUs!$C$6:$C$1997,0)),""))</f>
        <v>SUÉTER</v>
      </c>
      <c r="E500" s="28" t="str">
        <f>IF(B500="","",IFERROR(VLOOKUP(D500,Configurações!$N$5:$O$46,2,FALSE()),"OUTROS"))</f>
        <v>OUTROS</v>
      </c>
      <c r="F500" s="2" t="str">
        <f>IF(B500="","",IFERROR(INDEX(SKUs!$F$6:$F$1997,MATCH(B500,SKUs!$C$6:$C$1997,0)),""))</f>
        <v>SUÉTER KASTER MASC.</v>
      </c>
      <c r="G500" s="2" t="str">
        <f>IF(B500="","",IFERROR(INDEX(SKUs!$G$6:$G$1997,MATCH(B500,SKUs!$C$6:$C$1997,0)),""))</f>
        <v>AZUL</v>
      </c>
      <c r="H500" s="25" t="str">
        <f>IF(B500="","",IFERROR(INDEX(SKUs!$H$6:$H$1997,MATCH(B500,SKUs!$C$6:$C$1997,0)),""))</f>
        <v>GG</v>
      </c>
      <c r="I500" s="4" t="str">
        <f>IF(B500="","",IFERROR(INDEX(SKUs!#REF!,MATCH(B500,SKUs!$C$6:$C$1997,0)),""))</f>
        <v/>
      </c>
      <c r="J500" s="3">
        <f>IF(B500="","",SUMIFS(SKUs!$I$6:$I$1997,SKUs!$C$6:$C$1997,B500))</f>
        <v>27</v>
      </c>
      <c r="K500" s="4">
        <f t="shared" si="33"/>
        <v>0</v>
      </c>
      <c r="L500" s="3">
        <f>IF(B500="","",COUNTIF(SKUs!$C$6:$C$1997,B500))</f>
        <v>1</v>
      </c>
      <c r="M500" s="29"/>
      <c r="N500" s="29"/>
      <c r="O500" s="29">
        <v>25</v>
      </c>
      <c r="P500" s="29"/>
      <c r="Q500" s="29"/>
      <c r="R500" s="29"/>
      <c r="S500" s="29"/>
      <c r="T500" s="29"/>
      <c r="U500" s="30">
        <f t="shared" si="34"/>
        <v>25</v>
      </c>
      <c r="V500" s="31">
        <f t="shared" si="31"/>
        <v>27</v>
      </c>
    </row>
    <row r="501" spans="1:22" ht="15" hidden="1" customHeight="1" x14ac:dyDescent="0.3">
      <c r="A501" s="25">
        <f t="shared" si="32"/>
        <v>494</v>
      </c>
      <c r="B501" s="26" t="s">
        <v>545</v>
      </c>
      <c r="C501" s="27" t="str">
        <f t="shared" si="28"/>
        <v>Masculino</v>
      </c>
      <c r="D501" s="2" t="str">
        <f>IF(B501="","",IFERROR(INDEX(SKUs!$E$6:$E$1997,MATCH(B501,SKUs!$C$6:$C$1997,0)),""))</f>
        <v>SUÉTER</v>
      </c>
      <c r="E501" s="28" t="str">
        <f>IF(B501="","",IFERROR(VLOOKUP(D501,Configurações!$N$5:$O$46,2,FALSE()),"OUTROS"))</f>
        <v>OUTROS</v>
      </c>
      <c r="F501" s="2" t="str">
        <f>IF(B501="","",IFERROR(INDEX(SKUs!$F$6:$F$1997,MATCH(B501,SKUs!$C$6:$C$1997,0)),""))</f>
        <v>SUÉTER KASTER MASC.</v>
      </c>
      <c r="G501" s="2" t="str">
        <f>IF(B501="","",IFERROR(INDEX(SKUs!$G$6:$G$1997,MATCH(B501,SKUs!$C$6:$C$1997,0)),""))</f>
        <v>AZUL</v>
      </c>
      <c r="H501" s="25" t="str">
        <f>IF(B501="","",IFERROR(INDEX(SKUs!$H$6:$H$1997,MATCH(B501,SKUs!$C$6:$C$1997,0)),""))</f>
        <v>XG</v>
      </c>
      <c r="I501" s="4" t="str">
        <f>IF(B501="","",IFERROR(INDEX(SKUs!#REF!,MATCH(B501,SKUs!$C$6:$C$1997,0)),""))</f>
        <v/>
      </c>
      <c r="J501" s="3">
        <f>IF(B501="","",SUMIFS(SKUs!$I$6:$I$1997,SKUs!$C$6:$C$1997,B501))</f>
        <v>20</v>
      </c>
      <c r="K501" s="4">
        <f t="shared" si="33"/>
        <v>0</v>
      </c>
      <c r="L501" s="3">
        <f>IF(B501="","",COUNTIF(SKUs!$C$6:$C$1997,B501))</f>
        <v>1</v>
      </c>
      <c r="M501" s="29"/>
      <c r="N501" s="29"/>
      <c r="O501" s="29">
        <v>15</v>
      </c>
      <c r="P501" s="29"/>
      <c r="Q501" s="29"/>
      <c r="R501" s="29"/>
      <c r="S501" s="29"/>
      <c r="T501" s="29"/>
      <c r="U501" s="30">
        <f t="shared" si="34"/>
        <v>15</v>
      </c>
      <c r="V501" s="31">
        <f t="shared" si="31"/>
        <v>20</v>
      </c>
    </row>
    <row r="502" spans="1:22" ht="15" hidden="1" customHeight="1" x14ac:dyDescent="0.3">
      <c r="A502" s="25">
        <f t="shared" si="32"/>
        <v>495</v>
      </c>
      <c r="B502" s="26" t="s">
        <v>546</v>
      </c>
      <c r="C502" s="27" t="str">
        <f t="shared" si="28"/>
        <v>Masculino</v>
      </c>
      <c r="D502" s="2" t="str">
        <f>IF(B502="","",IFERROR(INDEX(SKUs!$E$6:$E$1997,MATCH(B502,SKUs!$C$6:$C$1997,0)),""))</f>
        <v>SUÉTER</v>
      </c>
      <c r="E502" s="28" t="str">
        <f>IF(B502="","",IFERROR(VLOOKUP(D502,Configurações!$N$5:$O$46,2,FALSE()),"OUTROS"))</f>
        <v>OUTROS</v>
      </c>
      <c r="F502" s="2" t="str">
        <f>IF(B502="","",IFERROR(INDEX(SKUs!$F$6:$F$1997,MATCH(B502,SKUs!$C$6:$C$1997,0)),""))</f>
        <v>SUÉTER KASTER MASC.</v>
      </c>
      <c r="G502" s="2" t="str">
        <f>IF(B502="","",IFERROR(INDEX(SKUs!$G$6:$G$1997,MATCH(B502,SKUs!$C$6:$C$1997,0)),""))</f>
        <v>PRETO</v>
      </c>
      <c r="H502" s="25" t="str">
        <f>IF(B502="","",IFERROR(INDEX(SKUs!$H$6:$H$1997,MATCH(B502,SKUs!$C$6:$C$1997,0)),""))</f>
        <v>P</v>
      </c>
      <c r="I502" s="4" t="str">
        <f>IF(B502="","",IFERROR(INDEX(SKUs!#REF!,MATCH(B502,SKUs!$C$6:$C$1997,0)),""))</f>
        <v/>
      </c>
      <c r="J502" s="3">
        <f>IF(B502="","",SUMIFS(SKUs!$I$6:$I$1997,SKUs!$C$6:$C$1997,B502))</f>
        <v>26</v>
      </c>
      <c r="K502" s="4">
        <f t="shared" si="33"/>
        <v>0</v>
      </c>
      <c r="L502" s="3">
        <f>IF(B502="","",COUNTIF(SKUs!$C$6:$C$1997,B502))</f>
        <v>1</v>
      </c>
      <c r="M502" s="29"/>
      <c r="N502" s="29"/>
      <c r="O502" s="29">
        <v>25</v>
      </c>
      <c r="P502" s="29"/>
      <c r="Q502" s="29"/>
      <c r="R502" s="29"/>
      <c r="S502" s="29"/>
      <c r="T502" s="29"/>
      <c r="U502" s="30">
        <f t="shared" si="34"/>
        <v>25</v>
      </c>
      <c r="V502" s="31">
        <f t="shared" si="31"/>
        <v>26</v>
      </c>
    </row>
    <row r="503" spans="1:22" ht="15" hidden="1" customHeight="1" x14ac:dyDescent="0.3">
      <c r="A503" s="25">
        <f t="shared" si="32"/>
        <v>496</v>
      </c>
      <c r="B503" s="26" t="s">
        <v>547</v>
      </c>
      <c r="C503" s="27" t="str">
        <f t="shared" si="28"/>
        <v>Masculino</v>
      </c>
      <c r="D503" s="2" t="str">
        <f>IF(B503="","",IFERROR(INDEX(SKUs!$E$6:$E$1997,MATCH(B503,SKUs!$C$6:$C$1997,0)),""))</f>
        <v>SUÉTER</v>
      </c>
      <c r="E503" s="28" t="str">
        <f>IF(B503="","",IFERROR(VLOOKUP(D503,Configurações!$N$5:$O$46,2,FALSE()),"OUTROS"))</f>
        <v>OUTROS</v>
      </c>
      <c r="F503" s="2" t="str">
        <f>IF(B503="","",IFERROR(INDEX(SKUs!$F$6:$F$1997,MATCH(B503,SKUs!$C$6:$C$1997,0)),""))</f>
        <v>SUÉTER KASTER MASC.</v>
      </c>
      <c r="G503" s="2" t="str">
        <f>IF(B503="","",IFERROR(INDEX(SKUs!$G$6:$G$1997,MATCH(B503,SKUs!$C$6:$C$1997,0)),""))</f>
        <v>PRETO</v>
      </c>
      <c r="H503" s="25" t="str">
        <f>IF(B503="","",IFERROR(INDEX(SKUs!$H$6:$H$1997,MATCH(B503,SKUs!$C$6:$C$1997,0)),""))</f>
        <v>M</v>
      </c>
      <c r="I503" s="4" t="str">
        <f>IF(B503="","",IFERROR(INDEX(SKUs!#REF!,MATCH(B503,SKUs!$C$6:$C$1997,0)),""))</f>
        <v/>
      </c>
      <c r="J503" s="3">
        <f>IF(B503="","",SUMIFS(SKUs!$I$6:$I$1997,SKUs!$C$6:$C$1997,B503))</f>
        <v>46</v>
      </c>
      <c r="K503" s="4">
        <f t="shared" si="33"/>
        <v>0</v>
      </c>
      <c r="L503" s="3">
        <f>IF(B503="","",COUNTIF(SKUs!$C$6:$C$1997,B503))</f>
        <v>1</v>
      </c>
      <c r="M503" s="29"/>
      <c r="N503" s="29"/>
      <c r="O503" s="29">
        <v>45</v>
      </c>
      <c r="P503" s="29"/>
      <c r="Q503" s="29"/>
      <c r="R503" s="29"/>
      <c r="S503" s="29"/>
      <c r="T503" s="29"/>
      <c r="U503" s="30">
        <f t="shared" si="34"/>
        <v>45</v>
      </c>
      <c r="V503" s="31">
        <f t="shared" si="31"/>
        <v>46</v>
      </c>
    </row>
    <row r="504" spans="1:22" ht="15" hidden="1" customHeight="1" x14ac:dyDescent="0.3">
      <c r="A504" s="25">
        <f t="shared" si="32"/>
        <v>497</v>
      </c>
      <c r="B504" s="26" t="s">
        <v>548</v>
      </c>
      <c r="C504" s="27" t="str">
        <f t="shared" si="28"/>
        <v>Masculino</v>
      </c>
      <c r="D504" s="2" t="str">
        <f>IF(B504="","",IFERROR(INDEX(SKUs!$E$6:$E$1997,MATCH(B504,SKUs!$C$6:$C$1997,0)),""))</f>
        <v>SUÉTER</v>
      </c>
      <c r="E504" s="28" t="str">
        <f>IF(B504="","",IFERROR(VLOOKUP(D504,Configurações!$N$5:$O$46,2,FALSE()),"OUTROS"))</f>
        <v>OUTROS</v>
      </c>
      <c r="F504" s="2" t="str">
        <f>IF(B504="","",IFERROR(INDEX(SKUs!$F$6:$F$1997,MATCH(B504,SKUs!$C$6:$C$1997,0)),""))</f>
        <v>SUÉTER KASTER MASC.</v>
      </c>
      <c r="G504" s="2" t="str">
        <f>IF(B504="","",IFERROR(INDEX(SKUs!$G$6:$G$1997,MATCH(B504,SKUs!$C$6:$C$1997,0)),""))</f>
        <v>PRETO</v>
      </c>
      <c r="H504" s="25" t="str">
        <f>IF(B504="","",IFERROR(INDEX(SKUs!$H$6:$H$1997,MATCH(B504,SKUs!$C$6:$C$1997,0)),""))</f>
        <v>G</v>
      </c>
      <c r="I504" s="4" t="str">
        <f>IF(B504="","",IFERROR(INDEX(SKUs!#REF!,MATCH(B504,SKUs!$C$6:$C$1997,0)),""))</f>
        <v/>
      </c>
      <c r="J504" s="3">
        <f>IF(B504="","",SUMIFS(SKUs!$I$6:$I$1997,SKUs!$C$6:$C$1997,B504))</f>
        <v>39</v>
      </c>
      <c r="K504" s="4">
        <f t="shared" si="33"/>
        <v>0</v>
      </c>
      <c r="L504" s="3">
        <f>IF(B504="","",COUNTIF(SKUs!$C$6:$C$1997,B504))</f>
        <v>1</v>
      </c>
      <c r="M504" s="29"/>
      <c r="N504" s="29"/>
      <c r="O504" s="29">
        <v>40</v>
      </c>
      <c r="P504" s="29"/>
      <c r="Q504" s="29"/>
      <c r="R504" s="29"/>
      <c r="S504" s="29"/>
      <c r="T504" s="29"/>
      <c r="U504" s="30">
        <f t="shared" si="34"/>
        <v>40</v>
      </c>
      <c r="V504" s="31">
        <f t="shared" si="31"/>
        <v>39</v>
      </c>
    </row>
    <row r="505" spans="1:22" ht="15" hidden="1" customHeight="1" x14ac:dyDescent="0.3">
      <c r="A505" s="25">
        <f t="shared" si="32"/>
        <v>498</v>
      </c>
      <c r="B505" s="26" t="s">
        <v>549</v>
      </c>
      <c r="C505" s="27" t="str">
        <f t="shared" si="28"/>
        <v>Masculino</v>
      </c>
      <c r="D505" s="2" t="str">
        <f>IF(B505="","",IFERROR(INDEX(SKUs!$E$6:$E$1997,MATCH(B505,SKUs!$C$6:$C$1997,0)),""))</f>
        <v>SUÉTER</v>
      </c>
      <c r="E505" s="28" t="str">
        <f>IF(B505="","",IFERROR(VLOOKUP(D505,Configurações!$N$5:$O$46,2,FALSE()),"OUTROS"))</f>
        <v>OUTROS</v>
      </c>
      <c r="F505" s="2" t="str">
        <f>IF(B505="","",IFERROR(INDEX(SKUs!$F$6:$F$1997,MATCH(B505,SKUs!$C$6:$C$1997,0)),""))</f>
        <v>SUÉTER KASTER MASC.</v>
      </c>
      <c r="G505" s="2" t="str">
        <f>IF(B505="","",IFERROR(INDEX(SKUs!$G$6:$G$1997,MATCH(B505,SKUs!$C$6:$C$1997,0)),""))</f>
        <v>PRETO</v>
      </c>
      <c r="H505" s="25" t="str">
        <f>IF(B505="","",IFERROR(INDEX(SKUs!$H$6:$H$1997,MATCH(B505,SKUs!$C$6:$C$1997,0)),""))</f>
        <v>GG</v>
      </c>
      <c r="I505" s="4" t="str">
        <f>IF(B505="","",IFERROR(INDEX(SKUs!#REF!,MATCH(B505,SKUs!$C$6:$C$1997,0)),""))</f>
        <v/>
      </c>
      <c r="J505" s="3">
        <f>IF(B505="","",SUMIFS(SKUs!$I$6:$I$1997,SKUs!$C$6:$C$1997,B505))</f>
        <v>25</v>
      </c>
      <c r="K505" s="4">
        <f t="shared" si="33"/>
        <v>0</v>
      </c>
      <c r="L505" s="3">
        <f>IF(B505="","",COUNTIF(SKUs!$C$6:$C$1997,B505))</f>
        <v>1</v>
      </c>
      <c r="M505" s="29"/>
      <c r="N505" s="29"/>
      <c r="O505" s="29">
        <v>25</v>
      </c>
      <c r="P505" s="29"/>
      <c r="Q505" s="29"/>
      <c r="R505" s="29"/>
      <c r="S505" s="29"/>
      <c r="T505" s="29"/>
      <c r="U505" s="30">
        <f t="shared" si="34"/>
        <v>25</v>
      </c>
      <c r="V505" s="31">
        <f t="shared" si="31"/>
        <v>25</v>
      </c>
    </row>
    <row r="506" spans="1:22" ht="15" hidden="1" customHeight="1" x14ac:dyDescent="0.3">
      <c r="A506" s="25">
        <f t="shared" si="32"/>
        <v>499</v>
      </c>
      <c r="B506" s="26" t="s">
        <v>550</v>
      </c>
      <c r="C506" s="27" t="str">
        <f t="shared" si="28"/>
        <v>Masculino</v>
      </c>
      <c r="D506" s="2" t="str">
        <f>IF(B506="","",IFERROR(INDEX(SKUs!$E$6:$E$1997,MATCH(B506,SKUs!$C$6:$C$1997,0)),""))</f>
        <v>SUÉTER</v>
      </c>
      <c r="E506" s="28" t="str">
        <f>IF(B506="","",IFERROR(VLOOKUP(D506,Configurações!$N$5:$O$46,2,FALSE()),"OUTROS"))</f>
        <v>OUTROS</v>
      </c>
      <c r="F506" s="2" t="str">
        <f>IF(B506="","",IFERROR(INDEX(SKUs!$F$6:$F$1997,MATCH(B506,SKUs!$C$6:$C$1997,0)),""))</f>
        <v>SUÉTER KASTER MASC.</v>
      </c>
      <c r="G506" s="2" t="str">
        <f>IF(B506="","",IFERROR(INDEX(SKUs!$G$6:$G$1997,MATCH(B506,SKUs!$C$6:$C$1997,0)),""))</f>
        <v>PRETO</v>
      </c>
      <c r="H506" s="25" t="str">
        <f>IF(B506="","",IFERROR(INDEX(SKUs!$H$6:$H$1997,MATCH(B506,SKUs!$C$6:$C$1997,0)),""))</f>
        <v>XG</v>
      </c>
      <c r="I506" s="4" t="str">
        <f>IF(B506="","",IFERROR(INDEX(SKUs!#REF!,MATCH(B506,SKUs!$C$6:$C$1997,0)),""))</f>
        <v/>
      </c>
      <c r="J506" s="3">
        <f>IF(B506="","",SUMIFS(SKUs!$I$6:$I$1997,SKUs!$C$6:$C$1997,B506))</f>
        <v>20</v>
      </c>
      <c r="K506" s="4">
        <f t="shared" si="33"/>
        <v>0</v>
      </c>
      <c r="L506" s="3">
        <f>IF(B506="","",COUNTIF(SKUs!$C$6:$C$1997,B506))</f>
        <v>1</v>
      </c>
      <c r="M506" s="29"/>
      <c r="N506" s="29"/>
      <c r="O506" s="29">
        <v>15</v>
      </c>
      <c r="P506" s="29"/>
      <c r="Q506" s="29"/>
      <c r="R506" s="29"/>
      <c r="S506" s="29"/>
      <c r="T506" s="29"/>
      <c r="U506" s="30">
        <f t="shared" si="34"/>
        <v>15</v>
      </c>
      <c r="V506" s="31">
        <f t="shared" si="31"/>
        <v>20</v>
      </c>
    </row>
    <row r="507" spans="1:22" ht="15" hidden="1" customHeight="1" x14ac:dyDescent="0.3">
      <c r="A507" s="25">
        <f t="shared" si="32"/>
        <v>500</v>
      </c>
      <c r="B507" s="26" t="s">
        <v>551</v>
      </c>
      <c r="C507" s="27" t="str">
        <f t="shared" si="28"/>
        <v>Masculino</v>
      </c>
      <c r="D507" s="2" t="str">
        <f>IF(B507="","",IFERROR(INDEX(SKUs!$E$6:$E$1997,MATCH(B507,SKUs!$C$6:$C$1997,0)),""))</f>
        <v>POLO</v>
      </c>
      <c r="E507" s="28" t="str">
        <f>IF(B507="","",IFERROR(VLOOKUP(D507,Configurações!$N$5:$O$46,2,FALSE()),"OUTROS"))</f>
        <v>VESTUÁRIO</v>
      </c>
      <c r="F507" s="2" t="str">
        <f>IF(B507="","",IFERROR(INDEX(SKUs!$F$6:$F$1997,MATCH(B507,SKUs!$C$6:$C$1997,0)),""))</f>
        <v>POLO PIQUET JEANS MASC.</v>
      </c>
      <c r="G507" s="2" t="str">
        <f>IF(B507="","",IFERROR(INDEX(SKUs!$G$6:$G$1997,MATCH(B507,SKUs!$C$6:$C$1997,0)),""))</f>
        <v>AZUL</v>
      </c>
      <c r="H507" s="25" t="str">
        <f>IF(B507="","",IFERROR(INDEX(SKUs!$H$6:$H$1997,MATCH(B507,SKUs!$C$6:$C$1997,0)),""))</f>
        <v>PP</v>
      </c>
      <c r="I507" s="4" t="str">
        <f>IF(B507="","",IFERROR(INDEX(SKUs!#REF!,MATCH(B507,SKUs!$C$6:$C$1997,0)),""))</f>
        <v/>
      </c>
      <c r="J507" s="3">
        <f>IF(B507="","",SUMIFS(SKUs!$I$6:$I$1997,SKUs!$C$6:$C$1997,B507))</f>
        <v>21</v>
      </c>
      <c r="K507" s="4">
        <f t="shared" si="33"/>
        <v>0</v>
      </c>
      <c r="L507" s="3">
        <f>IF(B507="","",COUNTIF(SKUs!$C$6:$C$1997,B507))</f>
        <v>2</v>
      </c>
      <c r="M507" s="29"/>
      <c r="N507" s="29"/>
      <c r="O507" s="29">
        <v>30</v>
      </c>
      <c r="P507" s="29"/>
      <c r="Q507" s="29"/>
      <c r="R507" s="29"/>
      <c r="S507" s="29"/>
      <c r="T507" s="29"/>
      <c r="U507" s="30">
        <f t="shared" si="34"/>
        <v>30</v>
      </c>
      <c r="V507" s="31">
        <f t="shared" si="31"/>
        <v>21</v>
      </c>
    </row>
    <row r="508" spans="1:22" ht="15" hidden="1" customHeight="1" x14ac:dyDescent="0.3">
      <c r="A508" s="25">
        <f t="shared" si="32"/>
        <v>501</v>
      </c>
      <c r="B508" s="26" t="s">
        <v>552</v>
      </c>
      <c r="C508" s="27" t="str">
        <f t="shared" si="28"/>
        <v>Masculino</v>
      </c>
      <c r="D508" s="2" t="str">
        <f>IF(B508="","",IFERROR(INDEX(SKUs!$E$6:$E$1997,MATCH(B508,SKUs!$C$6:$C$1997,0)),""))</f>
        <v>POLO</v>
      </c>
      <c r="E508" s="28" t="str">
        <f>IF(B508="","",IFERROR(VLOOKUP(D508,Configurações!$N$5:$O$46,2,FALSE()),"OUTROS"))</f>
        <v>VESTUÁRIO</v>
      </c>
      <c r="F508" s="2" t="str">
        <f>IF(B508="","",IFERROR(INDEX(SKUs!$F$6:$F$1997,MATCH(B508,SKUs!$C$6:$C$1997,0)),""))</f>
        <v>POLO PIQUET JEANS MASC.</v>
      </c>
      <c r="G508" s="2" t="str">
        <f>IF(B508="","",IFERROR(INDEX(SKUs!$G$6:$G$1997,MATCH(B508,SKUs!$C$6:$C$1997,0)),""))</f>
        <v>AZUL</v>
      </c>
      <c r="H508" s="25" t="str">
        <f>IF(B508="","",IFERROR(INDEX(SKUs!$H$6:$H$1997,MATCH(B508,SKUs!$C$6:$C$1997,0)),""))</f>
        <v>G</v>
      </c>
      <c r="I508" s="4" t="str">
        <f>IF(B508="","",IFERROR(INDEX(SKUs!#REF!,MATCH(B508,SKUs!$C$6:$C$1997,0)),""))</f>
        <v/>
      </c>
      <c r="J508" s="3">
        <f>IF(B508="","",SUMIFS(SKUs!$I$6:$I$1997,SKUs!$C$6:$C$1997,B508))</f>
        <v>201</v>
      </c>
      <c r="K508" s="4">
        <f t="shared" si="33"/>
        <v>0</v>
      </c>
      <c r="L508" s="3">
        <f>IF(B508="","",COUNTIF(SKUs!$C$6:$C$1997,B508))</f>
        <v>4</v>
      </c>
      <c r="M508" s="29"/>
      <c r="N508" s="29"/>
      <c r="O508" s="29">
        <v>180</v>
      </c>
      <c r="P508" s="29"/>
      <c r="Q508" s="29"/>
      <c r="R508" s="29"/>
      <c r="S508" s="29"/>
      <c r="T508" s="29"/>
      <c r="U508" s="30">
        <f t="shared" si="34"/>
        <v>180</v>
      </c>
      <c r="V508" s="31">
        <f t="shared" si="31"/>
        <v>201</v>
      </c>
    </row>
    <row r="509" spans="1:22" ht="15" hidden="1" customHeight="1" x14ac:dyDescent="0.3">
      <c r="A509" s="25">
        <f t="shared" si="32"/>
        <v>502</v>
      </c>
      <c r="B509" s="26" t="s">
        <v>553</v>
      </c>
      <c r="C509" s="27" t="str">
        <f t="shared" si="28"/>
        <v>Masculino</v>
      </c>
      <c r="D509" s="2" t="str">
        <f>IF(B509="","",IFERROR(INDEX(SKUs!$E$6:$E$1997,MATCH(B509,SKUs!$C$6:$C$1997,0)),""))</f>
        <v>POLO</v>
      </c>
      <c r="E509" s="28" t="str">
        <f>IF(B509="","",IFERROR(VLOOKUP(D509,Configurações!$N$5:$O$46,2,FALSE()),"OUTROS"))</f>
        <v>VESTUÁRIO</v>
      </c>
      <c r="F509" s="2" t="str">
        <f>IF(B509="","",IFERROR(INDEX(SKUs!$F$6:$F$1997,MATCH(B509,SKUs!$C$6:$C$1997,0)),""))</f>
        <v>POLO PIQUET JEANS MASC.</v>
      </c>
      <c r="G509" s="2" t="str">
        <f>IF(B509="","",IFERROR(INDEX(SKUs!$G$6:$G$1997,MATCH(B509,SKUs!$C$6:$C$1997,0)),""))</f>
        <v>AZUL</v>
      </c>
      <c r="H509" s="25" t="str">
        <f>IF(B509="","",IFERROR(INDEX(SKUs!$H$6:$H$1997,MATCH(B509,SKUs!$C$6:$C$1997,0)),""))</f>
        <v>M</v>
      </c>
      <c r="I509" s="4" t="str">
        <f>IF(B509="","",IFERROR(INDEX(SKUs!#REF!,MATCH(B509,SKUs!$C$6:$C$1997,0)),""))</f>
        <v/>
      </c>
      <c r="J509" s="3">
        <f>IF(B509="","",SUMIFS(SKUs!$I$6:$I$1997,SKUs!$C$6:$C$1997,B509))</f>
        <v>205</v>
      </c>
      <c r="K509" s="4">
        <f t="shared" si="33"/>
        <v>0</v>
      </c>
      <c r="L509" s="3">
        <f>IF(B509="","",COUNTIF(SKUs!$C$6:$C$1997,B509))</f>
        <v>3</v>
      </c>
      <c r="M509" s="29"/>
      <c r="N509" s="29"/>
      <c r="O509" s="29">
        <v>180</v>
      </c>
      <c r="P509" s="29"/>
      <c r="Q509" s="29"/>
      <c r="R509" s="29"/>
      <c r="S509" s="29"/>
      <c r="T509" s="29"/>
      <c r="U509" s="30">
        <f t="shared" si="34"/>
        <v>180</v>
      </c>
      <c r="V509" s="31">
        <f t="shared" si="31"/>
        <v>205</v>
      </c>
    </row>
    <row r="510" spans="1:22" ht="15" hidden="1" customHeight="1" x14ac:dyDescent="0.3">
      <c r="A510" s="25">
        <f t="shared" si="32"/>
        <v>503</v>
      </c>
      <c r="B510" s="26" t="s">
        <v>554</v>
      </c>
      <c r="C510" s="27" t="str">
        <f t="shared" si="28"/>
        <v>Masculino</v>
      </c>
      <c r="D510" s="2" t="str">
        <f>IF(B510="","",IFERROR(INDEX(SKUs!$E$6:$E$1997,MATCH(B510,SKUs!$C$6:$C$1997,0)),""))</f>
        <v>POLO</v>
      </c>
      <c r="E510" s="28" t="str">
        <f>IF(B510="","",IFERROR(VLOOKUP(D510,Configurações!$N$5:$O$46,2,FALSE()),"OUTROS"))</f>
        <v>VESTUÁRIO</v>
      </c>
      <c r="F510" s="2" t="str">
        <f>IF(B510="","",IFERROR(INDEX(SKUs!$F$6:$F$1997,MATCH(B510,SKUs!$C$6:$C$1997,0)),""))</f>
        <v>POLO PIQUET JEANS MASC.</v>
      </c>
      <c r="G510" s="2" t="str">
        <f>IF(B510="","",IFERROR(INDEX(SKUs!$G$6:$G$1997,MATCH(B510,SKUs!$C$6:$C$1997,0)),""))</f>
        <v>AZUL</v>
      </c>
      <c r="H510" s="25" t="str">
        <f>IF(B510="","",IFERROR(INDEX(SKUs!$H$6:$H$1997,MATCH(B510,SKUs!$C$6:$C$1997,0)),""))</f>
        <v>GG</v>
      </c>
      <c r="I510" s="4" t="str">
        <f>IF(B510="","",IFERROR(INDEX(SKUs!#REF!,MATCH(B510,SKUs!$C$6:$C$1997,0)),""))</f>
        <v/>
      </c>
      <c r="J510" s="3">
        <f>IF(B510="","",SUMIFS(SKUs!$I$6:$I$1997,SKUs!$C$6:$C$1997,B510))</f>
        <v>81</v>
      </c>
      <c r="K510" s="4">
        <f t="shared" si="33"/>
        <v>0</v>
      </c>
      <c r="L510" s="3">
        <f>IF(B510="","",COUNTIF(SKUs!$C$6:$C$1997,B510))</f>
        <v>1</v>
      </c>
      <c r="M510" s="29"/>
      <c r="N510" s="29"/>
      <c r="O510" s="29">
        <v>78</v>
      </c>
      <c r="P510" s="29"/>
      <c r="Q510" s="29"/>
      <c r="R510" s="29"/>
      <c r="S510" s="29"/>
      <c r="T510" s="29"/>
      <c r="U510" s="30">
        <f t="shared" si="34"/>
        <v>78</v>
      </c>
      <c r="V510" s="31">
        <f t="shared" si="31"/>
        <v>81</v>
      </c>
    </row>
    <row r="511" spans="1:22" ht="15" hidden="1" customHeight="1" x14ac:dyDescent="0.3">
      <c r="A511" s="25">
        <f t="shared" si="32"/>
        <v>504</v>
      </c>
      <c r="B511" s="26" t="s">
        <v>555</v>
      </c>
      <c r="C511" s="27" t="str">
        <f t="shared" si="28"/>
        <v>Masculino</v>
      </c>
      <c r="D511" s="2" t="str">
        <f>IF(B511="","",IFERROR(INDEX(SKUs!$E$6:$E$1997,MATCH(B511,SKUs!$C$6:$C$1997,0)),""))</f>
        <v>CAMISETA</v>
      </c>
      <c r="E511" s="28" t="str">
        <f>IF(B511="","",IFERROR(VLOOKUP(D511,Configurações!$N$5:$O$46,2,FALSE()),"OUTROS"))</f>
        <v>VESTUÁRIO</v>
      </c>
      <c r="F511" s="2" t="str">
        <f>IF(B511="","",IFERROR(INDEX(SKUs!$F$6:$F$1997,MATCH(B511,SKUs!$C$6:$C$1997,0)),""))</f>
        <v>CAMISETA PIQUET MASC.</v>
      </c>
      <c r="G511" s="2" t="str">
        <f>IF(B511="","",IFERROR(INDEX(SKUs!$G$6:$G$1997,MATCH(B511,SKUs!$C$6:$C$1997,0)),""))</f>
        <v>PRETO</v>
      </c>
      <c r="H511" s="25" t="str">
        <f>IF(B511="","",IFERROR(INDEX(SKUs!$H$6:$H$1997,MATCH(B511,SKUs!$C$6:$C$1997,0)),""))</f>
        <v>XG</v>
      </c>
      <c r="I511" s="4" t="str">
        <f>IF(B511="","",IFERROR(INDEX(SKUs!#REF!,MATCH(B511,SKUs!$C$6:$C$1997,0)),""))</f>
        <v/>
      </c>
      <c r="J511" s="3">
        <f>IF(B511="","",SUMIFS(SKUs!$I$6:$I$1997,SKUs!$C$6:$C$1997,B511))</f>
        <v>21</v>
      </c>
      <c r="K511" s="4">
        <f t="shared" si="33"/>
        <v>0</v>
      </c>
      <c r="L511" s="3">
        <f>IF(B511="","",COUNTIF(SKUs!$C$6:$C$1997,B511))</f>
        <v>1</v>
      </c>
      <c r="M511" s="29"/>
      <c r="N511" s="29"/>
      <c r="O511" s="29">
        <v>40</v>
      </c>
      <c r="P511" s="29"/>
      <c r="Q511" s="29"/>
      <c r="R511" s="29"/>
      <c r="S511" s="29"/>
      <c r="T511" s="29"/>
      <c r="U511" s="30">
        <f t="shared" si="34"/>
        <v>40</v>
      </c>
      <c r="V511" s="31">
        <f t="shared" si="31"/>
        <v>21</v>
      </c>
    </row>
    <row r="512" spans="1:22" ht="15" hidden="1" customHeight="1" x14ac:dyDescent="0.3">
      <c r="A512" s="25">
        <f t="shared" si="32"/>
        <v>505</v>
      </c>
      <c r="B512" s="26" t="s">
        <v>556</v>
      </c>
      <c r="C512" s="27" t="str">
        <f t="shared" si="28"/>
        <v>Masculino</v>
      </c>
      <c r="D512" s="2" t="str">
        <f>IF(B512="","",IFERROR(INDEX(SKUs!$E$6:$E$1997,MATCH(B512,SKUs!$C$6:$C$1997,0)),""))</f>
        <v>CAMISETA</v>
      </c>
      <c r="E512" s="28" t="str">
        <f>IF(B512="","",IFERROR(VLOOKUP(D512,Configurações!$N$5:$O$46,2,FALSE()),"OUTROS"))</f>
        <v>VESTUÁRIO</v>
      </c>
      <c r="F512" s="2" t="str">
        <f>IF(B512="","",IFERROR(INDEX(SKUs!$F$6:$F$1997,MATCH(B512,SKUs!$C$6:$C$1997,0)),""))</f>
        <v>CAMISETA PIQUET MASC.</v>
      </c>
      <c r="G512" s="2" t="str">
        <f>IF(B512="","",IFERROR(INDEX(SKUs!$G$6:$G$1997,MATCH(B512,SKUs!$C$6:$C$1997,0)),""))</f>
        <v>PRETO</v>
      </c>
      <c r="H512" s="25" t="str">
        <f>IF(B512="","",IFERROR(INDEX(SKUs!$H$6:$H$1997,MATCH(B512,SKUs!$C$6:$C$1997,0)),""))</f>
        <v>P</v>
      </c>
      <c r="I512" s="4" t="str">
        <f>IF(B512="","",IFERROR(INDEX(SKUs!#REF!,MATCH(B512,SKUs!$C$6:$C$1997,0)),""))</f>
        <v/>
      </c>
      <c r="J512" s="3">
        <f>IF(B512="","",SUMIFS(SKUs!$I$6:$I$1997,SKUs!$C$6:$C$1997,B512))</f>
        <v>45</v>
      </c>
      <c r="K512" s="4">
        <f t="shared" si="33"/>
        <v>0</v>
      </c>
      <c r="L512" s="3">
        <f>IF(B512="","",COUNTIF(SKUs!$C$6:$C$1997,B512))</f>
        <v>1</v>
      </c>
      <c r="M512" s="29"/>
      <c r="N512" s="29"/>
      <c r="O512" s="29">
        <v>35</v>
      </c>
      <c r="P512" s="29"/>
      <c r="Q512" s="29"/>
      <c r="R512" s="29"/>
      <c r="S512" s="29"/>
      <c r="T512" s="29"/>
      <c r="U512" s="30">
        <f t="shared" si="34"/>
        <v>35</v>
      </c>
      <c r="V512" s="31">
        <f t="shared" si="31"/>
        <v>45</v>
      </c>
    </row>
    <row r="513" spans="1:22" ht="15" hidden="1" customHeight="1" x14ac:dyDescent="0.3">
      <c r="A513" s="25">
        <f t="shared" si="32"/>
        <v>506</v>
      </c>
      <c r="B513" s="26" t="s">
        <v>557</v>
      </c>
      <c r="C513" s="27" t="str">
        <f t="shared" si="28"/>
        <v>Masculino</v>
      </c>
      <c r="D513" s="2" t="str">
        <f>IF(B513="","",IFERROR(INDEX(SKUs!$E$6:$E$1997,MATCH(B513,SKUs!$C$6:$C$1997,0)),""))</f>
        <v>CAMISETA</v>
      </c>
      <c r="E513" s="28" t="str">
        <f>IF(B513="","",IFERROR(VLOOKUP(D513,Configurações!$N$5:$O$46,2,FALSE()),"OUTROS"))</f>
        <v>VESTUÁRIO</v>
      </c>
      <c r="F513" s="2" t="str">
        <f>IF(B513="","",IFERROR(INDEX(SKUs!$F$6:$F$1997,MATCH(B513,SKUs!$C$6:$C$1997,0)),""))</f>
        <v>CAMISETA PIQUET MASC.</v>
      </c>
      <c r="G513" s="2" t="str">
        <f>IF(B513="","",IFERROR(INDEX(SKUs!$G$6:$G$1997,MATCH(B513,SKUs!$C$6:$C$1997,0)),""))</f>
        <v>PRETO</v>
      </c>
      <c r="H513" s="25" t="str">
        <f>IF(B513="","",IFERROR(INDEX(SKUs!$H$6:$H$1997,MATCH(B513,SKUs!$C$6:$C$1997,0)),""))</f>
        <v>M</v>
      </c>
      <c r="I513" s="4" t="str">
        <f>IF(B513="","",IFERROR(INDEX(SKUs!#REF!,MATCH(B513,SKUs!$C$6:$C$1997,0)),""))</f>
        <v/>
      </c>
      <c r="J513" s="3">
        <f>IF(B513="","",SUMIFS(SKUs!$I$6:$I$1997,SKUs!$C$6:$C$1997,B513))</f>
        <v>121</v>
      </c>
      <c r="K513" s="4">
        <f t="shared" si="33"/>
        <v>0</v>
      </c>
      <c r="L513" s="3">
        <f>IF(B513="","",COUNTIF(SKUs!$C$6:$C$1997,B513))</f>
        <v>3</v>
      </c>
      <c r="M513" s="29"/>
      <c r="N513" s="29"/>
      <c r="O513" s="29">
        <v>90</v>
      </c>
      <c r="P513" s="29"/>
      <c r="Q513" s="29"/>
      <c r="R513" s="29"/>
      <c r="S513" s="29"/>
      <c r="T513" s="29"/>
      <c r="U513" s="30">
        <f t="shared" si="34"/>
        <v>90</v>
      </c>
      <c r="V513" s="31">
        <f t="shared" si="31"/>
        <v>121</v>
      </c>
    </row>
    <row r="514" spans="1:22" ht="15" hidden="1" customHeight="1" x14ac:dyDescent="0.3">
      <c r="A514" s="25">
        <f t="shared" si="32"/>
        <v>507</v>
      </c>
      <c r="B514" s="26" t="s">
        <v>558</v>
      </c>
      <c r="C514" s="27" t="str">
        <f t="shared" si="28"/>
        <v>Masculino</v>
      </c>
      <c r="D514" s="2" t="str">
        <f>IF(B514="","",IFERROR(INDEX(SKUs!$E$6:$E$1997,MATCH(B514,SKUs!$C$6:$C$1997,0)),""))</f>
        <v>POLO</v>
      </c>
      <c r="E514" s="28" t="str">
        <f>IF(B514="","",IFERROR(VLOOKUP(D514,Configurações!$N$5:$O$46,2,FALSE()),"OUTROS"))</f>
        <v>VESTUÁRIO</v>
      </c>
      <c r="F514" s="2" t="str">
        <f>IF(B514="","",IFERROR(INDEX(SKUs!$F$6:$F$1997,MATCH(B514,SKUs!$C$6:$C$1997,0)),""))</f>
        <v>POLO PIQUET JEANS MASC.</v>
      </c>
      <c r="G514" s="2" t="str">
        <f>IF(B514="","",IFERROR(INDEX(SKUs!$G$6:$G$1997,MATCH(B514,SKUs!$C$6:$C$1997,0)),""))</f>
        <v>AZUL</v>
      </c>
      <c r="H514" s="25" t="str">
        <f>IF(B514="","",IFERROR(INDEX(SKUs!$H$6:$H$1997,MATCH(B514,SKUs!$C$6:$C$1997,0)),""))</f>
        <v>XG</v>
      </c>
      <c r="I514" s="4" t="str">
        <f>IF(B514="","",IFERROR(INDEX(SKUs!#REF!,MATCH(B514,SKUs!$C$6:$C$1997,0)),""))</f>
        <v/>
      </c>
      <c r="J514" s="3">
        <f>IF(B514="","",SUMIFS(SKUs!$I$6:$I$1997,SKUs!$C$6:$C$1997,B514))</f>
        <v>54</v>
      </c>
      <c r="K514" s="4">
        <f t="shared" si="33"/>
        <v>0</v>
      </c>
      <c r="L514" s="3">
        <f>IF(B514="","",COUNTIF(SKUs!$C$6:$C$1997,B514))</f>
        <v>1</v>
      </c>
      <c r="M514" s="29"/>
      <c r="N514" s="29"/>
      <c r="O514" s="29">
        <v>42</v>
      </c>
      <c r="P514" s="29"/>
      <c r="Q514" s="29"/>
      <c r="R514" s="29"/>
      <c r="S514" s="29"/>
      <c r="T514" s="29"/>
      <c r="U514" s="30">
        <f t="shared" si="34"/>
        <v>42</v>
      </c>
      <c r="V514" s="31">
        <f t="shared" si="31"/>
        <v>54</v>
      </c>
    </row>
    <row r="515" spans="1:22" ht="15" hidden="1" customHeight="1" x14ac:dyDescent="0.3">
      <c r="A515" s="25">
        <f t="shared" si="32"/>
        <v>508</v>
      </c>
      <c r="B515" s="26" t="s">
        <v>559</v>
      </c>
      <c r="C515" s="27" t="str">
        <f t="shared" si="28"/>
        <v>Masculino</v>
      </c>
      <c r="D515" s="2" t="str">
        <f>IF(B515="","",IFERROR(INDEX(SKUs!$E$6:$E$1997,MATCH(B515,SKUs!$C$6:$C$1997,0)),""))</f>
        <v>POLO</v>
      </c>
      <c r="E515" s="28" t="str">
        <f>IF(B515="","",IFERROR(VLOOKUP(D515,Configurações!$N$5:$O$46,2,FALSE()),"OUTROS"))</f>
        <v>VESTUÁRIO</v>
      </c>
      <c r="F515" s="2" t="str">
        <f>IF(B515="","",IFERROR(INDEX(SKUs!$F$6:$F$1997,MATCH(B515,SKUs!$C$6:$C$1997,0)),""))</f>
        <v>POLO PIQUET JEANS MASC.</v>
      </c>
      <c r="G515" s="2" t="str">
        <f>IF(B515="","",IFERROR(INDEX(SKUs!$G$6:$G$1997,MATCH(B515,SKUs!$C$6:$C$1997,0)),""))</f>
        <v>AZUL</v>
      </c>
      <c r="H515" s="25" t="str">
        <f>IF(B515="","",IFERROR(INDEX(SKUs!$H$6:$H$1997,MATCH(B515,SKUs!$C$6:$C$1997,0)),""))</f>
        <v>XGG</v>
      </c>
      <c r="I515" s="4" t="str">
        <f>IF(B515="","",IFERROR(INDEX(SKUs!#REF!,MATCH(B515,SKUs!$C$6:$C$1997,0)),""))</f>
        <v/>
      </c>
      <c r="J515" s="3">
        <f>IF(B515="","",SUMIFS(SKUs!$I$6:$I$1997,SKUs!$C$6:$C$1997,B515))</f>
        <v>14</v>
      </c>
      <c r="K515" s="4">
        <f t="shared" si="33"/>
        <v>0</v>
      </c>
      <c r="L515" s="3">
        <f>IF(B515="","",COUNTIF(SKUs!$C$6:$C$1997,B515))</f>
        <v>1</v>
      </c>
      <c r="M515" s="29"/>
      <c r="N515" s="29"/>
      <c r="O515" s="29">
        <v>10</v>
      </c>
      <c r="P515" s="29"/>
      <c r="Q515" s="29"/>
      <c r="R515" s="29"/>
      <c r="S515" s="29"/>
      <c r="T515" s="29"/>
      <c r="U515" s="30">
        <f t="shared" si="34"/>
        <v>10</v>
      </c>
      <c r="V515" s="31">
        <f t="shared" si="31"/>
        <v>14</v>
      </c>
    </row>
    <row r="516" spans="1:22" ht="15" hidden="1" customHeight="1" x14ac:dyDescent="0.3">
      <c r="A516" s="25">
        <f t="shared" si="32"/>
        <v>509</v>
      </c>
      <c r="B516" s="26" t="s">
        <v>560</v>
      </c>
      <c r="C516" s="27" t="str">
        <f t="shared" si="28"/>
        <v>Masculino</v>
      </c>
      <c r="D516" s="2" t="str">
        <f>IF(B516="","",IFERROR(INDEX(SKUs!$E$6:$E$1997,MATCH(B516,SKUs!$C$6:$C$1997,0)),""))</f>
        <v>POLO</v>
      </c>
      <c r="E516" s="28" t="str">
        <f>IF(B516="","",IFERROR(VLOOKUP(D516,Configurações!$N$5:$O$46,2,FALSE()),"OUTROS"))</f>
        <v>VESTUÁRIO</v>
      </c>
      <c r="F516" s="2" t="str">
        <f>IF(B516="","",IFERROR(INDEX(SKUs!$F$6:$F$1997,MATCH(B516,SKUs!$C$6:$C$1997,0)),""))</f>
        <v>POLO PIQUET JEANS MASC.</v>
      </c>
      <c r="G516" s="2" t="str">
        <f>IF(B516="","",IFERROR(INDEX(SKUs!$G$6:$G$1997,MATCH(B516,SKUs!$C$6:$C$1997,0)),""))</f>
        <v>AZUL</v>
      </c>
      <c r="H516" s="25" t="str">
        <f>IF(B516="","",IFERROR(INDEX(SKUs!$H$6:$H$1997,MATCH(B516,SKUs!$C$6:$C$1997,0)),""))</f>
        <v>P</v>
      </c>
      <c r="I516" s="4" t="str">
        <f>IF(B516="","",IFERROR(INDEX(SKUs!#REF!,MATCH(B516,SKUs!$C$6:$C$1997,0)),""))</f>
        <v/>
      </c>
      <c r="J516" s="3">
        <f>IF(B516="","",SUMIFS(SKUs!$I$6:$I$1997,SKUs!$C$6:$C$1997,B516))</f>
        <v>72</v>
      </c>
      <c r="K516" s="4">
        <f t="shared" si="33"/>
        <v>0</v>
      </c>
      <c r="L516" s="3">
        <f>IF(B516="","",COUNTIF(SKUs!$C$6:$C$1997,B516))</f>
        <v>2</v>
      </c>
      <c r="M516" s="29"/>
      <c r="N516" s="29"/>
      <c r="O516" s="29">
        <v>90</v>
      </c>
      <c r="P516" s="29"/>
      <c r="Q516" s="29"/>
      <c r="R516" s="29"/>
      <c r="S516" s="29"/>
      <c r="T516" s="29"/>
      <c r="U516" s="30">
        <f t="shared" si="34"/>
        <v>90</v>
      </c>
      <c r="V516" s="31">
        <f t="shared" si="31"/>
        <v>72</v>
      </c>
    </row>
    <row r="517" spans="1:22" ht="15" hidden="1" customHeight="1" x14ac:dyDescent="0.3">
      <c r="A517" s="25">
        <f t="shared" si="32"/>
        <v>510</v>
      </c>
      <c r="B517" s="26" t="s">
        <v>561</v>
      </c>
      <c r="C517" s="27" t="str">
        <f t="shared" si="28"/>
        <v>Feminino</v>
      </c>
      <c r="D517" s="2" t="str">
        <f>IF(B517="","",IFERROR(INDEX(SKUs!$E$6:$E$1997,MATCH(B517,SKUs!$C$6:$C$1997,0)),""))</f>
        <v>CAMISETA</v>
      </c>
      <c r="E517" s="28" t="str">
        <f>IF(B517="","",IFERROR(VLOOKUP(D517,Configurações!$N$5:$O$46,2,FALSE()),"OUTROS"))</f>
        <v>VESTUÁRIO</v>
      </c>
      <c r="F517" s="2" t="str">
        <f>IF(B517="","",IFERROR(INDEX(SKUs!$F$6:$F$1997,MATCH(B517,SKUs!$C$6:$C$1997,0)),""))</f>
        <v>CAMISETA PIQUET FEM.</v>
      </c>
      <c r="G517" s="2" t="str">
        <f>IF(B517="","",IFERROR(INDEX(SKUs!$G$6:$G$1997,MATCH(B517,SKUs!$C$6:$C$1997,0)),""))</f>
        <v>PRETO</v>
      </c>
      <c r="H517" s="25" t="str">
        <f>IF(B517="","",IFERROR(INDEX(SKUs!$H$6:$H$1997,MATCH(B517,SKUs!$C$6:$C$1997,0)),""))</f>
        <v>G</v>
      </c>
      <c r="I517" s="4" t="str">
        <f>IF(B517="","",IFERROR(INDEX(SKUs!#REF!,MATCH(B517,SKUs!$C$6:$C$1997,0)),""))</f>
        <v/>
      </c>
      <c r="J517" s="3">
        <f>IF(B517="","",SUMIFS(SKUs!$I$6:$I$1997,SKUs!$C$6:$C$1997,B517))</f>
        <v>47</v>
      </c>
      <c r="K517" s="4">
        <f t="shared" si="33"/>
        <v>0</v>
      </c>
      <c r="L517" s="3">
        <f>IF(B517="","",COUNTIF(SKUs!$C$6:$C$1997,B517))</f>
        <v>1</v>
      </c>
      <c r="M517" s="29"/>
      <c r="N517" s="29"/>
      <c r="O517" s="29">
        <v>47</v>
      </c>
      <c r="P517" s="29"/>
      <c r="Q517" s="29"/>
      <c r="R517" s="29"/>
      <c r="S517" s="29"/>
      <c r="T517" s="29"/>
      <c r="U517" s="30">
        <f t="shared" si="34"/>
        <v>47</v>
      </c>
      <c r="V517" s="31">
        <f t="shared" si="31"/>
        <v>47</v>
      </c>
    </row>
    <row r="518" spans="1:22" ht="15" hidden="1" customHeight="1" x14ac:dyDescent="0.3">
      <c r="A518" s="25">
        <f t="shared" si="32"/>
        <v>511</v>
      </c>
      <c r="B518" s="26" t="s">
        <v>562</v>
      </c>
      <c r="C518" s="27" t="str">
        <f t="shared" si="28"/>
        <v>Feminino</v>
      </c>
      <c r="D518" s="2" t="str">
        <f>IF(B518="","",IFERROR(INDEX(SKUs!$E$6:$E$1997,MATCH(B518,SKUs!$C$6:$C$1997,0)),""))</f>
        <v>CAMISETA</v>
      </c>
      <c r="E518" s="28" t="str">
        <f>IF(B518="","",IFERROR(VLOOKUP(D518,Configurações!$N$5:$O$46,2,FALSE()),"OUTROS"))</f>
        <v>VESTUÁRIO</v>
      </c>
      <c r="F518" s="2" t="str">
        <f>IF(B518="","",IFERROR(INDEX(SKUs!$F$6:$F$1997,MATCH(B518,SKUs!$C$6:$C$1997,0)),""))</f>
        <v>CAMISETA PIQUET FEM.</v>
      </c>
      <c r="G518" s="2" t="str">
        <f>IF(B518="","",IFERROR(INDEX(SKUs!$G$6:$G$1997,MATCH(B518,SKUs!$C$6:$C$1997,0)),""))</f>
        <v>PRETO</v>
      </c>
      <c r="H518" s="25" t="str">
        <f>IF(B518="","",IFERROR(INDEX(SKUs!$H$6:$H$1997,MATCH(B518,SKUs!$C$6:$C$1997,0)),""))</f>
        <v>GG</v>
      </c>
      <c r="I518" s="4" t="str">
        <f>IF(B518="","",IFERROR(INDEX(SKUs!#REF!,MATCH(B518,SKUs!$C$6:$C$1997,0)),""))</f>
        <v/>
      </c>
      <c r="J518" s="3">
        <f>IF(B518="","",SUMIFS(SKUs!$I$6:$I$1997,SKUs!$C$6:$C$1997,B518))</f>
        <v>25</v>
      </c>
      <c r="K518" s="4">
        <f t="shared" si="33"/>
        <v>0</v>
      </c>
      <c r="L518" s="3">
        <f>IF(B518="","",COUNTIF(SKUs!$C$6:$C$1997,B518))</f>
        <v>1</v>
      </c>
      <c r="M518" s="29"/>
      <c r="N518" s="29"/>
      <c r="O518" s="29">
        <v>25</v>
      </c>
      <c r="P518" s="29"/>
      <c r="Q518" s="29"/>
      <c r="R518" s="29"/>
      <c r="S518" s="29"/>
      <c r="T518" s="29"/>
      <c r="U518" s="30">
        <f t="shared" si="34"/>
        <v>25</v>
      </c>
      <c r="V518" s="31">
        <f t="shared" si="31"/>
        <v>25</v>
      </c>
    </row>
    <row r="519" spans="1:22" ht="15" hidden="1" customHeight="1" x14ac:dyDescent="0.3">
      <c r="A519" s="25">
        <f t="shared" si="32"/>
        <v>512</v>
      </c>
      <c r="B519" s="26" t="s">
        <v>563</v>
      </c>
      <c r="C519" s="27" t="str">
        <f t="shared" si="28"/>
        <v>Feminino</v>
      </c>
      <c r="D519" s="2" t="str">
        <f>IF(B519="","",IFERROR(INDEX(SKUs!$E$6:$E$1997,MATCH(B519,SKUs!$C$6:$C$1997,0)),""))</f>
        <v>CAMISETA</v>
      </c>
      <c r="E519" s="28" t="str">
        <f>IF(B519="","",IFERROR(VLOOKUP(D519,Configurações!$N$5:$O$46,2,FALSE()),"OUTROS"))</f>
        <v>VESTUÁRIO</v>
      </c>
      <c r="F519" s="2" t="str">
        <f>IF(B519="","",IFERROR(INDEX(SKUs!$F$6:$F$1997,MATCH(B519,SKUs!$C$6:$C$1997,0)),""))</f>
        <v>CAMISETA PIQUET FEM.</v>
      </c>
      <c r="G519" s="2" t="str">
        <f>IF(B519="","",IFERROR(INDEX(SKUs!$G$6:$G$1997,MATCH(B519,SKUs!$C$6:$C$1997,0)),""))</f>
        <v>PRETO</v>
      </c>
      <c r="H519" s="25" t="str">
        <f>IF(B519="","",IFERROR(INDEX(SKUs!$H$6:$H$1997,MATCH(B519,SKUs!$C$6:$C$1997,0)),""))</f>
        <v>XG</v>
      </c>
      <c r="I519" s="4" t="str">
        <f>IF(B519="","",IFERROR(INDEX(SKUs!#REF!,MATCH(B519,SKUs!$C$6:$C$1997,0)),""))</f>
        <v/>
      </c>
      <c r="J519" s="3">
        <f>IF(B519="","",SUMIFS(SKUs!$I$6:$I$1997,SKUs!$C$6:$C$1997,B519))</f>
        <v>12</v>
      </c>
      <c r="K519" s="4">
        <f t="shared" si="33"/>
        <v>0</v>
      </c>
      <c r="L519" s="3">
        <f>IF(B519="","",COUNTIF(SKUs!$C$6:$C$1997,B519))</f>
        <v>1</v>
      </c>
      <c r="M519" s="29"/>
      <c r="N519" s="29"/>
      <c r="O519" s="29">
        <v>12</v>
      </c>
      <c r="P519" s="29"/>
      <c r="Q519" s="29"/>
      <c r="R519" s="29"/>
      <c r="S519" s="29"/>
      <c r="T519" s="29"/>
      <c r="U519" s="30">
        <f t="shared" si="34"/>
        <v>12</v>
      </c>
      <c r="V519" s="31">
        <f t="shared" si="31"/>
        <v>12</v>
      </c>
    </row>
    <row r="520" spans="1:22" ht="15" hidden="1" customHeight="1" x14ac:dyDescent="0.3">
      <c r="A520" s="25">
        <f t="shared" si="32"/>
        <v>513</v>
      </c>
      <c r="B520" s="26" t="s">
        <v>564</v>
      </c>
      <c r="C520" s="27" t="str">
        <f t="shared" ref="C520:C583" si="35">IF(B520="","",IFERROR(IF(TRIM(MID(SUBSTITUTE(B520,".",REPT(" ",50)),51,50))="01","Masculino",IF(TRIM(MID(SUBSTITUTE(B520,".",REPT(" ",50)),51,50))="02","Feminino",IF(TRIM(MID(SUBSTITUTE(B520,".",REPT(" ",50)),51,50))="03","Outros","—"))),"—"))</f>
        <v>Masculino</v>
      </c>
      <c r="D520" s="2" t="str">
        <f>IF(B520="","",IFERROR(INDEX(SKUs!$E$6:$E$1997,MATCH(B520,SKUs!$C$6:$C$1997,0)),""))</f>
        <v>CAMISETA</v>
      </c>
      <c r="E520" s="28" t="str">
        <f>IF(B520="","",IFERROR(VLOOKUP(D520,Configurações!$N$5:$O$46,2,FALSE()),"OUTROS"))</f>
        <v>VESTUÁRIO</v>
      </c>
      <c r="F520" s="2" t="str">
        <f>IF(B520="","",IFERROR(INDEX(SKUs!$F$6:$F$1997,MATCH(B520,SKUs!$C$6:$C$1997,0)),""))</f>
        <v>CAMISETA PIQUET MASC.</v>
      </c>
      <c r="G520" s="2" t="str">
        <f>IF(B520="","",IFERROR(INDEX(SKUs!$G$6:$G$1997,MATCH(B520,SKUs!$C$6:$C$1997,0)),""))</f>
        <v>PRETO</v>
      </c>
      <c r="H520" s="25" t="str">
        <f>IF(B520="","",IFERROR(INDEX(SKUs!$H$6:$H$1997,MATCH(B520,SKUs!$C$6:$C$1997,0)),""))</f>
        <v>GG</v>
      </c>
      <c r="I520" s="4" t="str">
        <f>IF(B520="","",IFERROR(INDEX(SKUs!#REF!,MATCH(B520,SKUs!$C$6:$C$1997,0)),""))</f>
        <v/>
      </c>
      <c r="J520" s="3">
        <f>IF(B520="","",SUMIFS(SKUs!$I$6:$I$1997,SKUs!$C$6:$C$1997,B520))</f>
        <v>55</v>
      </c>
      <c r="K520" s="4">
        <f t="shared" si="33"/>
        <v>0</v>
      </c>
      <c r="L520" s="3">
        <f>IF(B520="","",COUNTIF(SKUs!$C$6:$C$1997,B520))</f>
        <v>1</v>
      </c>
      <c r="M520" s="29"/>
      <c r="N520" s="29"/>
      <c r="O520" s="29">
        <v>60</v>
      </c>
      <c r="P520" s="29"/>
      <c r="Q520" s="29"/>
      <c r="R520" s="29"/>
      <c r="S520" s="29"/>
      <c r="T520" s="29"/>
      <c r="U520" s="30">
        <f t="shared" si="34"/>
        <v>60</v>
      </c>
      <c r="V520" s="31">
        <f t="shared" ref="V520:V583" si="36">IF(B520="","",J520)</f>
        <v>55</v>
      </c>
    </row>
    <row r="521" spans="1:22" ht="15" hidden="1" customHeight="1" x14ac:dyDescent="0.3">
      <c r="A521" s="25">
        <f t="shared" si="32"/>
        <v>514</v>
      </c>
      <c r="B521" s="26" t="s">
        <v>565</v>
      </c>
      <c r="C521" s="27" t="str">
        <f t="shared" si="35"/>
        <v>Masculino</v>
      </c>
      <c r="D521" s="2" t="str">
        <f>IF(B521="","",IFERROR(INDEX(SKUs!$E$6:$E$1997,MATCH(B521,SKUs!$C$6:$C$1997,0)),""))</f>
        <v>CAMISETA</v>
      </c>
      <c r="E521" s="28" t="str">
        <f>IF(B521="","",IFERROR(VLOOKUP(D521,Configurações!$N$5:$O$46,2,FALSE()),"OUTROS"))</f>
        <v>VESTUÁRIO</v>
      </c>
      <c r="F521" s="2" t="str">
        <f>IF(B521="","",IFERROR(INDEX(SKUs!$F$6:$F$1997,MATCH(B521,SKUs!$C$6:$C$1997,0)),""))</f>
        <v>CAMISETA PIQUET MASC.</v>
      </c>
      <c r="G521" s="2" t="str">
        <f>IF(B521="","",IFERROR(INDEX(SKUs!$G$6:$G$1997,MATCH(B521,SKUs!$C$6:$C$1997,0)),""))</f>
        <v>PRETO</v>
      </c>
      <c r="H521" s="25" t="str">
        <f>IF(B521="","",IFERROR(INDEX(SKUs!$H$6:$H$1997,MATCH(B521,SKUs!$C$6:$C$1997,0)),""))</f>
        <v>XGG</v>
      </c>
      <c r="I521" s="4" t="str">
        <f>IF(B521="","",IFERROR(INDEX(SKUs!#REF!,MATCH(B521,SKUs!$C$6:$C$1997,0)),""))</f>
        <v/>
      </c>
      <c r="J521" s="3">
        <f>IF(B521="","",SUMIFS(SKUs!$I$6:$I$1997,SKUs!$C$6:$C$1997,B521))</f>
        <v>21</v>
      </c>
      <c r="K521" s="4">
        <f t="shared" si="33"/>
        <v>0</v>
      </c>
      <c r="L521" s="3">
        <f>IF(B521="","",COUNTIF(SKUs!$C$6:$C$1997,B521))</f>
        <v>1</v>
      </c>
      <c r="M521" s="29"/>
      <c r="N521" s="29"/>
      <c r="O521" s="29">
        <v>10</v>
      </c>
      <c r="P521" s="29"/>
      <c r="Q521" s="29"/>
      <c r="R521" s="29"/>
      <c r="S521" s="29"/>
      <c r="T521" s="29"/>
      <c r="U521" s="30">
        <f t="shared" si="34"/>
        <v>10</v>
      </c>
      <c r="V521" s="31">
        <f t="shared" si="36"/>
        <v>21</v>
      </c>
    </row>
    <row r="522" spans="1:22" ht="15" hidden="1" customHeight="1" x14ac:dyDescent="0.3">
      <c r="A522" s="25">
        <f t="shared" si="32"/>
        <v>515</v>
      </c>
      <c r="B522" s="26" t="s">
        <v>566</v>
      </c>
      <c r="C522" s="27" t="str">
        <f t="shared" si="35"/>
        <v>Feminino</v>
      </c>
      <c r="D522" s="2" t="str">
        <f>IF(B522="","",IFERROR(INDEX(SKUs!$E$6:$E$1997,MATCH(B522,SKUs!$C$6:$C$1997,0)),""))</f>
        <v>CAMISETA</v>
      </c>
      <c r="E522" s="28" t="str">
        <f>IF(B522="","",IFERROR(VLOOKUP(D522,Configurações!$N$5:$O$46,2,FALSE()),"OUTROS"))</f>
        <v>VESTUÁRIO</v>
      </c>
      <c r="F522" s="2" t="str">
        <f>IF(B522="","",IFERROR(INDEX(SKUs!$F$6:$F$1997,MATCH(B522,SKUs!$C$6:$C$1997,0)),""))</f>
        <v>CAMISETA PIQUET FEM.</v>
      </c>
      <c r="G522" s="2" t="str">
        <f>IF(B522="","",IFERROR(INDEX(SKUs!$G$6:$G$1997,MATCH(B522,SKUs!$C$6:$C$1997,0)),""))</f>
        <v>PRETO</v>
      </c>
      <c r="H522" s="25" t="str">
        <f>IF(B522="","",IFERROR(INDEX(SKUs!$H$6:$H$1997,MATCH(B522,SKUs!$C$6:$C$1997,0)),""))</f>
        <v>P</v>
      </c>
      <c r="I522" s="4" t="str">
        <f>IF(B522="","",IFERROR(INDEX(SKUs!#REF!,MATCH(B522,SKUs!$C$6:$C$1997,0)),""))</f>
        <v/>
      </c>
      <c r="J522" s="3">
        <f>IF(B522="","",SUMIFS(SKUs!$I$6:$I$1997,SKUs!$C$6:$C$1997,B522))</f>
        <v>53</v>
      </c>
      <c r="K522" s="4">
        <f t="shared" si="33"/>
        <v>0</v>
      </c>
      <c r="L522" s="3">
        <f>IF(B522="","",COUNTIF(SKUs!$C$6:$C$1997,B522))</f>
        <v>2</v>
      </c>
      <c r="M522" s="29"/>
      <c r="N522" s="29"/>
      <c r="O522" s="29">
        <v>40</v>
      </c>
      <c r="P522" s="29"/>
      <c r="Q522" s="29"/>
      <c r="R522" s="29"/>
      <c r="S522" s="29"/>
      <c r="T522" s="29"/>
      <c r="U522" s="30">
        <f t="shared" si="34"/>
        <v>40</v>
      </c>
      <c r="V522" s="31">
        <f t="shared" si="36"/>
        <v>53</v>
      </c>
    </row>
    <row r="523" spans="1:22" ht="15" hidden="1" customHeight="1" x14ac:dyDescent="0.3">
      <c r="A523" s="25">
        <f t="shared" si="32"/>
        <v>516</v>
      </c>
      <c r="B523" s="26" t="s">
        <v>567</v>
      </c>
      <c r="C523" s="27" t="str">
        <f t="shared" si="35"/>
        <v>Feminino</v>
      </c>
      <c r="D523" s="2" t="str">
        <f>IF(B523="","",IFERROR(INDEX(SKUs!$E$6:$E$1997,MATCH(B523,SKUs!$C$6:$C$1997,0)),""))</f>
        <v>CAMISETA</v>
      </c>
      <c r="E523" s="28" t="str">
        <f>IF(B523="","",IFERROR(VLOOKUP(D523,Configurações!$N$5:$O$46,2,FALSE()),"OUTROS"))</f>
        <v>VESTUÁRIO</v>
      </c>
      <c r="F523" s="2" t="str">
        <f>IF(B523="","",IFERROR(INDEX(SKUs!$F$6:$F$1997,MATCH(B523,SKUs!$C$6:$C$1997,0)),""))</f>
        <v>CAMISETA PIQUET FEM.</v>
      </c>
      <c r="G523" s="2" t="str">
        <f>IF(B523="","",IFERROR(INDEX(SKUs!$G$6:$G$1997,MATCH(B523,SKUs!$C$6:$C$1997,0)),""))</f>
        <v>PRETO</v>
      </c>
      <c r="H523" s="25" t="str">
        <f>IF(B523="","",IFERROR(INDEX(SKUs!$H$6:$H$1997,MATCH(B523,SKUs!$C$6:$C$1997,0)),""))</f>
        <v>M</v>
      </c>
      <c r="I523" s="4" t="str">
        <f>IF(B523="","",IFERROR(INDEX(SKUs!#REF!,MATCH(B523,SKUs!$C$6:$C$1997,0)),""))</f>
        <v/>
      </c>
      <c r="J523" s="3">
        <f>IF(B523="","",SUMIFS(SKUs!$I$6:$I$1997,SKUs!$C$6:$C$1997,B523))</f>
        <v>54</v>
      </c>
      <c r="K523" s="4">
        <f t="shared" si="33"/>
        <v>0</v>
      </c>
      <c r="L523" s="3">
        <f>IF(B523="","",COUNTIF(SKUs!$C$6:$C$1997,B523))</f>
        <v>2</v>
      </c>
      <c r="M523" s="29"/>
      <c r="N523" s="29"/>
      <c r="O523" s="29">
        <v>40</v>
      </c>
      <c r="P523" s="29"/>
      <c r="Q523" s="29"/>
      <c r="R523" s="29"/>
      <c r="S523" s="29"/>
      <c r="T523" s="29"/>
      <c r="U523" s="30">
        <f t="shared" si="34"/>
        <v>40</v>
      </c>
      <c r="V523" s="31">
        <f t="shared" si="36"/>
        <v>54</v>
      </c>
    </row>
    <row r="524" spans="1:22" ht="15" hidden="1" customHeight="1" x14ac:dyDescent="0.3">
      <c r="A524" s="25">
        <f t="shared" ref="A524:A555" si="37">IF(B524="","",ROW()-7)</f>
        <v>517</v>
      </c>
      <c r="B524" s="26" t="s">
        <v>568</v>
      </c>
      <c r="C524" s="27" t="str">
        <f t="shared" si="35"/>
        <v>Feminino</v>
      </c>
      <c r="D524" s="2" t="str">
        <f>IF(B524="","",IFERROR(INDEX(SKUs!$E$6:$E$1997,MATCH(B524,SKUs!$C$6:$C$1997,0)),""))</f>
        <v>CAMISETA</v>
      </c>
      <c r="E524" s="28" t="str">
        <f>IF(B524="","",IFERROR(VLOOKUP(D524,Configurações!$N$5:$O$46,2,FALSE()),"OUTROS"))</f>
        <v>VESTUÁRIO</v>
      </c>
      <c r="F524" s="2" t="str">
        <f>IF(B524="","",IFERROR(INDEX(SKUs!$F$6:$F$1997,MATCH(B524,SKUs!$C$6:$C$1997,0)),""))</f>
        <v>CAMISETA PIQUET FEM.</v>
      </c>
      <c r="G524" s="2" t="str">
        <f>IF(B524="","",IFERROR(INDEX(SKUs!$G$6:$G$1997,MATCH(B524,SKUs!$C$6:$C$1997,0)),""))</f>
        <v>PRETO</v>
      </c>
      <c r="H524" s="25" t="str">
        <f>IF(B524="","",IFERROR(INDEX(SKUs!$H$6:$H$1997,MATCH(B524,SKUs!$C$6:$C$1997,0)),""))</f>
        <v>PP</v>
      </c>
      <c r="I524" s="4" t="str">
        <f>IF(B524="","",IFERROR(INDEX(SKUs!#REF!,MATCH(B524,SKUs!$C$6:$C$1997,0)),""))</f>
        <v/>
      </c>
      <c r="J524" s="3">
        <f>IF(B524="","",SUMIFS(SKUs!$I$6:$I$1997,SKUs!$C$6:$C$1997,B524))</f>
        <v>25</v>
      </c>
      <c r="K524" s="4">
        <f t="shared" ref="K524:K555" si="38">IF(B524="","",IFERROR(I524*J524,0))</f>
        <v>0</v>
      </c>
      <c r="L524" s="3">
        <f>IF(B524="","",COUNTIF(SKUs!$C$6:$C$1997,B524))</f>
        <v>1</v>
      </c>
      <c r="M524" s="29"/>
      <c r="N524" s="29"/>
      <c r="O524" s="29">
        <v>30</v>
      </c>
      <c r="P524" s="29"/>
      <c r="Q524" s="29"/>
      <c r="R524" s="29"/>
      <c r="S524" s="29"/>
      <c r="T524" s="29"/>
      <c r="U524" s="30">
        <f t="shared" ref="U524:U555" si="39">IF(B524="","",SUM(M524:R524))</f>
        <v>30</v>
      </c>
      <c r="V524" s="31">
        <f t="shared" si="36"/>
        <v>25</v>
      </c>
    </row>
    <row r="525" spans="1:22" ht="15" hidden="1" customHeight="1" x14ac:dyDescent="0.3">
      <c r="A525" s="25">
        <f t="shared" si="37"/>
        <v>518</v>
      </c>
      <c r="B525" s="26" t="s">
        <v>569</v>
      </c>
      <c r="C525" s="27" t="str">
        <f t="shared" si="35"/>
        <v>Masculino</v>
      </c>
      <c r="D525" s="2" t="str">
        <f>IF(B525="","",IFERROR(INDEX(SKUs!$E$6:$E$1997,MATCH(B525,SKUs!$C$6:$C$1997,0)),""))</f>
        <v xml:space="preserve">TRICO </v>
      </c>
      <c r="E525" s="28" t="str">
        <f>IF(B525="","",IFERROR(VLOOKUP(D525,Configurações!$N$5:$O$46,2,FALSE()),"OUTROS"))</f>
        <v>OUTROS</v>
      </c>
      <c r="F525" s="2" t="str">
        <f>IF(B525="","",IFERROR(INDEX(SKUs!$F$6:$F$1997,MATCH(B525,SKUs!$C$6:$C$1997,0)),""))</f>
        <v>TRICO TEXTURADO</v>
      </c>
      <c r="G525" s="2" t="str">
        <f>IF(B525="","",IFERROR(INDEX(SKUs!$G$6:$G$1997,MATCH(B525,SKUs!$C$6:$C$1997,0)),""))</f>
        <v>MARINHO</v>
      </c>
      <c r="H525" s="25" t="str">
        <f>IF(B525="","",IFERROR(INDEX(SKUs!$H$6:$H$1997,MATCH(B525,SKUs!$C$6:$C$1997,0)),""))</f>
        <v>M</v>
      </c>
      <c r="I525" s="4" t="str">
        <f>IF(B525="","",IFERROR(INDEX(SKUs!#REF!,MATCH(B525,SKUs!$C$6:$C$1997,0)),""))</f>
        <v/>
      </c>
      <c r="J525" s="3">
        <f>IF(B525="","",SUMIFS(SKUs!$I$6:$I$1997,SKUs!$C$6:$C$1997,B525))</f>
        <v>29</v>
      </c>
      <c r="K525" s="4">
        <f t="shared" si="38"/>
        <v>0</v>
      </c>
      <c r="L525" s="3">
        <f>IF(B525="","",COUNTIF(SKUs!$C$6:$C$1997,B525))</f>
        <v>2</v>
      </c>
      <c r="M525" s="29"/>
      <c r="N525" s="29">
        <v>30</v>
      </c>
      <c r="O525" s="29"/>
      <c r="P525" s="29"/>
      <c r="Q525" s="29"/>
      <c r="R525" s="29"/>
      <c r="S525" s="29"/>
      <c r="T525" s="29"/>
      <c r="U525" s="30">
        <f t="shared" si="39"/>
        <v>30</v>
      </c>
      <c r="V525" s="31">
        <f t="shared" si="36"/>
        <v>29</v>
      </c>
    </row>
    <row r="526" spans="1:22" ht="15" hidden="1" customHeight="1" x14ac:dyDescent="0.3">
      <c r="A526" s="25">
        <f t="shared" si="37"/>
        <v>519</v>
      </c>
      <c r="B526" s="26" t="s">
        <v>570</v>
      </c>
      <c r="C526" s="27" t="str">
        <f t="shared" si="35"/>
        <v>Masculino</v>
      </c>
      <c r="D526" s="2" t="str">
        <f>IF(B526="","",IFERROR(INDEX(SKUs!$E$6:$E$1997,MATCH(B526,SKUs!$C$6:$C$1997,0)),""))</f>
        <v xml:space="preserve">TRICO </v>
      </c>
      <c r="E526" s="28" t="str">
        <f>IF(B526="","",IFERROR(VLOOKUP(D526,Configurações!$N$5:$O$46,2,FALSE()),"OUTROS"))</f>
        <v>OUTROS</v>
      </c>
      <c r="F526" s="2" t="str">
        <f>IF(B526="","",IFERROR(INDEX(SKUs!$F$6:$F$1997,MATCH(B526,SKUs!$C$6:$C$1997,0)),""))</f>
        <v>TRICO TEXTURADO</v>
      </c>
      <c r="G526" s="2" t="str">
        <f>IF(B526="","",IFERROR(INDEX(SKUs!$G$6:$G$1997,MATCH(B526,SKUs!$C$6:$C$1997,0)),""))</f>
        <v>MARINHO</v>
      </c>
      <c r="H526" s="25" t="str">
        <f>IF(B526="","",IFERROR(INDEX(SKUs!$H$6:$H$1997,MATCH(B526,SKUs!$C$6:$C$1997,0)),""))</f>
        <v>GG</v>
      </c>
      <c r="I526" s="4" t="str">
        <f>IF(B526="","",IFERROR(INDEX(SKUs!#REF!,MATCH(B526,SKUs!$C$6:$C$1997,0)),""))</f>
        <v/>
      </c>
      <c r="J526" s="3">
        <f>IF(B526="","",SUMIFS(SKUs!$I$6:$I$1997,SKUs!$C$6:$C$1997,B526))</f>
        <v>15</v>
      </c>
      <c r="K526" s="4">
        <f t="shared" si="38"/>
        <v>0</v>
      </c>
      <c r="L526" s="3">
        <f>IF(B526="","",COUNTIF(SKUs!$C$6:$C$1997,B526))</f>
        <v>3</v>
      </c>
      <c r="M526" s="29"/>
      <c r="N526" s="29">
        <v>15</v>
      </c>
      <c r="O526" s="29"/>
      <c r="P526" s="29"/>
      <c r="Q526" s="29"/>
      <c r="R526" s="29"/>
      <c r="S526" s="29"/>
      <c r="T526" s="29"/>
      <c r="U526" s="30">
        <f t="shared" si="39"/>
        <v>15</v>
      </c>
      <c r="V526" s="31">
        <f t="shared" si="36"/>
        <v>15</v>
      </c>
    </row>
    <row r="527" spans="1:22" ht="15" hidden="1" customHeight="1" x14ac:dyDescent="0.3">
      <c r="A527" s="25">
        <f t="shared" si="37"/>
        <v>520</v>
      </c>
      <c r="B527" s="26" t="s">
        <v>571</v>
      </c>
      <c r="C527" s="27" t="str">
        <f t="shared" si="35"/>
        <v>Masculino</v>
      </c>
      <c r="D527" s="2" t="str">
        <f>IF(B527="","",IFERROR(INDEX(SKUs!$E$6:$E$1997,MATCH(B527,SKUs!$C$6:$C$1997,0)),""))</f>
        <v xml:space="preserve">TRICO </v>
      </c>
      <c r="E527" s="28" t="str">
        <f>IF(B527="","",IFERROR(VLOOKUP(D527,Configurações!$N$5:$O$46,2,FALSE()),"OUTROS"))</f>
        <v>OUTROS</v>
      </c>
      <c r="F527" s="2" t="str">
        <f>IF(B527="","",IFERROR(INDEX(SKUs!$F$6:$F$1997,MATCH(B527,SKUs!$C$6:$C$1997,0)),""))</f>
        <v>TRICO TEXTURADO</v>
      </c>
      <c r="G527" s="2" t="str">
        <f>IF(B527="","",IFERROR(INDEX(SKUs!$G$6:$G$1997,MATCH(B527,SKUs!$C$6:$C$1997,0)),""))</f>
        <v>MARINHO</v>
      </c>
      <c r="H527" s="25" t="str">
        <f>IF(B527="","",IFERROR(INDEX(SKUs!$H$6:$H$1997,MATCH(B527,SKUs!$C$6:$C$1997,0)),""))</f>
        <v>G</v>
      </c>
      <c r="I527" s="4" t="str">
        <f>IF(B527="","",IFERROR(INDEX(SKUs!#REF!,MATCH(B527,SKUs!$C$6:$C$1997,0)),""))</f>
        <v/>
      </c>
      <c r="J527" s="3">
        <f>IF(B527="","",SUMIFS(SKUs!$I$6:$I$1997,SKUs!$C$6:$C$1997,B527))</f>
        <v>30</v>
      </c>
      <c r="K527" s="4">
        <f t="shared" si="38"/>
        <v>0</v>
      </c>
      <c r="L527" s="3">
        <f>IF(B527="","",COUNTIF(SKUs!$C$6:$C$1997,B527))</f>
        <v>1</v>
      </c>
      <c r="M527" s="29"/>
      <c r="N527" s="29">
        <v>30</v>
      </c>
      <c r="O527" s="29"/>
      <c r="P527" s="29"/>
      <c r="Q527" s="29"/>
      <c r="R527" s="29"/>
      <c r="S527" s="29"/>
      <c r="T527" s="29"/>
      <c r="U527" s="30">
        <f t="shared" si="39"/>
        <v>30</v>
      </c>
      <c r="V527" s="31">
        <f t="shared" si="36"/>
        <v>30</v>
      </c>
    </row>
    <row r="528" spans="1:22" ht="15" hidden="1" customHeight="1" x14ac:dyDescent="0.3">
      <c r="A528" s="25">
        <f t="shared" si="37"/>
        <v>521</v>
      </c>
      <c r="B528" s="26" t="s">
        <v>572</v>
      </c>
      <c r="C528" s="27" t="str">
        <f t="shared" si="35"/>
        <v>Masculino</v>
      </c>
      <c r="D528" s="2" t="str">
        <f>IF(B528="","",IFERROR(INDEX(SKUs!$E$6:$E$1997,MATCH(B528,SKUs!$C$6:$C$1997,0)),""))</f>
        <v xml:space="preserve">TRICO </v>
      </c>
      <c r="E528" s="28" t="str">
        <f>IF(B528="","",IFERROR(VLOOKUP(D528,Configurações!$N$5:$O$46,2,FALSE()),"OUTROS"))</f>
        <v>OUTROS</v>
      </c>
      <c r="F528" s="2" t="str">
        <f>IF(B528="","",IFERROR(INDEX(SKUs!$F$6:$F$1997,MATCH(B528,SKUs!$C$6:$C$1997,0)),""))</f>
        <v>TRICO TEXTURADO</v>
      </c>
      <c r="G528" s="2" t="str">
        <f>IF(B528="","",IFERROR(INDEX(SKUs!$G$6:$G$1997,MATCH(B528,SKUs!$C$6:$C$1997,0)),""))</f>
        <v>MARINHO</v>
      </c>
      <c r="H528" s="25" t="str">
        <f>IF(B528="","",IFERROR(INDEX(SKUs!$H$6:$H$1997,MATCH(B528,SKUs!$C$6:$C$1997,0)),""))</f>
        <v>P</v>
      </c>
      <c r="I528" s="4" t="str">
        <f>IF(B528="","",IFERROR(INDEX(SKUs!#REF!,MATCH(B528,SKUs!$C$6:$C$1997,0)),""))</f>
        <v/>
      </c>
      <c r="J528" s="3">
        <f>IF(B528="","",SUMIFS(SKUs!$I$6:$I$1997,SKUs!$C$6:$C$1997,B528))</f>
        <v>15</v>
      </c>
      <c r="K528" s="4">
        <f t="shared" si="38"/>
        <v>0</v>
      </c>
      <c r="L528" s="3">
        <f>IF(B528="","",COUNTIF(SKUs!$C$6:$C$1997,B528))</f>
        <v>1</v>
      </c>
      <c r="M528" s="29"/>
      <c r="N528" s="29">
        <v>15</v>
      </c>
      <c r="O528" s="29"/>
      <c r="P528" s="29"/>
      <c r="Q528" s="29"/>
      <c r="R528" s="29"/>
      <c r="S528" s="29"/>
      <c r="T528" s="29"/>
      <c r="U528" s="30">
        <f t="shared" si="39"/>
        <v>15</v>
      </c>
      <c r="V528" s="31">
        <f t="shared" si="36"/>
        <v>15</v>
      </c>
    </row>
    <row r="529" spans="1:22" ht="15" hidden="1" customHeight="1" x14ac:dyDescent="0.3">
      <c r="A529" s="25">
        <f t="shared" si="37"/>
        <v>522</v>
      </c>
      <c r="B529" s="26" t="s">
        <v>573</v>
      </c>
      <c r="C529" s="27" t="str">
        <f t="shared" si="35"/>
        <v>Masculino</v>
      </c>
      <c r="D529" s="2" t="str">
        <f>IF(B529="","",IFERROR(INDEX(SKUs!$E$6:$E$1997,MATCH(B529,SKUs!$C$6:$C$1997,0)),""))</f>
        <v xml:space="preserve">TRICO </v>
      </c>
      <c r="E529" s="28" t="str">
        <f>IF(B529="","",IFERROR(VLOOKUP(D529,Configurações!$N$5:$O$46,2,FALSE()),"OUTROS"))</f>
        <v>OUTROS</v>
      </c>
      <c r="F529" s="2" t="str">
        <f>IF(B529="","",IFERROR(INDEX(SKUs!$F$6:$F$1997,MATCH(B529,SKUs!$C$6:$C$1997,0)),""))</f>
        <v>TRICO TEXTURADO</v>
      </c>
      <c r="G529" s="2" t="str">
        <f>IF(B529="","",IFERROR(INDEX(SKUs!$G$6:$G$1997,MATCH(B529,SKUs!$C$6:$C$1997,0)),""))</f>
        <v>PRETO</v>
      </c>
      <c r="H529" s="25" t="str">
        <f>IF(B529="","",IFERROR(INDEX(SKUs!$H$6:$H$1997,MATCH(B529,SKUs!$C$6:$C$1997,0)),""))</f>
        <v>G</v>
      </c>
      <c r="I529" s="4" t="str">
        <f>IF(B529="","",IFERROR(INDEX(SKUs!#REF!,MATCH(B529,SKUs!$C$6:$C$1997,0)),""))</f>
        <v/>
      </c>
      <c r="J529" s="3">
        <f>IF(B529="","",SUMIFS(SKUs!$I$6:$I$1997,SKUs!$C$6:$C$1997,B529))</f>
        <v>30</v>
      </c>
      <c r="K529" s="4">
        <f t="shared" si="38"/>
        <v>0</v>
      </c>
      <c r="L529" s="3">
        <f>IF(B529="","",COUNTIF(SKUs!$C$6:$C$1997,B529))</f>
        <v>2</v>
      </c>
      <c r="M529" s="29"/>
      <c r="N529" s="29">
        <v>30</v>
      </c>
      <c r="O529" s="29"/>
      <c r="P529" s="29"/>
      <c r="Q529" s="29"/>
      <c r="R529" s="29"/>
      <c r="S529" s="29"/>
      <c r="T529" s="29"/>
      <c r="U529" s="30">
        <f t="shared" si="39"/>
        <v>30</v>
      </c>
      <c r="V529" s="31">
        <f t="shared" si="36"/>
        <v>30</v>
      </c>
    </row>
    <row r="530" spans="1:22" ht="15" hidden="1" customHeight="1" x14ac:dyDescent="0.3">
      <c r="A530" s="25">
        <f t="shared" si="37"/>
        <v>523</v>
      </c>
      <c r="B530" s="26" t="s">
        <v>574</v>
      </c>
      <c r="C530" s="27" t="str">
        <f t="shared" si="35"/>
        <v>Masculino</v>
      </c>
      <c r="D530" s="2" t="str">
        <f>IF(B530="","",IFERROR(INDEX(SKUs!$E$6:$E$1997,MATCH(B530,SKUs!$C$6:$C$1997,0)),""))</f>
        <v xml:space="preserve">TRICO </v>
      </c>
      <c r="E530" s="28" t="str">
        <f>IF(B530="","",IFERROR(VLOOKUP(D530,Configurações!$N$5:$O$46,2,FALSE()),"OUTROS"))</f>
        <v>OUTROS</v>
      </c>
      <c r="F530" s="2" t="str">
        <f>IF(B530="","",IFERROR(INDEX(SKUs!$F$6:$F$1997,MATCH(B530,SKUs!$C$6:$C$1997,0)),""))</f>
        <v>TRICO TEXTURADO</v>
      </c>
      <c r="G530" s="2" t="str">
        <f>IF(B530="","",IFERROR(INDEX(SKUs!$G$6:$G$1997,MATCH(B530,SKUs!$C$6:$C$1997,0)),""))</f>
        <v>PRETO</v>
      </c>
      <c r="H530" s="25" t="str">
        <f>IF(B530="","",IFERROR(INDEX(SKUs!$H$6:$H$1997,MATCH(B530,SKUs!$C$6:$C$1997,0)),""))</f>
        <v>GG</v>
      </c>
      <c r="I530" s="4" t="str">
        <f>IF(B530="","",IFERROR(INDEX(SKUs!#REF!,MATCH(B530,SKUs!$C$6:$C$1997,0)),""))</f>
        <v/>
      </c>
      <c r="J530" s="3">
        <f>IF(B530="","",SUMIFS(SKUs!$I$6:$I$1997,SKUs!$C$6:$C$1997,B530))</f>
        <v>15</v>
      </c>
      <c r="K530" s="4">
        <f t="shared" si="38"/>
        <v>0</v>
      </c>
      <c r="L530" s="3">
        <f>IF(B530="","",COUNTIF(SKUs!$C$6:$C$1997,B530))</f>
        <v>1</v>
      </c>
      <c r="M530" s="29"/>
      <c r="N530" s="29">
        <v>15</v>
      </c>
      <c r="O530" s="29"/>
      <c r="P530" s="29"/>
      <c r="Q530" s="29"/>
      <c r="R530" s="29"/>
      <c r="S530" s="29"/>
      <c r="T530" s="29"/>
      <c r="U530" s="30">
        <f t="shared" si="39"/>
        <v>15</v>
      </c>
      <c r="V530" s="31">
        <f t="shared" si="36"/>
        <v>15</v>
      </c>
    </row>
    <row r="531" spans="1:22" ht="15" hidden="1" customHeight="1" x14ac:dyDescent="0.3">
      <c r="A531" s="25">
        <f t="shared" si="37"/>
        <v>524</v>
      </c>
      <c r="B531" s="26" t="s">
        <v>575</v>
      </c>
      <c r="C531" s="27" t="str">
        <f t="shared" si="35"/>
        <v>Masculino</v>
      </c>
      <c r="D531" s="2" t="str">
        <f>IF(B531="","",IFERROR(INDEX(SKUs!$E$6:$E$1997,MATCH(B531,SKUs!$C$6:$C$1997,0)),""))</f>
        <v xml:space="preserve">TRICO </v>
      </c>
      <c r="E531" s="28" t="str">
        <f>IF(B531="","",IFERROR(VLOOKUP(D531,Configurações!$N$5:$O$46,2,FALSE()),"OUTROS"))</f>
        <v>OUTROS</v>
      </c>
      <c r="F531" s="2" t="str">
        <f>IF(B531="","",IFERROR(INDEX(SKUs!$F$6:$F$1997,MATCH(B531,SKUs!$C$6:$C$1997,0)),""))</f>
        <v>TRICO TEXTURADO</v>
      </c>
      <c r="G531" s="2" t="str">
        <f>IF(B531="","",IFERROR(INDEX(SKUs!$G$6:$G$1997,MATCH(B531,SKUs!$C$6:$C$1997,0)),""))</f>
        <v>PRETO</v>
      </c>
      <c r="H531" s="25" t="str">
        <f>IF(B531="","",IFERROR(INDEX(SKUs!$H$6:$H$1997,MATCH(B531,SKUs!$C$6:$C$1997,0)),""))</f>
        <v>P</v>
      </c>
      <c r="I531" s="4" t="str">
        <f>IF(B531="","",IFERROR(INDEX(SKUs!#REF!,MATCH(B531,SKUs!$C$6:$C$1997,0)),""))</f>
        <v/>
      </c>
      <c r="J531" s="3">
        <f>IF(B531="","",SUMIFS(SKUs!$I$6:$I$1997,SKUs!$C$6:$C$1997,B531))</f>
        <v>15</v>
      </c>
      <c r="K531" s="4">
        <f t="shared" si="38"/>
        <v>0</v>
      </c>
      <c r="L531" s="3">
        <f>IF(B531="","",COUNTIF(SKUs!$C$6:$C$1997,B531))</f>
        <v>1</v>
      </c>
      <c r="M531" s="29"/>
      <c r="N531" s="29">
        <v>15</v>
      </c>
      <c r="O531" s="29"/>
      <c r="P531" s="29"/>
      <c r="Q531" s="29"/>
      <c r="R531" s="29"/>
      <c r="S531" s="29"/>
      <c r="T531" s="29"/>
      <c r="U531" s="30">
        <f t="shared" si="39"/>
        <v>15</v>
      </c>
      <c r="V531" s="31">
        <f t="shared" si="36"/>
        <v>15</v>
      </c>
    </row>
    <row r="532" spans="1:22" ht="15" hidden="1" customHeight="1" x14ac:dyDescent="0.3">
      <c r="A532" s="25">
        <f t="shared" si="37"/>
        <v>525</v>
      </c>
      <c r="B532" s="26" t="s">
        <v>576</v>
      </c>
      <c r="C532" s="27" t="str">
        <f t="shared" si="35"/>
        <v>Masculino</v>
      </c>
      <c r="D532" s="2" t="str">
        <f>IF(B532="","",IFERROR(INDEX(SKUs!$E$6:$E$1997,MATCH(B532,SKUs!$C$6:$C$1997,0)),""))</f>
        <v xml:space="preserve">TRICO </v>
      </c>
      <c r="E532" s="28" t="str">
        <f>IF(B532="","",IFERROR(VLOOKUP(D532,Configurações!$N$5:$O$46,2,FALSE()),"OUTROS"))</f>
        <v>OUTROS</v>
      </c>
      <c r="F532" s="2" t="str">
        <f>IF(B532="","",IFERROR(INDEX(SKUs!$F$6:$F$1997,MATCH(B532,SKUs!$C$6:$C$1997,0)),""))</f>
        <v>TRICO TEXTURADO</v>
      </c>
      <c r="G532" s="2" t="str">
        <f>IF(B532="","",IFERROR(INDEX(SKUs!$G$6:$G$1997,MATCH(B532,SKUs!$C$6:$C$1997,0)),""))</f>
        <v>PRETO</v>
      </c>
      <c r="H532" s="25" t="str">
        <f>IF(B532="","",IFERROR(INDEX(SKUs!$H$6:$H$1997,MATCH(B532,SKUs!$C$6:$C$1997,0)),""))</f>
        <v>M</v>
      </c>
      <c r="I532" s="4" t="str">
        <f>IF(B532="","",IFERROR(INDEX(SKUs!#REF!,MATCH(B532,SKUs!$C$6:$C$1997,0)),""))</f>
        <v/>
      </c>
      <c r="J532" s="3">
        <f>IF(B532="","",SUMIFS(SKUs!$I$6:$I$1997,SKUs!$C$6:$C$1997,B532))</f>
        <v>29</v>
      </c>
      <c r="K532" s="4">
        <f t="shared" si="38"/>
        <v>0</v>
      </c>
      <c r="L532" s="3">
        <f>IF(B532="","",COUNTIF(SKUs!$C$6:$C$1997,B532))</f>
        <v>2</v>
      </c>
      <c r="M532" s="29"/>
      <c r="N532" s="29">
        <v>30</v>
      </c>
      <c r="O532" s="29"/>
      <c r="P532" s="29"/>
      <c r="Q532" s="29"/>
      <c r="R532" s="29"/>
      <c r="S532" s="29"/>
      <c r="T532" s="29"/>
      <c r="U532" s="30">
        <f t="shared" si="39"/>
        <v>30</v>
      </c>
      <c r="V532" s="31">
        <f t="shared" si="36"/>
        <v>29</v>
      </c>
    </row>
    <row r="533" spans="1:22" ht="15" hidden="1" customHeight="1" x14ac:dyDescent="0.3">
      <c r="A533" s="25">
        <f t="shared" si="37"/>
        <v>526</v>
      </c>
      <c r="B533" s="26" t="s">
        <v>577</v>
      </c>
      <c r="C533" s="27" t="str">
        <f t="shared" si="35"/>
        <v>Masculino</v>
      </c>
      <c r="D533" s="2" t="str">
        <f>IF(B533="","",IFERROR(INDEX(SKUs!$E$6:$E$1997,MATCH(B533,SKUs!$C$6:$C$1997,0)),""))</f>
        <v xml:space="preserve">TRICO </v>
      </c>
      <c r="E533" s="28" t="str">
        <f>IF(B533="","",IFERROR(VLOOKUP(D533,Configurações!$N$5:$O$46,2,FALSE()),"OUTROS"))</f>
        <v>OUTROS</v>
      </c>
      <c r="F533" s="2" t="str">
        <f>IF(B533="","",IFERROR(INDEX(SKUs!$F$6:$F$1997,MATCH(B533,SKUs!$C$6:$C$1997,0)),""))</f>
        <v>TRICO MEIO ZIPER COURO</v>
      </c>
      <c r="G533" s="2" t="str">
        <f>IF(B533="","",IFERROR(INDEX(SKUs!$G$6:$G$1997,MATCH(B533,SKUs!$C$6:$C$1997,0)),""))</f>
        <v>AZUL</v>
      </c>
      <c r="H533" s="25" t="str">
        <f>IF(B533="","",IFERROR(INDEX(SKUs!$H$6:$H$1997,MATCH(B533,SKUs!$C$6:$C$1997,0)),""))</f>
        <v>GG</v>
      </c>
      <c r="I533" s="4" t="str">
        <f>IF(B533="","",IFERROR(INDEX(SKUs!#REF!,MATCH(B533,SKUs!$C$6:$C$1997,0)),""))</f>
        <v/>
      </c>
      <c r="J533" s="3">
        <f>IF(B533="","",SUMIFS(SKUs!$I$6:$I$1997,SKUs!$C$6:$C$1997,B533))</f>
        <v>6</v>
      </c>
      <c r="K533" s="4">
        <f t="shared" si="38"/>
        <v>0</v>
      </c>
      <c r="L533" s="3">
        <f>IF(B533="","",COUNTIF(SKUs!$C$6:$C$1997,B533))</f>
        <v>1</v>
      </c>
      <c r="M533" s="29"/>
      <c r="N533" s="29">
        <v>10</v>
      </c>
      <c r="O533" s="29"/>
      <c r="P533" s="29"/>
      <c r="Q533" s="29"/>
      <c r="R533" s="29"/>
      <c r="S533" s="29"/>
      <c r="T533" s="29"/>
      <c r="U533" s="30">
        <f t="shared" si="39"/>
        <v>10</v>
      </c>
      <c r="V533" s="31">
        <f t="shared" si="36"/>
        <v>6</v>
      </c>
    </row>
    <row r="534" spans="1:22" ht="15" hidden="1" customHeight="1" x14ac:dyDescent="0.3">
      <c r="A534" s="25">
        <f t="shared" si="37"/>
        <v>527</v>
      </c>
      <c r="B534" s="26" t="s">
        <v>578</v>
      </c>
      <c r="C534" s="27" t="str">
        <f t="shared" si="35"/>
        <v>Masculino</v>
      </c>
      <c r="D534" s="2" t="str">
        <f>IF(B534="","",IFERROR(INDEX(SKUs!$E$6:$E$1997,MATCH(B534,SKUs!$C$6:$C$1997,0)),""))</f>
        <v>JAQUETA</v>
      </c>
      <c r="E534" s="28" t="str">
        <f>IF(B534="","",IFERROR(VLOOKUP(D534,Configurações!$N$5:$O$46,2,FALSE()),"OUTROS"))</f>
        <v>VESTUÁRIO</v>
      </c>
      <c r="F534" s="2" t="str">
        <f>IF(B534="","",IFERROR(INDEX(SKUs!$F$6:$F$1997,MATCH(B534,SKUs!$C$6:$C$1997,0)),""))</f>
        <v>JAQUETA PUFFER CAPUZ</v>
      </c>
      <c r="G534" s="2" t="str">
        <f>IF(B534="","",IFERROR(INDEX(SKUs!$G$6:$G$1997,MATCH(B534,SKUs!$C$6:$C$1997,0)),""))</f>
        <v>PRETO</v>
      </c>
      <c r="H534" s="25" t="str">
        <f>IF(B534="","",IFERROR(INDEX(SKUs!$H$6:$H$1997,MATCH(B534,SKUs!$C$6:$C$1997,0)),""))</f>
        <v>P</v>
      </c>
      <c r="I534" s="4" t="str">
        <f>IF(B534="","",IFERROR(INDEX(SKUs!#REF!,MATCH(B534,SKUs!$C$6:$C$1997,0)),""))</f>
        <v/>
      </c>
      <c r="J534" s="3">
        <f>IF(B534="","",SUMIFS(SKUs!$I$6:$I$1997,SKUs!$C$6:$C$1997,B534))</f>
        <v>10</v>
      </c>
      <c r="K534" s="4">
        <f t="shared" si="38"/>
        <v>0</v>
      </c>
      <c r="L534" s="3">
        <f>IF(B534="","",COUNTIF(SKUs!$C$6:$C$1997,B534))</f>
        <v>1</v>
      </c>
      <c r="M534" s="29"/>
      <c r="N534" s="29">
        <v>10</v>
      </c>
      <c r="O534" s="29"/>
      <c r="P534" s="29"/>
      <c r="Q534" s="29"/>
      <c r="R534" s="29"/>
      <c r="S534" s="29"/>
      <c r="T534" s="29"/>
      <c r="U534" s="30">
        <f t="shared" si="39"/>
        <v>10</v>
      </c>
      <c r="V534" s="31">
        <f t="shared" si="36"/>
        <v>10</v>
      </c>
    </row>
    <row r="535" spans="1:22" ht="15" hidden="1" customHeight="1" x14ac:dyDescent="0.3">
      <c r="A535" s="25">
        <f t="shared" si="37"/>
        <v>528</v>
      </c>
      <c r="B535" s="26" t="s">
        <v>579</v>
      </c>
      <c r="C535" s="27" t="str">
        <f t="shared" si="35"/>
        <v>Masculino</v>
      </c>
      <c r="D535" s="2" t="str">
        <f>IF(B535="","",IFERROR(INDEX(SKUs!$E$6:$E$1997,MATCH(B535,SKUs!$C$6:$C$1997,0)),""))</f>
        <v>JAQUETA</v>
      </c>
      <c r="E535" s="28" t="str">
        <f>IF(B535="","",IFERROR(VLOOKUP(D535,Configurações!$N$5:$O$46,2,FALSE()),"OUTROS"))</f>
        <v>VESTUÁRIO</v>
      </c>
      <c r="F535" s="2" t="str">
        <f>IF(B535="","",IFERROR(INDEX(SKUs!$F$6:$F$1997,MATCH(B535,SKUs!$C$6:$C$1997,0)),""))</f>
        <v>JAQUETA BOMBER</v>
      </c>
      <c r="G535" s="2" t="str">
        <f>IF(B535="","",IFERROR(INDEX(SKUs!$G$6:$G$1997,MATCH(B535,SKUs!$C$6:$C$1997,0)),""))</f>
        <v>MARINHO</v>
      </c>
      <c r="H535" s="25" t="str">
        <f>IF(B535="","",IFERROR(INDEX(SKUs!$H$6:$H$1997,MATCH(B535,SKUs!$C$6:$C$1997,0)),""))</f>
        <v>G</v>
      </c>
      <c r="I535" s="4" t="str">
        <f>IF(B535="","",IFERROR(INDEX(SKUs!#REF!,MATCH(B535,SKUs!$C$6:$C$1997,0)),""))</f>
        <v/>
      </c>
      <c r="J535" s="3">
        <f>IF(B535="","",SUMIFS(SKUs!$I$6:$I$1997,SKUs!$C$6:$C$1997,B535))</f>
        <v>4</v>
      </c>
      <c r="K535" s="4">
        <f t="shared" si="38"/>
        <v>0</v>
      </c>
      <c r="L535" s="3">
        <f>IF(B535="","",COUNTIF(SKUs!$C$6:$C$1997,B535))</f>
        <v>1</v>
      </c>
      <c r="M535" s="29"/>
      <c r="N535" s="29">
        <v>4</v>
      </c>
      <c r="O535" s="29"/>
      <c r="P535" s="29"/>
      <c r="Q535" s="29"/>
      <c r="R535" s="29"/>
      <c r="S535" s="29"/>
      <c r="T535" s="29"/>
      <c r="U535" s="30">
        <f t="shared" si="39"/>
        <v>4</v>
      </c>
      <c r="V535" s="31">
        <f t="shared" si="36"/>
        <v>4</v>
      </c>
    </row>
    <row r="536" spans="1:22" ht="15" hidden="1" customHeight="1" x14ac:dyDescent="0.3">
      <c r="A536" s="25">
        <f t="shared" si="37"/>
        <v>529</v>
      </c>
      <c r="B536" s="26" t="s">
        <v>580</v>
      </c>
      <c r="C536" s="27" t="str">
        <f t="shared" si="35"/>
        <v>Masculino</v>
      </c>
      <c r="D536" s="2" t="str">
        <f>IF(B536="","",IFERROR(INDEX(SKUs!$E$6:$E$1997,MATCH(B536,SKUs!$C$6:$C$1997,0)),""))</f>
        <v xml:space="preserve">TRICO </v>
      </c>
      <c r="E536" s="28" t="str">
        <f>IF(B536="","",IFERROR(VLOOKUP(D536,Configurações!$N$5:$O$46,2,FALSE()),"OUTROS"))</f>
        <v>OUTROS</v>
      </c>
      <c r="F536" s="2" t="str">
        <f>IF(B536="","",IFERROR(INDEX(SKUs!$F$6:$F$1997,MATCH(B536,SKUs!$C$6:$C$1997,0)),""))</f>
        <v xml:space="preserve">TRICO MEIO ZIPER </v>
      </c>
      <c r="G536" s="2" t="str">
        <f>IF(B536="","",IFERROR(INDEX(SKUs!$G$6:$G$1997,MATCH(B536,SKUs!$C$6:$C$1997,0)),""))</f>
        <v>PRETO</v>
      </c>
      <c r="H536" s="25" t="str">
        <f>IF(B536="","",IFERROR(INDEX(SKUs!$H$6:$H$1997,MATCH(B536,SKUs!$C$6:$C$1997,0)),""))</f>
        <v>GG</v>
      </c>
      <c r="I536" s="4" t="str">
        <f>IF(B536="","",IFERROR(INDEX(SKUs!#REF!,MATCH(B536,SKUs!$C$6:$C$1997,0)),""))</f>
        <v/>
      </c>
      <c r="J536" s="3">
        <f>IF(B536="","",SUMIFS(SKUs!$I$6:$I$1997,SKUs!$C$6:$C$1997,B536))</f>
        <v>21</v>
      </c>
      <c r="K536" s="4">
        <f t="shared" si="38"/>
        <v>0</v>
      </c>
      <c r="L536" s="3">
        <f>IF(B536="","",COUNTIF(SKUs!$C$6:$C$1997,B536))</f>
        <v>1</v>
      </c>
      <c r="M536" s="29"/>
      <c r="N536" s="29">
        <v>22</v>
      </c>
      <c r="O536" s="29"/>
      <c r="P536" s="29"/>
      <c r="Q536" s="29"/>
      <c r="R536" s="29"/>
      <c r="S536" s="29"/>
      <c r="T536" s="29"/>
      <c r="U536" s="30">
        <f t="shared" si="39"/>
        <v>22</v>
      </c>
      <c r="V536" s="31">
        <f t="shared" si="36"/>
        <v>21</v>
      </c>
    </row>
    <row r="537" spans="1:22" ht="15" hidden="1" customHeight="1" x14ac:dyDescent="0.3">
      <c r="A537" s="25">
        <f t="shared" si="37"/>
        <v>530</v>
      </c>
      <c r="B537" s="26" t="s">
        <v>581</v>
      </c>
      <c r="C537" s="27" t="str">
        <f t="shared" si="35"/>
        <v>Masculino</v>
      </c>
      <c r="D537" s="2" t="str">
        <f>IF(B537="","",IFERROR(INDEX(SKUs!$E$6:$E$1997,MATCH(B537,SKUs!$C$6:$C$1997,0)),""))</f>
        <v xml:space="preserve">TRICO </v>
      </c>
      <c r="E537" s="28" t="str">
        <f>IF(B537="","",IFERROR(VLOOKUP(D537,Configurações!$N$5:$O$46,2,FALSE()),"OUTROS"))</f>
        <v>OUTROS</v>
      </c>
      <c r="F537" s="2" t="str">
        <f>IF(B537="","",IFERROR(INDEX(SKUs!$F$6:$F$1997,MATCH(B537,SKUs!$C$6:$C$1997,0)),""))</f>
        <v>TRICO MEIO ZIPER</v>
      </c>
      <c r="G537" s="2" t="str">
        <f>IF(B537="","",IFERROR(INDEX(SKUs!$G$6:$G$1997,MATCH(B537,SKUs!$C$6:$C$1997,0)),""))</f>
        <v>PRETO</v>
      </c>
      <c r="H537" s="25" t="str">
        <f>IF(B537="","",IFERROR(INDEX(SKUs!$H$6:$H$1997,MATCH(B537,SKUs!$C$6:$C$1997,0)),""))</f>
        <v>M</v>
      </c>
      <c r="I537" s="4" t="str">
        <f>IF(B537="","",IFERROR(INDEX(SKUs!#REF!,MATCH(B537,SKUs!$C$6:$C$1997,0)),""))</f>
        <v/>
      </c>
      <c r="J537" s="3">
        <f>IF(B537="","",SUMIFS(SKUs!$I$6:$I$1997,SKUs!$C$6:$C$1997,B537))</f>
        <v>42</v>
      </c>
      <c r="K537" s="4">
        <f t="shared" si="38"/>
        <v>0</v>
      </c>
      <c r="L537" s="3">
        <f>IF(B537="","",COUNTIF(SKUs!$C$6:$C$1997,B537))</f>
        <v>1</v>
      </c>
      <c r="M537" s="29"/>
      <c r="N537" s="29">
        <v>44</v>
      </c>
      <c r="O537" s="29"/>
      <c r="P537" s="29"/>
      <c r="Q537" s="29"/>
      <c r="R537" s="29"/>
      <c r="S537" s="29"/>
      <c r="T537" s="29"/>
      <c r="U537" s="30">
        <f t="shared" si="39"/>
        <v>44</v>
      </c>
      <c r="V537" s="31">
        <f t="shared" si="36"/>
        <v>42</v>
      </c>
    </row>
    <row r="538" spans="1:22" ht="15" hidden="1" customHeight="1" x14ac:dyDescent="0.3">
      <c r="A538" s="25">
        <f t="shared" si="37"/>
        <v>531</v>
      </c>
      <c r="B538" s="26" t="s">
        <v>582</v>
      </c>
      <c r="C538" s="27" t="str">
        <f t="shared" si="35"/>
        <v>Masculino</v>
      </c>
      <c r="D538" s="2" t="str">
        <f>IF(B538="","",IFERROR(INDEX(SKUs!$E$6:$E$1997,MATCH(B538,SKUs!$C$6:$C$1997,0)),""))</f>
        <v xml:space="preserve">TRICO </v>
      </c>
      <c r="E538" s="28" t="str">
        <f>IF(B538="","",IFERROR(VLOOKUP(D538,Configurações!$N$5:$O$46,2,FALSE()),"OUTROS"))</f>
        <v>OUTROS</v>
      </c>
      <c r="F538" s="2" t="str">
        <f>IF(B538="","",IFERROR(INDEX(SKUs!$F$6:$F$1997,MATCH(B538,SKUs!$C$6:$C$1997,0)),""))</f>
        <v>TRICO MEIO ZIPER COURO</v>
      </c>
      <c r="G538" s="2" t="str">
        <f>IF(B538="","",IFERROR(INDEX(SKUs!$G$6:$G$1997,MATCH(B538,SKUs!$C$6:$C$1997,0)),""))</f>
        <v>AZUL</v>
      </c>
      <c r="H538" s="25" t="str">
        <f>IF(B538="","",IFERROR(INDEX(SKUs!$H$6:$H$1997,MATCH(B538,SKUs!$C$6:$C$1997,0)),""))</f>
        <v>P</v>
      </c>
      <c r="I538" s="4" t="str">
        <f>IF(B538="","",IFERROR(INDEX(SKUs!#REF!,MATCH(B538,SKUs!$C$6:$C$1997,0)),""))</f>
        <v/>
      </c>
      <c r="J538" s="3">
        <f>IF(B538="","",SUMIFS(SKUs!$I$6:$I$1997,SKUs!$C$6:$C$1997,B538))</f>
        <v>6</v>
      </c>
      <c r="K538" s="4">
        <f t="shared" si="38"/>
        <v>0</v>
      </c>
      <c r="L538" s="3">
        <f>IF(B538="","",COUNTIF(SKUs!$C$6:$C$1997,B538))</f>
        <v>1</v>
      </c>
      <c r="M538" s="29"/>
      <c r="N538" s="29">
        <v>10</v>
      </c>
      <c r="O538" s="29"/>
      <c r="P538" s="29"/>
      <c r="Q538" s="29"/>
      <c r="R538" s="29"/>
      <c r="S538" s="29"/>
      <c r="T538" s="29"/>
      <c r="U538" s="30">
        <f t="shared" si="39"/>
        <v>10</v>
      </c>
      <c r="V538" s="31">
        <f t="shared" si="36"/>
        <v>6</v>
      </c>
    </row>
    <row r="539" spans="1:22" ht="15" hidden="1" customHeight="1" x14ac:dyDescent="0.3">
      <c r="A539" s="25">
        <f t="shared" si="37"/>
        <v>532</v>
      </c>
      <c r="B539" s="26" t="s">
        <v>583</v>
      </c>
      <c r="C539" s="27" t="str">
        <f t="shared" si="35"/>
        <v>Masculino</v>
      </c>
      <c r="D539" s="2" t="str">
        <f>IF(B539="","",IFERROR(INDEX(SKUs!$E$6:$E$1997,MATCH(B539,SKUs!$C$6:$C$1997,0)),""))</f>
        <v xml:space="preserve">TRICO </v>
      </c>
      <c r="E539" s="28" t="str">
        <f>IF(B539="","",IFERROR(VLOOKUP(D539,Configurações!$N$5:$O$46,2,FALSE()),"OUTROS"))</f>
        <v>OUTROS</v>
      </c>
      <c r="F539" s="2" t="str">
        <f>IF(B539="","",IFERROR(INDEX(SKUs!$F$6:$F$1997,MATCH(B539,SKUs!$C$6:$C$1997,0)),""))</f>
        <v>TRICO MEIO ZIPER COURO</v>
      </c>
      <c r="G539" s="2" t="str">
        <f>IF(B539="","",IFERROR(INDEX(SKUs!$G$6:$G$1997,MATCH(B539,SKUs!$C$6:$C$1997,0)),""))</f>
        <v>AZUL</v>
      </c>
      <c r="H539" s="25" t="str">
        <f>IF(B539="","",IFERROR(INDEX(SKUs!$H$6:$H$1997,MATCH(B539,SKUs!$C$6:$C$1997,0)),""))</f>
        <v>M</v>
      </c>
      <c r="I539" s="4" t="str">
        <f>IF(B539="","",IFERROR(INDEX(SKUs!#REF!,MATCH(B539,SKUs!$C$6:$C$1997,0)),""))</f>
        <v/>
      </c>
      <c r="J539" s="3">
        <f>IF(B539="","",SUMIFS(SKUs!$I$6:$I$1997,SKUs!$C$6:$C$1997,B539))</f>
        <v>16</v>
      </c>
      <c r="K539" s="4">
        <f t="shared" si="38"/>
        <v>0</v>
      </c>
      <c r="L539" s="3">
        <f>IF(B539="","",COUNTIF(SKUs!$C$6:$C$1997,B539))</f>
        <v>1</v>
      </c>
      <c r="M539" s="29"/>
      <c r="N539" s="29">
        <v>20</v>
      </c>
      <c r="O539" s="29"/>
      <c r="P539" s="29"/>
      <c r="Q539" s="29"/>
      <c r="R539" s="29"/>
      <c r="S539" s="29"/>
      <c r="T539" s="29"/>
      <c r="U539" s="30">
        <f t="shared" si="39"/>
        <v>20</v>
      </c>
      <c r="V539" s="31">
        <f t="shared" si="36"/>
        <v>16</v>
      </c>
    </row>
    <row r="540" spans="1:22" ht="15" hidden="1" customHeight="1" x14ac:dyDescent="0.3">
      <c r="A540" s="25">
        <f t="shared" si="37"/>
        <v>533</v>
      </c>
      <c r="B540" s="26" t="s">
        <v>584</v>
      </c>
      <c r="C540" s="27" t="str">
        <f t="shared" si="35"/>
        <v>Masculino</v>
      </c>
      <c r="D540" s="2" t="str">
        <f>IF(B540="","",IFERROR(INDEX(SKUs!$E$6:$E$1997,MATCH(B540,SKUs!$C$6:$C$1997,0)),""))</f>
        <v>TRICO</v>
      </c>
      <c r="E540" s="28" t="str">
        <f>IF(B540="","",IFERROR(VLOOKUP(D540,Configurações!$N$5:$O$46,2,FALSE()),"OUTROS"))</f>
        <v>VESTUÁRIO</v>
      </c>
      <c r="F540" s="2" t="str">
        <f>IF(B540="","",IFERROR(INDEX(SKUs!$F$6:$F$1997,MATCH(B540,SKUs!$C$6:$C$1997,0)),""))</f>
        <v>TRICO BASICO GOLA V</v>
      </c>
      <c r="G540" s="2" t="str">
        <f>IF(B540="","",IFERROR(INDEX(SKUs!$G$6:$G$1997,MATCH(B540,SKUs!$C$6:$C$1997,0)),""))</f>
        <v>PRETO</v>
      </c>
      <c r="H540" s="25" t="str">
        <f>IF(B540="","",IFERROR(INDEX(SKUs!$H$6:$H$1997,MATCH(B540,SKUs!$C$6:$C$1997,0)),""))</f>
        <v>P</v>
      </c>
      <c r="I540" s="4" t="str">
        <f>IF(B540="","",IFERROR(INDEX(SKUs!#REF!,MATCH(B540,SKUs!$C$6:$C$1997,0)),""))</f>
        <v/>
      </c>
      <c r="J540" s="3">
        <f>IF(B540="","",SUMIFS(SKUs!$I$6:$I$1997,SKUs!$C$6:$C$1997,B540))</f>
        <v>7</v>
      </c>
      <c r="K540" s="4">
        <f t="shared" si="38"/>
        <v>0</v>
      </c>
      <c r="L540" s="3">
        <f>IF(B540="","",COUNTIF(SKUs!$C$6:$C$1997,B540))</f>
        <v>1</v>
      </c>
      <c r="M540" s="29"/>
      <c r="N540" s="29">
        <v>10</v>
      </c>
      <c r="O540" s="29"/>
      <c r="P540" s="29"/>
      <c r="Q540" s="29"/>
      <c r="R540" s="29"/>
      <c r="S540" s="29"/>
      <c r="T540" s="29"/>
      <c r="U540" s="30">
        <f t="shared" si="39"/>
        <v>10</v>
      </c>
      <c r="V540" s="31">
        <f t="shared" si="36"/>
        <v>7</v>
      </c>
    </row>
    <row r="541" spans="1:22" ht="15" hidden="1" customHeight="1" x14ac:dyDescent="0.3">
      <c r="A541" s="25">
        <f t="shared" si="37"/>
        <v>534</v>
      </c>
      <c r="B541" s="26" t="s">
        <v>585</v>
      </c>
      <c r="C541" s="27" t="str">
        <f t="shared" si="35"/>
        <v>Masculino</v>
      </c>
      <c r="D541" s="2" t="str">
        <f>IF(B541="","",IFERROR(INDEX(SKUs!$E$6:$E$1997,MATCH(B541,SKUs!$C$6:$C$1997,0)),""))</f>
        <v>TRICO</v>
      </c>
      <c r="E541" s="28" t="str">
        <f>IF(B541="","",IFERROR(VLOOKUP(D541,Configurações!$N$5:$O$46,2,FALSE()),"OUTROS"))</f>
        <v>VESTUÁRIO</v>
      </c>
      <c r="F541" s="2" t="str">
        <f>IF(B541="","",IFERROR(INDEX(SKUs!$F$6:$F$1997,MATCH(B541,SKUs!$C$6:$C$1997,0)),""))</f>
        <v>TRICO BASICO GOLA V</v>
      </c>
      <c r="G541" s="2" t="str">
        <f>IF(B541="","",IFERROR(INDEX(SKUs!$G$6:$G$1997,MATCH(B541,SKUs!$C$6:$C$1997,0)),""))</f>
        <v>PRETO</v>
      </c>
      <c r="H541" s="25" t="str">
        <f>IF(B541="","",IFERROR(INDEX(SKUs!$H$6:$H$1997,MATCH(B541,SKUs!$C$6:$C$1997,0)),""))</f>
        <v>M</v>
      </c>
      <c r="I541" s="4" t="str">
        <f>IF(B541="","",IFERROR(INDEX(SKUs!#REF!,MATCH(B541,SKUs!$C$6:$C$1997,0)),""))</f>
        <v/>
      </c>
      <c r="J541" s="3">
        <f>IF(B541="","",SUMIFS(SKUs!$I$6:$I$1997,SKUs!$C$6:$C$1997,B541))</f>
        <v>4</v>
      </c>
      <c r="K541" s="4">
        <f t="shared" si="38"/>
        <v>0</v>
      </c>
      <c r="L541" s="3">
        <f>IF(B541="","",COUNTIF(SKUs!$C$6:$C$1997,B541))</f>
        <v>1</v>
      </c>
      <c r="M541" s="29"/>
      <c r="N541" s="29">
        <v>20</v>
      </c>
      <c r="O541" s="29"/>
      <c r="P541" s="29"/>
      <c r="Q541" s="29"/>
      <c r="R541" s="29"/>
      <c r="S541" s="29"/>
      <c r="T541" s="29"/>
      <c r="U541" s="30">
        <f t="shared" si="39"/>
        <v>20</v>
      </c>
      <c r="V541" s="31">
        <f t="shared" si="36"/>
        <v>4</v>
      </c>
    </row>
    <row r="542" spans="1:22" ht="15" hidden="1" customHeight="1" x14ac:dyDescent="0.3">
      <c r="A542" s="25">
        <f t="shared" si="37"/>
        <v>535</v>
      </c>
      <c r="B542" s="26" t="s">
        <v>586</v>
      </c>
      <c r="C542" s="27" t="str">
        <f t="shared" si="35"/>
        <v>Masculino</v>
      </c>
      <c r="D542" s="2" t="str">
        <f>IF(B542="","",IFERROR(INDEX(SKUs!$E$6:$E$1997,MATCH(B542,SKUs!$C$6:$C$1997,0)),""))</f>
        <v>JAQUETA</v>
      </c>
      <c r="E542" s="28" t="str">
        <f>IF(B542="","",IFERROR(VLOOKUP(D542,Configurações!$N$5:$O$46,2,FALSE()),"OUTROS"))</f>
        <v>VESTUÁRIO</v>
      </c>
      <c r="F542" s="2" t="str">
        <f>IF(B542="","",IFERROR(INDEX(SKUs!$F$6:$F$1997,MATCH(B542,SKUs!$C$6:$C$1997,0)),""))</f>
        <v xml:space="preserve">JAQUETA RIP STOP </v>
      </c>
      <c r="G542" s="2" t="str">
        <f>IF(B542="","",IFERROR(INDEX(SKUs!$G$6:$G$1997,MATCH(B542,SKUs!$C$6:$C$1997,0)),""))</f>
        <v>MILITAR</v>
      </c>
      <c r="H542" s="25" t="str">
        <f>IF(B542="","",IFERROR(INDEX(SKUs!$H$6:$H$1997,MATCH(B542,SKUs!$C$6:$C$1997,0)),""))</f>
        <v>P</v>
      </c>
      <c r="I542" s="4" t="str">
        <f>IF(B542="","",IFERROR(INDEX(SKUs!#REF!,MATCH(B542,SKUs!$C$6:$C$1997,0)),""))</f>
        <v/>
      </c>
      <c r="J542" s="3">
        <f>IF(B542="","",SUMIFS(SKUs!$I$6:$I$1997,SKUs!$C$6:$C$1997,B542))</f>
        <v>12</v>
      </c>
      <c r="K542" s="4">
        <f t="shared" si="38"/>
        <v>0</v>
      </c>
      <c r="L542" s="3">
        <f>IF(B542="","",COUNTIF(SKUs!$C$6:$C$1997,B542))</f>
        <v>1</v>
      </c>
      <c r="M542" s="29"/>
      <c r="N542" s="29">
        <v>12</v>
      </c>
      <c r="O542" s="29"/>
      <c r="P542" s="29"/>
      <c r="Q542" s="29"/>
      <c r="R542" s="29"/>
      <c r="S542" s="29"/>
      <c r="T542" s="29"/>
      <c r="U542" s="30">
        <f t="shared" si="39"/>
        <v>12</v>
      </c>
      <c r="V542" s="31">
        <f t="shared" si="36"/>
        <v>12</v>
      </c>
    </row>
    <row r="543" spans="1:22" ht="15" hidden="1" customHeight="1" x14ac:dyDescent="0.3">
      <c r="A543" s="25">
        <f t="shared" si="37"/>
        <v>536</v>
      </c>
      <c r="B543" s="26" t="s">
        <v>587</v>
      </c>
      <c r="C543" s="27" t="str">
        <f t="shared" si="35"/>
        <v>Masculino</v>
      </c>
      <c r="D543" s="2" t="str">
        <f>IF(B543="","",IFERROR(INDEX(SKUs!$E$6:$E$1997,MATCH(B543,SKUs!$C$6:$C$1997,0)),""))</f>
        <v>JAQUETA</v>
      </c>
      <c r="E543" s="28" t="str">
        <f>IF(B543="","",IFERROR(VLOOKUP(D543,Configurações!$N$5:$O$46,2,FALSE()),"OUTROS"))</f>
        <v>VESTUÁRIO</v>
      </c>
      <c r="F543" s="2" t="str">
        <f>IF(B543="","",IFERROR(INDEX(SKUs!$F$6:$F$1997,MATCH(B543,SKUs!$C$6:$C$1997,0)),""))</f>
        <v xml:space="preserve">JAQUETA RIP STOP </v>
      </c>
      <c r="G543" s="2" t="str">
        <f>IF(B543="","",IFERROR(INDEX(SKUs!$G$6:$G$1997,MATCH(B543,SKUs!$C$6:$C$1997,0)),""))</f>
        <v>MILITAR</v>
      </c>
      <c r="H543" s="25" t="str">
        <f>IF(B543="","",IFERROR(INDEX(SKUs!$H$6:$H$1997,MATCH(B543,SKUs!$C$6:$C$1997,0)),""))</f>
        <v>M</v>
      </c>
      <c r="I543" s="4" t="str">
        <f>IF(B543="","",IFERROR(INDEX(SKUs!#REF!,MATCH(B543,SKUs!$C$6:$C$1997,0)),""))</f>
        <v/>
      </c>
      <c r="J543" s="3">
        <f>IF(B543="","",SUMIFS(SKUs!$I$6:$I$1997,SKUs!$C$6:$C$1997,B543))</f>
        <v>36</v>
      </c>
      <c r="K543" s="4">
        <f t="shared" si="38"/>
        <v>0</v>
      </c>
      <c r="L543" s="3">
        <f>IF(B543="","",COUNTIF(SKUs!$C$6:$C$1997,B543))</f>
        <v>2</v>
      </c>
      <c r="M543" s="29"/>
      <c r="N543" s="29">
        <v>24</v>
      </c>
      <c r="O543" s="29"/>
      <c r="P543" s="29"/>
      <c r="Q543" s="29"/>
      <c r="R543" s="29"/>
      <c r="S543" s="29"/>
      <c r="T543" s="29"/>
      <c r="U543" s="30">
        <f t="shared" si="39"/>
        <v>24</v>
      </c>
      <c r="V543" s="31">
        <f t="shared" si="36"/>
        <v>36</v>
      </c>
    </row>
    <row r="544" spans="1:22" ht="15" hidden="1" customHeight="1" x14ac:dyDescent="0.3">
      <c r="A544" s="25">
        <f t="shared" si="37"/>
        <v>537</v>
      </c>
      <c r="B544" s="26" t="s">
        <v>588</v>
      </c>
      <c r="C544" s="27" t="str">
        <f t="shared" si="35"/>
        <v>Masculino</v>
      </c>
      <c r="D544" s="2" t="str">
        <f>IF(B544="","",IFERROR(INDEX(SKUs!$E$6:$E$1997,MATCH(B544,SKUs!$C$6:$C$1997,0)),""))</f>
        <v>TRICO</v>
      </c>
      <c r="E544" s="28" t="str">
        <f>IF(B544="","",IFERROR(VLOOKUP(D544,Configurações!$N$5:$O$46,2,FALSE()),"OUTROS"))</f>
        <v>VESTUÁRIO</v>
      </c>
      <c r="F544" s="2" t="str">
        <f>IF(B544="","",IFERROR(INDEX(SKUs!$F$6:$F$1997,MATCH(B544,SKUs!$C$6:$C$1997,0)),""))</f>
        <v xml:space="preserve">TRICO MEIO ZIPER </v>
      </c>
      <c r="G544" s="2" t="str">
        <f>IF(B544="","",IFERROR(INDEX(SKUs!$G$6:$G$1997,MATCH(B544,SKUs!$C$6:$C$1997,0)),""))</f>
        <v>AZUL</v>
      </c>
      <c r="H544" s="25" t="str">
        <f>IF(B544="","",IFERROR(INDEX(SKUs!$H$6:$H$1997,MATCH(B544,SKUs!$C$6:$C$1997,0)),""))</f>
        <v>P</v>
      </c>
      <c r="I544" s="4" t="str">
        <f>IF(B544="","",IFERROR(INDEX(SKUs!#REF!,MATCH(B544,SKUs!$C$6:$C$1997,0)),""))</f>
        <v/>
      </c>
      <c r="J544" s="3">
        <f>IF(B544="","",SUMIFS(SKUs!$I$6:$I$1997,SKUs!$C$6:$C$1997,B544))</f>
        <v>11</v>
      </c>
      <c r="K544" s="4">
        <f t="shared" si="38"/>
        <v>0</v>
      </c>
      <c r="L544" s="3">
        <f>IF(B544="","",COUNTIF(SKUs!$C$6:$C$1997,B544))</f>
        <v>1</v>
      </c>
      <c r="M544" s="29"/>
      <c r="N544" s="29">
        <v>11</v>
      </c>
      <c r="O544" s="29"/>
      <c r="P544" s="29"/>
      <c r="Q544" s="29"/>
      <c r="R544" s="29"/>
      <c r="S544" s="29"/>
      <c r="T544" s="29"/>
      <c r="U544" s="30">
        <f t="shared" si="39"/>
        <v>11</v>
      </c>
      <c r="V544" s="31">
        <f t="shared" si="36"/>
        <v>11</v>
      </c>
    </row>
    <row r="545" spans="1:22" ht="15" hidden="1" customHeight="1" x14ac:dyDescent="0.3">
      <c r="A545" s="25">
        <f t="shared" si="37"/>
        <v>538</v>
      </c>
      <c r="B545" s="26" t="s">
        <v>589</v>
      </c>
      <c r="C545" s="27" t="str">
        <f t="shared" si="35"/>
        <v>Masculino</v>
      </c>
      <c r="D545" s="2" t="str">
        <f>IF(B545="","",IFERROR(INDEX(SKUs!$E$6:$E$1997,MATCH(B545,SKUs!$C$6:$C$1997,0)),""))</f>
        <v>TRICO</v>
      </c>
      <c r="E545" s="28" t="str">
        <f>IF(B545="","",IFERROR(VLOOKUP(D545,Configurações!$N$5:$O$46,2,FALSE()),"OUTROS"))</f>
        <v>VESTUÁRIO</v>
      </c>
      <c r="F545" s="2" t="str">
        <f>IF(B545="","",IFERROR(INDEX(SKUs!$F$6:$F$1997,MATCH(B545,SKUs!$C$6:$C$1997,0)),""))</f>
        <v xml:space="preserve">TRICO MEIO ZIPER </v>
      </c>
      <c r="G545" s="2" t="str">
        <f>IF(B545="","",IFERROR(INDEX(SKUs!$G$6:$G$1997,MATCH(B545,SKUs!$C$6:$C$1997,0)),""))</f>
        <v>AZUL</v>
      </c>
      <c r="H545" s="25" t="str">
        <f>IF(B545="","",IFERROR(INDEX(SKUs!$H$6:$H$1997,MATCH(B545,SKUs!$C$6:$C$1997,0)),""))</f>
        <v>M</v>
      </c>
      <c r="I545" s="4" t="str">
        <f>IF(B545="","",IFERROR(INDEX(SKUs!#REF!,MATCH(B545,SKUs!$C$6:$C$1997,0)),""))</f>
        <v/>
      </c>
      <c r="J545" s="3">
        <f>IF(B545="","",SUMIFS(SKUs!$I$6:$I$1997,SKUs!$C$6:$C$1997,B545))</f>
        <v>20</v>
      </c>
      <c r="K545" s="4">
        <f t="shared" si="38"/>
        <v>0</v>
      </c>
      <c r="L545" s="3">
        <f>IF(B545="","",COUNTIF(SKUs!$C$6:$C$1997,B545))</f>
        <v>1</v>
      </c>
      <c r="M545" s="29"/>
      <c r="N545" s="29">
        <v>22</v>
      </c>
      <c r="O545" s="29"/>
      <c r="P545" s="29"/>
      <c r="Q545" s="29"/>
      <c r="R545" s="29"/>
      <c r="S545" s="29"/>
      <c r="T545" s="29"/>
      <c r="U545" s="30">
        <f t="shared" si="39"/>
        <v>22</v>
      </c>
      <c r="V545" s="31">
        <f t="shared" si="36"/>
        <v>20</v>
      </c>
    </row>
    <row r="546" spans="1:22" ht="15" hidden="1" customHeight="1" x14ac:dyDescent="0.3">
      <c r="A546" s="25">
        <f t="shared" si="37"/>
        <v>539</v>
      </c>
      <c r="B546" s="26" t="s">
        <v>590</v>
      </c>
      <c r="C546" s="27" t="str">
        <f t="shared" si="35"/>
        <v>Masculino</v>
      </c>
      <c r="D546" s="2" t="str">
        <f>IF(B546="","",IFERROR(INDEX(SKUs!$E$6:$E$1997,MATCH(B546,SKUs!$C$6:$C$1997,0)),""))</f>
        <v>TRICO</v>
      </c>
      <c r="E546" s="28" t="str">
        <f>IF(B546="","",IFERROR(VLOOKUP(D546,Configurações!$N$5:$O$46,2,FALSE()),"OUTROS"))</f>
        <v>VESTUÁRIO</v>
      </c>
      <c r="F546" s="2" t="str">
        <f>IF(B546="","",IFERROR(INDEX(SKUs!$F$6:$F$1997,MATCH(B546,SKUs!$C$6:$C$1997,0)),""))</f>
        <v xml:space="preserve">TRICO MEIO ZIPER </v>
      </c>
      <c r="G546" s="2" t="str">
        <f>IF(B546="","",IFERROR(INDEX(SKUs!$G$6:$G$1997,MATCH(B546,SKUs!$C$6:$C$1997,0)),""))</f>
        <v>AZUL</v>
      </c>
      <c r="H546" s="25" t="str">
        <f>IF(B546="","",IFERROR(INDEX(SKUs!$H$6:$H$1997,MATCH(B546,SKUs!$C$6:$C$1997,0)),""))</f>
        <v>G</v>
      </c>
      <c r="I546" s="4" t="str">
        <f>IF(B546="","",IFERROR(INDEX(SKUs!#REF!,MATCH(B546,SKUs!$C$6:$C$1997,0)),""))</f>
        <v/>
      </c>
      <c r="J546" s="3">
        <f>IF(B546="","",SUMIFS(SKUs!$I$6:$I$1997,SKUs!$C$6:$C$1997,B546))</f>
        <v>21</v>
      </c>
      <c r="K546" s="4">
        <f t="shared" si="38"/>
        <v>0</v>
      </c>
      <c r="L546" s="3">
        <f>IF(B546="","",COUNTIF(SKUs!$C$6:$C$1997,B546))</f>
        <v>1</v>
      </c>
      <c r="M546" s="29"/>
      <c r="N546" s="29">
        <v>22</v>
      </c>
      <c r="O546" s="29"/>
      <c r="P546" s="29"/>
      <c r="Q546" s="29"/>
      <c r="R546" s="29"/>
      <c r="S546" s="29"/>
      <c r="T546" s="29"/>
      <c r="U546" s="30">
        <f t="shared" si="39"/>
        <v>22</v>
      </c>
      <c r="V546" s="31">
        <f t="shared" si="36"/>
        <v>21</v>
      </c>
    </row>
    <row r="547" spans="1:22" ht="15" hidden="1" customHeight="1" x14ac:dyDescent="0.3">
      <c r="A547" s="25">
        <f t="shared" si="37"/>
        <v>540</v>
      </c>
      <c r="B547" s="26" t="s">
        <v>591</v>
      </c>
      <c r="C547" s="27" t="str">
        <f t="shared" si="35"/>
        <v>Masculino</v>
      </c>
      <c r="D547" s="2" t="str">
        <f>IF(B547="","",IFERROR(INDEX(SKUs!$E$6:$E$1997,MATCH(B547,SKUs!$C$6:$C$1997,0)),""))</f>
        <v>TRICO</v>
      </c>
      <c r="E547" s="28" t="str">
        <f>IF(B547="","",IFERROR(VLOOKUP(D547,Configurações!$N$5:$O$46,2,FALSE()),"OUTROS"))</f>
        <v>VESTUÁRIO</v>
      </c>
      <c r="F547" s="2" t="str">
        <f>IF(B547="","",IFERROR(INDEX(SKUs!$F$6:$F$1997,MATCH(B547,SKUs!$C$6:$C$1997,0)),""))</f>
        <v xml:space="preserve">TRICO MEIO ZIPER </v>
      </c>
      <c r="G547" s="2" t="str">
        <f>IF(B547="","",IFERROR(INDEX(SKUs!$G$6:$G$1997,MATCH(B547,SKUs!$C$6:$C$1997,0)),""))</f>
        <v>AZUL</v>
      </c>
      <c r="H547" s="25" t="str">
        <f>IF(B547="","",IFERROR(INDEX(SKUs!$H$6:$H$1997,MATCH(B547,SKUs!$C$6:$C$1997,0)),""))</f>
        <v>GG</v>
      </c>
      <c r="I547" s="4" t="str">
        <f>IF(B547="","",IFERROR(INDEX(SKUs!#REF!,MATCH(B547,SKUs!$C$6:$C$1997,0)),""))</f>
        <v/>
      </c>
      <c r="J547" s="3">
        <f>IF(B547="","",SUMIFS(SKUs!$I$6:$I$1997,SKUs!$C$6:$C$1997,B547))</f>
        <v>11</v>
      </c>
      <c r="K547" s="4">
        <f t="shared" si="38"/>
        <v>0</v>
      </c>
      <c r="L547" s="3">
        <f>IF(B547="","",COUNTIF(SKUs!$C$6:$C$1997,B547))</f>
        <v>1</v>
      </c>
      <c r="M547" s="29"/>
      <c r="N547" s="29">
        <v>11</v>
      </c>
      <c r="O547" s="29"/>
      <c r="P547" s="29"/>
      <c r="Q547" s="29"/>
      <c r="R547" s="29"/>
      <c r="S547" s="29"/>
      <c r="T547" s="29"/>
      <c r="U547" s="30">
        <f t="shared" si="39"/>
        <v>11</v>
      </c>
      <c r="V547" s="31">
        <f t="shared" si="36"/>
        <v>11</v>
      </c>
    </row>
    <row r="548" spans="1:22" ht="15" hidden="1" customHeight="1" x14ac:dyDescent="0.3">
      <c r="A548" s="25">
        <f t="shared" si="37"/>
        <v>541</v>
      </c>
      <c r="B548" s="26" t="s">
        <v>592</v>
      </c>
      <c r="C548" s="27" t="str">
        <f t="shared" si="35"/>
        <v>Masculino</v>
      </c>
      <c r="D548" s="2" t="str">
        <f>IF(B548="","",IFERROR(INDEX(SKUs!$E$6:$E$1997,MATCH(B548,SKUs!$C$6:$C$1997,0)),""))</f>
        <v>JAQUETA</v>
      </c>
      <c r="E548" s="28" t="str">
        <f>IF(B548="","",IFERROR(VLOOKUP(D548,Configurações!$N$5:$O$46,2,FALSE()),"OUTROS"))</f>
        <v>VESTUÁRIO</v>
      </c>
      <c r="F548" s="2" t="str">
        <f>IF(B548="","",IFERROR(INDEX(SKUs!$F$6:$F$1997,MATCH(B548,SKUs!$C$6:$C$1997,0)),""))</f>
        <v xml:space="preserve">JAQUETA BOMBER </v>
      </c>
      <c r="G548" s="2" t="str">
        <f>IF(B548="","",IFERROR(INDEX(SKUs!$G$6:$G$1997,MATCH(B548,SKUs!$C$6:$C$1997,0)),""))</f>
        <v>CHUMBO</v>
      </c>
      <c r="H548" s="25" t="str">
        <f>IF(B548="","",IFERROR(INDEX(SKUs!$H$6:$H$1997,MATCH(B548,SKUs!$C$6:$C$1997,0)),""))</f>
        <v>GG</v>
      </c>
      <c r="I548" s="4" t="str">
        <f>IF(B548="","",IFERROR(INDEX(SKUs!#REF!,MATCH(B548,SKUs!$C$6:$C$1997,0)),""))</f>
        <v/>
      </c>
      <c r="J548" s="3">
        <f>IF(B548="","",SUMIFS(SKUs!$I$6:$I$1997,SKUs!$C$6:$C$1997,B548))</f>
        <v>8</v>
      </c>
      <c r="K548" s="4">
        <f t="shared" si="38"/>
        <v>0</v>
      </c>
      <c r="L548" s="3">
        <f>IF(B548="","",COUNTIF(SKUs!$C$6:$C$1997,B548))</f>
        <v>1</v>
      </c>
      <c r="M548" s="29"/>
      <c r="N548" s="29">
        <v>8</v>
      </c>
      <c r="O548" s="29"/>
      <c r="P548" s="29"/>
      <c r="Q548" s="29"/>
      <c r="R548" s="29"/>
      <c r="S548" s="29"/>
      <c r="T548" s="29"/>
      <c r="U548" s="30">
        <f t="shared" si="39"/>
        <v>8</v>
      </c>
      <c r="V548" s="31">
        <f t="shared" si="36"/>
        <v>8</v>
      </c>
    </row>
    <row r="549" spans="1:22" ht="15" hidden="1" customHeight="1" x14ac:dyDescent="0.3">
      <c r="A549" s="25">
        <f t="shared" si="37"/>
        <v>542</v>
      </c>
      <c r="B549" s="26" t="s">
        <v>593</v>
      </c>
      <c r="C549" s="27" t="str">
        <f t="shared" si="35"/>
        <v>Masculino</v>
      </c>
      <c r="D549" s="2" t="str">
        <f>IF(B549="","",IFERROR(INDEX(SKUs!$E$6:$E$1997,MATCH(B549,SKUs!$C$6:$C$1997,0)),""))</f>
        <v>TRICO</v>
      </c>
      <c r="E549" s="28" t="str">
        <f>IF(B549="","",IFERROR(VLOOKUP(D549,Configurações!$N$5:$O$46,2,FALSE()),"OUTROS"))</f>
        <v>VESTUÁRIO</v>
      </c>
      <c r="F549" s="2" t="str">
        <f>IF(B549="","",IFERROR(INDEX(SKUs!$F$6:$F$1997,MATCH(B549,SKUs!$C$6:$C$1997,0)),""))</f>
        <v>TRICO MEIO ZIPER</v>
      </c>
      <c r="G549" s="2" t="str">
        <f>IF(B549="","",IFERROR(INDEX(SKUs!$G$6:$G$1997,MATCH(B549,SKUs!$C$6:$C$1997,0)),""))</f>
        <v>CINZA</v>
      </c>
      <c r="H549" s="25" t="str">
        <f>IF(B549="","",IFERROR(INDEX(SKUs!$H$6:$H$1997,MATCH(B549,SKUs!$C$6:$C$1997,0)),""))</f>
        <v>M</v>
      </c>
      <c r="I549" s="4" t="str">
        <f>IF(B549="","",IFERROR(INDEX(SKUs!#REF!,MATCH(B549,SKUs!$C$6:$C$1997,0)),""))</f>
        <v/>
      </c>
      <c r="J549" s="3">
        <f>IF(B549="","",SUMIFS(SKUs!$I$6:$I$1997,SKUs!$C$6:$C$1997,B549))</f>
        <v>20</v>
      </c>
      <c r="K549" s="4">
        <f t="shared" si="38"/>
        <v>0</v>
      </c>
      <c r="L549" s="3">
        <f>IF(B549="","",COUNTIF(SKUs!$C$6:$C$1997,B549))</f>
        <v>1</v>
      </c>
      <c r="M549" s="29"/>
      <c r="N549" s="29">
        <v>22</v>
      </c>
      <c r="O549" s="29"/>
      <c r="P549" s="29"/>
      <c r="Q549" s="29"/>
      <c r="R549" s="29"/>
      <c r="S549" s="29"/>
      <c r="T549" s="29"/>
      <c r="U549" s="30">
        <f t="shared" si="39"/>
        <v>22</v>
      </c>
      <c r="V549" s="31">
        <f t="shared" si="36"/>
        <v>20</v>
      </c>
    </row>
    <row r="550" spans="1:22" ht="15" hidden="1" customHeight="1" x14ac:dyDescent="0.3">
      <c r="A550" s="25">
        <f t="shared" si="37"/>
        <v>543</v>
      </c>
      <c r="B550" s="26" t="s">
        <v>594</v>
      </c>
      <c r="C550" s="27" t="str">
        <f t="shared" si="35"/>
        <v>Masculino</v>
      </c>
      <c r="D550" s="2" t="str">
        <f>IF(B550="","",IFERROR(INDEX(SKUs!$E$6:$E$1997,MATCH(B550,SKUs!$C$6:$C$1997,0)),""))</f>
        <v>TRICO</v>
      </c>
      <c r="E550" s="28" t="str">
        <f>IF(B550="","",IFERROR(VLOOKUP(D550,Configurações!$N$5:$O$46,2,FALSE()),"OUTROS"))</f>
        <v>VESTUÁRIO</v>
      </c>
      <c r="F550" s="2" t="str">
        <f>IF(B550="","",IFERROR(INDEX(SKUs!$F$6:$F$1997,MATCH(B550,SKUs!$C$6:$C$1997,0)),""))</f>
        <v>TRICO MEIO ZIPER</v>
      </c>
      <c r="G550" s="2" t="str">
        <f>IF(B550="","",IFERROR(INDEX(SKUs!$G$6:$G$1997,MATCH(B550,SKUs!$C$6:$C$1997,0)),""))</f>
        <v>CINZA</v>
      </c>
      <c r="H550" s="25" t="str">
        <f>IF(B550="","",IFERROR(INDEX(SKUs!$H$6:$H$1997,MATCH(B550,SKUs!$C$6:$C$1997,0)),""))</f>
        <v>G</v>
      </c>
      <c r="I550" s="4" t="str">
        <f>IF(B550="","",IFERROR(INDEX(SKUs!#REF!,MATCH(B550,SKUs!$C$6:$C$1997,0)),""))</f>
        <v/>
      </c>
      <c r="J550" s="3">
        <f>IF(B550="","",SUMIFS(SKUs!$I$6:$I$1997,SKUs!$C$6:$C$1997,B550))</f>
        <v>20</v>
      </c>
      <c r="K550" s="4">
        <f t="shared" si="38"/>
        <v>0</v>
      </c>
      <c r="L550" s="3">
        <f>IF(B550="","",COUNTIF(SKUs!$C$6:$C$1997,B550))</f>
        <v>1</v>
      </c>
      <c r="M550" s="29"/>
      <c r="N550" s="29">
        <v>22</v>
      </c>
      <c r="O550" s="29"/>
      <c r="P550" s="29"/>
      <c r="Q550" s="29"/>
      <c r="R550" s="29"/>
      <c r="S550" s="29"/>
      <c r="T550" s="29"/>
      <c r="U550" s="30">
        <f t="shared" si="39"/>
        <v>22</v>
      </c>
      <c r="V550" s="31">
        <f t="shared" si="36"/>
        <v>20</v>
      </c>
    </row>
    <row r="551" spans="1:22" ht="15" hidden="1" customHeight="1" x14ac:dyDescent="0.3">
      <c r="A551" s="25">
        <f t="shared" si="37"/>
        <v>544</v>
      </c>
      <c r="B551" s="26" t="s">
        <v>595</v>
      </c>
      <c r="C551" s="27" t="str">
        <f t="shared" si="35"/>
        <v>—</v>
      </c>
      <c r="D551" s="2" t="str">
        <f>IF(B551="","",IFERROR(INDEX(SKUs!$E$6:$E$1997,MATCH(B551,SKUs!$C$6:$C$1997,0)),""))</f>
        <v xml:space="preserve">TRICO </v>
      </c>
      <c r="E551" s="28" t="str">
        <f>IF(B551="","",IFERROR(VLOOKUP(D551,Configurações!$N$5:$O$46,2,FALSE()),"OUTROS"))</f>
        <v>OUTROS</v>
      </c>
      <c r="F551" s="2" t="str">
        <f>IF(B551="","",IFERROR(INDEX(SKUs!$F$6:$F$1997,MATCH(B551,SKUs!$C$6:$C$1997,0)),""))</f>
        <v>TRICO MEIO ZIPER COURO</v>
      </c>
      <c r="G551" s="2" t="str">
        <f>IF(B551="","",IFERROR(INDEX(SKUs!$G$6:$G$1997,MATCH(B551,SKUs!$C$6:$C$1997,0)),""))</f>
        <v>CHUMBO</v>
      </c>
      <c r="H551" s="25" t="str">
        <f>IF(B551="","",IFERROR(INDEX(SKUs!$H$6:$H$1997,MATCH(B551,SKUs!$C$6:$C$1997,0)),""))</f>
        <v>G</v>
      </c>
      <c r="I551" s="4" t="str">
        <f>IF(B551="","",IFERROR(INDEX(SKUs!#REF!,MATCH(B551,SKUs!$C$6:$C$1997,0)),""))</f>
        <v/>
      </c>
      <c r="J551" s="3">
        <f>IF(B551="","",SUMIFS(SKUs!$I$6:$I$1997,SKUs!$C$6:$C$1997,B551))</f>
        <v>18</v>
      </c>
      <c r="K551" s="4">
        <f t="shared" si="38"/>
        <v>0</v>
      </c>
      <c r="L551" s="3">
        <f>IF(B551="","",COUNTIF(SKUs!$C$6:$C$1997,B551))</f>
        <v>1</v>
      </c>
      <c r="M551" s="29"/>
      <c r="N551" s="29">
        <v>18</v>
      </c>
      <c r="O551" s="29"/>
      <c r="P551" s="29"/>
      <c r="Q551" s="29"/>
      <c r="R551" s="29"/>
      <c r="S551" s="29"/>
      <c r="T551" s="29"/>
      <c r="U551" s="30">
        <f t="shared" si="39"/>
        <v>18</v>
      </c>
      <c r="V551" s="31">
        <f t="shared" si="36"/>
        <v>18</v>
      </c>
    </row>
    <row r="552" spans="1:22" ht="15" hidden="1" customHeight="1" x14ac:dyDescent="0.3">
      <c r="A552" s="25">
        <f t="shared" si="37"/>
        <v>545</v>
      </c>
      <c r="B552" s="26" t="s">
        <v>2121</v>
      </c>
      <c r="C552" s="27" t="str">
        <f t="shared" si="35"/>
        <v>Masculino</v>
      </c>
      <c r="D552" s="2" t="str">
        <f>IF(B552="","",IFERROR(INDEX(SKUs!$E$6:$E$1997,MATCH(B552,SKUs!$C$6:$C$1997,0)),""))</f>
        <v>JAQUETA</v>
      </c>
      <c r="E552" s="28" t="str">
        <f>IF(B552="","",IFERROR(VLOOKUP(D552,Configurações!$N$5:$O$46,2,FALSE()),"OUTROS"))</f>
        <v>VESTUÁRIO</v>
      </c>
      <c r="F552" s="2" t="str">
        <f>IF(B552="","",IFERROR(INDEX(SKUs!$F$6:$F$1997,MATCH(B552,SKUs!$C$6:$C$1997,0)),""))</f>
        <v xml:space="preserve">JAQUETA RIP STOP </v>
      </c>
      <c r="G552" s="2" t="str">
        <f>IF(B552="","",IFERROR(INDEX(SKUs!$G$6:$G$1997,MATCH(B552,SKUs!$C$6:$C$1997,0)),""))</f>
        <v>MILITAR</v>
      </c>
      <c r="H552" s="25" t="str">
        <f>IF(B552="","",IFERROR(INDEX(SKUs!$H$6:$H$1997,MATCH(B552,SKUs!$C$6:$C$1997,0)),""))</f>
        <v>G</v>
      </c>
      <c r="I552" s="4" t="str">
        <f>IF(B552="","",IFERROR(INDEX(SKUs!#REF!,MATCH(B552,SKUs!$C$6:$C$1997,0)),""))</f>
        <v/>
      </c>
      <c r="J552" s="3">
        <f>IF(B552="","",SUMIFS(SKUs!$I$6:$I$1997,SKUs!$C$6:$C$1997,B552))</f>
        <v>23</v>
      </c>
      <c r="K552" s="4">
        <f t="shared" si="38"/>
        <v>0</v>
      </c>
      <c r="L552" s="3">
        <f>IF(B552="","",COUNTIF(SKUs!$C$6:$C$1997,B552))</f>
        <v>1</v>
      </c>
      <c r="M552" s="29"/>
      <c r="N552" s="29">
        <v>23</v>
      </c>
      <c r="O552" s="29"/>
      <c r="P552" s="29"/>
      <c r="Q552" s="29"/>
      <c r="R552" s="29"/>
      <c r="S552" s="29"/>
      <c r="T552" s="29"/>
      <c r="U552" s="30">
        <f t="shared" si="39"/>
        <v>23</v>
      </c>
      <c r="V552" s="31">
        <f t="shared" si="36"/>
        <v>23</v>
      </c>
    </row>
    <row r="553" spans="1:22" ht="15" hidden="1" customHeight="1" x14ac:dyDescent="0.3">
      <c r="A553" s="25">
        <f t="shared" si="37"/>
        <v>546</v>
      </c>
      <c r="B553" s="26" t="s">
        <v>596</v>
      </c>
      <c r="C553" s="27" t="str">
        <f t="shared" si="35"/>
        <v>Masculino</v>
      </c>
      <c r="D553" s="2" t="str">
        <f>IF(B553="","",IFERROR(INDEX(SKUs!$E$6:$E$1997,MATCH(B553,SKUs!$C$6:$C$1997,0)),""))</f>
        <v>TRICO</v>
      </c>
      <c r="E553" s="28" t="str">
        <f>IF(B553="","",IFERROR(VLOOKUP(D553,Configurações!$N$5:$O$46,2,FALSE()),"OUTROS"))</f>
        <v>VESTUÁRIO</v>
      </c>
      <c r="F553" s="2" t="str">
        <f>IF(B553="","",IFERROR(INDEX(SKUs!$F$6:$F$1997,MATCH(B553,SKUs!$C$6:$C$1997,0)),""))</f>
        <v xml:space="preserve">TRICO MEIO ZIPER </v>
      </c>
      <c r="G553" s="2" t="str">
        <f>IF(B553="","",IFERROR(INDEX(SKUs!$G$6:$G$1997,MATCH(B553,SKUs!$C$6:$C$1997,0)),""))</f>
        <v>PRETO</v>
      </c>
      <c r="H553" s="25" t="str">
        <f>IF(B553="","",IFERROR(INDEX(SKUs!$H$6:$H$1997,MATCH(B553,SKUs!$C$6:$C$1997,0)),""))</f>
        <v>P</v>
      </c>
      <c r="I553" s="4" t="str">
        <f>IF(B553="","",IFERROR(INDEX(SKUs!#REF!,MATCH(B553,SKUs!$C$6:$C$1997,0)),""))</f>
        <v/>
      </c>
      <c r="J553" s="3">
        <f>IF(B553="","",SUMIFS(SKUs!$I$6:$I$1997,SKUs!$C$6:$C$1997,B553))</f>
        <v>22</v>
      </c>
      <c r="K553" s="4">
        <f t="shared" si="38"/>
        <v>0</v>
      </c>
      <c r="L553" s="3">
        <f>IF(B553="","",COUNTIF(SKUs!$C$6:$C$1997,B553))</f>
        <v>1</v>
      </c>
      <c r="M553" s="29"/>
      <c r="N553" s="29">
        <v>22</v>
      </c>
      <c r="O553" s="29"/>
      <c r="P553" s="29"/>
      <c r="Q553" s="29"/>
      <c r="R553" s="29"/>
      <c r="S553" s="29"/>
      <c r="T553" s="29"/>
      <c r="U553" s="30">
        <f t="shared" si="39"/>
        <v>22</v>
      </c>
      <c r="V553" s="31">
        <f t="shared" si="36"/>
        <v>22</v>
      </c>
    </row>
    <row r="554" spans="1:22" ht="15" hidden="1" customHeight="1" x14ac:dyDescent="0.3">
      <c r="A554" s="25">
        <f t="shared" si="37"/>
        <v>547</v>
      </c>
      <c r="B554" s="26" t="s">
        <v>597</v>
      </c>
      <c r="C554" s="27" t="str">
        <f t="shared" si="35"/>
        <v>Masculino</v>
      </c>
      <c r="D554" s="2" t="str">
        <f>IF(B554="","",IFERROR(INDEX(SKUs!$E$6:$E$1997,MATCH(B554,SKUs!$C$6:$C$1997,0)),""))</f>
        <v>JAQUETA</v>
      </c>
      <c r="E554" s="28" t="str">
        <f>IF(B554="","",IFERROR(VLOOKUP(D554,Configurações!$N$5:$O$46,2,FALSE()),"OUTROS"))</f>
        <v>VESTUÁRIO</v>
      </c>
      <c r="F554" s="2" t="str">
        <f>IF(B554="","",IFERROR(INDEX(SKUs!$F$6:$F$1997,MATCH(B554,SKUs!$C$6:$C$1997,0)),""))</f>
        <v>JAQUETA ADVENTURE</v>
      </c>
      <c r="G554" s="2" t="str">
        <f>IF(B554="","",IFERROR(INDEX(SKUs!$G$6:$G$1997,MATCH(B554,SKUs!$C$6:$C$1997,0)),""))</f>
        <v>PRETO</v>
      </c>
      <c r="H554" s="25" t="str">
        <f>IF(B554="","",IFERROR(INDEX(SKUs!$H$6:$H$1997,MATCH(B554,SKUs!$C$6:$C$1997,0)),""))</f>
        <v>M</v>
      </c>
      <c r="I554" s="4" t="str">
        <f>IF(B554="","",IFERROR(INDEX(SKUs!#REF!,MATCH(B554,SKUs!$C$6:$C$1997,0)),""))</f>
        <v/>
      </c>
      <c r="J554" s="3">
        <f>IF(B554="","",SUMIFS(SKUs!$I$6:$I$1997,SKUs!$C$6:$C$1997,B554))</f>
        <v>14</v>
      </c>
      <c r="K554" s="4">
        <f t="shared" si="38"/>
        <v>0</v>
      </c>
      <c r="L554" s="3">
        <f>IF(B554="","",COUNTIF(SKUs!$C$6:$C$1997,B554))</f>
        <v>2</v>
      </c>
      <c r="M554" s="29"/>
      <c r="N554" s="29">
        <v>14</v>
      </c>
      <c r="O554" s="29"/>
      <c r="P554" s="29"/>
      <c r="Q554" s="29"/>
      <c r="R554" s="29"/>
      <c r="S554" s="29"/>
      <c r="T554" s="29"/>
      <c r="U554" s="30">
        <f t="shared" si="39"/>
        <v>14</v>
      </c>
      <c r="V554" s="31">
        <f t="shared" si="36"/>
        <v>14</v>
      </c>
    </row>
    <row r="555" spans="1:22" ht="15" hidden="1" customHeight="1" x14ac:dyDescent="0.3">
      <c r="A555" s="25">
        <f t="shared" si="37"/>
        <v>548</v>
      </c>
      <c r="B555" s="26" t="s">
        <v>598</v>
      </c>
      <c r="C555" s="27" t="str">
        <f t="shared" si="35"/>
        <v>Masculino</v>
      </c>
      <c r="D555" s="2" t="str">
        <f>IF(B555="","",IFERROR(INDEX(SKUs!$E$6:$E$1997,MATCH(B555,SKUs!$C$6:$C$1997,0)),""))</f>
        <v>JAQUETA</v>
      </c>
      <c r="E555" s="28" t="str">
        <f>IF(B555="","",IFERROR(VLOOKUP(D555,Configurações!$N$5:$O$46,2,FALSE()),"OUTROS"))</f>
        <v>VESTUÁRIO</v>
      </c>
      <c r="F555" s="2" t="str">
        <f>IF(B555="","",IFERROR(INDEX(SKUs!$F$6:$F$1997,MATCH(B555,SKUs!$C$6:$C$1997,0)),""))</f>
        <v>JAQUETA ADVENTURE</v>
      </c>
      <c r="G555" s="2" t="str">
        <f>IF(B555="","",IFERROR(INDEX(SKUs!$G$6:$G$1997,MATCH(B555,SKUs!$C$6:$C$1997,0)),""))</f>
        <v>PRETO</v>
      </c>
      <c r="H555" s="25" t="str">
        <f>IF(B555="","",IFERROR(INDEX(SKUs!$H$6:$H$1997,MATCH(B555,SKUs!$C$6:$C$1997,0)),""))</f>
        <v>G</v>
      </c>
      <c r="I555" s="4" t="str">
        <f>IF(B555="","",IFERROR(INDEX(SKUs!#REF!,MATCH(B555,SKUs!$C$6:$C$1997,0)),""))</f>
        <v/>
      </c>
      <c r="J555" s="3">
        <f>IF(B555="","",SUMIFS(SKUs!$I$6:$I$1997,SKUs!$C$6:$C$1997,B555))</f>
        <v>14</v>
      </c>
      <c r="K555" s="4">
        <f t="shared" si="38"/>
        <v>0</v>
      </c>
      <c r="L555" s="3">
        <f>IF(B555="","",COUNTIF(SKUs!$C$6:$C$1997,B555))</f>
        <v>1</v>
      </c>
      <c r="M555" s="29"/>
      <c r="N555" s="29">
        <v>14</v>
      </c>
      <c r="O555" s="29"/>
      <c r="P555" s="29"/>
      <c r="Q555" s="29"/>
      <c r="R555" s="29"/>
      <c r="S555" s="29"/>
      <c r="T555" s="29"/>
      <c r="U555" s="30">
        <f t="shared" si="39"/>
        <v>14</v>
      </c>
      <c r="V555" s="31">
        <f t="shared" si="36"/>
        <v>14</v>
      </c>
    </row>
    <row r="556" spans="1:22" ht="15" hidden="1" customHeight="1" x14ac:dyDescent="0.3">
      <c r="A556" s="25">
        <f t="shared" ref="A556:A587" si="40">IF(B556="","",ROW()-7)</f>
        <v>549</v>
      </c>
      <c r="B556" s="26" t="s">
        <v>599</v>
      </c>
      <c r="C556" s="27" t="str">
        <f t="shared" si="35"/>
        <v>Masculino</v>
      </c>
      <c r="D556" s="2" t="str">
        <f>IF(B556="","",IFERROR(INDEX(SKUs!$E$6:$E$1997,MATCH(B556,SKUs!$C$6:$C$1997,0)),""))</f>
        <v>JAQUETA</v>
      </c>
      <c r="E556" s="28" t="str">
        <f>IF(B556="","",IFERROR(VLOOKUP(D556,Configurações!$N$5:$O$46,2,FALSE()),"OUTROS"))</f>
        <v>VESTUÁRIO</v>
      </c>
      <c r="F556" s="2" t="str">
        <f>IF(B556="","",IFERROR(INDEX(SKUs!$F$6:$F$1997,MATCH(B556,SKUs!$C$6:$C$1997,0)),""))</f>
        <v>JAQUETA ADVENTURE</v>
      </c>
      <c r="G556" s="2" t="str">
        <f>IF(B556="","",IFERROR(INDEX(SKUs!$G$6:$G$1997,MATCH(B556,SKUs!$C$6:$C$1997,0)),""))</f>
        <v>PRETO</v>
      </c>
      <c r="H556" s="25" t="str">
        <f>IF(B556="","",IFERROR(INDEX(SKUs!$H$6:$H$1997,MATCH(B556,SKUs!$C$6:$C$1997,0)),""))</f>
        <v>GG</v>
      </c>
      <c r="I556" s="4" t="str">
        <f>IF(B556="","",IFERROR(INDEX(SKUs!#REF!,MATCH(B556,SKUs!$C$6:$C$1997,0)),""))</f>
        <v/>
      </c>
      <c r="J556" s="3">
        <f>IF(B556="","",SUMIFS(SKUs!$I$6:$I$1997,SKUs!$C$6:$C$1997,B556))</f>
        <v>7</v>
      </c>
      <c r="K556" s="4">
        <f t="shared" ref="K556:K587" si="41">IF(B556="","",IFERROR(I556*J556,0))</f>
        <v>0</v>
      </c>
      <c r="L556" s="3">
        <f>IF(B556="","",COUNTIF(SKUs!$C$6:$C$1997,B556))</f>
        <v>1</v>
      </c>
      <c r="M556" s="29"/>
      <c r="N556" s="29">
        <v>7</v>
      </c>
      <c r="O556" s="29"/>
      <c r="P556" s="29"/>
      <c r="Q556" s="29"/>
      <c r="R556" s="29"/>
      <c r="S556" s="29"/>
      <c r="T556" s="29"/>
      <c r="U556" s="30">
        <f t="shared" ref="U556:U587" si="42">IF(B556="","",SUM(M556:R556))</f>
        <v>7</v>
      </c>
      <c r="V556" s="31">
        <f t="shared" si="36"/>
        <v>7</v>
      </c>
    </row>
    <row r="557" spans="1:22" ht="15" hidden="1" customHeight="1" x14ac:dyDescent="0.3">
      <c r="A557" s="25">
        <f t="shared" si="40"/>
        <v>550</v>
      </c>
      <c r="B557" s="26" t="s">
        <v>600</v>
      </c>
      <c r="C557" s="27" t="str">
        <f t="shared" si="35"/>
        <v>Masculino</v>
      </c>
      <c r="D557" s="2" t="str">
        <f>IF(B557="","",IFERROR(INDEX(SKUs!$E$6:$E$1997,MATCH(B557,SKUs!$C$6:$C$1997,0)),""))</f>
        <v>JAQUETA</v>
      </c>
      <c r="E557" s="28" t="str">
        <f>IF(B557="","",IFERROR(VLOOKUP(D557,Configurações!$N$5:$O$46,2,FALSE()),"OUTROS"))</f>
        <v>VESTUÁRIO</v>
      </c>
      <c r="F557" s="2" t="str">
        <f>IF(B557="","",IFERROR(INDEX(SKUs!$F$6:$F$1997,MATCH(B557,SKUs!$C$6:$C$1997,0)),""))</f>
        <v>JAQUTA ADVENTURE</v>
      </c>
      <c r="G557" s="2" t="str">
        <f>IF(B557="","",IFERROR(INDEX(SKUs!$G$6:$G$1997,MATCH(B557,SKUs!$C$6:$C$1997,0)),""))</f>
        <v>CHUMBO</v>
      </c>
      <c r="H557" s="25" t="str">
        <f>IF(B557="","",IFERROR(INDEX(SKUs!$H$6:$H$1997,MATCH(B557,SKUs!$C$6:$C$1997,0)),""))</f>
        <v>P</v>
      </c>
      <c r="I557" s="4" t="str">
        <f>IF(B557="","",IFERROR(INDEX(SKUs!#REF!,MATCH(B557,SKUs!$C$6:$C$1997,0)),""))</f>
        <v/>
      </c>
      <c r="J557" s="3">
        <f>IF(B557="","",SUMIFS(SKUs!$I$6:$I$1997,SKUs!$C$6:$C$1997,B557))</f>
        <v>7</v>
      </c>
      <c r="K557" s="4">
        <f t="shared" si="41"/>
        <v>0</v>
      </c>
      <c r="L557" s="3">
        <f>IF(B557="","",COUNTIF(SKUs!$C$6:$C$1997,B557))</f>
        <v>1</v>
      </c>
      <c r="M557" s="29"/>
      <c r="N557" s="29">
        <v>7</v>
      </c>
      <c r="O557" s="29"/>
      <c r="P557" s="29"/>
      <c r="Q557" s="29"/>
      <c r="R557" s="29"/>
      <c r="S557" s="29"/>
      <c r="T557" s="29"/>
      <c r="U557" s="30">
        <f t="shared" si="42"/>
        <v>7</v>
      </c>
      <c r="V557" s="31">
        <f t="shared" si="36"/>
        <v>7</v>
      </c>
    </row>
    <row r="558" spans="1:22" ht="15" hidden="1" customHeight="1" x14ac:dyDescent="0.3">
      <c r="A558" s="25">
        <f t="shared" si="40"/>
        <v>551</v>
      </c>
      <c r="B558" s="26" t="s">
        <v>601</v>
      </c>
      <c r="C558" s="27" t="str">
        <f t="shared" si="35"/>
        <v>Masculino</v>
      </c>
      <c r="D558" s="2" t="str">
        <f>IF(B558="","",IFERROR(INDEX(SKUs!$E$6:$E$1997,MATCH(B558,SKUs!$C$6:$C$1997,0)),""))</f>
        <v>JAQUETA</v>
      </c>
      <c r="E558" s="28" t="str">
        <f>IF(B558="","",IFERROR(VLOOKUP(D558,Configurações!$N$5:$O$46,2,FALSE()),"OUTROS"))</f>
        <v>VESTUÁRIO</v>
      </c>
      <c r="F558" s="2" t="str">
        <f>IF(B558="","",IFERROR(INDEX(SKUs!$F$6:$F$1997,MATCH(B558,SKUs!$C$6:$C$1997,0)),""))</f>
        <v>JAQUTA ADVENTURE</v>
      </c>
      <c r="G558" s="2" t="str">
        <f>IF(B558="","",IFERROR(INDEX(SKUs!$G$6:$G$1997,MATCH(B558,SKUs!$C$6:$C$1997,0)),""))</f>
        <v>CHUMBO</v>
      </c>
      <c r="H558" s="25" t="str">
        <f>IF(B558="","",IFERROR(INDEX(SKUs!$H$6:$H$1997,MATCH(B558,SKUs!$C$6:$C$1997,0)),""))</f>
        <v>M</v>
      </c>
      <c r="I558" s="4" t="str">
        <f>IF(B558="","",IFERROR(INDEX(SKUs!#REF!,MATCH(B558,SKUs!$C$6:$C$1997,0)),""))</f>
        <v/>
      </c>
      <c r="J558" s="3">
        <f>IF(B558="","",SUMIFS(SKUs!$I$6:$I$1997,SKUs!$C$6:$C$1997,B558))</f>
        <v>14</v>
      </c>
      <c r="K558" s="4">
        <f t="shared" si="41"/>
        <v>0</v>
      </c>
      <c r="L558" s="3">
        <f>IF(B558="","",COUNTIF(SKUs!$C$6:$C$1997,B558))</f>
        <v>2</v>
      </c>
      <c r="M558" s="29"/>
      <c r="N558" s="29">
        <v>14</v>
      </c>
      <c r="O558" s="29"/>
      <c r="P558" s="29"/>
      <c r="Q558" s="29"/>
      <c r="R558" s="29"/>
      <c r="S558" s="29"/>
      <c r="T558" s="29"/>
      <c r="U558" s="30">
        <f t="shared" si="42"/>
        <v>14</v>
      </c>
      <c r="V558" s="31">
        <f t="shared" si="36"/>
        <v>14</v>
      </c>
    </row>
    <row r="559" spans="1:22" ht="15" hidden="1" customHeight="1" x14ac:dyDescent="0.3">
      <c r="A559" s="25">
        <f t="shared" si="40"/>
        <v>552</v>
      </c>
      <c r="B559" s="26" t="s">
        <v>602</v>
      </c>
      <c r="C559" s="27" t="str">
        <f t="shared" si="35"/>
        <v>Masculino</v>
      </c>
      <c r="D559" s="2" t="str">
        <f>IF(B559="","",IFERROR(INDEX(SKUs!$E$6:$E$1997,MATCH(B559,SKUs!$C$6:$C$1997,0)),""))</f>
        <v>JAQUETA</v>
      </c>
      <c r="E559" s="28" t="str">
        <f>IF(B559="","",IFERROR(VLOOKUP(D559,Configurações!$N$5:$O$46,2,FALSE()),"OUTROS"))</f>
        <v>VESTUÁRIO</v>
      </c>
      <c r="F559" s="2" t="str">
        <f>IF(B559="","",IFERROR(INDEX(SKUs!$F$6:$F$1997,MATCH(B559,SKUs!$C$6:$C$1997,0)),""))</f>
        <v>JAQUETA BOMBER</v>
      </c>
      <c r="G559" s="2" t="str">
        <f>IF(B559="","",IFERROR(INDEX(SKUs!$G$6:$G$1997,MATCH(B559,SKUs!$C$6:$C$1997,0)),""))</f>
        <v>CHUMBO</v>
      </c>
      <c r="H559" s="25" t="str">
        <f>IF(B559="","",IFERROR(INDEX(SKUs!$H$6:$H$1997,MATCH(B559,SKUs!$C$6:$C$1997,0)),""))</f>
        <v>P</v>
      </c>
      <c r="I559" s="4" t="str">
        <f>IF(B559="","",IFERROR(INDEX(SKUs!#REF!,MATCH(B559,SKUs!$C$6:$C$1997,0)),""))</f>
        <v/>
      </c>
      <c r="J559" s="3">
        <f>IF(B559="","",SUMIFS(SKUs!$I$6:$I$1997,SKUs!$C$6:$C$1997,B559))</f>
        <v>8</v>
      </c>
      <c r="K559" s="4">
        <f t="shared" si="41"/>
        <v>0</v>
      </c>
      <c r="L559" s="3">
        <f>IF(B559="","",COUNTIF(SKUs!$C$6:$C$1997,B559))</f>
        <v>1</v>
      </c>
      <c r="M559" s="29"/>
      <c r="N559" s="29">
        <v>8</v>
      </c>
      <c r="O559" s="29"/>
      <c r="P559" s="29"/>
      <c r="Q559" s="29"/>
      <c r="R559" s="29"/>
      <c r="S559" s="29"/>
      <c r="T559" s="29"/>
      <c r="U559" s="30">
        <f t="shared" si="42"/>
        <v>8</v>
      </c>
      <c r="V559" s="31">
        <f t="shared" si="36"/>
        <v>8</v>
      </c>
    </row>
    <row r="560" spans="1:22" ht="15" hidden="1" customHeight="1" x14ac:dyDescent="0.3">
      <c r="A560" s="25">
        <f t="shared" si="40"/>
        <v>553</v>
      </c>
      <c r="B560" s="26" t="s">
        <v>603</v>
      </c>
      <c r="C560" s="27" t="str">
        <f t="shared" si="35"/>
        <v>Masculino</v>
      </c>
      <c r="D560" s="2" t="str">
        <f>IF(B560="","",IFERROR(INDEX(SKUs!$E$6:$E$1997,MATCH(B560,SKUs!$C$6:$C$1997,0)),""))</f>
        <v>JAQUETA</v>
      </c>
      <c r="E560" s="28" t="str">
        <f>IF(B560="","",IFERROR(VLOOKUP(D560,Configurações!$N$5:$O$46,2,FALSE()),"OUTROS"))</f>
        <v>VESTUÁRIO</v>
      </c>
      <c r="F560" s="2" t="str">
        <f>IF(B560="","",IFERROR(INDEX(SKUs!$F$6:$F$1997,MATCH(B560,SKUs!$C$6:$C$1997,0)),""))</f>
        <v>JAQUETA BOMBER</v>
      </c>
      <c r="G560" s="2" t="str">
        <f>IF(B560="","",IFERROR(INDEX(SKUs!$G$6:$G$1997,MATCH(B560,SKUs!$C$6:$C$1997,0)),""))</f>
        <v>CHUMBO</v>
      </c>
      <c r="H560" s="25" t="str">
        <f>IF(B560="","",IFERROR(INDEX(SKUs!$H$6:$H$1997,MATCH(B560,SKUs!$C$6:$C$1997,0)),""))</f>
        <v>M</v>
      </c>
      <c r="I560" s="4" t="str">
        <f>IF(B560="","",IFERROR(INDEX(SKUs!#REF!,MATCH(B560,SKUs!$C$6:$C$1997,0)),""))</f>
        <v/>
      </c>
      <c r="J560" s="3">
        <f>IF(B560="","",SUMIFS(SKUs!$I$6:$I$1997,SKUs!$C$6:$C$1997,B560))</f>
        <v>16</v>
      </c>
      <c r="K560" s="4">
        <f t="shared" si="41"/>
        <v>0</v>
      </c>
      <c r="L560" s="3">
        <f>IF(B560="","",COUNTIF(SKUs!$C$6:$C$1997,B560))</f>
        <v>1</v>
      </c>
      <c r="M560" s="29"/>
      <c r="N560" s="29">
        <v>16</v>
      </c>
      <c r="O560" s="29"/>
      <c r="P560" s="29"/>
      <c r="Q560" s="29"/>
      <c r="R560" s="29"/>
      <c r="S560" s="29"/>
      <c r="T560" s="29"/>
      <c r="U560" s="30">
        <f t="shared" si="42"/>
        <v>16</v>
      </c>
      <c r="V560" s="31">
        <f t="shared" si="36"/>
        <v>16</v>
      </c>
    </row>
    <row r="561" spans="1:22" ht="15" hidden="1" customHeight="1" x14ac:dyDescent="0.3">
      <c r="A561" s="25">
        <f t="shared" si="40"/>
        <v>554</v>
      </c>
      <c r="B561" s="26" t="s">
        <v>604</v>
      </c>
      <c r="C561" s="27" t="str">
        <f t="shared" si="35"/>
        <v>Masculino</v>
      </c>
      <c r="D561" s="2" t="str">
        <f>IF(B561="","",IFERROR(INDEX(SKUs!$E$6:$E$1997,MATCH(B561,SKUs!$C$6:$C$1997,0)),""))</f>
        <v>JAQUETA</v>
      </c>
      <c r="E561" s="28" t="str">
        <f>IF(B561="","",IFERROR(VLOOKUP(D561,Configurações!$N$5:$O$46,2,FALSE()),"OUTROS"))</f>
        <v>VESTUÁRIO</v>
      </c>
      <c r="F561" s="2" t="str">
        <f>IF(B561="","",IFERROR(INDEX(SKUs!$F$6:$F$1997,MATCH(B561,SKUs!$C$6:$C$1997,0)),""))</f>
        <v>JAQUETA BOMBER</v>
      </c>
      <c r="G561" s="2" t="str">
        <f>IF(B561="","",IFERROR(INDEX(SKUs!$G$6:$G$1997,MATCH(B561,SKUs!$C$6:$C$1997,0)),""))</f>
        <v>CHUMBO</v>
      </c>
      <c r="H561" s="25" t="str">
        <f>IF(B561="","",IFERROR(INDEX(SKUs!$H$6:$H$1997,MATCH(B561,SKUs!$C$6:$C$1997,0)),""))</f>
        <v>G</v>
      </c>
      <c r="I561" s="4" t="str">
        <f>IF(B561="","",IFERROR(INDEX(SKUs!#REF!,MATCH(B561,SKUs!$C$6:$C$1997,0)),""))</f>
        <v/>
      </c>
      <c r="J561" s="3">
        <f>IF(B561="","",SUMIFS(SKUs!$I$6:$I$1997,SKUs!$C$6:$C$1997,B561))</f>
        <v>16</v>
      </c>
      <c r="K561" s="4">
        <f t="shared" si="41"/>
        <v>0</v>
      </c>
      <c r="L561" s="3">
        <f>IF(B561="","",COUNTIF(SKUs!$C$6:$C$1997,B561))</f>
        <v>1</v>
      </c>
      <c r="M561" s="29"/>
      <c r="N561" s="29">
        <v>16</v>
      </c>
      <c r="O561" s="29"/>
      <c r="P561" s="29"/>
      <c r="Q561" s="29"/>
      <c r="R561" s="29"/>
      <c r="S561" s="29"/>
      <c r="T561" s="29"/>
      <c r="U561" s="30">
        <f t="shared" si="42"/>
        <v>16</v>
      </c>
      <c r="V561" s="31">
        <f t="shared" si="36"/>
        <v>16</v>
      </c>
    </row>
    <row r="562" spans="1:22" ht="15" hidden="1" customHeight="1" x14ac:dyDescent="0.3">
      <c r="A562" s="25">
        <f t="shared" si="40"/>
        <v>555</v>
      </c>
      <c r="B562" s="26" t="s">
        <v>605</v>
      </c>
      <c r="C562" s="27" t="str">
        <f t="shared" si="35"/>
        <v>Masculino</v>
      </c>
      <c r="D562" s="2" t="str">
        <f>IF(B562="","",IFERROR(INDEX(SKUs!$E$6:$E$1997,MATCH(B562,SKUs!$C$6:$C$1997,0)),""))</f>
        <v>JAQUETA</v>
      </c>
      <c r="E562" s="28" t="str">
        <f>IF(B562="","",IFERROR(VLOOKUP(D562,Configurações!$N$5:$O$46,2,FALSE()),"OUTROS"))</f>
        <v>VESTUÁRIO</v>
      </c>
      <c r="F562" s="2" t="str">
        <f>IF(B562="","",IFERROR(INDEX(SKUs!$F$6:$F$1997,MATCH(B562,SKUs!$C$6:$C$1997,0)),""))</f>
        <v>JAQUETA PUFFER CAPUZ</v>
      </c>
      <c r="G562" s="2" t="str">
        <f>IF(B562="","",IFERROR(INDEX(SKUs!$G$6:$G$1997,MATCH(B562,SKUs!$C$6:$C$1997,0)),""))</f>
        <v>PRETO</v>
      </c>
      <c r="H562" s="25" t="str">
        <f>IF(B562="","",IFERROR(INDEX(SKUs!$H$6:$H$1997,MATCH(B562,SKUs!$C$6:$C$1997,0)),""))</f>
        <v>M</v>
      </c>
      <c r="I562" s="4" t="str">
        <f>IF(B562="","",IFERROR(INDEX(SKUs!#REF!,MATCH(B562,SKUs!$C$6:$C$1997,0)),""))</f>
        <v/>
      </c>
      <c r="J562" s="3">
        <f>IF(B562="","",SUMIFS(SKUs!$I$6:$I$1997,SKUs!$C$6:$C$1997,B562))</f>
        <v>28</v>
      </c>
      <c r="K562" s="4">
        <f t="shared" si="41"/>
        <v>0</v>
      </c>
      <c r="L562" s="3">
        <f>IF(B562="","",COUNTIF(SKUs!$C$6:$C$1997,B562))</f>
        <v>2</v>
      </c>
      <c r="M562" s="29"/>
      <c r="N562" s="29">
        <v>28</v>
      </c>
      <c r="O562" s="29"/>
      <c r="P562" s="29"/>
      <c r="Q562" s="29"/>
      <c r="R562" s="29"/>
      <c r="S562" s="29"/>
      <c r="T562" s="29"/>
      <c r="U562" s="30">
        <f t="shared" si="42"/>
        <v>28</v>
      </c>
      <c r="V562" s="31">
        <f t="shared" si="36"/>
        <v>28</v>
      </c>
    </row>
    <row r="563" spans="1:22" ht="15" hidden="1" customHeight="1" x14ac:dyDescent="0.3">
      <c r="A563" s="25">
        <f t="shared" si="40"/>
        <v>556</v>
      </c>
      <c r="B563" s="26" t="s">
        <v>606</v>
      </c>
      <c r="C563" s="27" t="str">
        <f t="shared" si="35"/>
        <v>Masculino</v>
      </c>
      <c r="D563" s="2" t="str">
        <f>IF(B563="","",IFERROR(INDEX(SKUs!$E$6:$E$1997,MATCH(B563,SKUs!$C$6:$C$1997,0)),""))</f>
        <v>JAQUETA</v>
      </c>
      <c r="E563" s="28" t="str">
        <f>IF(B563="","",IFERROR(VLOOKUP(D563,Configurações!$N$5:$O$46,2,FALSE()),"OUTROS"))</f>
        <v>VESTUÁRIO</v>
      </c>
      <c r="F563" s="2" t="str">
        <f>IF(B563="","",IFERROR(INDEX(SKUs!$F$6:$F$1997,MATCH(B563,SKUs!$C$6:$C$1997,0)),""))</f>
        <v>JAQUETA PUFFER CAPUZ</v>
      </c>
      <c r="G563" s="2" t="str">
        <f>IF(B563="","",IFERROR(INDEX(SKUs!$G$6:$G$1997,MATCH(B563,SKUs!$C$6:$C$1997,0)),""))</f>
        <v>AZUL</v>
      </c>
      <c r="H563" s="25" t="str">
        <f>IF(B563="","",IFERROR(INDEX(SKUs!$H$6:$H$1997,MATCH(B563,SKUs!$C$6:$C$1997,0)),""))</f>
        <v>G</v>
      </c>
      <c r="I563" s="4" t="str">
        <f>IF(B563="","",IFERROR(INDEX(SKUs!#REF!,MATCH(B563,SKUs!$C$6:$C$1997,0)),""))</f>
        <v/>
      </c>
      <c r="J563" s="3">
        <f>IF(B563="","",SUMIFS(SKUs!$I$6:$I$1997,SKUs!$C$6:$C$1997,B563))</f>
        <v>10</v>
      </c>
      <c r="K563" s="4">
        <f t="shared" si="41"/>
        <v>0</v>
      </c>
      <c r="L563" s="3">
        <f>IF(B563="","",COUNTIF(SKUs!$C$6:$C$1997,B563))</f>
        <v>1</v>
      </c>
      <c r="M563" s="29"/>
      <c r="N563" s="29">
        <v>28</v>
      </c>
      <c r="O563" s="29"/>
      <c r="P563" s="29"/>
      <c r="Q563" s="29"/>
      <c r="R563" s="29"/>
      <c r="S563" s="29"/>
      <c r="T563" s="29"/>
      <c r="U563" s="30">
        <f t="shared" si="42"/>
        <v>28</v>
      </c>
      <c r="V563" s="31">
        <f t="shared" si="36"/>
        <v>10</v>
      </c>
    </row>
    <row r="564" spans="1:22" ht="15" hidden="1" customHeight="1" x14ac:dyDescent="0.3">
      <c r="A564" s="25">
        <f t="shared" si="40"/>
        <v>557</v>
      </c>
      <c r="B564" s="26" t="s">
        <v>607</v>
      </c>
      <c r="C564" s="27" t="str">
        <f t="shared" si="35"/>
        <v>Masculino</v>
      </c>
      <c r="D564" s="2" t="str">
        <f>IF(B564="","",IFERROR(INDEX(SKUs!$E$6:$E$1997,MATCH(B564,SKUs!$C$6:$C$1997,0)),""))</f>
        <v>JAQUETA</v>
      </c>
      <c r="E564" s="28" t="str">
        <f>IF(B564="","",IFERROR(VLOOKUP(D564,Configurações!$N$5:$O$46,2,FALSE()),"OUTROS"))</f>
        <v>VESTUÁRIO</v>
      </c>
      <c r="F564" s="2" t="str">
        <f>IF(B564="","",IFERROR(INDEX(SKUs!$F$6:$F$1997,MATCH(B564,SKUs!$C$6:$C$1997,0)),""))</f>
        <v>JAQUETA PUFFER CAPUZ</v>
      </c>
      <c r="G564" s="2" t="str">
        <f>IF(B564="","",IFERROR(INDEX(SKUs!$G$6:$G$1997,MATCH(B564,SKUs!$C$6:$C$1997,0)),""))</f>
        <v>AZUL</v>
      </c>
      <c r="H564" s="25" t="str">
        <f>IF(B564="","",IFERROR(INDEX(SKUs!$H$6:$H$1997,MATCH(B564,SKUs!$C$6:$C$1997,0)),""))</f>
        <v>P</v>
      </c>
      <c r="I564" s="4" t="str">
        <f>IF(B564="","",IFERROR(INDEX(SKUs!#REF!,MATCH(B564,SKUs!$C$6:$C$1997,0)),""))</f>
        <v/>
      </c>
      <c r="J564" s="3">
        <f>IF(B564="","",SUMIFS(SKUs!$I$6:$I$1997,SKUs!$C$6:$C$1997,B564))</f>
        <v>4</v>
      </c>
      <c r="K564" s="4">
        <f t="shared" si="41"/>
        <v>0</v>
      </c>
      <c r="L564" s="3">
        <f>IF(B564="","",COUNTIF(SKUs!$C$6:$C$1997,B564))</f>
        <v>1</v>
      </c>
      <c r="M564" s="29"/>
      <c r="N564" s="29">
        <v>10</v>
      </c>
      <c r="O564" s="29"/>
      <c r="P564" s="29"/>
      <c r="Q564" s="29"/>
      <c r="R564" s="29"/>
      <c r="S564" s="29"/>
      <c r="T564" s="29"/>
      <c r="U564" s="30">
        <f t="shared" si="42"/>
        <v>10</v>
      </c>
      <c r="V564" s="31">
        <f t="shared" si="36"/>
        <v>4</v>
      </c>
    </row>
    <row r="565" spans="1:22" ht="15" hidden="1" customHeight="1" x14ac:dyDescent="0.3">
      <c r="A565" s="25">
        <f t="shared" si="40"/>
        <v>558</v>
      </c>
      <c r="B565" s="26" t="s">
        <v>608</v>
      </c>
      <c r="C565" s="27" t="str">
        <f t="shared" si="35"/>
        <v>Masculino</v>
      </c>
      <c r="D565" s="2" t="str">
        <f>IF(B565="","",IFERROR(INDEX(SKUs!$E$6:$E$1997,MATCH(B565,SKUs!$C$6:$C$1997,0)),""))</f>
        <v>JAQUETA</v>
      </c>
      <c r="E565" s="28" t="str">
        <f>IF(B565="","",IFERROR(VLOOKUP(D565,Configurações!$N$5:$O$46,2,FALSE()),"OUTROS"))</f>
        <v>VESTUÁRIO</v>
      </c>
      <c r="F565" s="2" t="str">
        <f>IF(B565="","",IFERROR(INDEX(SKUs!$F$6:$F$1997,MATCH(B565,SKUs!$C$6:$C$1997,0)),""))</f>
        <v>JAQUETA PUFFER CAPUZ</v>
      </c>
      <c r="G565" s="2" t="str">
        <f>IF(B565="","",IFERROR(INDEX(SKUs!$G$6:$G$1997,MATCH(B565,SKUs!$C$6:$C$1997,0)),""))</f>
        <v>AZUL</v>
      </c>
      <c r="H565" s="25" t="str">
        <f>IF(B565="","",IFERROR(INDEX(SKUs!$H$6:$H$1997,MATCH(B565,SKUs!$C$6:$C$1997,0)),""))</f>
        <v>M</v>
      </c>
      <c r="I565" s="4" t="str">
        <f>IF(B565="","",IFERROR(INDEX(SKUs!#REF!,MATCH(B565,SKUs!$C$6:$C$1997,0)),""))</f>
        <v/>
      </c>
      <c r="J565" s="3">
        <f>IF(B565="","",SUMIFS(SKUs!$I$6:$I$1997,SKUs!$C$6:$C$1997,B565))</f>
        <v>10</v>
      </c>
      <c r="K565" s="4">
        <f t="shared" si="41"/>
        <v>0</v>
      </c>
      <c r="L565" s="3">
        <f>IF(B565="","",COUNTIF(SKUs!$C$6:$C$1997,B565))</f>
        <v>1</v>
      </c>
      <c r="M565" s="29"/>
      <c r="N565" s="29">
        <v>28</v>
      </c>
      <c r="O565" s="29"/>
      <c r="P565" s="29"/>
      <c r="Q565" s="29"/>
      <c r="R565" s="29"/>
      <c r="S565" s="29"/>
      <c r="T565" s="29"/>
      <c r="U565" s="30">
        <f t="shared" si="42"/>
        <v>28</v>
      </c>
      <c r="V565" s="31">
        <f t="shared" si="36"/>
        <v>10</v>
      </c>
    </row>
    <row r="566" spans="1:22" ht="15" hidden="1" customHeight="1" x14ac:dyDescent="0.3">
      <c r="A566" s="25">
        <f t="shared" si="40"/>
        <v>559</v>
      </c>
      <c r="B566" s="26" t="s">
        <v>609</v>
      </c>
      <c r="C566" s="27" t="str">
        <f t="shared" si="35"/>
        <v>Masculino</v>
      </c>
      <c r="D566" s="2" t="str">
        <f>IF(B566="","",IFERROR(INDEX(SKUs!$E$6:$E$1997,MATCH(B566,SKUs!$C$6:$C$1997,0)),""))</f>
        <v>JAQUETA</v>
      </c>
      <c r="E566" s="28" t="str">
        <f>IF(B566="","",IFERROR(VLOOKUP(D566,Configurações!$N$5:$O$46,2,FALSE()),"OUTROS"))</f>
        <v>VESTUÁRIO</v>
      </c>
      <c r="F566" s="2" t="str">
        <f>IF(B566="","",IFERROR(INDEX(SKUs!$F$6:$F$1997,MATCH(B566,SKUs!$C$6:$C$1997,0)),""))</f>
        <v>JAQUETA ADVENTURE</v>
      </c>
      <c r="G566" s="2" t="str">
        <f>IF(B566="","",IFERROR(INDEX(SKUs!$G$6:$G$1997,MATCH(B566,SKUs!$C$6:$C$1997,0)),""))</f>
        <v>PRETO</v>
      </c>
      <c r="H566" s="25" t="str">
        <f>IF(B566="","",IFERROR(INDEX(SKUs!$H$6:$H$1997,MATCH(B566,SKUs!$C$6:$C$1997,0)),""))</f>
        <v>P</v>
      </c>
      <c r="I566" s="4" t="str">
        <f>IF(B566="","",IFERROR(INDEX(SKUs!#REF!,MATCH(B566,SKUs!$C$6:$C$1997,0)),""))</f>
        <v/>
      </c>
      <c r="J566" s="3">
        <f>IF(B566="","",SUMIFS(SKUs!$I$6:$I$1997,SKUs!$C$6:$C$1997,B566))</f>
        <v>7</v>
      </c>
      <c r="K566" s="4">
        <f t="shared" si="41"/>
        <v>0</v>
      </c>
      <c r="L566" s="3">
        <f>IF(B566="","",COUNTIF(SKUs!$C$6:$C$1997,B566))</f>
        <v>1</v>
      </c>
      <c r="M566" s="29"/>
      <c r="N566" s="29">
        <v>7</v>
      </c>
      <c r="O566" s="29"/>
      <c r="P566" s="29"/>
      <c r="Q566" s="29"/>
      <c r="R566" s="29"/>
      <c r="S566" s="29"/>
      <c r="T566" s="29"/>
      <c r="U566" s="30">
        <f t="shared" si="42"/>
        <v>7</v>
      </c>
      <c r="V566" s="31">
        <f t="shared" si="36"/>
        <v>7</v>
      </c>
    </row>
    <row r="567" spans="1:22" ht="15" hidden="1" customHeight="1" x14ac:dyDescent="0.3">
      <c r="A567" s="25">
        <f t="shared" si="40"/>
        <v>560</v>
      </c>
      <c r="B567" s="26" t="s">
        <v>610</v>
      </c>
      <c r="C567" s="27" t="str">
        <f t="shared" si="35"/>
        <v>Masculino</v>
      </c>
      <c r="D567" s="2" t="str">
        <f>IF(B567="","",IFERROR(INDEX(SKUs!$E$6:$E$1997,MATCH(B567,SKUs!$C$6:$C$1997,0)),""))</f>
        <v>TRICO</v>
      </c>
      <c r="E567" s="28" t="str">
        <f>IF(B567="","",IFERROR(VLOOKUP(D567,Configurações!$N$5:$O$46,2,FALSE()),"OUTROS"))</f>
        <v>VESTUÁRIO</v>
      </c>
      <c r="F567" s="2" t="str">
        <f>IF(B567="","",IFERROR(INDEX(SKUs!$F$6:$F$1997,MATCH(B567,SKUs!$C$6:$C$1997,0)),""))</f>
        <v>TRICO MEIO ZIPER</v>
      </c>
      <c r="G567" s="2" t="str">
        <f>IF(B567="","",IFERROR(INDEX(SKUs!$G$6:$G$1997,MATCH(B567,SKUs!$C$6:$C$1997,0)),""))</f>
        <v>CINZA</v>
      </c>
      <c r="H567" s="25" t="str">
        <f>IF(B567="","",IFERROR(INDEX(SKUs!$H$6:$H$1997,MATCH(B567,SKUs!$C$6:$C$1997,0)),""))</f>
        <v>P</v>
      </c>
      <c r="I567" s="4" t="str">
        <f>IF(B567="","",IFERROR(INDEX(SKUs!#REF!,MATCH(B567,SKUs!$C$6:$C$1997,0)),""))</f>
        <v/>
      </c>
      <c r="J567" s="3">
        <f>IF(B567="","",SUMIFS(SKUs!$I$6:$I$1997,SKUs!$C$6:$C$1997,B567))</f>
        <v>11</v>
      </c>
      <c r="K567" s="4">
        <f t="shared" si="41"/>
        <v>0</v>
      </c>
      <c r="L567" s="3">
        <f>IF(B567="","",COUNTIF(SKUs!$C$6:$C$1997,B567))</f>
        <v>1</v>
      </c>
      <c r="M567" s="29"/>
      <c r="N567" s="29">
        <v>11</v>
      </c>
      <c r="O567" s="29"/>
      <c r="P567" s="29"/>
      <c r="Q567" s="29"/>
      <c r="R567" s="29"/>
      <c r="S567" s="29"/>
      <c r="T567" s="29"/>
      <c r="U567" s="30">
        <f t="shared" si="42"/>
        <v>11</v>
      </c>
      <c r="V567" s="31">
        <f t="shared" si="36"/>
        <v>11</v>
      </c>
    </row>
    <row r="568" spans="1:22" ht="15" hidden="1" customHeight="1" x14ac:dyDescent="0.3">
      <c r="A568" s="25">
        <f t="shared" si="40"/>
        <v>561</v>
      </c>
      <c r="B568" s="26" t="s">
        <v>611</v>
      </c>
      <c r="C568" s="27" t="str">
        <f t="shared" si="35"/>
        <v>Masculino</v>
      </c>
      <c r="D568" s="2" t="str">
        <f>IF(B568="","",IFERROR(INDEX(SKUs!$E$6:$E$1997,MATCH(B568,SKUs!$C$6:$C$1997,0)),""))</f>
        <v>TRICO</v>
      </c>
      <c r="E568" s="28" t="str">
        <f>IF(B568="","",IFERROR(VLOOKUP(D568,Configurações!$N$5:$O$46,2,FALSE()),"OUTROS"))</f>
        <v>VESTUÁRIO</v>
      </c>
      <c r="F568" s="2" t="str">
        <f>IF(B568="","",IFERROR(INDEX(SKUs!$F$6:$F$1997,MATCH(B568,SKUs!$C$6:$C$1997,0)),""))</f>
        <v>TRICO MEIO ZIPER</v>
      </c>
      <c r="G568" s="2" t="str">
        <f>IF(B568="","",IFERROR(INDEX(SKUs!$G$6:$G$1997,MATCH(B568,SKUs!$C$6:$C$1997,0)),""))</f>
        <v>CINZA</v>
      </c>
      <c r="H568" s="25" t="str">
        <f>IF(B568="","",IFERROR(INDEX(SKUs!$H$6:$H$1997,MATCH(B568,SKUs!$C$6:$C$1997,0)),""))</f>
        <v>GG</v>
      </c>
      <c r="I568" s="4" t="str">
        <f>IF(B568="","",IFERROR(INDEX(SKUs!#REF!,MATCH(B568,SKUs!$C$6:$C$1997,0)),""))</f>
        <v/>
      </c>
      <c r="J568" s="3">
        <f>IF(B568="","",SUMIFS(SKUs!$I$6:$I$1997,SKUs!$C$6:$C$1997,B568))</f>
        <v>11</v>
      </c>
      <c r="K568" s="4">
        <f t="shared" si="41"/>
        <v>0</v>
      </c>
      <c r="L568" s="3">
        <f>IF(B568="","",COUNTIF(SKUs!$C$6:$C$1997,B568))</f>
        <v>1</v>
      </c>
      <c r="M568" s="29"/>
      <c r="N568" s="29">
        <v>11</v>
      </c>
      <c r="O568" s="29"/>
      <c r="P568" s="29"/>
      <c r="Q568" s="29"/>
      <c r="R568" s="29"/>
      <c r="S568" s="29"/>
      <c r="T568" s="29"/>
      <c r="U568" s="30">
        <f t="shared" si="42"/>
        <v>11</v>
      </c>
      <c r="V568" s="31">
        <f t="shared" si="36"/>
        <v>11</v>
      </c>
    </row>
    <row r="569" spans="1:22" ht="15" hidden="1" customHeight="1" x14ac:dyDescent="0.3">
      <c r="A569" s="25">
        <f t="shared" si="40"/>
        <v>562</v>
      </c>
      <c r="B569" s="26" t="s">
        <v>612</v>
      </c>
      <c r="C569" s="27" t="str">
        <f t="shared" si="35"/>
        <v>Masculino</v>
      </c>
      <c r="D569" s="2" t="str">
        <f>IF(B569="","",IFERROR(INDEX(SKUs!$E$6:$E$1997,MATCH(B569,SKUs!$C$6:$C$1997,0)),""))</f>
        <v>JAQUETA</v>
      </c>
      <c r="E569" s="28" t="str">
        <f>IF(B569="","",IFERROR(VLOOKUP(D569,Configurações!$N$5:$O$46,2,FALSE()),"OUTROS"))</f>
        <v>VESTUÁRIO</v>
      </c>
      <c r="F569" s="2" t="str">
        <f>IF(B569="","",IFERROR(INDEX(SKUs!$F$6:$F$1997,MATCH(B569,SKUs!$C$6:$C$1997,0)),""))</f>
        <v>JAQUETA BOMBER</v>
      </c>
      <c r="G569" s="2" t="str">
        <f>IF(B569="","",IFERROR(INDEX(SKUs!$G$6:$G$1997,MATCH(B569,SKUs!$C$6:$C$1997,0)),""))</f>
        <v>MARINHO</v>
      </c>
      <c r="H569" s="25" t="str">
        <f>IF(B569="","",IFERROR(INDEX(SKUs!$H$6:$H$1997,MATCH(B569,SKUs!$C$6:$C$1997,0)),""))</f>
        <v>G</v>
      </c>
      <c r="I569" s="4" t="str">
        <f>IF(B569="","",IFERROR(INDEX(SKUs!#REF!,MATCH(B569,SKUs!$C$6:$C$1997,0)),""))</f>
        <v/>
      </c>
      <c r="J569" s="3">
        <f>IF(B569="","",SUMIFS(SKUs!$I$6:$I$1997,SKUs!$C$6:$C$1997,B569))</f>
        <v>12</v>
      </c>
      <c r="K569" s="4">
        <f t="shared" si="41"/>
        <v>0</v>
      </c>
      <c r="L569" s="3">
        <f>IF(B569="","",COUNTIF(SKUs!$C$6:$C$1997,B569))</f>
        <v>1</v>
      </c>
      <c r="M569" s="29"/>
      <c r="N569" s="29">
        <v>16</v>
      </c>
      <c r="O569" s="29"/>
      <c r="P569" s="29"/>
      <c r="Q569" s="29"/>
      <c r="R569" s="29"/>
      <c r="S569" s="29"/>
      <c r="T569" s="29"/>
      <c r="U569" s="30">
        <f t="shared" si="42"/>
        <v>16</v>
      </c>
      <c r="V569" s="31">
        <f t="shared" si="36"/>
        <v>12</v>
      </c>
    </row>
    <row r="570" spans="1:22" ht="15" hidden="1" customHeight="1" x14ac:dyDescent="0.3">
      <c r="A570" s="25">
        <f t="shared" si="40"/>
        <v>563</v>
      </c>
      <c r="B570" s="26" t="s">
        <v>613</v>
      </c>
      <c r="C570" s="27" t="str">
        <f t="shared" si="35"/>
        <v>Masculino</v>
      </c>
      <c r="D570" s="2" t="str">
        <f>IF(B570="","",IFERROR(INDEX(SKUs!$E$6:$E$1997,MATCH(B570,SKUs!$C$6:$C$1997,0)),""))</f>
        <v>JAQUETA</v>
      </c>
      <c r="E570" s="28" t="str">
        <f>IF(B570="","",IFERROR(VLOOKUP(D570,Configurações!$N$5:$O$46,2,FALSE()),"OUTROS"))</f>
        <v>VESTUÁRIO</v>
      </c>
      <c r="F570" s="2" t="str">
        <f>IF(B570="","",IFERROR(INDEX(SKUs!$F$6:$F$1997,MATCH(B570,SKUs!$C$6:$C$1997,0)),""))</f>
        <v>JAQUETA BOMBER</v>
      </c>
      <c r="G570" s="2" t="str">
        <f>IF(B570="","",IFERROR(INDEX(SKUs!$G$6:$G$1997,MATCH(B570,SKUs!$C$6:$C$1997,0)),""))</f>
        <v>MARINHO</v>
      </c>
      <c r="H570" s="25" t="str">
        <f>IF(B570="","",IFERROR(INDEX(SKUs!$H$6:$H$1997,MATCH(B570,SKUs!$C$6:$C$1997,0)),""))</f>
        <v>GG</v>
      </c>
      <c r="I570" s="4" t="str">
        <f>IF(B570="","",IFERROR(INDEX(SKUs!#REF!,MATCH(B570,SKUs!$C$6:$C$1997,0)),""))</f>
        <v/>
      </c>
      <c r="J570" s="3">
        <f>IF(B570="","",SUMIFS(SKUs!$I$6:$I$1997,SKUs!$C$6:$C$1997,B570))</f>
        <v>8</v>
      </c>
      <c r="K570" s="4">
        <f t="shared" si="41"/>
        <v>0</v>
      </c>
      <c r="L570" s="3">
        <f>IF(B570="","",COUNTIF(SKUs!$C$6:$C$1997,B570))</f>
        <v>1</v>
      </c>
      <c r="M570" s="29"/>
      <c r="N570" s="29">
        <v>8</v>
      </c>
      <c r="O570" s="29"/>
      <c r="P570" s="29"/>
      <c r="Q570" s="29"/>
      <c r="R570" s="29"/>
      <c r="S570" s="29"/>
      <c r="T570" s="29"/>
      <c r="U570" s="30">
        <f t="shared" si="42"/>
        <v>8</v>
      </c>
      <c r="V570" s="31">
        <f t="shared" si="36"/>
        <v>8</v>
      </c>
    </row>
    <row r="571" spans="1:22" ht="15" hidden="1" customHeight="1" x14ac:dyDescent="0.3">
      <c r="A571" s="25">
        <f t="shared" si="40"/>
        <v>564</v>
      </c>
      <c r="B571" s="26" t="s">
        <v>614</v>
      </c>
      <c r="C571" s="27" t="str">
        <f t="shared" si="35"/>
        <v>Masculino</v>
      </c>
      <c r="D571" s="2" t="str">
        <f>IF(B571="","",IFERROR(INDEX(SKUs!$E$6:$E$1997,MATCH(B571,SKUs!$C$6:$C$1997,0)),""))</f>
        <v/>
      </c>
      <c r="E571" s="28" t="str">
        <f>IF(B571="","",IFERROR(VLOOKUP(D571,Configurações!$N$5:$O$46,2,FALSE()),"OUTROS"))</f>
        <v>OUTROS</v>
      </c>
      <c r="F571" s="2" t="str">
        <f>IF(B571="","",IFERROR(INDEX(SKUs!$F$6:$F$1997,MATCH(B571,SKUs!$C$6:$C$1997,0)),""))</f>
        <v/>
      </c>
      <c r="G571" s="2" t="str">
        <f>IF(B571="","",IFERROR(INDEX(SKUs!$G$6:$G$1997,MATCH(B571,SKUs!$C$6:$C$1997,0)),""))</f>
        <v/>
      </c>
      <c r="H571" s="25" t="str">
        <f>IF(B571="","",IFERROR(INDEX(SKUs!$H$6:$H$1997,MATCH(B571,SKUs!$C$6:$C$1997,0)),""))</f>
        <v/>
      </c>
      <c r="I571" s="4" t="str">
        <f>IF(B571="","",IFERROR(INDEX(SKUs!#REF!,MATCH(B571,SKUs!$C$6:$C$1997,0)),""))</f>
        <v/>
      </c>
      <c r="J571" s="3">
        <f>IF(B571="","",SUMIFS(SKUs!$I$6:$I$1997,SKUs!$C$6:$C$1997,B571))</f>
        <v>0</v>
      </c>
      <c r="K571" s="4">
        <f t="shared" si="41"/>
        <v>0</v>
      </c>
      <c r="L571" s="3">
        <f>IF(B571="","",COUNTIF(SKUs!$C$6:$C$1997,B571))</f>
        <v>0</v>
      </c>
      <c r="M571" s="29"/>
      <c r="N571" s="29">
        <v>24</v>
      </c>
      <c r="O571" s="29"/>
      <c r="P571" s="29"/>
      <c r="Q571" s="29"/>
      <c r="R571" s="29"/>
      <c r="S571" s="29"/>
      <c r="T571" s="29"/>
      <c r="U571" s="30">
        <f t="shared" si="42"/>
        <v>24</v>
      </c>
      <c r="V571" s="31">
        <f t="shared" si="36"/>
        <v>0</v>
      </c>
    </row>
    <row r="572" spans="1:22" ht="15" hidden="1" customHeight="1" x14ac:dyDescent="0.3">
      <c r="A572" s="25">
        <f t="shared" si="40"/>
        <v>565</v>
      </c>
      <c r="B572" s="26" t="s">
        <v>615</v>
      </c>
      <c r="C572" s="27" t="str">
        <f t="shared" si="35"/>
        <v>Masculino</v>
      </c>
      <c r="D572" s="2" t="str">
        <f>IF(B572="","",IFERROR(INDEX(SKUs!$E$6:$E$1997,MATCH(B572,SKUs!$C$6:$C$1997,0)),""))</f>
        <v/>
      </c>
      <c r="E572" s="28" t="str">
        <f>IF(B572="","",IFERROR(VLOOKUP(D572,Configurações!$N$5:$O$46,2,FALSE()),"OUTROS"))</f>
        <v>OUTROS</v>
      </c>
      <c r="F572" s="2" t="str">
        <f>IF(B572="","",IFERROR(INDEX(SKUs!$F$6:$F$1997,MATCH(B572,SKUs!$C$6:$C$1997,0)),""))</f>
        <v/>
      </c>
      <c r="G572" s="2" t="str">
        <f>IF(B572="","",IFERROR(INDEX(SKUs!$G$6:$G$1997,MATCH(B572,SKUs!$C$6:$C$1997,0)),""))</f>
        <v/>
      </c>
      <c r="H572" s="25" t="str">
        <f>IF(B572="","",IFERROR(INDEX(SKUs!$H$6:$H$1997,MATCH(B572,SKUs!$C$6:$C$1997,0)),""))</f>
        <v/>
      </c>
      <c r="I572" s="4" t="str">
        <f>IF(B572="","",IFERROR(INDEX(SKUs!#REF!,MATCH(B572,SKUs!$C$6:$C$1997,0)),""))</f>
        <v/>
      </c>
      <c r="J572" s="3">
        <f>IF(B572="","",SUMIFS(SKUs!$I$6:$I$1997,SKUs!$C$6:$C$1997,B572))</f>
        <v>0</v>
      </c>
      <c r="K572" s="4">
        <f t="shared" si="41"/>
        <v>0</v>
      </c>
      <c r="L572" s="3">
        <f>IF(B572="","",COUNTIF(SKUs!$C$6:$C$1997,B572))</f>
        <v>0</v>
      </c>
      <c r="M572" s="29"/>
      <c r="N572" s="29">
        <v>12</v>
      </c>
      <c r="O572" s="29"/>
      <c r="P572" s="29"/>
      <c r="Q572" s="29"/>
      <c r="R572" s="29"/>
      <c r="S572" s="29"/>
      <c r="T572" s="29"/>
      <c r="U572" s="30">
        <f t="shared" si="42"/>
        <v>12</v>
      </c>
      <c r="V572" s="31">
        <f t="shared" si="36"/>
        <v>0</v>
      </c>
    </row>
    <row r="573" spans="1:22" ht="15" hidden="1" customHeight="1" x14ac:dyDescent="0.3">
      <c r="A573" s="25">
        <f t="shared" si="40"/>
        <v>566</v>
      </c>
      <c r="B573" s="26" t="s">
        <v>616</v>
      </c>
      <c r="C573" s="27" t="str">
        <f t="shared" si="35"/>
        <v>Masculino</v>
      </c>
      <c r="D573" s="2" t="str">
        <f>IF(B573="","",IFERROR(INDEX(SKUs!$E$6:$E$1997,MATCH(B573,SKUs!$C$6:$C$1997,0)),""))</f>
        <v>TRICO</v>
      </c>
      <c r="E573" s="28" t="str">
        <f>IF(B573="","",IFERROR(VLOOKUP(D573,Configurações!$N$5:$O$46,2,FALSE()),"OUTROS"))</f>
        <v>VESTUÁRIO</v>
      </c>
      <c r="F573" s="2" t="str">
        <f>IF(B573="","",IFERROR(INDEX(SKUs!$F$6:$F$1997,MATCH(B573,SKUs!$C$6:$C$1997,0)),""))</f>
        <v>TRICO MEIO ZIPER COURO</v>
      </c>
      <c r="G573" s="2" t="str">
        <f>IF(B573="","",IFERROR(INDEX(SKUs!$G$6:$G$1997,MATCH(B573,SKUs!$C$6:$C$1997,0)),""))</f>
        <v>CHUMBO</v>
      </c>
      <c r="H573" s="25" t="str">
        <f>IF(B573="","",IFERROR(INDEX(SKUs!$H$6:$H$1997,MATCH(B573,SKUs!$C$6:$C$1997,0)),""))</f>
        <v>GG</v>
      </c>
      <c r="I573" s="4" t="str">
        <f>IF(B573="","",IFERROR(INDEX(SKUs!#REF!,MATCH(B573,SKUs!$C$6:$C$1997,0)),""))</f>
        <v/>
      </c>
      <c r="J573" s="3">
        <f>IF(B573="","",SUMIFS(SKUs!$I$6:$I$1997,SKUs!$C$6:$C$1997,B573))</f>
        <v>8</v>
      </c>
      <c r="K573" s="4">
        <f t="shared" si="41"/>
        <v>0</v>
      </c>
      <c r="L573" s="3">
        <f>IF(B573="","",COUNTIF(SKUs!$C$6:$C$1997,B573))</f>
        <v>1</v>
      </c>
      <c r="M573" s="29"/>
      <c r="N573" s="29">
        <v>10</v>
      </c>
      <c r="O573" s="29"/>
      <c r="P573" s="29"/>
      <c r="Q573" s="29"/>
      <c r="R573" s="29"/>
      <c r="S573" s="29"/>
      <c r="T573" s="29"/>
      <c r="U573" s="30">
        <f t="shared" si="42"/>
        <v>10</v>
      </c>
      <c r="V573" s="31">
        <f t="shared" si="36"/>
        <v>8</v>
      </c>
    </row>
    <row r="574" spans="1:22" ht="15" hidden="1" customHeight="1" x14ac:dyDescent="0.3">
      <c r="A574" s="25">
        <f t="shared" si="40"/>
        <v>567</v>
      </c>
      <c r="B574" s="26" t="s">
        <v>617</v>
      </c>
      <c r="C574" s="27" t="str">
        <f t="shared" si="35"/>
        <v>Masculino</v>
      </c>
      <c r="D574" s="2" t="str">
        <f>IF(B574="","",IFERROR(INDEX(SKUs!$E$6:$E$1997,MATCH(B574,SKUs!$C$6:$C$1997,0)),""))</f>
        <v>TRICO</v>
      </c>
      <c r="E574" s="28" t="str">
        <f>IF(B574="","",IFERROR(VLOOKUP(D574,Configurações!$N$5:$O$46,2,FALSE()),"OUTROS"))</f>
        <v>VESTUÁRIO</v>
      </c>
      <c r="F574" s="2" t="str">
        <f>IF(B574="","",IFERROR(INDEX(SKUs!$F$6:$F$1997,MATCH(B574,SKUs!$C$6:$C$1997,0)),""))</f>
        <v>TRICO MEIO ZIPER COURO</v>
      </c>
      <c r="G574" s="2" t="str">
        <f>IF(B574="","",IFERROR(INDEX(SKUs!$G$6:$G$1997,MATCH(B574,SKUs!$C$6:$C$1997,0)),""))</f>
        <v>CHUMBO</v>
      </c>
      <c r="H574" s="25" t="str">
        <f>IF(B574="","",IFERROR(INDEX(SKUs!$H$6:$H$1997,MATCH(B574,SKUs!$C$6:$C$1997,0)),""))</f>
        <v>P</v>
      </c>
      <c r="I574" s="4" t="str">
        <f>IF(B574="","",IFERROR(INDEX(SKUs!#REF!,MATCH(B574,SKUs!$C$6:$C$1997,0)),""))</f>
        <v/>
      </c>
      <c r="J574" s="3">
        <f>IF(B574="","",SUMIFS(SKUs!$I$6:$I$1997,SKUs!$C$6:$C$1997,B574))</f>
        <v>7</v>
      </c>
      <c r="K574" s="4">
        <f t="shared" si="41"/>
        <v>0</v>
      </c>
      <c r="L574" s="3">
        <f>IF(B574="","",COUNTIF(SKUs!$C$6:$C$1997,B574))</f>
        <v>1</v>
      </c>
      <c r="M574" s="29"/>
      <c r="N574" s="29">
        <v>10</v>
      </c>
      <c r="O574" s="29"/>
      <c r="P574" s="29"/>
      <c r="Q574" s="29"/>
      <c r="R574" s="29"/>
      <c r="S574" s="29"/>
      <c r="T574" s="29"/>
      <c r="U574" s="30">
        <f t="shared" si="42"/>
        <v>10</v>
      </c>
      <c r="V574" s="31">
        <f t="shared" si="36"/>
        <v>7</v>
      </c>
    </row>
    <row r="575" spans="1:22" ht="15" hidden="1" customHeight="1" x14ac:dyDescent="0.3">
      <c r="A575" s="25">
        <f t="shared" si="40"/>
        <v>568</v>
      </c>
      <c r="B575" s="26" t="s">
        <v>618</v>
      </c>
      <c r="C575" s="27" t="str">
        <f t="shared" si="35"/>
        <v>Masculino</v>
      </c>
      <c r="D575" s="2" t="str">
        <f>IF(B575="","",IFERROR(INDEX(SKUs!$E$6:$E$1997,MATCH(B575,SKUs!$C$6:$C$1997,0)),""))</f>
        <v>JAQUETA</v>
      </c>
      <c r="E575" s="28" t="str">
        <f>IF(B575="","",IFERROR(VLOOKUP(D575,Configurações!$N$5:$O$46,2,FALSE()),"OUTROS"))</f>
        <v>VESTUÁRIO</v>
      </c>
      <c r="F575" s="2" t="str">
        <f>IF(B575="","",IFERROR(INDEX(SKUs!$F$6:$F$1997,MATCH(B575,SKUs!$C$6:$C$1997,0)),""))</f>
        <v>JAQUETA PUFFER CAPUZ</v>
      </c>
      <c r="G575" s="2" t="str">
        <f>IF(B575="","",IFERROR(INDEX(SKUs!$G$6:$G$1997,MATCH(B575,SKUs!$C$6:$C$1997,0)),""))</f>
        <v>PRETO</v>
      </c>
      <c r="H575" s="25" t="str">
        <f>IF(B575="","",IFERROR(INDEX(SKUs!$H$6:$H$1997,MATCH(B575,SKUs!$C$6:$C$1997,0)),""))</f>
        <v>XG</v>
      </c>
      <c r="I575" s="4" t="str">
        <f>IF(B575="","",IFERROR(INDEX(SKUs!#REF!,MATCH(B575,SKUs!$C$6:$C$1997,0)),""))</f>
        <v/>
      </c>
      <c r="J575" s="3">
        <f>IF(B575="","",SUMIFS(SKUs!$I$6:$I$1997,SKUs!$C$6:$C$1997,B575))</f>
        <v>10</v>
      </c>
      <c r="K575" s="4">
        <f t="shared" si="41"/>
        <v>0</v>
      </c>
      <c r="L575" s="3">
        <f>IF(B575="","",COUNTIF(SKUs!$C$6:$C$1997,B575))</f>
        <v>1</v>
      </c>
      <c r="M575" s="29"/>
      <c r="N575" s="29">
        <v>10</v>
      </c>
      <c r="O575" s="29"/>
      <c r="P575" s="29"/>
      <c r="Q575" s="29"/>
      <c r="R575" s="29"/>
      <c r="S575" s="29"/>
      <c r="T575" s="29"/>
      <c r="U575" s="30">
        <f t="shared" si="42"/>
        <v>10</v>
      </c>
      <c r="V575" s="31">
        <f t="shared" si="36"/>
        <v>10</v>
      </c>
    </row>
    <row r="576" spans="1:22" ht="15" hidden="1" customHeight="1" x14ac:dyDescent="0.3">
      <c r="A576" s="25">
        <f t="shared" si="40"/>
        <v>569</v>
      </c>
      <c r="B576" s="26" t="s">
        <v>619</v>
      </c>
      <c r="C576" s="27" t="str">
        <f t="shared" si="35"/>
        <v>Masculino</v>
      </c>
      <c r="D576" s="2" t="str">
        <f>IF(B576="","",IFERROR(INDEX(SKUs!$E$6:$E$1997,MATCH(B576,SKUs!$C$6:$C$1997,0)),""))</f>
        <v/>
      </c>
      <c r="E576" s="28" t="str">
        <f>IF(B576="","",IFERROR(VLOOKUP(D576,Configurações!$N$5:$O$46,2,FALSE()),"OUTROS"))</f>
        <v>OUTROS</v>
      </c>
      <c r="F576" s="2" t="str">
        <f>IF(B576="","",IFERROR(INDEX(SKUs!$F$6:$F$1997,MATCH(B576,SKUs!$C$6:$C$1997,0)),""))</f>
        <v/>
      </c>
      <c r="G576" s="2" t="str">
        <f>IF(B576="","",IFERROR(INDEX(SKUs!$G$6:$G$1997,MATCH(B576,SKUs!$C$6:$C$1997,0)),""))</f>
        <v/>
      </c>
      <c r="H576" s="25" t="str">
        <f>IF(B576="","",IFERROR(INDEX(SKUs!$H$6:$H$1997,MATCH(B576,SKUs!$C$6:$C$1997,0)),""))</f>
        <v/>
      </c>
      <c r="I576" s="4" t="str">
        <f>IF(B576="","",IFERROR(INDEX(SKUs!#REF!,MATCH(B576,SKUs!$C$6:$C$1997,0)),""))</f>
        <v/>
      </c>
      <c r="J576" s="3">
        <f>IF(B576="","",SUMIFS(SKUs!$I$6:$I$1997,SKUs!$C$6:$C$1997,B576))</f>
        <v>0</v>
      </c>
      <c r="K576" s="4">
        <f t="shared" si="41"/>
        <v>0</v>
      </c>
      <c r="L576" s="3">
        <f>IF(B576="","",COUNTIF(SKUs!$C$6:$C$1997,B576))</f>
        <v>0</v>
      </c>
      <c r="M576" s="29"/>
      <c r="N576" s="29">
        <v>12</v>
      </c>
      <c r="O576" s="29"/>
      <c r="P576" s="29"/>
      <c r="Q576" s="29"/>
      <c r="R576" s="29"/>
      <c r="S576" s="29"/>
      <c r="T576" s="29"/>
      <c r="U576" s="30">
        <f t="shared" si="42"/>
        <v>12</v>
      </c>
      <c r="V576" s="31">
        <f t="shared" si="36"/>
        <v>0</v>
      </c>
    </row>
    <row r="577" spans="1:22" ht="15" hidden="1" customHeight="1" x14ac:dyDescent="0.3">
      <c r="A577" s="25">
        <f t="shared" si="40"/>
        <v>570</v>
      </c>
      <c r="B577" s="26" t="s">
        <v>620</v>
      </c>
      <c r="C577" s="27" t="str">
        <f t="shared" si="35"/>
        <v>Masculino</v>
      </c>
      <c r="D577" s="2" t="str">
        <f>IF(B577="","",IFERROR(INDEX(SKUs!$E$6:$E$1997,MATCH(B577,SKUs!$C$6:$C$1997,0)),""))</f>
        <v/>
      </c>
      <c r="E577" s="28" t="str">
        <f>IF(B577="","",IFERROR(VLOOKUP(D577,Configurações!$N$5:$O$46,2,FALSE()),"OUTROS"))</f>
        <v>OUTROS</v>
      </c>
      <c r="F577" s="2" t="str">
        <f>IF(B577="","",IFERROR(INDEX(SKUs!$F$6:$F$1997,MATCH(B577,SKUs!$C$6:$C$1997,0)),""))</f>
        <v/>
      </c>
      <c r="G577" s="2" t="str">
        <f>IF(B577="","",IFERROR(INDEX(SKUs!$G$6:$G$1997,MATCH(B577,SKUs!$C$6:$C$1997,0)),""))</f>
        <v/>
      </c>
      <c r="H577" s="25" t="str">
        <f>IF(B577="","",IFERROR(INDEX(SKUs!$H$6:$H$1997,MATCH(B577,SKUs!$C$6:$C$1997,0)),""))</f>
        <v/>
      </c>
      <c r="I577" s="4" t="str">
        <f>IF(B577="","",IFERROR(INDEX(SKUs!#REF!,MATCH(B577,SKUs!$C$6:$C$1997,0)),""))</f>
        <v/>
      </c>
      <c r="J577" s="3">
        <f>IF(B577="","",SUMIFS(SKUs!$I$6:$I$1997,SKUs!$C$6:$C$1997,B577))</f>
        <v>0</v>
      </c>
      <c r="K577" s="4">
        <f t="shared" si="41"/>
        <v>0</v>
      </c>
      <c r="L577" s="3">
        <f>IF(B577="","",COUNTIF(SKUs!$C$6:$C$1997,B577))</f>
        <v>0</v>
      </c>
      <c r="M577" s="29"/>
      <c r="N577" s="29">
        <v>24</v>
      </c>
      <c r="O577" s="29"/>
      <c r="P577" s="29"/>
      <c r="Q577" s="29"/>
      <c r="R577" s="29"/>
      <c r="S577" s="29"/>
      <c r="T577" s="29"/>
      <c r="U577" s="30">
        <f t="shared" si="42"/>
        <v>24</v>
      </c>
      <c r="V577" s="31">
        <f t="shared" si="36"/>
        <v>0</v>
      </c>
    </row>
    <row r="578" spans="1:22" ht="15" hidden="1" customHeight="1" x14ac:dyDescent="0.3">
      <c r="A578" s="25">
        <f t="shared" si="40"/>
        <v>571</v>
      </c>
      <c r="B578" s="26" t="s">
        <v>621</v>
      </c>
      <c r="C578" s="27" t="str">
        <f t="shared" si="35"/>
        <v>Masculino</v>
      </c>
      <c r="D578" s="2" t="str">
        <f>IF(B578="","",IFERROR(INDEX(SKUs!$E$6:$E$1997,MATCH(B578,SKUs!$C$6:$C$1997,0)),""))</f>
        <v>JAQUETA</v>
      </c>
      <c r="E578" s="28" t="str">
        <f>IF(B578="","",IFERROR(VLOOKUP(D578,Configurações!$N$5:$O$46,2,FALSE()),"OUTROS"))</f>
        <v>VESTUÁRIO</v>
      </c>
      <c r="F578" s="2" t="str">
        <f>IF(B578="","",IFERROR(INDEX(SKUs!$F$6:$F$1997,MATCH(B578,SKUs!$C$6:$C$1997,0)),""))</f>
        <v>JAQUETA ADVENTURE</v>
      </c>
      <c r="G578" s="2" t="str">
        <f>IF(B578="","",IFERROR(INDEX(SKUs!$G$6:$G$1997,MATCH(B578,SKUs!$C$6:$C$1997,0)),""))</f>
        <v>CHUMBO</v>
      </c>
      <c r="H578" s="25" t="str">
        <f>IF(B578="","",IFERROR(INDEX(SKUs!$H$6:$H$1997,MATCH(B578,SKUs!$C$6:$C$1997,0)),""))</f>
        <v>G</v>
      </c>
      <c r="I578" s="4" t="str">
        <f>IF(B578="","",IFERROR(INDEX(SKUs!#REF!,MATCH(B578,SKUs!$C$6:$C$1997,0)),""))</f>
        <v/>
      </c>
      <c r="J578" s="3">
        <f>IF(B578="","",SUMIFS(SKUs!$I$6:$I$1997,SKUs!$C$6:$C$1997,B578))</f>
        <v>14</v>
      </c>
      <c r="K578" s="4">
        <f t="shared" si="41"/>
        <v>0</v>
      </c>
      <c r="L578" s="3">
        <f>IF(B578="","",COUNTIF(SKUs!$C$6:$C$1997,B578))</f>
        <v>1</v>
      </c>
      <c r="M578" s="29"/>
      <c r="N578" s="29">
        <v>14</v>
      </c>
      <c r="O578" s="29"/>
      <c r="P578" s="29"/>
      <c r="Q578" s="29"/>
      <c r="R578" s="29"/>
      <c r="S578" s="29"/>
      <c r="T578" s="29"/>
      <c r="U578" s="30">
        <f t="shared" si="42"/>
        <v>14</v>
      </c>
      <c r="V578" s="31">
        <f t="shared" si="36"/>
        <v>14</v>
      </c>
    </row>
    <row r="579" spans="1:22" ht="15" hidden="1" customHeight="1" x14ac:dyDescent="0.3">
      <c r="A579" s="25">
        <f t="shared" si="40"/>
        <v>572</v>
      </c>
      <c r="B579" s="26" t="s">
        <v>622</v>
      </c>
      <c r="C579" s="27" t="str">
        <f t="shared" si="35"/>
        <v>Masculino</v>
      </c>
      <c r="D579" s="2" t="str">
        <f>IF(B579="","",IFERROR(INDEX(SKUs!$E$6:$E$1997,MATCH(B579,SKUs!$C$6:$C$1997,0)),""))</f>
        <v>JAQUETA</v>
      </c>
      <c r="E579" s="28" t="str">
        <f>IF(B579="","",IFERROR(VLOOKUP(D579,Configurações!$N$5:$O$46,2,FALSE()),"OUTROS"))</f>
        <v>VESTUÁRIO</v>
      </c>
      <c r="F579" s="2" t="str">
        <f>IF(B579="","",IFERROR(INDEX(SKUs!$F$6:$F$1997,MATCH(B579,SKUs!$C$6:$C$1997,0)),""))</f>
        <v>JAQUETA ADVENTURE</v>
      </c>
      <c r="G579" s="2" t="str">
        <f>IF(B579="","",IFERROR(INDEX(SKUs!$G$6:$G$1997,MATCH(B579,SKUs!$C$6:$C$1997,0)),""))</f>
        <v>CHUMBO</v>
      </c>
      <c r="H579" s="25" t="str">
        <f>IF(B579="","",IFERROR(INDEX(SKUs!$H$6:$H$1997,MATCH(B579,SKUs!$C$6:$C$1997,0)),""))</f>
        <v>GG</v>
      </c>
      <c r="I579" s="4" t="str">
        <f>IF(B579="","",IFERROR(INDEX(SKUs!#REF!,MATCH(B579,SKUs!$C$6:$C$1997,0)),""))</f>
        <v/>
      </c>
      <c r="J579" s="3">
        <f>IF(B579="","",SUMIFS(SKUs!$I$6:$I$1997,SKUs!$C$6:$C$1997,B579))</f>
        <v>7</v>
      </c>
      <c r="K579" s="4">
        <f t="shared" si="41"/>
        <v>0</v>
      </c>
      <c r="L579" s="3">
        <f>IF(B579="","",COUNTIF(SKUs!$C$6:$C$1997,B579))</f>
        <v>1</v>
      </c>
      <c r="M579" s="29"/>
      <c r="N579" s="29">
        <v>7</v>
      </c>
      <c r="O579" s="29"/>
      <c r="P579" s="29"/>
      <c r="Q579" s="29"/>
      <c r="R579" s="29"/>
      <c r="S579" s="29"/>
      <c r="T579" s="29"/>
      <c r="U579" s="30">
        <f t="shared" si="42"/>
        <v>7</v>
      </c>
      <c r="V579" s="31">
        <f t="shared" si="36"/>
        <v>7</v>
      </c>
    </row>
    <row r="580" spans="1:22" ht="15" hidden="1" customHeight="1" x14ac:dyDescent="0.3">
      <c r="A580" s="25">
        <f t="shared" si="40"/>
        <v>573</v>
      </c>
      <c r="B580" s="26" t="s">
        <v>623</v>
      </c>
      <c r="C580" s="27" t="str">
        <f t="shared" si="35"/>
        <v>Masculino</v>
      </c>
      <c r="D580" s="2" t="str">
        <f>IF(B580="","",IFERROR(INDEX(SKUs!$E$6:$E$1997,MATCH(B580,SKUs!$C$6:$C$1997,0)),""))</f>
        <v>TRICO</v>
      </c>
      <c r="E580" s="28" t="str">
        <f>IF(B580="","",IFERROR(VLOOKUP(D580,Configurações!$N$5:$O$46,2,FALSE()),"OUTROS"))</f>
        <v>VESTUÁRIO</v>
      </c>
      <c r="F580" s="2" t="str">
        <f>IF(B580="","",IFERROR(INDEX(SKUs!$F$6:$F$1997,MATCH(B580,SKUs!$C$6:$C$1997,0)),""))</f>
        <v>TRICO BASICO GOLA V</v>
      </c>
      <c r="G580" s="2" t="str">
        <f>IF(B580="","",IFERROR(INDEX(SKUs!$G$6:$G$1997,MATCH(B580,SKUs!$C$6:$C$1997,0)),""))</f>
        <v>CINZA</v>
      </c>
      <c r="H580" s="25" t="str">
        <f>IF(B580="","",IFERROR(INDEX(SKUs!$H$6:$H$1997,MATCH(B580,SKUs!$C$6:$C$1997,0)),""))</f>
        <v>M</v>
      </c>
      <c r="I580" s="4" t="str">
        <f>IF(B580="","",IFERROR(INDEX(SKUs!#REF!,MATCH(B580,SKUs!$C$6:$C$1997,0)),""))</f>
        <v/>
      </c>
      <c r="J580" s="3">
        <f>IF(B580="","",SUMIFS(SKUs!$I$6:$I$1997,SKUs!$C$6:$C$1997,B580))</f>
        <v>7</v>
      </c>
      <c r="K580" s="4">
        <f t="shared" si="41"/>
        <v>0</v>
      </c>
      <c r="L580" s="3">
        <f>IF(B580="","",COUNTIF(SKUs!$C$6:$C$1997,B580))</f>
        <v>1</v>
      </c>
      <c r="M580" s="29"/>
      <c r="N580" s="29">
        <v>10</v>
      </c>
      <c r="O580" s="29"/>
      <c r="P580" s="29"/>
      <c r="Q580" s="29"/>
      <c r="R580" s="29"/>
      <c r="S580" s="29"/>
      <c r="T580" s="29"/>
      <c r="U580" s="30">
        <f t="shared" si="42"/>
        <v>10</v>
      </c>
      <c r="V580" s="31">
        <f t="shared" si="36"/>
        <v>7</v>
      </c>
    </row>
    <row r="581" spans="1:22" ht="15" hidden="1" customHeight="1" x14ac:dyDescent="0.3">
      <c r="A581" s="25">
        <f t="shared" si="40"/>
        <v>574</v>
      </c>
      <c r="B581" s="26" t="s">
        <v>624</v>
      </c>
      <c r="C581" s="27" t="str">
        <f t="shared" si="35"/>
        <v>Masculino</v>
      </c>
      <c r="D581" s="2" t="str">
        <f>IF(B581="","",IFERROR(INDEX(SKUs!$E$6:$E$1997,MATCH(B581,SKUs!$C$6:$C$1997,0)),""))</f>
        <v>TRICO</v>
      </c>
      <c r="E581" s="28" t="str">
        <f>IF(B581="","",IFERROR(VLOOKUP(D581,Configurações!$N$5:$O$46,2,FALSE()),"OUTROS"))</f>
        <v>VESTUÁRIO</v>
      </c>
      <c r="F581" s="2" t="str">
        <f>IF(B581="","",IFERROR(INDEX(SKUs!$F$6:$F$1997,MATCH(B581,SKUs!$C$6:$C$1997,0)),""))</f>
        <v>TRICO BASICO GOLA V</v>
      </c>
      <c r="G581" s="2" t="str">
        <f>IF(B581="","",IFERROR(INDEX(SKUs!$G$6:$G$1997,MATCH(B581,SKUs!$C$6:$C$1997,0)),""))</f>
        <v>MARINHO</v>
      </c>
      <c r="H581" s="25" t="str">
        <f>IF(B581="","",IFERROR(INDEX(SKUs!$H$6:$H$1997,MATCH(B581,SKUs!$C$6:$C$1997,0)),""))</f>
        <v>M</v>
      </c>
      <c r="I581" s="4" t="str">
        <f>IF(B581="","",IFERROR(INDEX(SKUs!#REF!,MATCH(B581,SKUs!$C$6:$C$1997,0)),""))</f>
        <v/>
      </c>
      <c r="J581" s="3">
        <f>IF(B581="","",SUMIFS(SKUs!$I$6:$I$1997,SKUs!$C$6:$C$1997,B581))</f>
        <v>14</v>
      </c>
      <c r="K581" s="4">
        <f t="shared" si="41"/>
        <v>0</v>
      </c>
      <c r="L581" s="3">
        <f>IF(B581="","",COUNTIF(SKUs!$C$6:$C$1997,B581))</f>
        <v>2</v>
      </c>
      <c r="M581" s="29"/>
      <c r="N581" s="29">
        <v>10</v>
      </c>
      <c r="O581" s="29"/>
      <c r="P581" s="29"/>
      <c r="Q581" s="29"/>
      <c r="R581" s="29"/>
      <c r="S581" s="29"/>
      <c r="T581" s="29"/>
      <c r="U581" s="30">
        <f t="shared" si="42"/>
        <v>10</v>
      </c>
      <c r="V581" s="31">
        <f t="shared" si="36"/>
        <v>14</v>
      </c>
    </row>
    <row r="582" spans="1:22" ht="15" hidden="1" customHeight="1" x14ac:dyDescent="0.3">
      <c r="A582" s="25">
        <f t="shared" si="40"/>
        <v>575</v>
      </c>
      <c r="B582" s="26" t="s">
        <v>625</v>
      </c>
      <c r="C582" s="27" t="str">
        <f t="shared" si="35"/>
        <v>Masculino</v>
      </c>
      <c r="D582" s="2" t="str">
        <f>IF(B582="","",IFERROR(INDEX(SKUs!$E$6:$E$1997,MATCH(B582,SKUs!$C$6:$C$1997,0)),""))</f>
        <v>TRICO</v>
      </c>
      <c r="E582" s="28" t="str">
        <f>IF(B582="","",IFERROR(VLOOKUP(D582,Configurações!$N$5:$O$46,2,FALSE()),"OUTROS"))</f>
        <v>VESTUÁRIO</v>
      </c>
      <c r="F582" s="2" t="str">
        <f>IF(B582="","",IFERROR(INDEX(SKUs!$F$6:$F$1997,MATCH(B582,SKUs!$C$6:$C$1997,0)),""))</f>
        <v>TRICO MEIO ZIPER COURO</v>
      </c>
      <c r="G582" s="2" t="str">
        <f>IF(B582="","",IFERROR(INDEX(SKUs!$G$6:$G$1997,MATCH(B582,SKUs!$C$6:$C$1997,0)),""))</f>
        <v>CHUMBO</v>
      </c>
      <c r="H582" s="25" t="str">
        <f>IF(B582="","",IFERROR(INDEX(SKUs!$H$6:$H$1997,MATCH(B582,SKUs!$C$6:$C$1997,0)),""))</f>
        <v>M</v>
      </c>
      <c r="I582" s="4" t="str">
        <f>IF(B582="","",IFERROR(INDEX(SKUs!#REF!,MATCH(B582,SKUs!$C$6:$C$1997,0)),""))</f>
        <v/>
      </c>
      <c r="J582" s="3">
        <f>IF(B582="","",SUMIFS(SKUs!$I$6:$I$1997,SKUs!$C$6:$C$1997,B582))</f>
        <v>16</v>
      </c>
      <c r="K582" s="4">
        <f t="shared" si="41"/>
        <v>0</v>
      </c>
      <c r="L582" s="3">
        <f>IF(B582="","",COUNTIF(SKUs!$C$6:$C$1997,B582))</f>
        <v>1</v>
      </c>
      <c r="M582" s="29"/>
      <c r="N582" s="29">
        <v>20</v>
      </c>
      <c r="O582" s="29"/>
      <c r="P582" s="29"/>
      <c r="Q582" s="29"/>
      <c r="R582" s="29"/>
      <c r="S582" s="29"/>
      <c r="T582" s="29"/>
      <c r="U582" s="30">
        <f t="shared" si="42"/>
        <v>20</v>
      </c>
      <c r="V582" s="31">
        <f t="shared" si="36"/>
        <v>16</v>
      </c>
    </row>
    <row r="583" spans="1:22" ht="15" hidden="1" customHeight="1" x14ac:dyDescent="0.3">
      <c r="A583" s="25">
        <f t="shared" si="40"/>
        <v>576</v>
      </c>
      <c r="B583" s="26" t="s">
        <v>626</v>
      </c>
      <c r="C583" s="27" t="str">
        <f t="shared" si="35"/>
        <v>Masculino</v>
      </c>
      <c r="D583" s="2" t="str">
        <f>IF(B583="","",IFERROR(INDEX(SKUs!$E$6:$E$1997,MATCH(B583,SKUs!$C$6:$C$1997,0)),""))</f>
        <v xml:space="preserve">POLO </v>
      </c>
      <c r="E583" s="28" t="str">
        <f>IF(B583="","",IFERROR(VLOOKUP(D583,Configurações!$N$5:$O$46,2,FALSE()),"OUTROS"))</f>
        <v>OUTROS</v>
      </c>
      <c r="F583" s="2" t="str">
        <f>IF(B583="","",IFERROR(INDEX(SKUs!$F$6:$F$1997,MATCH(B583,SKUs!$C$6:$C$1997,0)),""))</f>
        <v>POLO PIQUET MASC.</v>
      </c>
      <c r="G583" s="2" t="str">
        <f>IF(B583="","",IFERROR(INDEX(SKUs!$G$6:$G$1997,MATCH(B583,SKUs!$C$6:$C$1997,0)),""))</f>
        <v>PRETO</v>
      </c>
      <c r="H583" s="25" t="str">
        <f>IF(B583="","",IFERROR(INDEX(SKUs!$H$6:$H$1997,MATCH(B583,SKUs!$C$6:$C$1997,0)),""))</f>
        <v>GG</v>
      </c>
      <c r="I583" s="4" t="str">
        <f>IF(B583="","",IFERROR(INDEX(SKUs!#REF!,MATCH(B583,SKUs!$C$6:$C$1997,0)),""))</f>
        <v/>
      </c>
      <c r="J583" s="3">
        <f>IF(B583="","",SUMIFS(SKUs!$I$6:$I$1997,SKUs!$C$6:$C$1997,B583))</f>
        <v>58</v>
      </c>
      <c r="K583" s="4">
        <f t="shared" si="41"/>
        <v>0</v>
      </c>
      <c r="L583" s="3">
        <f>IF(B583="","",COUNTIF(SKUs!$C$6:$C$1997,B583))</f>
        <v>1</v>
      </c>
      <c r="M583" s="29"/>
      <c r="N583" s="29"/>
      <c r="O583" s="29"/>
      <c r="P583" s="29">
        <v>58</v>
      </c>
      <c r="Q583" s="29"/>
      <c r="R583" s="29"/>
      <c r="S583" s="29"/>
      <c r="T583" s="29">
        <v>50</v>
      </c>
      <c r="U583" s="30">
        <f t="shared" si="42"/>
        <v>58</v>
      </c>
      <c r="V583" s="31">
        <f t="shared" si="36"/>
        <v>58</v>
      </c>
    </row>
    <row r="584" spans="1:22" ht="15" hidden="1" customHeight="1" x14ac:dyDescent="0.3">
      <c r="A584" s="25">
        <f t="shared" si="40"/>
        <v>577</v>
      </c>
      <c r="B584" s="26" t="s">
        <v>627</v>
      </c>
      <c r="C584" s="27" t="str">
        <f t="shared" ref="C584:C607" si="43">IF(B584="","",IFERROR(IF(TRIM(MID(SUBSTITUTE(B584,".",REPT(" ",50)),51,50))="01","Masculino",IF(TRIM(MID(SUBSTITUTE(B584,".",REPT(" ",50)),51,50))="02","Feminino",IF(TRIM(MID(SUBSTITUTE(B584,".",REPT(" ",50)),51,50))="03","Outros","—"))),"—"))</f>
        <v>Masculino</v>
      </c>
      <c r="D584" s="2" t="str">
        <f>IF(B584="","",IFERROR(INDEX(SKUs!$E$6:$E$1997,MATCH(B584,SKUs!$C$6:$C$1997,0)),""))</f>
        <v xml:space="preserve">POLO </v>
      </c>
      <c r="E584" s="28" t="str">
        <f>IF(B584="","",IFERROR(VLOOKUP(D584,Configurações!$N$5:$O$46,2,FALSE()),"OUTROS"))</f>
        <v>OUTROS</v>
      </c>
      <c r="F584" s="2" t="str">
        <f>IF(B584="","",IFERROR(INDEX(SKUs!$F$6:$F$1997,MATCH(B584,SKUs!$C$6:$C$1997,0)),""))</f>
        <v>POLO PIQUET MASC.</v>
      </c>
      <c r="G584" s="2" t="str">
        <f>IF(B584="","",IFERROR(INDEX(SKUs!$G$6:$G$1997,MATCH(B584,SKUs!$C$6:$C$1997,0)),""))</f>
        <v>PRETO</v>
      </c>
      <c r="H584" s="25" t="str">
        <f>IF(B584="","",IFERROR(INDEX(SKUs!$H$6:$H$1997,MATCH(B584,SKUs!$C$6:$C$1997,0)),""))</f>
        <v>PP</v>
      </c>
      <c r="I584" s="4" t="str">
        <f>IF(B584="","",IFERROR(INDEX(SKUs!#REF!,MATCH(B584,SKUs!$C$6:$C$1997,0)),""))</f>
        <v/>
      </c>
      <c r="J584" s="3">
        <f>IF(B584="","",SUMIFS(SKUs!$I$6:$I$1997,SKUs!$C$6:$C$1997,B584))</f>
        <v>9</v>
      </c>
      <c r="K584" s="4">
        <f t="shared" si="41"/>
        <v>0</v>
      </c>
      <c r="L584" s="3">
        <f>IF(B584="","",COUNTIF(SKUs!$C$6:$C$1997,B584))</f>
        <v>1</v>
      </c>
      <c r="M584" s="29"/>
      <c r="N584" s="29"/>
      <c r="O584" s="29"/>
      <c r="P584" s="29"/>
      <c r="Q584" s="29"/>
      <c r="R584" s="29"/>
      <c r="S584" s="29"/>
      <c r="T584" s="29"/>
      <c r="U584" s="30">
        <f t="shared" si="42"/>
        <v>0</v>
      </c>
      <c r="V584" s="31">
        <f t="shared" ref="V584:V607" si="44">IF(B584="","",J584)</f>
        <v>9</v>
      </c>
    </row>
    <row r="585" spans="1:22" ht="15" hidden="1" customHeight="1" x14ac:dyDescent="0.3">
      <c r="A585" s="25">
        <f t="shared" si="40"/>
        <v>578</v>
      </c>
      <c r="B585" s="26" t="s">
        <v>628</v>
      </c>
      <c r="C585" s="27" t="str">
        <f t="shared" si="43"/>
        <v>Masculino</v>
      </c>
      <c r="D585" s="2" t="str">
        <f>IF(B585="","",IFERROR(INDEX(SKUs!$E$6:$E$1997,MATCH(B585,SKUs!$C$6:$C$1997,0)),""))</f>
        <v xml:space="preserve">POLO </v>
      </c>
      <c r="E585" s="28" t="str">
        <f>IF(B585="","",IFERROR(VLOOKUP(D585,Configurações!$N$5:$O$46,2,FALSE()),"OUTROS"))</f>
        <v>OUTROS</v>
      </c>
      <c r="F585" s="2" t="str">
        <f>IF(B585="","",IFERROR(INDEX(SKUs!$F$6:$F$1997,MATCH(B585,SKUs!$C$6:$C$1997,0)),""))</f>
        <v>POLO PIQUET MASC.</v>
      </c>
      <c r="G585" s="2" t="str">
        <f>IF(B585="","",IFERROR(INDEX(SKUs!$G$6:$G$1997,MATCH(B585,SKUs!$C$6:$C$1997,0)),""))</f>
        <v>PRETO</v>
      </c>
      <c r="H585" s="25" t="str">
        <f>IF(B585="","",IFERROR(INDEX(SKUs!$H$6:$H$1997,MATCH(B585,SKUs!$C$6:$C$1997,0)),""))</f>
        <v>M</v>
      </c>
      <c r="I585" s="4" t="str">
        <f>IF(B585="","",IFERROR(INDEX(SKUs!#REF!,MATCH(B585,SKUs!$C$6:$C$1997,0)),""))</f>
        <v/>
      </c>
      <c r="J585" s="3">
        <f>IF(B585="","",SUMIFS(SKUs!$I$6:$I$1997,SKUs!$C$6:$C$1997,B585))</f>
        <v>123</v>
      </c>
      <c r="K585" s="4">
        <f t="shared" si="41"/>
        <v>0</v>
      </c>
      <c r="L585" s="3">
        <f>IF(B585="","",COUNTIF(SKUs!$C$6:$C$1997,B585))</f>
        <v>2</v>
      </c>
      <c r="M585" s="29"/>
      <c r="N585" s="29"/>
      <c r="O585" s="29"/>
      <c r="P585" s="29">
        <v>123</v>
      </c>
      <c r="Q585" s="29"/>
      <c r="R585" s="29"/>
      <c r="S585" s="29"/>
      <c r="T585" s="29">
        <v>120</v>
      </c>
      <c r="U585" s="30">
        <f t="shared" si="42"/>
        <v>123</v>
      </c>
      <c r="V585" s="31">
        <f t="shared" si="44"/>
        <v>123</v>
      </c>
    </row>
    <row r="586" spans="1:22" ht="15" hidden="1" customHeight="1" x14ac:dyDescent="0.3">
      <c r="A586" s="25">
        <f t="shared" si="40"/>
        <v>579</v>
      </c>
      <c r="B586" s="26" t="s">
        <v>629</v>
      </c>
      <c r="C586" s="27" t="str">
        <f t="shared" si="43"/>
        <v>Masculino</v>
      </c>
      <c r="D586" s="2" t="str">
        <f>IF(B586="","",IFERROR(INDEX(SKUs!$E$6:$E$1997,MATCH(B586,SKUs!$C$6:$C$1997,0)),""))</f>
        <v xml:space="preserve">POLO </v>
      </c>
      <c r="E586" s="28" t="str">
        <f>IF(B586="","",IFERROR(VLOOKUP(D586,Configurações!$N$5:$O$46,2,FALSE()),"OUTROS"))</f>
        <v>OUTROS</v>
      </c>
      <c r="F586" s="2" t="str">
        <f>IF(B586="","",IFERROR(INDEX(SKUs!$F$6:$F$1997,MATCH(B586,SKUs!$C$6:$C$1997,0)),""))</f>
        <v>POLO PIQUET MASC.</v>
      </c>
      <c r="G586" s="2" t="str">
        <f>IF(B586="","",IFERROR(INDEX(SKUs!$G$6:$G$1997,MATCH(B586,SKUs!$C$6:$C$1997,0)),""))</f>
        <v>PRETO</v>
      </c>
      <c r="H586" s="25" t="str">
        <f>IF(B586="","",IFERROR(INDEX(SKUs!$H$6:$H$1997,MATCH(B586,SKUs!$C$6:$C$1997,0)),""))</f>
        <v>G</v>
      </c>
      <c r="I586" s="4" t="str">
        <f>IF(B586="","",IFERROR(INDEX(SKUs!#REF!,MATCH(B586,SKUs!$C$6:$C$1997,0)),""))</f>
        <v/>
      </c>
      <c r="J586" s="3">
        <f>IF(B586="","",SUMIFS(SKUs!$I$6:$I$1997,SKUs!$C$6:$C$1997,B586))</f>
        <v>117</v>
      </c>
      <c r="K586" s="4">
        <f t="shared" si="41"/>
        <v>0</v>
      </c>
      <c r="L586" s="3">
        <f>IF(B586="","",COUNTIF(SKUs!$C$6:$C$1997,B586))</f>
        <v>2</v>
      </c>
      <c r="M586" s="29"/>
      <c r="N586" s="29"/>
      <c r="O586" s="29"/>
      <c r="P586" s="29">
        <v>117</v>
      </c>
      <c r="Q586" s="29"/>
      <c r="R586" s="29"/>
      <c r="S586" s="29"/>
      <c r="T586" s="29">
        <v>120</v>
      </c>
      <c r="U586" s="30">
        <f t="shared" si="42"/>
        <v>117</v>
      </c>
      <c r="V586" s="31">
        <f t="shared" si="44"/>
        <v>117</v>
      </c>
    </row>
    <row r="587" spans="1:22" ht="15" hidden="1" customHeight="1" x14ac:dyDescent="0.3">
      <c r="A587" s="25">
        <f t="shared" si="40"/>
        <v>580</v>
      </c>
      <c r="B587" s="26" t="s">
        <v>630</v>
      </c>
      <c r="C587" s="27" t="str">
        <f t="shared" si="43"/>
        <v>Masculino</v>
      </c>
      <c r="D587" s="2" t="str">
        <f>IF(B587="","",IFERROR(INDEX(SKUs!$E$6:$E$1997,MATCH(B587,SKUs!$C$6:$C$1997,0)),""))</f>
        <v xml:space="preserve">POLO </v>
      </c>
      <c r="E587" s="28" t="str">
        <f>IF(B587="","",IFERROR(VLOOKUP(D587,Configurações!$N$5:$O$46,2,FALSE()),"OUTROS"))</f>
        <v>OUTROS</v>
      </c>
      <c r="F587" s="2" t="str">
        <f>IF(B587="","",IFERROR(INDEX(SKUs!$F$6:$F$1997,MATCH(B587,SKUs!$C$6:$C$1997,0)),""))</f>
        <v>POLO PIQUET MASC.</v>
      </c>
      <c r="G587" s="2" t="str">
        <f>IF(B587="","",IFERROR(INDEX(SKUs!$G$6:$G$1997,MATCH(B587,SKUs!$C$6:$C$1997,0)),""))</f>
        <v>PRETO</v>
      </c>
      <c r="H587" s="25" t="str">
        <f>IF(B587="","",IFERROR(INDEX(SKUs!$H$6:$H$1997,MATCH(B587,SKUs!$C$6:$C$1997,0)),""))</f>
        <v>XGG</v>
      </c>
      <c r="I587" s="4" t="str">
        <f>IF(B587="","",IFERROR(INDEX(SKUs!#REF!,MATCH(B587,SKUs!$C$6:$C$1997,0)),""))</f>
        <v/>
      </c>
      <c r="J587" s="3">
        <f>IF(B587="","",SUMIFS(SKUs!$I$6:$I$1997,SKUs!$C$6:$C$1997,B587))</f>
        <v>12</v>
      </c>
      <c r="K587" s="4">
        <f t="shared" si="41"/>
        <v>0</v>
      </c>
      <c r="L587" s="3">
        <f>IF(B587="","",COUNTIF(SKUs!$C$6:$C$1997,B587))</f>
        <v>1</v>
      </c>
      <c r="M587" s="29"/>
      <c r="N587" s="29"/>
      <c r="O587" s="29"/>
      <c r="P587" s="29">
        <v>12</v>
      </c>
      <c r="Q587" s="29"/>
      <c r="R587" s="29"/>
      <c r="S587" s="29"/>
      <c r="T587" s="29">
        <v>10</v>
      </c>
      <c r="U587" s="30">
        <f t="shared" si="42"/>
        <v>12</v>
      </c>
      <c r="V587" s="31">
        <f t="shared" si="44"/>
        <v>12</v>
      </c>
    </row>
    <row r="588" spans="1:22" ht="15" hidden="1" customHeight="1" x14ac:dyDescent="0.3">
      <c r="A588" s="25">
        <f t="shared" ref="A588:A607" si="45">IF(B588="","",ROW()-7)</f>
        <v>581</v>
      </c>
      <c r="B588" s="26" t="s">
        <v>631</v>
      </c>
      <c r="C588" s="27" t="str">
        <f t="shared" si="43"/>
        <v>Masculino</v>
      </c>
      <c r="D588" s="2" t="str">
        <f>IF(B588="","",IFERROR(INDEX(SKUs!$E$6:$E$1997,MATCH(B588,SKUs!$C$6:$C$1997,0)),""))</f>
        <v xml:space="preserve">POLO </v>
      </c>
      <c r="E588" s="28" t="str">
        <f>IF(B588="","",IFERROR(VLOOKUP(D588,Configurações!$N$5:$O$46,2,FALSE()),"OUTROS"))</f>
        <v>OUTROS</v>
      </c>
      <c r="F588" s="2" t="str">
        <f>IF(B588="","",IFERROR(INDEX(SKUs!$F$6:$F$1997,MATCH(B588,SKUs!$C$6:$C$1997,0)),""))</f>
        <v>POLO PIQUET MASC.</v>
      </c>
      <c r="G588" s="2" t="str">
        <f>IF(B588="","",IFERROR(INDEX(SKUs!$G$6:$G$1997,MATCH(B588,SKUs!$C$6:$C$1997,0)),""))</f>
        <v>PRETO</v>
      </c>
      <c r="H588" s="25" t="str">
        <f>IF(B588="","",IFERROR(INDEX(SKUs!$H$6:$H$1997,MATCH(B588,SKUs!$C$6:$C$1997,0)),""))</f>
        <v>P</v>
      </c>
      <c r="I588" s="4" t="str">
        <f>IF(B588="","",IFERROR(INDEX(SKUs!#REF!,MATCH(B588,SKUs!$C$6:$C$1997,0)),""))</f>
        <v/>
      </c>
      <c r="J588" s="3">
        <f>IF(B588="","",SUMIFS(SKUs!$I$6:$I$1997,SKUs!$C$6:$C$1997,B588))</f>
        <v>45</v>
      </c>
      <c r="K588" s="4">
        <f t="shared" ref="K588:K607" si="46">IF(B588="","",IFERROR(I588*J588,0))</f>
        <v>0</v>
      </c>
      <c r="L588" s="3">
        <f>IF(B588="","",COUNTIF(SKUs!$C$6:$C$1997,B588))</f>
        <v>1</v>
      </c>
      <c r="M588" s="29"/>
      <c r="N588" s="29"/>
      <c r="O588" s="29"/>
      <c r="P588" s="29">
        <v>45</v>
      </c>
      <c r="Q588" s="29"/>
      <c r="R588" s="29"/>
      <c r="S588" s="29"/>
      <c r="T588" s="29">
        <v>60</v>
      </c>
      <c r="U588" s="30">
        <f t="shared" ref="U588:U607" si="47">IF(B588="","",SUM(M588:R588))</f>
        <v>45</v>
      </c>
      <c r="V588" s="31">
        <f t="shared" si="44"/>
        <v>45</v>
      </c>
    </row>
    <row r="589" spans="1:22" ht="15" hidden="1" customHeight="1" x14ac:dyDescent="0.3">
      <c r="A589" s="25">
        <f t="shared" si="45"/>
        <v>582</v>
      </c>
      <c r="B589" s="26" t="s">
        <v>632</v>
      </c>
      <c r="C589" s="27" t="str">
        <f t="shared" si="43"/>
        <v>Masculino</v>
      </c>
      <c r="D589" s="2" t="str">
        <f>IF(B589="","",IFERROR(INDEX(SKUs!$E$6:$E$1997,MATCH(B589,SKUs!$C$6:$C$1997,0)),""))</f>
        <v xml:space="preserve">POLO </v>
      </c>
      <c r="E589" s="28" t="str">
        <f>IF(B589="","",IFERROR(VLOOKUP(D589,Configurações!$N$5:$O$46,2,FALSE()),"OUTROS"))</f>
        <v>OUTROS</v>
      </c>
      <c r="F589" s="2" t="str">
        <f>IF(B589="","",IFERROR(INDEX(SKUs!$F$6:$F$1997,MATCH(B589,SKUs!$C$6:$C$1997,0)),""))</f>
        <v>POLO PIQUET MASC.</v>
      </c>
      <c r="G589" s="2" t="str">
        <f>IF(B589="","",IFERROR(INDEX(SKUs!$G$6:$G$1997,MATCH(B589,SKUs!$C$6:$C$1997,0)),""))</f>
        <v>PRETO</v>
      </c>
      <c r="H589" s="25" t="str">
        <f>IF(B589="","",IFERROR(INDEX(SKUs!$H$6:$H$1997,MATCH(B589,SKUs!$C$6:$C$1997,0)),""))</f>
        <v>XG</v>
      </c>
      <c r="I589" s="4" t="str">
        <f>IF(B589="","",IFERROR(INDEX(SKUs!#REF!,MATCH(B589,SKUs!$C$6:$C$1997,0)),""))</f>
        <v/>
      </c>
      <c r="J589" s="3">
        <f>IF(B589="","",SUMIFS(SKUs!$I$6:$I$1997,SKUs!$C$6:$C$1997,B589))</f>
        <v>38</v>
      </c>
      <c r="K589" s="4">
        <f t="shared" si="46"/>
        <v>0</v>
      </c>
      <c r="L589" s="3">
        <f>IF(B589="","",COUNTIF(SKUs!$C$6:$C$1997,B589))</f>
        <v>1</v>
      </c>
      <c r="M589" s="29"/>
      <c r="N589" s="29"/>
      <c r="O589" s="29"/>
      <c r="P589" s="29">
        <v>38</v>
      </c>
      <c r="Q589" s="29"/>
      <c r="R589" s="29"/>
      <c r="S589" s="29"/>
      <c r="T589" s="29">
        <v>30</v>
      </c>
      <c r="U589" s="30">
        <f t="shared" si="47"/>
        <v>38</v>
      </c>
      <c r="V589" s="31">
        <f t="shared" si="44"/>
        <v>38</v>
      </c>
    </row>
    <row r="590" spans="1:22" ht="15" hidden="1" customHeight="1" x14ac:dyDescent="0.3">
      <c r="A590" s="25">
        <f t="shared" si="45"/>
        <v>583</v>
      </c>
      <c r="B590" s="26" t="s">
        <v>633</v>
      </c>
      <c r="C590" s="27" t="str">
        <f t="shared" si="43"/>
        <v>Feminino</v>
      </c>
      <c r="D590" s="2" t="str">
        <f>IF(B590="","",IFERROR(INDEX(SKUs!$E$6:$E$1997,MATCH(B590,SKUs!$C$6:$C$1997,0)),""))</f>
        <v xml:space="preserve">POLO </v>
      </c>
      <c r="E590" s="28" t="str">
        <f>IF(B590="","",IFERROR(VLOOKUP(D590,Configurações!$N$5:$O$46,2,FALSE()),"OUTROS"))</f>
        <v>OUTROS</v>
      </c>
      <c r="F590" s="2" t="str">
        <f>IF(B590="","",IFERROR(INDEX(SKUs!$F$6:$F$1997,MATCH(B590,SKUs!$C$6:$C$1997,0)),""))</f>
        <v>POLO PIQUET FEM.</v>
      </c>
      <c r="G590" s="2" t="str">
        <f>IF(B590="","",IFERROR(INDEX(SKUs!$G$6:$G$1997,MATCH(B590,SKUs!$C$6:$C$1997,0)),""))</f>
        <v>PRETO</v>
      </c>
      <c r="H590" s="25" t="str">
        <f>IF(B590="","",IFERROR(INDEX(SKUs!$H$6:$H$1997,MATCH(B590,SKUs!$C$6:$C$1997,0)),""))</f>
        <v>G</v>
      </c>
      <c r="I590" s="4" t="str">
        <f>IF(B590="","",IFERROR(INDEX(SKUs!#REF!,MATCH(B590,SKUs!$C$6:$C$1997,0)),""))</f>
        <v/>
      </c>
      <c r="J590" s="3">
        <f>IF(B590="","",SUMIFS(SKUs!$I$6:$I$1997,SKUs!$C$6:$C$1997,B590))</f>
        <v>60</v>
      </c>
      <c r="K590" s="4">
        <f t="shared" si="46"/>
        <v>0</v>
      </c>
      <c r="L590" s="3">
        <f>IF(B590="","",COUNTIF(SKUs!$C$6:$C$1997,B590))</f>
        <v>2</v>
      </c>
      <c r="M590" s="29"/>
      <c r="N590" s="29"/>
      <c r="O590" s="29"/>
      <c r="P590" s="29">
        <v>60</v>
      </c>
      <c r="Q590" s="29"/>
      <c r="R590" s="29"/>
      <c r="S590" s="29"/>
      <c r="T590" s="29"/>
      <c r="U590" s="30">
        <f t="shared" si="47"/>
        <v>60</v>
      </c>
      <c r="V590" s="31">
        <f t="shared" si="44"/>
        <v>60</v>
      </c>
    </row>
    <row r="591" spans="1:22" ht="15" hidden="1" customHeight="1" x14ac:dyDescent="0.3">
      <c r="A591" s="25">
        <f t="shared" si="45"/>
        <v>584</v>
      </c>
      <c r="B591" s="26" t="s">
        <v>634</v>
      </c>
      <c r="C591" s="27" t="str">
        <f t="shared" si="43"/>
        <v>Feminino</v>
      </c>
      <c r="D591" s="2" t="str">
        <f>IF(B591="","",IFERROR(INDEX(SKUs!$E$6:$E$1997,MATCH(B591,SKUs!$C$6:$C$1997,0)),""))</f>
        <v xml:space="preserve">POLO </v>
      </c>
      <c r="E591" s="28" t="str">
        <f>IF(B591="","",IFERROR(VLOOKUP(D591,Configurações!$N$5:$O$46,2,FALSE()),"OUTROS"))</f>
        <v>OUTROS</v>
      </c>
      <c r="F591" s="2" t="str">
        <f>IF(B591="","",IFERROR(INDEX(SKUs!$F$6:$F$1997,MATCH(B591,SKUs!$C$6:$C$1997,0)),""))</f>
        <v>POLO PIQUET FEM.</v>
      </c>
      <c r="G591" s="2" t="str">
        <f>IF(B591="","",IFERROR(INDEX(SKUs!$G$6:$G$1997,MATCH(B591,SKUs!$C$6:$C$1997,0)),""))</f>
        <v>PRETO</v>
      </c>
      <c r="H591" s="25" t="str">
        <f>IF(B591="","",IFERROR(INDEX(SKUs!$H$6:$H$1997,MATCH(B591,SKUs!$C$6:$C$1997,0)),""))</f>
        <v>P</v>
      </c>
      <c r="I591" s="4" t="str">
        <f>IF(B591="","",IFERROR(INDEX(SKUs!#REF!,MATCH(B591,SKUs!$C$6:$C$1997,0)),""))</f>
        <v/>
      </c>
      <c r="J591" s="3">
        <f>IF(B591="","",SUMIFS(SKUs!$I$6:$I$1997,SKUs!$C$6:$C$1997,B591))</f>
        <v>44</v>
      </c>
      <c r="K591" s="4">
        <f t="shared" si="46"/>
        <v>0</v>
      </c>
      <c r="L591" s="3">
        <f>IF(B591="","",COUNTIF(SKUs!$C$6:$C$1997,B591))</f>
        <v>1</v>
      </c>
      <c r="M591" s="29"/>
      <c r="N591" s="29"/>
      <c r="O591" s="29"/>
      <c r="P591" s="29">
        <v>44</v>
      </c>
      <c r="Q591" s="29"/>
      <c r="R591" s="29"/>
      <c r="S591" s="29"/>
      <c r="T591" s="29"/>
      <c r="U591" s="30">
        <f t="shared" si="47"/>
        <v>44</v>
      </c>
      <c r="V591" s="31">
        <f t="shared" si="44"/>
        <v>44</v>
      </c>
    </row>
    <row r="592" spans="1:22" ht="15" hidden="1" customHeight="1" x14ac:dyDescent="0.3">
      <c r="A592" s="25">
        <f t="shared" si="45"/>
        <v>585</v>
      </c>
      <c r="B592" s="26" t="s">
        <v>635</v>
      </c>
      <c r="C592" s="27" t="str">
        <f t="shared" si="43"/>
        <v>Feminino</v>
      </c>
      <c r="D592" s="2" t="str">
        <f>IF(B592="","",IFERROR(INDEX(SKUs!$E$6:$E$1997,MATCH(B592,SKUs!$C$6:$C$1997,0)),""))</f>
        <v xml:space="preserve">POLO </v>
      </c>
      <c r="E592" s="28" t="str">
        <f>IF(B592="","",IFERROR(VLOOKUP(D592,Configurações!$N$5:$O$46,2,FALSE()),"OUTROS"))</f>
        <v>OUTROS</v>
      </c>
      <c r="F592" s="2" t="str">
        <f>IF(B592="","",IFERROR(INDEX(SKUs!$F$6:$F$1997,MATCH(B592,SKUs!$C$6:$C$1997,0)),""))</f>
        <v>POLO PIQUET FEM.</v>
      </c>
      <c r="G592" s="2" t="str">
        <f>IF(B592="","",IFERROR(INDEX(SKUs!$G$6:$G$1997,MATCH(B592,SKUs!$C$6:$C$1997,0)),""))</f>
        <v>PRETO</v>
      </c>
      <c r="H592" s="25" t="str">
        <f>IF(B592="","",IFERROR(INDEX(SKUs!$H$6:$H$1997,MATCH(B592,SKUs!$C$6:$C$1997,0)),""))</f>
        <v>PP</v>
      </c>
      <c r="I592" s="4" t="str">
        <f>IF(B592="","",IFERROR(INDEX(SKUs!#REF!,MATCH(B592,SKUs!$C$6:$C$1997,0)),""))</f>
        <v/>
      </c>
      <c r="J592" s="3">
        <f>IF(B592="","",SUMIFS(SKUs!$I$6:$I$1997,SKUs!$C$6:$C$1997,B592))</f>
        <v>22</v>
      </c>
      <c r="K592" s="4">
        <f t="shared" si="46"/>
        <v>0</v>
      </c>
      <c r="L592" s="3">
        <f>IF(B592="","",COUNTIF(SKUs!$C$6:$C$1997,B592))</f>
        <v>1</v>
      </c>
      <c r="M592" s="29"/>
      <c r="N592" s="29"/>
      <c r="O592" s="29"/>
      <c r="P592" s="29">
        <v>22</v>
      </c>
      <c r="Q592" s="29"/>
      <c r="R592" s="29"/>
      <c r="S592" s="29"/>
      <c r="T592" s="29"/>
      <c r="U592" s="30">
        <f t="shared" si="47"/>
        <v>22</v>
      </c>
      <c r="V592" s="31">
        <f t="shared" si="44"/>
        <v>22</v>
      </c>
    </row>
    <row r="593" spans="1:22" ht="15" hidden="1" customHeight="1" x14ac:dyDescent="0.3">
      <c r="A593" s="25">
        <f t="shared" si="45"/>
        <v>586</v>
      </c>
      <c r="B593" s="26" t="s">
        <v>636</v>
      </c>
      <c r="C593" s="27" t="str">
        <f t="shared" si="43"/>
        <v>Feminino</v>
      </c>
      <c r="D593" s="2" t="str">
        <f>IF(B593="","",IFERROR(INDEX(SKUs!$E$6:$E$1997,MATCH(B593,SKUs!$C$6:$C$1997,0)),""))</f>
        <v xml:space="preserve">POLO </v>
      </c>
      <c r="E593" s="28" t="str">
        <f>IF(B593="","",IFERROR(VLOOKUP(D593,Configurações!$N$5:$O$46,2,FALSE()),"OUTROS"))</f>
        <v>OUTROS</v>
      </c>
      <c r="F593" s="2" t="str">
        <f>IF(B593="","",IFERROR(INDEX(SKUs!$F$6:$F$1997,MATCH(B593,SKUs!$C$6:$C$1997,0)),""))</f>
        <v>POLO PIQUET FEM.</v>
      </c>
      <c r="G593" s="2" t="str">
        <f>IF(B593="","",IFERROR(INDEX(SKUs!$G$6:$G$1997,MATCH(B593,SKUs!$C$6:$C$1997,0)),""))</f>
        <v>PRETO</v>
      </c>
      <c r="H593" s="25" t="str">
        <f>IF(B593="","",IFERROR(INDEX(SKUs!$H$6:$H$1997,MATCH(B593,SKUs!$C$6:$C$1997,0)),""))</f>
        <v>GG</v>
      </c>
      <c r="I593" s="4" t="str">
        <f>IF(B593="","",IFERROR(INDEX(SKUs!#REF!,MATCH(B593,SKUs!$C$6:$C$1997,0)),""))</f>
        <v/>
      </c>
      <c r="J593" s="3">
        <f>IF(B593="","",SUMIFS(SKUs!$I$6:$I$1997,SKUs!$C$6:$C$1997,B593))</f>
        <v>16</v>
      </c>
      <c r="K593" s="4">
        <f t="shared" si="46"/>
        <v>0</v>
      </c>
      <c r="L593" s="3">
        <f>IF(B593="","",COUNTIF(SKUs!$C$6:$C$1997,B593))</f>
        <v>1</v>
      </c>
      <c r="M593" s="29"/>
      <c r="N593" s="29"/>
      <c r="O593" s="29"/>
      <c r="P593" s="29">
        <v>16</v>
      </c>
      <c r="Q593" s="29"/>
      <c r="R593" s="29"/>
      <c r="S593" s="29"/>
      <c r="T593" s="29"/>
      <c r="U593" s="30">
        <f t="shared" si="47"/>
        <v>16</v>
      </c>
      <c r="V593" s="31">
        <f t="shared" si="44"/>
        <v>16</v>
      </c>
    </row>
    <row r="594" spans="1:22" ht="15" hidden="1" customHeight="1" x14ac:dyDescent="0.3">
      <c r="A594" s="25">
        <f t="shared" si="45"/>
        <v>587</v>
      </c>
      <c r="B594" s="26" t="s">
        <v>637</v>
      </c>
      <c r="C594" s="27" t="str">
        <f t="shared" si="43"/>
        <v>Feminino</v>
      </c>
      <c r="D594" s="2" t="str">
        <f>IF(B594="","",IFERROR(INDEX(SKUs!$E$6:$E$1997,MATCH(B594,SKUs!$C$6:$C$1997,0)),""))</f>
        <v xml:space="preserve">POLO </v>
      </c>
      <c r="E594" s="28" t="str">
        <f>IF(B594="","",IFERROR(VLOOKUP(D594,Configurações!$N$5:$O$46,2,FALSE()),"OUTROS"))</f>
        <v>OUTROS</v>
      </c>
      <c r="F594" s="2" t="str">
        <f>IF(B594="","",IFERROR(INDEX(SKUs!$F$6:$F$1997,MATCH(B594,SKUs!$C$6:$C$1997,0)),""))</f>
        <v>POLO PIQUET FEM.</v>
      </c>
      <c r="G594" s="2" t="str">
        <f>IF(B594="","",IFERROR(INDEX(SKUs!$G$6:$G$1997,MATCH(B594,SKUs!$C$6:$C$1997,0)),""))</f>
        <v>PRETO</v>
      </c>
      <c r="H594" s="25" t="str">
        <f>IF(B594="","",IFERROR(INDEX(SKUs!$H$6:$H$1997,MATCH(B594,SKUs!$C$6:$C$1997,0)),""))</f>
        <v>XG</v>
      </c>
      <c r="I594" s="4" t="str">
        <f>IF(B594="","",IFERROR(INDEX(SKUs!#REF!,MATCH(B594,SKUs!$C$6:$C$1997,0)),""))</f>
        <v/>
      </c>
      <c r="J594" s="3">
        <f>IF(B594="","",SUMIFS(SKUs!$I$6:$I$1997,SKUs!$C$6:$C$1997,B594))</f>
        <v>16</v>
      </c>
      <c r="K594" s="4">
        <f t="shared" si="46"/>
        <v>0</v>
      </c>
      <c r="L594" s="3">
        <f>IF(B594="","",COUNTIF(SKUs!$C$6:$C$1997,B594))</f>
        <v>1</v>
      </c>
      <c r="M594" s="29"/>
      <c r="N594" s="29"/>
      <c r="O594" s="29"/>
      <c r="P594" s="29">
        <v>16</v>
      </c>
      <c r="Q594" s="29"/>
      <c r="R594" s="29"/>
      <c r="S594" s="29"/>
      <c r="T594" s="29"/>
      <c r="U594" s="30">
        <f t="shared" si="47"/>
        <v>16</v>
      </c>
      <c r="V594" s="31">
        <f t="shared" si="44"/>
        <v>16</v>
      </c>
    </row>
    <row r="595" spans="1:22" ht="15" hidden="1" customHeight="1" x14ac:dyDescent="0.3">
      <c r="A595" s="25">
        <f t="shared" si="45"/>
        <v>588</v>
      </c>
      <c r="B595" s="26" t="s">
        <v>638</v>
      </c>
      <c r="C595" s="27" t="str">
        <f t="shared" si="43"/>
        <v>Feminino</v>
      </c>
      <c r="D595" s="2" t="str">
        <f>IF(B595="","",IFERROR(INDEX(SKUs!$E$6:$E$1997,MATCH(B595,SKUs!$C$6:$C$1997,0)),""))</f>
        <v xml:space="preserve">POLO </v>
      </c>
      <c r="E595" s="28" t="str">
        <f>IF(B595="","",IFERROR(VLOOKUP(D595,Configurações!$N$5:$O$46,2,FALSE()),"OUTROS"))</f>
        <v>OUTROS</v>
      </c>
      <c r="F595" s="2" t="str">
        <f>IF(B595="","",IFERROR(INDEX(SKUs!$F$6:$F$1997,MATCH(B595,SKUs!$C$6:$C$1997,0)),""))</f>
        <v>POLO PIQUET FEM.</v>
      </c>
      <c r="G595" s="2" t="str">
        <f>IF(B595="","",IFERROR(INDEX(SKUs!$G$6:$G$1997,MATCH(B595,SKUs!$C$6:$C$1997,0)),""))</f>
        <v>PRETO</v>
      </c>
      <c r="H595" s="25" t="str">
        <f>IF(B595="","",IFERROR(INDEX(SKUs!$H$6:$H$1997,MATCH(B595,SKUs!$C$6:$C$1997,0)),""))</f>
        <v>M</v>
      </c>
      <c r="I595" s="4" t="str">
        <f>IF(B595="","",IFERROR(INDEX(SKUs!#REF!,MATCH(B595,SKUs!$C$6:$C$1997,0)),""))</f>
        <v/>
      </c>
      <c r="J595" s="3">
        <f>IF(B595="","",SUMIFS(SKUs!$I$6:$I$1997,SKUs!$C$6:$C$1997,B595))</f>
        <v>44</v>
      </c>
      <c r="K595" s="4">
        <f t="shared" si="46"/>
        <v>0</v>
      </c>
      <c r="L595" s="3">
        <f>IF(B595="","",COUNTIF(SKUs!$C$6:$C$1997,B595))</f>
        <v>1</v>
      </c>
      <c r="M595" s="29"/>
      <c r="N595" s="29"/>
      <c r="O595" s="29"/>
      <c r="P595" s="29">
        <v>44</v>
      </c>
      <c r="Q595" s="29"/>
      <c r="R595" s="29"/>
      <c r="S595" s="29"/>
      <c r="T595" s="29"/>
      <c r="U595" s="30">
        <f t="shared" si="47"/>
        <v>44</v>
      </c>
      <c r="V595" s="31">
        <f t="shared" si="44"/>
        <v>44</v>
      </c>
    </row>
    <row r="596" spans="1:22" ht="15" hidden="1" customHeight="1" x14ac:dyDescent="0.3">
      <c r="A596" s="25">
        <f t="shared" si="45"/>
        <v>589</v>
      </c>
      <c r="B596" s="26" t="s">
        <v>639</v>
      </c>
      <c r="C596" s="27" t="str">
        <f t="shared" si="43"/>
        <v>Feminino</v>
      </c>
      <c r="D596" s="2" t="str">
        <f>IF(B596="","",IFERROR(INDEX(SKUs!$E$6:$E$1997,MATCH(B596,SKUs!$C$6:$C$1997,0)),""))</f>
        <v xml:space="preserve">POLO </v>
      </c>
      <c r="E596" s="28" t="str">
        <f>IF(B596="","",IFERROR(VLOOKUP(D596,Configurações!$N$5:$O$46,2,FALSE()),"OUTROS"))</f>
        <v>OUTROS</v>
      </c>
      <c r="F596" s="2" t="str">
        <f>IF(B596="","",IFERROR(INDEX(SKUs!$F$6:$F$1997,MATCH(B596,SKUs!$C$6:$C$1997,0)),""))</f>
        <v>POLO PIQUET ARPOADOR FEM.</v>
      </c>
      <c r="G596" s="2" t="str">
        <f>IF(B596="","",IFERROR(INDEX(SKUs!$G$6:$G$1997,MATCH(B596,SKUs!$C$6:$C$1997,0)),""))</f>
        <v>ARPOADOR</v>
      </c>
      <c r="H596" s="25" t="str">
        <f>IF(B596="","",IFERROR(INDEX(SKUs!$H$6:$H$1997,MATCH(B596,SKUs!$C$6:$C$1997,0)),""))</f>
        <v>P</v>
      </c>
      <c r="I596" s="4" t="str">
        <f>IF(B596="","",IFERROR(INDEX(SKUs!#REF!,MATCH(B596,SKUs!$C$6:$C$1997,0)),""))</f>
        <v/>
      </c>
      <c r="J596" s="3">
        <f>IF(B596="","",SUMIFS(SKUs!$I$6:$I$1997,SKUs!$C$6:$C$1997,B596))</f>
        <v>132</v>
      </c>
      <c r="K596" s="4">
        <f t="shared" si="46"/>
        <v>0</v>
      </c>
      <c r="L596" s="3">
        <f>IF(B596="","",COUNTIF(SKUs!$C$6:$C$1997,B596))</f>
        <v>2</v>
      </c>
      <c r="M596" s="29"/>
      <c r="N596" s="29"/>
      <c r="O596" s="29"/>
      <c r="P596" s="29">
        <v>55</v>
      </c>
      <c r="Q596" s="29"/>
      <c r="R596" s="29"/>
      <c r="S596" s="29"/>
      <c r="T596" s="29"/>
      <c r="U596" s="30">
        <f t="shared" si="47"/>
        <v>55</v>
      </c>
      <c r="V596" s="31">
        <f t="shared" si="44"/>
        <v>132</v>
      </c>
    </row>
    <row r="597" spans="1:22" ht="15" hidden="1" customHeight="1" x14ac:dyDescent="0.3">
      <c r="A597" s="25">
        <f t="shared" si="45"/>
        <v>590</v>
      </c>
      <c r="B597" s="26" t="s">
        <v>640</v>
      </c>
      <c r="C597" s="27" t="str">
        <f t="shared" si="43"/>
        <v>Feminino</v>
      </c>
      <c r="D597" s="2" t="str">
        <f>IF(B597="","",IFERROR(INDEX(SKUs!$E$6:$E$1997,MATCH(B597,SKUs!$C$6:$C$1997,0)),""))</f>
        <v xml:space="preserve">POLO </v>
      </c>
      <c r="E597" s="28" t="str">
        <f>IF(B597="","",IFERROR(VLOOKUP(D597,Configurações!$N$5:$O$46,2,FALSE()),"OUTROS"))</f>
        <v>OUTROS</v>
      </c>
      <c r="F597" s="2" t="str">
        <f>IF(B597="","",IFERROR(INDEX(SKUs!$F$6:$F$1997,MATCH(B597,SKUs!$C$6:$C$1997,0)),""))</f>
        <v>POLO PIQUET ARPOADOR FEM.</v>
      </c>
      <c r="G597" s="2" t="str">
        <f>IF(B597="","",IFERROR(INDEX(SKUs!$G$6:$G$1997,MATCH(B597,SKUs!$C$6:$C$1997,0)),""))</f>
        <v>ARPOADOR</v>
      </c>
      <c r="H597" s="25" t="str">
        <f>IF(B597="","",IFERROR(INDEX(SKUs!$H$6:$H$1997,MATCH(B597,SKUs!$C$6:$C$1997,0)),""))</f>
        <v>PP</v>
      </c>
      <c r="I597" s="4" t="str">
        <f>IF(B597="","",IFERROR(INDEX(SKUs!#REF!,MATCH(B597,SKUs!$C$6:$C$1997,0)),""))</f>
        <v/>
      </c>
      <c r="J597" s="3">
        <f>IF(B597="","",SUMIFS(SKUs!$I$6:$I$1997,SKUs!$C$6:$C$1997,B597))</f>
        <v>65</v>
      </c>
      <c r="K597" s="4">
        <f t="shared" si="46"/>
        <v>0</v>
      </c>
      <c r="L597" s="3">
        <f>IF(B597="","",COUNTIF(SKUs!$C$6:$C$1997,B597))</f>
        <v>2</v>
      </c>
      <c r="M597" s="29"/>
      <c r="N597" s="29"/>
      <c r="O597" s="29"/>
      <c r="P597" s="29">
        <v>30</v>
      </c>
      <c r="Q597" s="29"/>
      <c r="R597" s="29"/>
      <c r="S597" s="29"/>
      <c r="T597" s="29"/>
      <c r="U597" s="30">
        <f t="shared" si="47"/>
        <v>30</v>
      </c>
      <c r="V597" s="31">
        <f t="shared" si="44"/>
        <v>65</v>
      </c>
    </row>
    <row r="598" spans="1:22" ht="15" hidden="1" customHeight="1" x14ac:dyDescent="0.3">
      <c r="A598" s="25">
        <f t="shared" si="45"/>
        <v>591</v>
      </c>
      <c r="B598" s="26" t="s">
        <v>641</v>
      </c>
      <c r="C598" s="27" t="str">
        <f t="shared" si="43"/>
        <v>Feminino</v>
      </c>
      <c r="D598" s="2" t="str">
        <f>IF(B598="","",IFERROR(INDEX(SKUs!$E$6:$E$1997,MATCH(B598,SKUs!$C$6:$C$1997,0)),""))</f>
        <v xml:space="preserve">POLO </v>
      </c>
      <c r="E598" s="28" t="str">
        <f>IF(B598="","",IFERROR(VLOOKUP(D598,Configurações!$N$5:$O$46,2,FALSE()),"OUTROS"))</f>
        <v>OUTROS</v>
      </c>
      <c r="F598" s="2" t="str">
        <f>IF(B598="","",IFERROR(INDEX(SKUs!$F$6:$F$1997,MATCH(B598,SKUs!$C$6:$C$1997,0)),""))</f>
        <v>POLO PIQUET ARPOADOR FEM.</v>
      </c>
      <c r="G598" s="2" t="str">
        <f>IF(B598="","",IFERROR(INDEX(SKUs!$G$6:$G$1997,MATCH(B598,SKUs!$C$6:$C$1997,0)),""))</f>
        <v>ARPOADOR</v>
      </c>
      <c r="H598" s="25" t="str">
        <f>IF(B598="","",IFERROR(INDEX(SKUs!$H$6:$H$1997,MATCH(B598,SKUs!$C$6:$C$1997,0)),""))</f>
        <v>XG</v>
      </c>
      <c r="I598" s="4" t="str">
        <f>IF(B598="","",IFERROR(INDEX(SKUs!#REF!,MATCH(B598,SKUs!$C$6:$C$1997,0)),""))</f>
        <v/>
      </c>
      <c r="J598" s="3">
        <f>IF(B598="","",SUMIFS(SKUs!$I$6:$I$1997,SKUs!$C$6:$C$1997,B598))</f>
        <v>23</v>
      </c>
      <c r="K598" s="4">
        <f t="shared" si="46"/>
        <v>0</v>
      </c>
      <c r="L598" s="3">
        <f>IF(B598="","",COUNTIF(SKUs!$C$6:$C$1997,B598))</f>
        <v>2</v>
      </c>
      <c r="M598" s="29"/>
      <c r="N598" s="29"/>
      <c r="O598" s="29"/>
      <c r="P598" s="29">
        <v>25</v>
      </c>
      <c r="Q598" s="29"/>
      <c r="R598" s="29"/>
      <c r="S598" s="29"/>
      <c r="T598" s="29"/>
      <c r="U598" s="30">
        <f t="shared" si="47"/>
        <v>25</v>
      </c>
      <c r="V598" s="31">
        <f t="shared" si="44"/>
        <v>23</v>
      </c>
    </row>
    <row r="599" spans="1:22" ht="15" hidden="1" customHeight="1" x14ac:dyDescent="0.3">
      <c r="A599" s="25">
        <f t="shared" si="45"/>
        <v>592</v>
      </c>
      <c r="B599" s="26" t="s">
        <v>642</v>
      </c>
      <c r="C599" s="27" t="str">
        <f t="shared" si="43"/>
        <v>Feminino</v>
      </c>
      <c r="D599" s="2" t="str">
        <f>IF(B599="","",IFERROR(INDEX(SKUs!$E$6:$E$1997,MATCH(B599,SKUs!$C$6:$C$1997,0)),""))</f>
        <v xml:space="preserve">POLO </v>
      </c>
      <c r="E599" s="28" t="str">
        <f>IF(B599="","",IFERROR(VLOOKUP(D599,Configurações!$N$5:$O$46,2,FALSE()),"OUTROS"))</f>
        <v>OUTROS</v>
      </c>
      <c r="F599" s="2" t="str">
        <f>IF(B599="","",IFERROR(INDEX(SKUs!$F$6:$F$1997,MATCH(B599,SKUs!$C$6:$C$1997,0)),""))</f>
        <v>POLO PIQUET ARPOADOR FEM.</v>
      </c>
      <c r="G599" s="2" t="str">
        <f>IF(B599="","",IFERROR(INDEX(SKUs!$G$6:$G$1997,MATCH(B599,SKUs!$C$6:$C$1997,0)),""))</f>
        <v>ARPOADOR</v>
      </c>
      <c r="H599" s="25" t="str">
        <f>IF(B599="","",IFERROR(INDEX(SKUs!$H$6:$H$1997,MATCH(B599,SKUs!$C$6:$C$1997,0)),""))</f>
        <v>GG</v>
      </c>
      <c r="I599" s="4" t="str">
        <f>IF(B599="","",IFERROR(INDEX(SKUs!#REF!,MATCH(B599,SKUs!$C$6:$C$1997,0)),""))</f>
        <v/>
      </c>
      <c r="J599" s="3">
        <f>IF(B599="","",SUMIFS(SKUs!$I$6:$I$1997,SKUs!$C$6:$C$1997,B599))</f>
        <v>40</v>
      </c>
      <c r="K599" s="4">
        <f t="shared" si="46"/>
        <v>0</v>
      </c>
      <c r="L599" s="3">
        <f>IF(B599="","",COUNTIF(SKUs!$C$6:$C$1997,B599))</f>
        <v>2</v>
      </c>
      <c r="M599" s="29"/>
      <c r="N599" s="29"/>
      <c r="O599" s="29"/>
      <c r="P599" s="29">
        <v>35</v>
      </c>
      <c r="Q599" s="29"/>
      <c r="R599" s="29"/>
      <c r="S599" s="29"/>
      <c r="T599" s="29"/>
      <c r="U599" s="30">
        <f t="shared" si="47"/>
        <v>35</v>
      </c>
      <c r="V599" s="31">
        <f t="shared" si="44"/>
        <v>40</v>
      </c>
    </row>
    <row r="600" spans="1:22" ht="15" hidden="1" customHeight="1" x14ac:dyDescent="0.3">
      <c r="A600" s="25">
        <f t="shared" si="45"/>
        <v>593</v>
      </c>
      <c r="B600" s="26" t="s">
        <v>643</v>
      </c>
      <c r="C600" s="27" t="str">
        <f t="shared" si="43"/>
        <v>Feminino</v>
      </c>
      <c r="D600" s="2" t="str">
        <f>IF(B600="","",IFERROR(INDEX(SKUs!$E$6:$E$1997,MATCH(B600,SKUs!$C$6:$C$1997,0)),""))</f>
        <v xml:space="preserve">POLO </v>
      </c>
      <c r="E600" s="28" t="str">
        <f>IF(B600="","",IFERROR(VLOOKUP(D600,Configurações!$N$5:$O$46,2,FALSE()),"OUTROS"))</f>
        <v>OUTROS</v>
      </c>
      <c r="F600" s="2" t="str">
        <f>IF(B600="","",IFERROR(INDEX(SKUs!$F$6:$F$1997,MATCH(B600,SKUs!$C$6:$C$1997,0)),""))</f>
        <v>POLO PIQUET ARPOADOR FEM.</v>
      </c>
      <c r="G600" s="2" t="str">
        <f>IF(B600="","",IFERROR(INDEX(SKUs!$G$6:$G$1997,MATCH(B600,SKUs!$C$6:$C$1997,0)),""))</f>
        <v>ARPOADOR</v>
      </c>
      <c r="H600" s="25" t="str">
        <f>IF(B600="","",IFERROR(INDEX(SKUs!$H$6:$H$1997,MATCH(B600,SKUs!$C$6:$C$1997,0)),""))</f>
        <v>G</v>
      </c>
      <c r="I600" s="4" t="str">
        <f>IF(B600="","",IFERROR(INDEX(SKUs!#REF!,MATCH(B600,SKUs!$C$6:$C$1997,0)),""))</f>
        <v/>
      </c>
      <c r="J600" s="3">
        <f>IF(B600="","",SUMIFS(SKUs!$I$6:$I$1997,SKUs!$C$6:$C$1997,B600))</f>
        <v>112</v>
      </c>
      <c r="K600" s="4">
        <f t="shared" si="46"/>
        <v>0</v>
      </c>
      <c r="L600" s="3">
        <f>IF(B600="","",COUNTIF(SKUs!$C$6:$C$1997,B600))</f>
        <v>2</v>
      </c>
      <c r="M600" s="29"/>
      <c r="N600" s="29"/>
      <c r="O600" s="29"/>
      <c r="P600" s="29">
        <v>50</v>
      </c>
      <c r="Q600" s="29"/>
      <c r="R600" s="29"/>
      <c r="S600" s="29"/>
      <c r="T600" s="29"/>
      <c r="U600" s="30">
        <f t="shared" si="47"/>
        <v>50</v>
      </c>
      <c r="V600" s="31">
        <f t="shared" si="44"/>
        <v>112</v>
      </c>
    </row>
    <row r="601" spans="1:22" ht="15" hidden="1" customHeight="1" x14ac:dyDescent="0.3">
      <c r="A601" s="25">
        <f t="shared" si="45"/>
        <v>594</v>
      </c>
      <c r="B601" s="26" t="s">
        <v>644</v>
      </c>
      <c r="C601" s="27" t="str">
        <f t="shared" si="43"/>
        <v>Feminino</v>
      </c>
      <c r="D601" s="2" t="str">
        <f>IF(B601="","",IFERROR(INDEX(SKUs!$E$6:$E$1997,MATCH(B601,SKUs!$C$6:$C$1997,0)),""))</f>
        <v xml:space="preserve">POLO </v>
      </c>
      <c r="E601" s="28" t="str">
        <f>IF(B601="","",IFERROR(VLOOKUP(D601,Configurações!$N$5:$O$46,2,FALSE()),"OUTROS"))</f>
        <v>OUTROS</v>
      </c>
      <c r="F601" s="2" t="str">
        <f>IF(B601="","",IFERROR(INDEX(SKUs!$F$6:$F$1997,MATCH(B601,SKUs!$C$6:$C$1997,0)),""))</f>
        <v>POLO PIQUET ARPOADOR FEM.</v>
      </c>
      <c r="G601" s="2" t="str">
        <f>IF(B601="","",IFERROR(INDEX(SKUs!$G$6:$G$1997,MATCH(B601,SKUs!$C$6:$C$1997,0)),""))</f>
        <v>ARPOADOR</v>
      </c>
      <c r="H601" s="25" t="str">
        <f>IF(B601="","",IFERROR(INDEX(SKUs!$H$6:$H$1997,MATCH(B601,SKUs!$C$6:$C$1997,0)),""))</f>
        <v>M</v>
      </c>
      <c r="I601" s="4" t="str">
        <f>IF(B601="","",IFERROR(INDEX(SKUs!#REF!,MATCH(B601,SKUs!$C$6:$C$1997,0)),""))</f>
        <v/>
      </c>
      <c r="J601" s="3">
        <f>IF(B601="","",SUMIFS(SKUs!$I$6:$I$1997,SKUs!$C$6:$C$1997,B601))</f>
        <v>151</v>
      </c>
      <c r="K601" s="4">
        <f t="shared" si="46"/>
        <v>0</v>
      </c>
      <c r="L601" s="3">
        <f>IF(B601="","",COUNTIF(SKUs!$C$6:$C$1997,B601))</f>
        <v>2</v>
      </c>
      <c r="M601" s="29"/>
      <c r="N601" s="29"/>
      <c r="O601" s="29"/>
      <c r="P601" s="29">
        <v>55</v>
      </c>
      <c r="Q601" s="29"/>
      <c r="R601" s="29"/>
      <c r="S601" s="29"/>
      <c r="T601" s="29"/>
      <c r="U601" s="30">
        <f t="shared" si="47"/>
        <v>55</v>
      </c>
      <c r="V601" s="31">
        <f t="shared" si="44"/>
        <v>151</v>
      </c>
    </row>
    <row r="602" spans="1:22" ht="15" hidden="1" customHeight="1" x14ac:dyDescent="0.3">
      <c r="A602" s="25">
        <f t="shared" si="45"/>
        <v>595</v>
      </c>
      <c r="B602" s="26" t="s">
        <v>645</v>
      </c>
      <c r="C602" s="27" t="str">
        <f t="shared" si="43"/>
        <v>Masculino</v>
      </c>
      <c r="D602" s="2" t="str">
        <f>IF(B602="","",IFERROR(INDEX(SKUs!$E$6:$E$1997,MATCH(B602,SKUs!$C$6:$C$1997,0)),""))</f>
        <v xml:space="preserve">POLO </v>
      </c>
      <c r="E602" s="28" t="str">
        <f>IF(B602="","",IFERROR(VLOOKUP(D602,Configurações!$N$5:$O$46,2,FALSE()),"OUTROS"))</f>
        <v>OUTROS</v>
      </c>
      <c r="F602" s="2" t="str">
        <f>IF(B602="","",IFERROR(INDEX(SKUs!$F$6:$F$1997,MATCH(B602,SKUs!$C$6:$C$1997,0)),""))</f>
        <v>POLO PIQUET ARPOADOR MASC.</v>
      </c>
      <c r="G602" s="2" t="str">
        <f>IF(B602="","",IFERROR(INDEX(SKUs!$G$6:$G$1997,MATCH(B602,SKUs!$C$6:$C$1997,0)),""))</f>
        <v>JEANS</v>
      </c>
      <c r="H602" s="25" t="str">
        <f>IF(B602="","",IFERROR(INDEX(SKUs!$H$6:$H$1997,MATCH(B602,SKUs!$C$6:$C$1997,0)),""))</f>
        <v>M</v>
      </c>
      <c r="I602" s="4" t="str">
        <f>IF(B602="","",IFERROR(INDEX(SKUs!#REF!,MATCH(B602,SKUs!$C$6:$C$1997,0)),""))</f>
        <v/>
      </c>
      <c r="J602" s="3">
        <f>IF(B602="","",SUMIFS(SKUs!$I$6:$I$1997,SKUs!$C$6:$C$1997,B602))</f>
        <v>207</v>
      </c>
      <c r="K602" s="4">
        <f t="shared" si="46"/>
        <v>0</v>
      </c>
      <c r="L602" s="3">
        <f>IF(B602="","",COUNTIF(SKUs!$C$6:$C$1997,B602))</f>
        <v>5</v>
      </c>
      <c r="M602" s="29"/>
      <c r="N602" s="29"/>
      <c r="O602" s="29"/>
      <c r="P602" s="29">
        <v>207</v>
      </c>
      <c r="Q602" s="29"/>
      <c r="R602" s="29"/>
      <c r="S602" s="29"/>
      <c r="T602" s="29"/>
      <c r="U602" s="30">
        <f t="shared" si="47"/>
        <v>207</v>
      </c>
      <c r="V602" s="31">
        <f t="shared" si="44"/>
        <v>207</v>
      </c>
    </row>
    <row r="603" spans="1:22" ht="15" hidden="1" customHeight="1" x14ac:dyDescent="0.3">
      <c r="A603" s="25">
        <f t="shared" si="45"/>
        <v>596</v>
      </c>
      <c r="B603" s="26" t="s">
        <v>646</v>
      </c>
      <c r="C603" s="27" t="str">
        <f t="shared" si="43"/>
        <v>Masculino</v>
      </c>
      <c r="D603" s="2" t="str">
        <f>IF(B603="","",IFERROR(INDEX(SKUs!$E$6:$E$1997,MATCH(B603,SKUs!$C$6:$C$1997,0)),""))</f>
        <v xml:space="preserve">POLO </v>
      </c>
      <c r="E603" s="28" t="str">
        <f>IF(B603="","",IFERROR(VLOOKUP(D603,Configurações!$N$5:$O$46,2,FALSE()),"OUTROS"))</f>
        <v>OUTROS</v>
      </c>
      <c r="F603" s="2" t="str">
        <f>IF(B603="","",IFERROR(INDEX(SKUs!$F$6:$F$1997,MATCH(B603,SKUs!$C$6:$C$1997,0)),""))</f>
        <v>POLO PIQUET ARPOADOR MASC.</v>
      </c>
      <c r="G603" s="2" t="str">
        <f>IF(B603="","",IFERROR(INDEX(SKUs!$G$6:$G$1997,MATCH(B603,SKUs!$C$6:$C$1997,0)),""))</f>
        <v>JEANS</v>
      </c>
      <c r="H603" s="25" t="str">
        <f>IF(B603="","",IFERROR(INDEX(SKUs!$H$6:$H$1997,MATCH(B603,SKUs!$C$6:$C$1997,0)),""))</f>
        <v>G</v>
      </c>
      <c r="I603" s="4" t="str">
        <f>IF(B603="","",IFERROR(INDEX(SKUs!#REF!,MATCH(B603,SKUs!$C$6:$C$1997,0)),""))</f>
        <v/>
      </c>
      <c r="J603" s="3">
        <f>IF(B603="","",SUMIFS(SKUs!$I$6:$I$1997,SKUs!$C$6:$C$1997,B603))</f>
        <v>117</v>
      </c>
      <c r="K603" s="4">
        <f t="shared" si="46"/>
        <v>0</v>
      </c>
      <c r="L603" s="3">
        <f>IF(B603="","",COUNTIF(SKUs!$C$6:$C$1997,B603))</f>
        <v>3</v>
      </c>
      <c r="M603" s="29"/>
      <c r="N603" s="29"/>
      <c r="O603" s="29"/>
      <c r="P603" s="29">
        <v>117</v>
      </c>
      <c r="Q603" s="29"/>
      <c r="R603" s="29"/>
      <c r="S603" s="29"/>
      <c r="T603" s="29"/>
      <c r="U603" s="30">
        <f t="shared" si="47"/>
        <v>117</v>
      </c>
      <c r="V603" s="31">
        <f t="shared" si="44"/>
        <v>117</v>
      </c>
    </row>
    <row r="604" spans="1:22" ht="15" hidden="1" customHeight="1" x14ac:dyDescent="0.3">
      <c r="A604" s="25">
        <f t="shared" si="45"/>
        <v>597</v>
      </c>
      <c r="B604" s="26" t="s">
        <v>647</v>
      </c>
      <c r="C604" s="27" t="str">
        <f t="shared" si="43"/>
        <v>Masculino</v>
      </c>
      <c r="D604" s="2" t="str">
        <f>IF(B604="","",IFERROR(INDEX(SKUs!$E$6:$E$1997,MATCH(B604,SKUs!$C$6:$C$1997,0)),""))</f>
        <v xml:space="preserve">POLO </v>
      </c>
      <c r="E604" s="28" t="str">
        <f>IF(B604="","",IFERROR(VLOOKUP(D604,Configurações!$N$5:$O$46,2,FALSE()),"OUTROS"))</f>
        <v>OUTROS</v>
      </c>
      <c r="F604" s="2" t="str">
        <f>IF(B604="","",IFERROR(INDEX(SKUs!$F$6:$F$1997,MATCH(B604,SKUs!$C$6:$C$1997,0)),""))</f>
        <v>POLO PIQUET ARPOADOR MASC.</v>
      </c>
      <c r="G604" s="2" t="str">
        <f>IF(B604="","",IFERROR(INDEX(SKUs!$G$6:$G$1997,MATCH(B604,SKUs!$C$6:$C$1997,0)),""))</f>
        <v>JEANS</v>
      </c>
      <c r="H604" s="25" t="str">
        <f>IF(B604="","",IFERROR(INDEX(SKUs!$H$6:$H$1997,MATCH(B604,SKUs!$C$6:$C$1997,0)),""))</f>
        <v>GG</v>
      </c>
      <c r="I604" s="4" t="str">
        <f>IF(B604="","",IFERROR(INDEX(SKUs!#REF!,MATCH(B604,SKUs!$C$6:$C$1997,0)),""))</f>
        <v/>
      </c>
      <c r="J604" s="3">
        <f>IF(B604="","",SUMIFS(SKUs!$I$6:$I$1997,SKUs!$C$6:$C$1997,B604))</f>
        <v>86</v>
      </c>
      <c r="K604" s="4">
        <f t="shared" si="46"/>
        <v>0</v>
      </c>
      <c r="L604" s="3">
        <f>IF(B604="","",COUNTIF(SKUs!$C$6:$C$1997,B604))</f>
        <v>3</v>
      </c>
      <c r="M604" s="29"/>
      <c r="N604" s="29"/>
      <c r="O604" s="29"/>
      <c r="P604" s="29">
        <v>86</v>
      </c>
      <c r="Q604" s="29"/>
      <c r="R604" s="29"/>
      <c r="S604" s="29"/>
      <c r="T604" s="29"/>
      <c r="U604" s="30">
        <f t="shared" si="47"/>
        <v>86</v>
      </c>
      <c r="V604" s="31">
        <f t="shared" si="44"/>
        <v>86</v>
      </c>
    </row>
    <row r="605" spans="1:22" ht="15" hidden="1" customHeight="1" x14ac:dyDescent="0.3">
      <c r="A605" s="25">
        <f t="shared" si="45"/>
        <v>598</v>
      </c>
      <c r="B605" s="26" t="s">
        <v>648</v>
      </c>
      <c r="C605" s="27" t="str">
        <f t="shared" si="43"/>
        <v>Masculino</v>
      </c>
      <c r="D605" s="2" t="str">
        <f>IF(B605="","",IFERROR(INDEX(SKUs!$E$6:$E$1997,MATCH(B605,SKUs!$C$6:$C$1997,0)),""))</f>
        <v xml:space="preserve">POLO </v>
      </c>
      <c r="E605" s="28" t="str">
        <f>IF(B605="","",IFERROR(VLOOKUP(D605,Configurações!$N$5:$O$46,2,FALSE()),"OUTROS"))</f>
        <v>OUTROS</v>
      </c>
      <c r="F605" s="2" t="str">
        <f>IF(B605="","",IFERROR(INDEX(SKUs!$F$6:$F$1997,MATCH(B605,SKUs!$C$6:$C$1997,0)),""))</f>
        <v>POLO PIQUET ARPOADOR MASC.</v>
      </c>
      <c r="G605" s="2" t="str">
        <f>IF(B605="","",IFERROR(INDEX(SKUs!$G$6:$G$1997,MATCH(B605,SKUs!$C$6:$C$1997,0)),""))</f>
        <v>JEANS</v>
      </c>
      <c r="H605" s="25" t="str">
        <f>IF(B605="","",IFERROR(INDEX(SKUs!$H$6:$H$1997,MATCH(B605,SKUs!$C$6:$C$1997,0)),""))</f>
        <v>XG</v>
      </c>
      <c r="I605" s="4" t="str">
        <f>IF(B605="","",IFERROR(INDEX(SKUs!#REF!,MATCH(B605,SKUs!$C$6:$C$1997,0)),""))</f>
        <v/>
      </c>
      <c r="J605" s="3">
        <f>IF(B605="","",SUMIFS(SKUs!$I$6:$I$1997,SKUs!$C$6:$C$1997,B605))</f>
        <v>68</v>
      </c>
      <c r="K605" s="4">
        <f t="shared" si="46"/>
        <v>0</v>
      </c>
      <c r="L605" s="3">
        <f>IF(B605="","",COUNTIF(SKUs!$C$6:$C$1997,B605))</f>
        <v>2</v>
      </c>
      <c r="M605" s="29"/>
      <c r="N605" s="29"/>
      <c r="O605" s="29"/>
      <c r="P605" s="29">
        <v>68</v>
      </c>
      <c r="Q605" s="29"/>
      <c r="R605" s="29"/>
      <c r="S605" s="29"/>
      <c r="T605" s="29"/>
      <c r="U605" s="30">
        <f t="shared" si="47"/>
        <v>68</v>
      </c>
      <c r="V605" s="31">
        <f t="shared" si="44"/>
        <v>68</v>
      </c>
    </row>
    <row r="606" spans="1:22" ht="15" hidden="1" customHeight="1" x14ac:dyDescent="0.3">
      <c r="A606" s="25">
        <f t="shared" si="45"/>
        <v>599</v>
      </c>
      <c r="B606" s="26" t="s">
        <v>649</v>
      </c>
      <c r="C606" s="27" t="str">
        <f t="shared" si="43"/>
        <v>Masculino</v>
      </c>
      <c r="D606" s="2" t="str">
        <f>IF(B606="","",IFERROR(INDEX(SKUs!$E$6:$E$1997,MATCH(B606,SKUs!$C$6:$C$1997,0)),""))</f>
        <v xml:space="preserve">POLO </v>
      </c>
      <c r="E606" s="28" t="str">
        <f>IF(B606="","",IFERROR(VLOOKUP(D606,Configurações!$N$5:$O$46,2,FALSE()),"OUTROS"))</f>
        <v>OUTROS</v>
      </c>
      <c r="F606" s="2" t="str">
        <f>IF(B606="","",IFERROR(INDEX(SKUs!$F$6:$F$1997,MATCH(B606,SKUs!$C$6:$C$1997,0)),""))</f>
        <v>POLO PIQUET ARPOADOR MASC.</v>
      </c>
      <c r="G606" s="2" t="str">
        <f>IF(B606="","",IFERROR(INDEX(SKUs!$G$6:$G$1997,MATCH(B606,SKUs!$C$6:$C$1997,0)),""))</f>
        <v>JEANS</v>
      </c>
      <c r="H606" s="25" t="str">
        <f>IF(B606="","",IFERROR(INDEX(SKUs!$H$6:$H$1997,MATCH(B606,SKUs!$C$6:$C$1997,0)),""))</f>
        <v>PP</v>
      </c>
      <c r="I606" s="4" t="str">
        <f>IF(B606="","",IFERROR(INDEX(SKUs!#REF!,MATCH(B606,SKUs!$C$6:$C$1997,0)),""))</f>
        <v/>
      </c>
      <c r="J606" s="3">
        <f>IF(B606="","",SUMIFS(SKUs!$I$6:$I$1997,SKUs!$C$6:$C$1997,B606))</f>
        <v>18</v>
      </c>
      <c r="K606" s="4">
        <f t="shared" si="46"/>
        <v>0</v>
      </c>
      <c r="L606" s="3">
        <f>IF(B606="","",COUNTIF(SKUs!$C$6:$C$1997,B606))</f>
        <v>2</v>
      </c>
      <c r="M606" s="29"/>
      <c r="N606" s="29"/>
      <c r="O606" s="29"/>
      <c r="P606" s="29">
        <v>18</v>
      </c>
      <c r="Q606" s="29"/>
      <c r="R606" s="29"/>
      <c r="S606" s="29"/>
      <c r="T606" s="29"/>
      <c r="U606" s="30">
        <f t="shared" si="47"/>
        <v>18</v>
      </c>
      <c r="V606" s="31">
        <f t="shared" si="44"/>
        <v>18</v>
      </c>
    </row>
    <row r="607" spans="1:22" ht="15" hidden="1" customHeight="1" x14ac:dyDescent="0.3">
      <c r="A607" s="25">
        <f t="shared" si="45"/>
        <v>600</v>
      </c>
      <c r="B607" s="26" t="s">
        <v>650</v>
      </c>
      <c r="C607" s="27" t="str">
        <f t="shared" si="43"/>
        <v>Masculino</v>
      </c>
      <c r="D607" s="2" t="str">
        <f>IF(B607="","",IFERROR(INDEX(SKUs!$E$6:$E$1997,MATCH(B607,SKUs!$C$6:$C$1997,0)),""))</f>
        <v xml:space="preserve">POLO </v>
      </c>
      <c r="E607" s="28" t="str">
        <f>IF(B607="","",IFERROR(VLOOKUP(D607,Configurações!$N$5:$O$46,2,FALSE()),"OUTROS"))</f>
        <v>OUTROS</v>
      </c>
      <c r="F607" s="2" t="str">
        <f>IF(B607="","",IFERROR(INDEX(SKUs!$F$6:$F$1997,MATCH(B607,SKUs!$C$6:$C$1997,0)),""))</f>
        <v>POLO PIQUET ARPOADOR MASC.</v>
      </c>
      <c r="G607" s="2" t="str">
        <f>IF(B607="","",IFERROR(INDEX(SKUs!$G$6:$G$1997,MATCH(B607,SKUs!$C$6:$C$1997,0)),""))</f>
        <v>JEANS</v>
      </c>
      <c r="H607" s="25" t="str">
        <f>IF(B607="","",IFERROR(INDEX(SKUs!$H$6:$H$1997,MATCH(B607,SKUs!$C$6:$C$1997,0)),""))</f>
        <v>P</v>
      </c>
      <c r="I607" s="4" t="str">
        <f>IF(B607="","",IFERROR(INDEX(SKUs!#REF!,MATCH(B607,SKUs!$C$6:$C$1997,0)),""))</f>
        <v/>
      </c>
      <c r="J607" s="3">
        <f>IF(B607="","",SUMIFS(SKUs!$I$6:$I$1997,SKUs!$C$6:$C$1997,B607))</f>
        <v>68</v>
      </c>
      <c r="K607" s="4">
        <f t="shared" si="46"/>
        <v>0</v>
      </c>
      <c r="L607" s="3">
        <f>IF(B607="","",COUNTIF(SKUs!$C$6:$C$1997,B607))</f>
        <v>1</v>
      </c>
      <c r="M607" s="29"/>
      <c r="N607" s="29"/>
      <c r="O607" s="29"/>
      <c r="P607" s="29">
        <v>68</v>
      </c>
      <c r="Q607" s="29"/>
      <c r="R607" s="29"/>
      <c r="S607" s="29"/>
      <c r="T607" s="29"/>
      <c r="U607" s="30">
        <f t="shared" si="47"/>
        <v>68</v>
      </c>
      <c r="V607" s="31">
        <f t="shared" si="44"/>
        <v>68</v>
      </c>
    </row>
    <row r="608" spans="1:22" ht="15" customHeight="1" x14ac:dyDescent="0.3">
      <c r="A608" s="37" t="s">
        <v>22</v>
      </c>
      <c r="J608" s="38">
        <f>SUBTOTAL(109,Catalogo[ESTOQUE BTG])</f>
        <v>8</v>
      </c>
      <c r="K608" s="39">
        <f>SUBTOTAL(109,Catalogo[CUSTO TOTAL])</f>
        <v>0</v>
      </c>
      <c r="L608" s="38"/>
      <c r="M608" s="40">
        <f>SUBTOTAL(109,Catalogo[PEDIDO 1- entregar BTG (saida)])</f>
        <v>0</v>
      </c>
      <c r="N608" s="40">
        <f>SUBTOTAL(109,Catalogo[PEDIDO 2 BTG entregar Dutelog (entrada)])</f>
        <v>0</v>
      </c>
      <c r="O608" s="40">
        <f>SUBTOTAL(109,Catalogo[PEDIDO 3- applicato entregar duelog 12/06])</f>
        <v>0</v>
      </c>
      <c r="P608" s="40">
        <f>SUBTOTAL(109,Catalogo[PEDIDO 4- applicato entregar duelog 29/06])</f>
        <v>0</v>
      </c>
      <c r="Q608" s="40">
        <f>SUBTOTAL(109,Catalogo[PEDIDO 5- applicato entregar duelog 15/07])</f>
        <v>0</v>
      </c>
      <c r="R608" s="40">
        <f>SUBTOTAL(109,Catalogo[PEDIDO 6- applicato entregar duelog 20/07])</f>
        <v>0</v>
      </c>
      <c r="S608" s="40">
        <f>SUBTOTAL(109,Catalogo[PEDIDO 7- applicato entregar duelog 30/07])</f>
        <v>0</v>
      </c>
      <c r="T608" s="40">
        <f>SUBTOTAL(109,Catalogo[PEDIDO 8- applicato entregar duelog 01/11])</f>
        <v>0</v>
      </c>
      <c r="U608" s="30">
        <f>SUBTOTAL(109,Catalogo[QTD SOLIC.])</f>
        <v>0</v>
      </c>
      <c r="V608" s="30">
        <f>SUBTOTAL(109,Catalogo[DISPONÍVEL])</f>
        <v>8</v>
      </c>
    </row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</sheetData>
  <mergeCells count="8">
    <mergeCell ref="B6:C6"/>
    <mergeCell ref="D6:F6"/>
    <mergeCell ref="G6:K6"/>
    <mergeCell ref="B2:V2"/>
    <mergeCell ref="B3:V3"/>
    <mergeCell ref="B5:C5"/>
    <mergeCell ref="D5:F5"/>
    <mergeCell ref="G5:K5"/>
  </mergeCells>
  <conditionalFormatting sqref="V8:V491 V493:V619">
    <cfRule type="cellIs" dxfId="0" priority="2" operator="lessThan">
      <formula>0</formula>
    </cfRule>
  </conditionalFormatting>
  <dataValidations count="1">
    <dataValidation type="whole" operator="greaterThanOrEqual" allowBlank="1" sqref="M8:T491" xr:uid="{00000000-0002-0000-01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ED7D31"/>
  </sheetPr>
  <dimension ref="A1:U1003"/>
  <sheetViews>
    <sheetView tabSelected="1" zoomScaleNormal="100" workbookViewId="0">
      <pane ySplit="5" topLeftCell="A542" activePane="bottomLeft" state="frozen"/>
      <selection pane="bottomLeft" activeCell="C5" sqref="C5:I835"/>
    </sheetView>
  </sheetViews>
  <sheetFormatPr defaultColWidth="8.6640625" defaultRowHeight="14.4" x14ac:dyDescent="0.3"/>
  <cols>
    <col min="1" max="1" width="12" customWidth="1"/>
    <col min="2" max="2" width="11" customWidth="1"/>
    <col min="3" max="3" width="16" customWidth="1"/>
    <col min="4" max="4" width="11" customWidth="1"/>
    <col min="5" max="5" width="16" customWidth="1"/>
    <col min="6" max="6" width="32" customWidth="1"/>
    <col min="7" max="7" width="13" customWidth="1"/>
    <col min="8" max="8" width="7" customWidth="1"/>
    <col min="9" max="9" width="12" customWidth="1"/>
    <col min="10" max="10" width="13" customWidth="1"/>
    <col min="11" max="11" width="7" customWidth="1"/>
    <col min="12" max="12" width="11" style="41" customWidth="1"/>
    <col min="13" max="13" width="10" customWidth="1"/>
    <col min="14" max="14" width="24.44140625" customWidth="1"/>
    <col min="16" max="18" width="13" hidden="1" customWidth="1"/>
    <col min="20" max="20" width="13" hidden="1" customWidth="1"/>
  </cols>
  <sheetData>
    <row r="1" spans="1:20" ht="25.5" customHeight="1" x14ac:dyDescent="0.3">
      <c r="A1" s="195" t="s">
        <v>651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5" spans="1:20" ht="27.75" customHeight="1" x14ac:dyDescent="0.3">
      <c r="A5" s="22" t="s">
        <v>652</v>
      </c>
      <c r="B5" s="22" t="s">
        <v>29</v>
      </c>
      <c r="C5" s="22" t="s">
        <v>34</v>
      </c>
      <c r="D5" s="22" t="s">
        <v>35</v>
      </c>
      <c r="E5" s="22" t="s">
        <v>11</v>
      </c>
      <c r="F5" s="22" t="s">
        <v>27</v>
      </c>
      <c r="G5" s="22" t="s">
        <v>37</v>
      </c>
      <c r="H5" s="22" t="s">
        <v>38</v>
      </c>
      <c r="I5" s="22" t="s">
        <v>654</v>
      </c>
      <c r="J5" s="22" t="s">
        <v>655</v>
      </c>
      <c r="K5" s="22" t="s">
        <v>656</v>
      </c>
      <c r="L5" s="22" t="s">
        <v>657</v>
      </c>
      <c r="M5" s="22" t="s">
        <v>658</v>
      </c>
      <c r="N5" s="22" t="s">
        <v>659</v>
      </c>
      <c r="P5" s="42" t="s">
        <v>660</v>
      </c>
      <c r="Q5" s="42" t="s">
        <v>661</v>
      </c>
      <c r="R5" s="42" t="s">
        <v>662</v>
      </c>
      <c r="T5" s="42" t="s">
        <v>663</v>
      </c>
    </row>
    <row r="6" spans="1:20" ht="14.25" hidden="1" customHeight="1" x14ac:dyDescent="0.3">
      <c r="A6" s="43" t="s">
        <v>664</v>
      </c>
      <c r="B6" s="44" t="s">
        <v>665</v>
      </c>
      <c r="C6" s="165" t="s">
        <v>52</v>
      </c>
      <c r="D6" s="45" t="str">
        <f t="shared" ref="D6:D69" si="0">IF(C6="","",IFERROR(IF(TRIM(MID(SUBSTITUTE(C6,".",REPT(" ",50)),51,50))="01","Masculino",IF(TRIM(MID(SUBSTITUTE(C6,".",REPT(" ",50)),51,50))="02","Feminino",IF(TRIM(MID(SUBSTITUTE(C6,".",REPT(" ",50)),51,50))="03","Outros","—"))),"—"))</f>
        <v>Masculino</v>
      </c>
      <c r="E6" s="43" t="s">
        <v>666</v>
      </c>
      <c r="F6" s="43" t="s">
        <v>667</v>
      </c>
      <c r="G6" s="43" t="s">
        <v>668</v>
      </c>
      <c r="H6" s="43" t="s">
        <v>669</v>
      </c>
      <c r="I6" s="46">
        <f>SUMIFS(Movimentações!$F$6:$F$4998,Movimentações!$C$6:$C$4998,A6,Movimentações!$M$6:$M$4998,M6)</f>
        <v>0</v>
      </c>
      <c r="J6" s="43" t="s">
        <v>670</v>
      </c>
      <c r="K6" s="43" t="s">
        <v>671</v>
      </c>
      <c r="L6" s="47" t="s">
        <v>672</v>
      </c>
      <c r="M6" s="43" t="s">
        <v>673</v>
      </c>
      <c r="N6" s="43" t="str">
        <f t="shared" ref="N6:N69" si="1">IF(AND(K6="",L6="",M6=""),"⚠ sem endereço","Rua "&amp;K6&amp;IF(L6="",""," · Prat "&amp;L6)&amp;IF(M6="",""," · "&amp;M6))</f>
        <v>Rua A · Prat 1 · C-01</v>
      </c>
      <c r="P6">
        <f>IF(A6="","",IF(AND(K6&lt;&gt;"",L6&lt;&gt;""),IF(COUNTIFS($K$6:K6,K6,$L$6:L6,L6)=1,1,0),0))</f>
        <v>1</v>
      </c>
      <c r="Q6">
        <f>IF(A6="","",IF(AND(K6&lt;&gt;"",M6&lt;&gt;""),IF(COUNTIFS($K$6:K6,K6,$M$6:M6,M6)=1,1,0),0))</f>
        <v>1</v>
      </c>
      <c r="R6">
        <f>IF(A6="","",IF(M6&lt;&gt;"",IF(COUNTIF($M$6:M6,M6)=1,1,0),0))</f>
        <v>1</v>
      </c>
      <c r="T6" t="str">
        <f>IF(AND($M6&lt;&gt;"",$M6='Mapa do Galpão'!$C$20),COUNTIF($M$6:$M6,'Mapa do Galpão'!$C$20),"")</f>
        <v/>
      </c>
    </row>
    <row r="7" spans="1:20" ht="14.25" hidden="1" customHeight="1" x14ac:dyDescent="0.3">
      <c r="A7" s="43" t="s">
        <v>674</v>
      </c>
      <c r="B7" s="44" t="s">
        <v>665</v>
      </c>
      <c r="C7" s="165" t="s">
        <v>53</v>
      </c>
      <c r="D7" s="45" t="str">
        <f t="shared" si="0"/>
        <v>Masculino</v>
      </c>
      <c r="E7" s="43" t="s">
        <v>666</v>
      </c>
      <c r="F7" s="43" t="s">
        <v>667</v>
      </c>
      <c r="G7" s="43" t="s">
        <v>668</v>
      </c>
      <c r="H7" s="43" t="s">
        <v>675</v>
      </c>
      <c r="I7" s="46">
        <f>SUMIFS(Movimentações!$F$6:$F$4998,Movimentações!$C$6:$C$4998,A7,Movimentações!$M$6:$M$4998,M7)</f>
        <v>0</v>
      </c>
      <c r="J7" s="43" t="s">
        <v>670</v>
      </c>
      <c r="K7" s="43" t="s">
        <v>671</v>
      </c>
      <c r="L7" s="47" t="s">
        <v>672</v>
      </c>
      <c r="M7" s="43" t="s">
        <v>673</v>
      </c>
      <c r="N7" s="43" t="str">
        <f t="shared" si="1"/>
        <v>Rua A · Prat 1 · C-01</v>
      </c>
      <c r="P7">
        <f>IF(A7="","",IF(AND(K7&lt;&gt;"",L7&lt;&gt;""),IF(COUNTIFS($K$6:K7,K7,$L$6:L7,L7)=1,1,0),0))</f>
        <v>0</v>
      </c>
      <c r="Q7">
        <f>IF(A7="","",IF(AND(K7&lt;&gt;"",M7&lt;&gt;""),IF(COUNTIFS($K$6:K7,K7,$M$6:M7,M7)=1,1,0),0))</f>
        <v>0</v>
      </c>
      <c r="R7">
        <f>IF(A7="","",IF(M7&lt;&gt;"",IF(COUNTIF($M$6:M7,M7)=1,1,0),0))</f>
        <v>0</v>
      </c>
      <c r="T7" t="str">
        <f>IF(AND($M7&lt;&gt;"",$M7='Mapa do Galpão'!$C$20),COUNTIF($M$6:$M7,'Mapa do Galpão'!$C$20),"")</f>
        <v/>
      </c>
    </row>
    <row r="8" spans="1:20" ht="14.25" hidden="1" customHeight="1" x14ac:dyDescent="0.3">
      <c r="A8" s="43" t="s">
        <v>676</v>
      </c>
      <c r="B8" s="44" t="s">
        <v>665</v>
      </c>
      <c r="C8" s="165" t="s">
        <v>54</v>
      </c>
      <c r="D8" s="45" t="str">
        <f t="shared" si="0"/>
        <v>Masculino</v>
      </c>
      <c r="E8" s="43" t="s">
        <v>666</v>
      </c>
      <c r="F8" s="43" t="s">
        <v>667</v>
      </c>
      <c r="G8" s="43" t="s">
        <v>668</v>
      </c>
      <c r="H8" s="43" t="s">
        <v>677</v>
      </c>
      <c r="I8" s="46">
        <f>SUMIFS(Movimentações!$F$6:$F$4998,Movimentações!$C$6:$C$4998,A8,Movimentações!$M$6:$M$4998,M8)</f>
        <v>0</v>
      </c>
      <c r="J8" s="43" t="s">
        <v>670</v>
      </c>
      <c r="K8" s="43" t="s">
        <v>671</v>
      </c>
      <c r="L8" s="47" t="s">
        <v>672</v>
      </c>
      <c r="M8" s="43" t="s">
        <v>673</v>
      </c>
      <c r="N8" s="43" t="str">
        <f t="shared" si="1"/>
        <v>Rua A · Prat 1 · C-01</v>
      </c>
      <c r="P8">
        <f>IF(A8="","",IF(AND(K8&lt;&gt;"",L8&lt;&gt;""),IF(COUNTIFS($K$6:K8,K8,$L$6:L8,L8)=1,1,0),0))</f>
        <v>0</v>
      </c>
      <c r="Q8">
        <f>IF(A8="","",IF(AND(K8&lt;&gt;"",M8&lt;&gt;""),IF(COUNTIFS($K$6:K8,K8,$M$6:M8,M8)=1,1,0),0))</f>
        <v>0</v>
      </c>
      <c r="R8">
        <f>IF(A8="","",IF(M8&lt;&gt;"",IF(COUNTIF($M$6:M8,M8)=1,1,0),0))</f>
        <v>0</v>
      </c>
      <c r="T8" t="str">
        <f>IF(AND($M8&lt;&gt;"",$M8='Mapa do Galpão'!$C$20),COUNTIF($M$6:$M8,'Mapa do Galpão'!$C$20),"")</f>
        <v/>
      </c>
    </row>
    <row r="9" spans="1:20" ht="14.25" hidden="1" customHeight="1" x14ac:dyDescent="0.3">
      <c r="A9" s="43" t="s">
        <v>676</v>
      </c>
      <c r="B9" s="44" t="s">
        <v>665</v>
      </c>
      <c r="C9" s="165" t="s">
        <v>54</v>
      </c>
      <c r="D9" s="45" t="str">
        <f t="shared" si="0"/>
        <v>Masculino</v>
      </c>
      <c r="E9" s="43" t="s">
        <v>666</v>
      </c>
      <c r="F9" s="43" t="s">
        <v>667</v>
      </c>
      <c r="G9" s="43" t="s">
        <v>668</v>
      </c>
      <c r="H9" s="43" t="s">
        <v>677</v>
      </c>
      <c r="I9" s="46">
        <f>SUMIFS(Movimentações!$F$6:$F$4998,Movimentações!$C$6:$C$4998,A9,Movimentações!$M$6:$M$4998,M9)</f>
        <v>0</v>
      </c>
      <c r="J9" s="43" t="s">
        <v>670</v>
      </c>
      <c r="K9" s="43" t="s">
        <v>671</v>
      </c>
      <c r="L9" s="47" t="s">
        <v>672</v>
      </c>
      <c r="M9" s="43" t="s">
        <v>678</v>
      </c>
      <c r="N9" s="43" t="str">
        <f t="shared" si="1"/>
        <v>Rua A · Prat 1 · C-02</v>
      </c>
      <c r="P9">
        <f>IF(A9="","",IF(AND(K9&lt;&gt;"",L9&lt;&gt;""),IF(COUNTIFS($K$6:K9,K9,$L$6:L9,L9)=1,1,0),0))</f>
        <v>0</v>
      </c>
      <c r="Q9">
        <f>IF(A9="","",IF(AND(K9&lt;&gt;"",M9&lt;&gt;""),IF(COUNTIFS($K$6:K9,K9,$M$6:M9,M9)=1,1,0),0))</f>
        <v>1</v>
      </c>
      <c r="R9">
        <f>IF(A9="","",IF(M9&lt;&gt;"",IF(COUNTIF($M$6:M9,M9)=1,1,0),0))</f>
        <v>1</v>
      </c>
      <c r="T9" t="str">
        <f>IF(AND($M9&lt;&gt;"",$M9='Mapa do Galpão'!$C$20),COUNTIF($M$6:$M9,'Mapa do Galpão'!$C$20),"")</f>
        <v/>
      </c>
    </row>
    <row r="10" spans="1:20" ht="14.25" hidden="1" customHeight="1" x14ac:dyDescent="0.3">
      <c r="A10" s="43" t="s">
        <v>679</v>
      </c>
      <c r="B10" s="44" t="s">
        <v>665</v>
      </c>
      <c r="C10" s="165" t="s">
        <v>55</v>
      </c>
      <c r="D10" s="45" t="str">
        <f t="shared" si="0"/>
        <v>Masculino</v>
      </c>
      <c r="E10" s="43" t="s">
        <v>666</v>
      </c>
      <c r="F10" s="43" t="s">
        <v>667</v>
      </c>
      <c r="G10" s="43" t="s">
        <v>668</v>
      </c>
      <c r="H10" s="43" t="s">
        <v>680</v>
      </c>
      <c r="I10" s="46">
        <f>SUMIFS(Movimentações!$F$6:$F$4998,Movimentações!$C$6:$C$4998,A10,Movimentações!$M$6:$M$4998,M10)</f>
        <v>0</v>
      </c>
      <c r="J10" s="43" t="s">
        <v>670</v>
      </c>
      <c r="K10" s="43" t="s">
        <v>671</v>
      </c>
      <c r="L10" s="47" t="s">
        <v>672</v>
      </c>
      <c r="M10" s="43" t="s">
        <v>673</v>
      </c>
      <c r="N10" s="43" t="str">
        <f t="shared" si="1"/>
        <v>Rua A · Prat 1 · C-01</v>
      </c>
      <c r="P10">
        <f>IF(A10="","",IF(AND(K10&lt;&gt;"",L10&lt;&gt;""),IF(COUNTIFS($K$6:K10,K10,$L$6:L10,L10)=1,1,0),0))</f>
        <v>0</v>
      </c>
      <c r="Q10">
        <f>IF(A10="","",IF(AND(K10&lt;&gt;"",M10&lt;&gt;""),IF(COUNTIFS($K$6:K10,K10,$M$6:M10,M10)=1,1,0),0))</f>
        <v>0</v>
      </c>
      <c r="R10">
        <f>IF(A10="","",IF(M10&lt;&gt;"",IF(COUNTIF($M$6:M10,M10)=1,1,0),0))</f>
        <v>0</v>
      </c>
      <c r="T10" t="str">
        <f>IF(AND($M10&lt;&gt;"",$M10='Mapa do Galpão'!$C$20),COUNTIF($M$6:$M10,'Mapa do Galpão'!$C$20),"")</f>
        <v/>
      </c>
    </row>
    <row r="11" spans="1:20" ht="14.25" hidden="1" customHeight="1" x14ac:dyDescent="0.3">
      <c r="A11" s="43" t="s">
        <v>679</v>
      </c>
      <c r="B11" s="44" t="s">
        <v>665</v>
      </c>
      <c r="C11" s="165" t="s">
        <v>55</v>
      </c>
      <c r="D11" s="45" t="str">
        <f t="shared" si="0"/>
        <v>Masculino</v>
      </c>
      <c r="E11" s="43" t="s">
        <v>666</v>
      </c>
      <c r="F11" s="43" t="s">
        <v>667</v>
      </c>
      <c r="G11" s="43" t="s">
        <v>668</v>
      </c>
      <c r="H11" s="43" t="s">
        <v>680</v>
      </c>
      <c r="I11" s="46">
        <f>SUMIFS(Movimentações!$F$6:$F$4998,Movimentações!$C$6:$C$4998,A11,Movimentações!$M$6:$M$4998,M11)</f>
        <v>0</v>
      </c>
      <c r="J11" s="43" t="s">
        <v>670</v>
      </c>
      <c r="K11" s="43" t="s">
        <v>671</v>
      </c>
      <c r="L11" s="47" t="s">
        <v>672</v>
      </c>
      <c r="M11" s="43" t="s">
        <v>678</v>
      </c>
      <c r="N11" s="43" t="str">
        <f t="shared" si="1"/>
        <v>Rua A · Prat 1 · C-02</v>
      </c>
      <c r="P11">
        <f>IF(A11="","",IF(AND(K11&lt;&gt;"",L11&lt;&gt;""),IF(COUNTIFS($K$6:K11,K11,$L$6:L11,L11)=1,1,0),0))</f>
        <v>0</v>
      </c>
      <c r="Q11">
        <f>IF(A11="","",IF(AND(K11&lt;&gt;"",M11&lt;&gt;""),IF(COUNTIFS($K$6:K11,K11,$M$6:M11,M11)=1,1,0),0))</f>
        <v>0</v>
      </c>
      <c r="R11">
        <f>IF(A11="","",IF(M11&lt;&gt;"",IF(COUNTIF($M$6:M11,M11)=1,1,0),0))</f>
        <v>0</v>
      </c>
      <c r="T11" t="str">
        <f>IF(AND($M11&lt;&gt;"",$M11='Mapa do Galpão'!$C$20),COUNTIF($M$6:$M11,'Mapa do Galpão'!$C$20),"")</f>
        <v/>
      </c>
    </row>
    <row r="12" spans="1:20" ht="14.25" hidden="1" customHeight="1" x14ac:dyDescent="0.3">
      <c r="A12" s="43" t="s">
        <v>681</v>
      </c>
      <c r="B12" s="44" t="s">
        <v>665</v>
      </c>
      <c r="C12" s="165" t="s">
        <v>56</v>
      </c>
      <c r="D12" s="45" t="str">
        <f t="shared" si="0"/>
        <v>Masculino</v>
      </c>
      <c r="E12" s="43" t="s">
        <v>666</v>
      </c>
      <c r="F12" s="43" t="s">
        <v>667</v>
      </c>
      <c r="G12" s="43" t="s">
        <v>668</v>
      </c>
      <c r="H12" s="43" t="s">
        <v>682</v>
      </c>
      <c r="I12" s="46">
        <f>SUMIFS(Movimentações!$F$6:$F$4998,Movimentações!$C$6:$C$4998,A12,Movimentações!$M$6:$M$4998,M12)</f>
        <v>0</v>
      </c>
      <c r="J12" s="43" t="s">
        <v>670</v>
      </c>
      <c r="K12" s="43" t="s">
        <v>671</v>
      </c>
      <c r="L12" s="47" t="s">
        <v>672</v>
      </c>
      <c r="M12" s="43" t="s">
        <v>678</v>
      </c>
      <c r="N12" s="43" t="str">
        <f t="shared" si="1"/>
        <v>Rua A · Prat 1 · C-02</v>
      </c>
      <c r="P12">
        <f>IF(A12="","",IF(AND(K12&lt;&gt;"",L12&lt;&gt;""),IF(COUNTIFS($K$6:K12,K12,$L$6:L12,L12)=1,1,0),0))</f>
        <v>0</v>
      </c>
      <c r="Q12">
        <f>IF(A12="","",IF(AND(K12&lt;&gt;"",M12&lt;&gt;""),IF(COUNTIFS($K$6:K12,K12,$M$6:M12,M12)=1,1,0),0))</f>
        <v>0</v>
      </c>
      <c r="R12">
        <f>IF(A12="","",IF(M12&lt;&gt;"",IF(COUNTIF($M$6:M12,M12)=1,1,0),0))</f>
        <v>0</v>
      </c>
      <c r="T12" t="str">
        <f>IF(AND($M12&lt;&gt;"",$M12='Mapa do Galpão'!$C$20),COUNTIF($M$6:$M12,'Mapa do Galpão'!$C$20),"")</f>
        <v/>
      </c>
    </row>
    <row r="13" spans="1:20" ht="14.25" hidden="1" customHeight="1" x14ac:dyDescent="0.3">
      <c r="A13" s="43" t="s">
        <v>683</v>
      </c>
      <c r="B13" s="44" t="s">
        <v>665</v>
      </c>
      <c r="C13" s="165" t="s">
        <v>57</v>
      </c>
      <c r="D13" s="45" t="str">
        <f t="shared" si="0"/>
        <v>Masculino</v>
      </c>
      <c r="E13" s="43" t="s">
        <v>684</v>
      </c>
      <c r="F13" s="43" t="s">
        <v>685</v>
      </c>
      <c r="G13" s="43" t="s">
        <v>668</v>
      </c>
      <c r="H13" s="43" t="s">
        <v>680</v>
      </c>
      <c r="I13" s="46">
        <f>SUMIFS(Movimentações!$F$6:$F$4998,Movimentações!$C$6:$C$4998,A13,Movimentações!$M$6:$M$4998,M13)</f>
        <v>0</v>
      </c>
      <c r="J13" s="43" t="s">
        <v>670</v>
      </c>
      <c r="K13" s="43" t="s">
        <v>671</v>
      </c>
      <c r="L13" s="47" t="s">
        <v>672</v>
      </c>
      <c r="M13" s="43" t="s">
        <v>686</v>
      </c>
      <c r="N13" s="43" t="str">
        <f t="shared" si="1"/>
        <v>Rua A · Prat 1 · C-03</v>
      </c>
      <c r="P13">
        <f>IF(A13="","",IF(AND(K13&lt;&gt;"",L13&lt;&gt;""),IF(COUNTIFS($K$6:K13,K13,$L$6:L13,L13)=1,1,0),0))</f>
        <v>0</v>
      </c>
      <c r="Q13">
        <f>IF(A13="","",IF(AND(K13&lt;&gt;"",M13&lt;&gt;""),IF(COUNTIFS($K$6:K13,K13,$M$6:M13,M13)=1,1,0),0))</f>
        <v>1</v>
      </c>
      <c r="R13">
        <f>IF(A13="","",IF(M13&lt;&gt;"",IF(COUNTIF($M$6:M13,M13)=1,1,0),0))</f>
        <v>1</v>
      </c>
      <c r="T13" t="str">
        <f>IF(AND($M13&lt;&gt;"",$M13='Mapa do Galpão'!$C$20),COUNTIF($M$6:$M13,'Mapa do Galpão'!$C$20),"")</f>
        <v/>
      </c>
    </row>
    <row r="14" spans="1:20" ht="14.25" hidden="1" customHeight="1" x14ac:dyDescent="0.3">
      <c r="A14" s="43" t="s">
        <v>687</v>
      </c>
      <c r="B14" s="44" t="s">
        <v>665</v>
      </c>
      <c r="C14" s="165" t="s">
        <v>58</v>
      </c>
      <c r="D14" s="45" t="str">
        <f t="shared" si="0"/>
        <v>Masculino</v>
      </c>
      <c r="E14" s="43" t="s">
        <v>684</v>
      </c>
      <c r="F14" s="43" t="s">
        <v>685</v>
      </c>
      <c r="G14" s="43" t="s">
        <v>668</v>
      </c>
      <c r="H14" s="43" t="s">
        <v>675</v>
      </c>
      <c r="I14" s="46">
        <f>SUMIFS(Movimentações!$F$6:$F$4998,Movimentações!$C$6:$C$4998,A14,Movimentações!$M$6:$M$4998,M14)</f>
        <v>0</v>
      </c>
      <c r="J14" s="43" t="s">
        <v>670</v>
      </c>
      <c r="K14" s="43" t="s">
        <v>671</v>
      </c>
      <c r="L14" s="47" t="s">
        <v>672</v>
      </c>
      <c r="M14" s="43" t="s">
        <v>686</v>
      </c>
      <c r="N14" s="43" t="str">
        <f t="shared" si="1"/>
        <v>Rua A · Prat 1 · C-03</v>
      </c>
      <c r="P14">
        <f>IF(A14="","",IF(AND(K14&lt;&gt;"",L14&lt;&gt;""),IF(COUNTIFS($K$6:K14,K14,$L$6:L14,L14)=1,1,0),0))</f>
        <v>0</v>
      </c>
      <c r="Q14">
        <f>IF(A14="","",IF(AND(K14&lt;&gt;"",M14&lt;&gt;""),IF(COUNTIFS($K$6:K14,K14,$M$6:M14,M14)=1,1,0),0))</f>
        <v>0</v>
      </c>
      <c r="R14">
        <f>IF(A14="","",IF(M14&lt;&gt;"",IF(COUNTIF($M$6:M14,M14)=1,1,0),0))</f>
        <v>0</v>
      </c>
      <c r="T14" t="str">
        <f>IF(AND($M14&lt;&gt;"",$M14='Mapa do Galpão'!$C$20),COUNTIF($M$6:$M14,'Mapa do Galpão'!$C$20),"")</f>
        <v/>
      </c>
    </row>
    <row r="15" spans="1:20" ht="14.25" hidden="1" customHeight="1" x14ac:dyDescent="0.3">
      <c r="A15" s="43" t="s">
        <v>688</v>
      </c>
      <c r="B15" s="44" t="s">
        <v>665</v>
      </c>
      <c r="C15" s="165" t="s">
        <v>59</v>
      </c>
      <c r="D15" s="45" t="str">
        <f t="shared" si="0"/>
        <v>Masculino</v>
      </c>
      <c r="E15" s="43" t="s">
        <v>684</v>
      </c>
      <c r="F15" s="43" t="s">
        <v>685</v>
      </c>
      <c r="G15" s="43" t="s">
        <v>668</v>
      </c>
      <c r="H15" s="43" t="s">
        <v>682</v>
      </c>
      <c r="I15" s="46">
        <f>SUMIFS(Movimentações!$F$6:$F$4998,Movimentações!$C$6:$C$4998,A15,Movimentações!$M$6:$M$4998,M15)</f>
        <v>0</v>
      </c>
      <c r="J15" s="43" t="s">
        <v>670</v>
      </c>
      <c r="K15" s="43" t="s">
        <v>671</v>
      </c>
      <c r="L15" s="47" t="s">
        <v>672</v>
      </c>
      <c r="M15" s="43" t="s">
        <v>686</v>
      </c>
      <c r="N15" s="43" t="str">
        <f t="shared" si="1"/>
        <v>Rua A · Prat 1 · C-03</v>
      </c>
      <c r="P15">
        <f>IF(A15="","",IF(AND(K15&lt;&gt;"",L15&lt;&gt;""),IF(COUNTIFS($K$6:K15,K15,$L$6:L15,L15)=1,1,0),0))</f>
        <v>0</v>
      </c>
      <c r="Q15">
        <f>IF(A15="","",IF(AND(K15&lt;&gt;"",M15&lt;&gt;""),IF(COUNTIFS($K$6:K15,K15,$M$6:M15,M15)=1,1,0),0))</f>
        <v>0</v>
      </c>
      <c r="R15">
        <f>IF(A15="","",IF(M15&lt;&gt;"",IF(COUNTIF($M$6:M15,M15)=1,1,0),0))</f>
        <v>0</v>
      </c>
      <c r="T15" t="str">
        <f>IF(AND($M15&lt;&gt;"",$M15='Mapa do Galpão'!$C$20),COUNTIF($M$6:$M15,'Mapa do Galpão'!$C$20),"")</f>
        <v/>
      </c>
    </row>
    <row r="16" spans="1:20" ht="14.25" hidden="1" customHeight="1" x14ac:dyDescent="0.3">
      <c r="A16" s="43" t="s">
        <v>689</v>
      </c>
      <c r="B16" s="44" t="s">
        <v>665</v>
      </c>
      <c r="C16" s="165" t="s">
        <v>60</v>
      </c>
      <c r="D16" s="45" t="str">
        <f t="shared" si="0"/>
        <v>Masculino</v>
      </c>
      <c r="E16" s="43" t="s">
        <v>684</v>
      </c>
      <c r="F16" s="43" t="s">
        <v>685</v>
      </c>
      <c r="G16" s="43" t="s">
        <v>668</v>
      </c>
      <c r="H16" s="43" t="s">
        <v>669</v>
      </c>
      <c r="I16" s="46">
        <f>SUMIFS(Movimentações!$F$6:$F$4998,Movimentações!$C$6:$C$4998,A16,Movimentações!$M$6:$M$4998,M16)</f>
        <v>0</v>
      </c>
      <c r="J16" s="43" t="s">
        <v>670</v>
      </c>
      <c r="K16" s="43" t="s">
        <v>671</v>
      </c>
      <c r="L16" s="47" t="s">
        <v>672</v>
      </c>
      <c r="M16" s="43" t="s">
        <v>686</v>
      </c>
      <c r="N16" s="43" t="str">
        <f t="shared" si="1"/>
        <v>Rua A · Prat 1 · C-03</v>
      </c>
      <c r="P16">
        <f>IF(A16="","",IF(AND(K16&lt;&gt;"",L16&lt;&gt;""),IF(COUNTIFS($K$6:K16,K16,$L$6:L16,L16)=1,1,0),0))</f>
        <v>0</v>
      </c>
      <c r="Q16">
        <f>IF(A16="","",IF(AND(K16&lt;&gt;"",M16&lt;&gt;""),IF(COUNTIFS($K$6:K16,K16,$M$6:M16,M16)=1,1,0),0))</f>
        <v>0</v>
      </c>
      <c r="R16">
        <f>IF(A16="","",IF(M16&lt;&gt;"",IF(COUNTIF($M$6:M16,M16)=1,1,0),0))</f>
        <v>0</v>
      </c>
      <c r="T16" t="str">
        <f>IF(AND($M16&lt;&gt;"",$M16='Mapa do Galpão'!$C$20),COUNTIF($M$6:$M16,'Mapa do Galpão'!$C$20),"")</f>
        <v/>
      </c>
    </row>
    <row r="17" spans="1:20" ht="14.25" hidden="1" customHeight="1" x14ac:dyDescent="0.3">
      <c r="A17" s="43" t="s">
        <v>690</v>
      </c>
      <c r="B17" s="44" t="s">
        <v>665</v>
      </c>
      <c r="C17" s="165" t="s">
        <v>61</v>
      </c>
      <c r="D17" s="45" t="str">
        <f t="shared" si="0"/>
        <v>Masculino</v>
      </c>
      <c r="E17" s="43" t="s">
        <v>684</v>
      </c>
      <c r="F17" s="43" t="s">
        <v>685</v>
      </c>
      <c r="G17" s="43" t="s">
        <v>668</v>
      </c>
      <c r="H17" s="43" t="s">
        <v>677</v>
      </c>
      <c r="I17" s="46">
        <f>SUMIFS(Movimentações!$F$6:$F$4998,Movimentações!$C$6:$C$4998,A17,Movimentações!$M$6:$M$4998,M17)</f>
        <v>0</v>
      </c>
      <c r="J17" s="43" t="s">
        <v>670</v>
      </c>
      <c r="K17" s="43" t="s">
        <v>671</v>
      </c>
      <c r="L17" s="47" t="s">
        <v>672</v>
      </c>
      <c r="M17" s="43" t="s">
        <v>686</v>
      </c>
      <c r="N17" s="43" t="str">
        <f t="shared" si="1"/>
        <v>Rua A · Prat 1 · C-03</v>
      </c>
      <c r="P17">
        <f>IF(A17="","",IF(AND(K17&lt;&gt;"",L17&lt;&gt;""),IF(COUNTIFS($K$6:K17,K17,$L$6:L17,L17)=1,1,0),0))</f>
        <v>0</v>
      </c>
      <c r="Q17">
        <f>IF(A17="","",IF(AND(K17&lt;&gt;"",M17&lt;&gt;""),IF(COUNTIFS($K$6:K17,K17,$M$6:M17,M17)=1,1,0),0))</f>
        <v>0</v>
      </c>
      <c r="R17">
        <f>IF(A17="","",IF(M17&lt;&gt;"",IF(COUNTIF($M$6:M17,M17)=1,1,0),0))</f>
        <v>0</v>
      </c>
      <c r="T17" t="str">
        <f>IF(AND($M17&lt;&gt;"",$M17='Mapa do Galpão'!$C$20),COUNTIF($M$6:$M17,'Mapa do Galpão'!$C$20),"")</f>
        <v/>
      </c>
    </row>
    <row r="18" spans="1:20" ht="14.25" hidden="1" customHeight="1" x14ac:dyDescent="0.3">
      <c r="A18" s="43" t="s">
        <v>691</v>
      </c>
      <c r="B18" s="44" t="s">
        <v>665</v>
      </c>
      <c r="C18" s="165" t="s">
        <v>62</v>
      </c>
      <c r="D18" s="45" t="str">
        <f t="shared" si="0"/>
        <v>Masculino</v>
      </c>
      <c r="E18" s="43" t="s">
        <v>684</v>
      </c>
      <c r="F18" s="43" t="s">
        <v>685</v>
      </c>
      <c r="G18" s="43" t="s">
        <v>668</v>
      </c>
      <c r="H18" s="43" t="s">
        <v>692</v>
      </c>
      <c r="I18" s="46">
        <f>SUMIFS(Movimentações!$F$6:$F$4998,Movimentações!$C$6:$C$4998,A18,Movimentações!$M$6:$M$4998,M18)</f>
        <v>0</v>
      </c>
      <c r="J18" s="43" t="s">
        <v>670</v>
      </c>
      <c r="K18" s="43" t="s">
        <v>671</v>
      </c>
      <c r="L18" s="47" t="s">
        <v>672</v>
      </c>
      <c r="M18" s="43" t="s">
        <v>686</v>
      </c>
      <c r="N18" s="43" t="str">
        <f t="shared" si="1"/>
        <v>Rua A · Prat 1 · C-03</v>
      </c>
      <c r="P18">
        <f>IF(A18="","",IF(AND(K18&lt;&gt;"",L18&lt;&gt;""),IF(COUNTIFS($K$6:K18,K18,$L$6:L18,L18)=1,1,0),0))</f>
        <v>0</v>
      </c>
      <c r="Q18">
        <f>IF(A18="","",IF(AND(K18&lt;&gt;"",M18&lt;&gt;""),IF(COUNTIFS($K$6:K18,K18,$M$6:M18,M18)=1,1,0),0))</f>
        <v>0</v>
      </c>
      <c r="R18">
        <f>IF(A18="","",IF(M18&lt;&gt;"",IF(COUNTIF($M$6:M18,M18)=1,1,0),0))</f>
        <v>0</v>
      </c>
      <c r="T18" t="str">
        <f>IF(AND($M18&lt;&gt;"",$M18='Mapa do Galpão'!$C$20),COUNTIF($M$6:$M18,'Mapa do Galpão'!$C$20),"")</f>
        <v/>
      </c>
    </row>
    <row r="19" spans="1:20" ht="14.25" hidden="1" customHeight="1" x14ac:dyDescent="0.3">
      <c r="A19" s="43" t="s">
        <v>693</v>
      </c>
      <c r="B19" s="44" t="s">
        <v>665</v>
      </c>
      <c r="C19" s="165" t="s">
        <v>63</v>
      </c>
      <c r="D19" s="45" t="str">
        <f t="shared" si="0"/>
        <v>Masculino</v>
      </c>
      <c r="E19" s="43" t="s">
        <v>684</v>
      </c>
      <c r="F19" s="43" t="s">
        <v>685</v>
      </c>
      <c r="G19" s="43" t="s">
        <v>694</v>
      </c>
      <c r="H19" s="43" t="s">
        <v>680</v>
      </c>
      <c r="I19" s="46">
        <f>SUMIFS(Movimentações!$F$6:$F$4998,Movimentações!$C$6:$C$4998,A19,Movimentações!$M$6:$M$4998,M19)</f>
        <v>0</v>
      </c>
      <c r="J19" s="43" t="s">
        <v>670</v>
      </c>
      <c r="K19" s="43" t="s">
        <v>671</v>
      </c>
      <c r="L19" s="47" t="s">
        <v>672</v>
      </c>
      <c r="M19" s="43" t="s">
        <v>695</v>
      </c>
      <c r="N19" s="43" t="str">
        <f t="shared" si="1"/>
        <v>Rua A · Prat 1 · C-04</v>
      </c>
      <c r="P19">
        <f>IF(A19="","",IF(AND(K19&lt;&gt;"",L19&lt;&gt;""),IF(COUNTIFS($K$6:K19,K19,$L$6:L19,L19)=1,1,0),0))</f>
        <v>0</v>
      </c>
      <c r="Q19">
        <f>IF(A19="","",IF(AND(K19&lt;&gt;"",M19&lt;&gt;""),IF(COUNTIFS($K$6:K19,K19,$M$6:M19,M19)=1,1,0),0))</f>
        <v>1</v>
      </c>
      <c r="R19">
        <f>IF(A19="","",IF(M19&lt;&gt;"",IF(COUNTIF($M$6:M19,M19)=1,1,0),0))</f>
        <v>1</v>
      </c>
      <c r="T19" t="str">
        <f>IF(AND($M19&lt;&gt;"",$M19='Mapa do Galpão'!$C$20),COUNTIF($M$6:$M19,'Mapa do Galpão'!$C$20),"")</f>
        <v/>
      </c>
    </row>
    <row r="20" spans="1:20" ht="14.25" hidden="1" customHeight="1" x14ac:dyDescent="0.3">
      <c r="A20" s="43" t="s">
        <v>696</v>
      </c>
      <c r="B20" s="44" t="s">
        <v>665</v>
      </c>
      <c r="C20" s="165" t="s">
        <v>64</v>
      </c>
      <c r="D20" s="45" t="str">
        <f t="shared" si="0"/>
        <v>Masculino</v>
      </c>
      <c r="E20" s="43" t="s">
        <v>684</v>
      </c>
      <c r="F20" s="43" t="s">
        <v>685</v>
      </c>
      <c r="G20" s="43" t="s">
        <v>694</v>
      </c>
      <c r="H20" s="43" t="s">
        <v>675</v>
      </c>
      <c r="I20" s="46">
        <f>SUMIFS(Movimentações!$F$6:$F$4998,Movimentações!$C$6:$C$4998,A20,Movimentações!$M$6:$M$4998,M20)</f>
        <v>0</v>
      </c>
      <c r="J20" s="43" t="s">
        <v>670</v>
      </c>
      <c r="K20" s="43" t="s">
        <v>671</v>
      </c>
      <c r="L20" s="47" t="s">
        <v>672</v>
      </c>
      <c r="M20" s="43" t="s">
        <v>695</v>
      </c>
      <c r="N20" s="43" t="str">
        <f t="shared" si="1"/>
        <v>Rua A · Prat 1 · C-04</v>
      </c>
      <c r="P20">
        <f>IF(A20="","",IF(AND(K20&lt;&gt;"",L20&lt;&gt;""),IF(COUNTIFS($K$6:K20,K20,$L$6:L20,L20)=1,1,0),0))</f>
        <v>0</v>
      </c>
      <c r="Q20">
        <f>IF(A20="","",IF(AND(K20&lt;&gt;"",M20&lt;&gt;""),IF(COUNTIFS($K$6:K20,K20,$M$6:M20,M20)=1,1,0),0))</f>
        <v>0</v>
      </c>
      <c r="R20">
        <f>IF(A20="","",IF(M20&lt;&gt;"",IF(COUNTIF($M$6:M20,M20)=1,1,0),0))</f>
        <v>0</v>
      </c>
      <c r="T20" t="str">
        <f>IF(AND($M20&lt;&gt;"",$M20='Mapa do Galpão'!$C$20),COUNTIF($M$6:$M20,'Mapa do Galpão'!$C$20),"")</f>
        <v/>
      </c>
    </row>
    <row r="21" spans="1:20" ht="14.25" hidden="1" customHeight="1" x14ac:dyDescent="0.3">
      <c r="A21" s="43" t="s">
        <v>697</v>
      </c>
      <c r="B21" s="44" t="s">
        <v>665</v>
      </c>
      <c r="C21" s="165" t="s">
        <v>65</v>
      </c>
      <c r="D21" s="45" t="str">
        <f t="shared" si="0"/>
        <v>Masculino</v>
      </c>
      <c r="E21" s="43" t="s">
        <v>684</v>
      </c>
      <c r="F21" s="43" t="s">
        <v>685</v>
      </c>
      <c r="G21" s="43" t="s">
        <v>694</v>
      </c>
      <c r="H21" s="43" t="s">
        <v>669</v>
      </c>
      <c r="I21" s="46">
        <f>SUMIFS(Movimentações!$F$6:$F$4998,Movimentações!$C$6:$C$4998,A21,Movimentações!$M$6:$M$4998,M21)</f>
        <v>0</v>
      </c>
      <c r="J21" s="43" t="s">
        <v>670</v>
      </c>
      <c r="K21" s="43" t="s">
        <v>671</v>
      </c>
      <c r="L21" s="47" t="s">
        <v>672</v>
      </c>
      <c r="M21" s="43" t="s">
        <v>695</v>
      </c>
      <c r="N21" s="43" t="str">
        <f t="shared" si="1"/>
        <v>Rua A · Prat 1 · C-04</v>
      </c>
      <c r="P21">
        <f>IF(A21="","",IF(AND(K21&lt;&gt;"",L21&lt;&gt;""),IF(COUNTIFS($K$6:K21,K21,$L$6:L21,L21)=1,1,0),0))</f>
        <v>0</v>
      </c>
      <c r="Q21">
        <f>IF(A21="","",IF(AND(K21&lt;&gt;"",M21&lt;&gt;""),IF(COUNTIFS($K$6:K21,K21,$M$6:M21,M21)=1,1,0),0))</f>
        <v>0</v>
      </c>
      <c r="R21">
        <f>IF(A21="","",IF(M21&lt;&gt;"",IF(COUNTIF($M$6:M21,M21)=1,1,0),0))</f>
        <v>0</v>
      </c>
      <c r="T21" t="str">
        <f>IF(AND($M21&lt;&gt;"",$M21='Mapa do Galpão'!$C$20),COUNTIF($M$6:$M21,'Mapa do Galpão'!$C$20),"")</f>
        <v/>
      </c>
    </row>
    <row r="22" spans="1:20" ht="14.25" hidden="1" customHeight="1" x14ac:dyDescent="0.3">
      <c r="A22" s="43" t="s">
        <v>698</v>
      </c>
      <c r="B22" s="44" t="s">
        <v>665</v>
      </c>
      <c r="C22" s="165" t="s">
        <v>66</v>
      </c>
      <c r="D22" s="45" t="str">
        <f t="shared" si="0"/>
        <v>Masculino</v>
      </c>
      <c r="E22" s="43" t="s">
        <v>684</v>
      </c>
      <c r="F22" s="43" t="s">
        <v>685</v>
      </c>
      <c r="G22" s="43" t="s">
        <v>694</v>
      </c>
      <c r="H22" s="43" t="s">
        <v>682</v>
      </c>
      <c r="I22" s="46">
        <f>SUMIFS(Movimentações!$F$6:$F$4998,Movimentações!$C$6:$C$4998,A22,Movimentações!$M$6:$M$4998,M22)</f>
        <v>0</v>
      </c>
      <c r="J22" s="43" t="s">
        <v>670</v>
      </c>
      <c r="K22" s="43" t="s">
        <v>671</v>
      </c>
      <c r="L22" s="47" t="s">
        <v>672</v>
      </c>
      <c r="M22" s="43" t="s">
        <v>695</v>
      </c>
      <c r="N22" s="43" t="str">
        <f t="shared" si="1"/>
        <v>Rua A · Prat 1 · C-04</v>
      </c>
      <c r="P22">
        <f>IF(A22="","",IF(AND(K22&lt;&gt;"",L22&lt;&gt;""),IF(COUNTIFS($K$6:K22,K22,$L$6:L22,L22)=1,1,0),0))</f>
        <v>0</v>
      </c>
      <c r="Q22">
        <f>IF(A22="","",IF(AND(K22&lt;&gt;"",M22&lt;&gt;""),IF(COUNTIFS($K$6:K22,K22,$M$6:M22,M22)=1,1,0),0))</f>
        <v>0</v>
      </c>
      <c r="R22">
        <f>IF(A22="","",IF(M22&lt;&gt;"",IF(COUNTIF($M$6:M22,M22)=1,1,0),0))</f>
        <v>0</v>
      </c>
      <c r="T22" t="str">
        <f>IF(AND($M22&lt;&gt;"",$M22='Mapa do Galpão'!$C$20),COUNTIF($M$6:$M22,'Mapa do Galpão'!$C$20),"")</f>
        <v/>
      </c>
    </row>
    <row r="23" spans="1:20" ht="14.25" hidden="1" customHeight="1" x14ac:dyDescent="0.3">
      <c r="A23" s="43" t="s">
        <v>699</v>
      </c>
      <c r="B23" s="44" t="s">
        <v>665</v>
      </c>
      <c r="C23" s="165" t="s">
        <v>67</v>
      </c>
      <c r="D23" s="45" t="str">
        <f t="shared" si="0"/>
        <v>Masculino</v>
      </c>
      <c r="E23" s="43" t="s">
        <v>684</v>
      </c>
      <c r="F23" s="43" t="s">
        <v>685</v>
      </c>
      <c r="G23" s="43" t="s">
        <v>694</v>
      </c>
      <c r="H23" s="43" t="s">
        <v>677</v>
      </c>
      <c r="I23" s="46">
        <f>SUMIFS(Movimentações!$F$6:$F$4998,Movimentações!$C$6:$C$4998,A23,Movimentações!$M$6:$M$4998,M23)</f>
        <v>0</v>
      </c>
      <c r="J23" s="43" t="s">
        <v>670</v>
      </c>
      <c r="K23" s="43" t="s">
        <v>671</v>
      </c>
      <c r="L23" s="47" t="s">
        <v>672</v>
      </c>
      <c r="M23" s="43" t="s">
        <v>695</v>
      </c>
      <c r="N23" s="43" t="str">
        <f t="shared" si="1"/>
        <v>Rua A · Prat 1 · C-04</v>
      </c>
      <c r="P23">
        <f>IF(A23="","",IF(AND(K23&lt;&gt;"",L23&lt;&gt;""),IF(COUNTIFS($K$6:K23,K23,$L$6:L23,L23)=1,1,0),0))</f>
        <v>0</v>
      </c>
      <c r="Q23">
        <f>IF(A23="","",IF(AND(K23&lt;&gt;"",M23&lt;&gt;""),IF(COUNTIFS($K$6:K23,K23,$M$6:M23,M23)=1,1,0),0))</f>
        <v>0</v>
      </c>
      <c r="R23">
        <f>IF(A23="","",IF(M23&lt;&gt;"",IF(COUNTIF($M$6:M23,M23)=1,1,0),0))</f>
        <v>0</v>
      </c>
      <c r="T23" t="str">
        <f>IF(AND($M23&lt;&gt;"",$M23='Mapa do Galpão'!$C$20),COUNTIF($M$6:$M23,'Mapa do Galpão'!$C$20),"")</f>
        <v/>
      </c>
    </row>
    <row r="24" spans="1:20" ht="14.25" hidden="1" customHeight="1" x14ac:dyDescent="0.3">
      <c r="A24" s="43" t="s">
        <v>700</v>
      </c>
      <c r="B24" s="44" t="s">
        <v>665</v>
      </c>
      <c r="C24" s="165" t="s">
        <v>68</v>
      </c>
      <c r="D24" s="45" t="str">
        <f t="shared" si="0"/>
        <v>Masculino</v>
      </c>
      <c r="E24" s="43" t="s">
        <v>684</v>
      </c>
      <c r="F24" s="43" t="s">
        <v>685</v>
      </c>
      <c r="G24" s="43" t="s">
        <v>694</v>
      </c>
      <c r="H24" s="43" t="s">
        <v>692</v>
      </c>
      <c r="I24" s="46">
        <f>SUMIFS(Movimentações!$F$6:$F$4998,Movimentações!$C$6:$C$4998,A24,Movimentações!$M$6:$M$4998,M24)</f>
        <v>0</v>
      </c>
      <c r="J24" s="43" t="s">
        <v>670</v>
      </c>
      <c r="K24" s="43" t="s">
        <v>671</v>
      </c>
      <c r="L24" s="47" t="s">
        <v>672</v>
      </c>
      <c r="M24" s="43" t="s">
        <v>695</v>
      </c>
      <c r="N24" s="43" t="str">
        <f t="shared" si="1"/>
        <v>Rua A · Prat 1 · C-04</v>
      </c>
      <c r="P24">
        <f>IF(A24="","",IF(AND(K24&lt;&gt;"",L24&lt;&gt;""),IF(COUNTIFS($K$6:K24,K24,$L$6:L24,L24)=1,1,0),0))</f>
        <v>0</v>
      </c>
      <c r="Q24">
        <f>IF(A24="","",IF(AND(K24&lt;&gt;"",M24&lt;&gt;""),IF(COUNTIFS($K$6:K24,K24,$M$6:M24,M24)=1,1,0),0))</f>
        <v>0</v>
      </c>
      <c r="R24">
        <f>IF(A24="","",IF(M24&lt;&gt;"",IF(COUNTIF($M$6:M24,M24)=1,1,0),0))</f>
        <v>0</v>
      </c>
      <c r="T24" t="str">
        <f>IF(AND($M24&lt;&gt;"",$M24='Mapa do Galpão'!$C$20),COUNTIF($M$6:$M24,'Mapa do Galpão'!$C$20),"")</f>
        <v/>
      </c>
    </row>
    <row r="25" spans="1:20" ht="14.25" hidden="1" customHeight="1" x14ac:dyDescent="0.3">
      <c r="A25" s="43" t="s">
        <v>701</v>
      </c>
      <c r="B25" s="44" t="s">
        <v>665</v>
      </c>
      <c r="C25" s="165" t="s">
        <v>69</v>
      </c>
      <c r="D25" s="45" t="str">
        <f t="shared" si="0"/>
        <v>Masculino</v>
      </c>
      <c r="E25" s="43" t="s">
        <v>684</v>
      </c>
      <c r="F25" s="43" t="s">
        <v>685</v>
      </c>
      <c r="G25" s="43" t="s">
        <v>702</v>
      </c>
      <c r="H25" s="43" t="s">
        <v>680</v>
      </c>
      <c r="I25" s="46">
        <f>SUMIFS(Movimentações!$F$6:$F$4998,Movimentações!$C$6:$C$4998,A25,Movimentações!$M$6:$M$4998,M25)</f>
        <v>0</v>
      </c>
      <c r="J25" s="43" t="s">
        <v>670</v>
      </c>
      <c r="K25" s="43" t="s">
        <v>671</v>
      </c>
      <c r="L25" s="47" t="s">
        <v>672</v>
      </c>
      <c r="M25" s="43" t="s">
        <v>703</v>
      </c>
      <c r="N25" s="43" t="str">
        <f t="shared" si="1"/>
        <v>Rua A · Prat 1 · C-05</v>
      </c>
      <c r="P25">
        <f>IF(A25="","",IF(AND(K25&lt;&gt;"",L25&lt;&gt;""),IF(COUNTIFS($K$6:K25,K25,$L$6:L25,L25)=1,1,0),0))</f>
        <v>0</v>
      </c>
      <c r="Q25">
        <f>IF(A25="","",IF(AND(K25&lt;&gt;"",M25&lt;&gt;""),IF(COUNTIFS($K$6:K25,K25,$M$6:M25,M25)=1,1,0),0))</f>
        <v>1</v>
      </c>
      <c r="R25">
        <f>IF(A25="","",IF(M25&lt;&gt;"",IF(COUNTIF($M$6:M25,M25)=1,1,0),0))</f>
        <v>1</v>
      </c>
      <c r="T25" t="str">
        <f>IF(AND($M25&lt;&gt;"",$M25='Mapa do Galpão'!$C$20),COUNTIF($M$6:$M25,'Mapa do Galpão'!$C$20),"")</f>
        <v/>
      </c>
    </row>
    <row r="26" spans="1:20" ht="14.25" hidden="1" customHeight="1" x14ac:dyDescent="0.3">
      <c r="A26" s="43" t="s">
        <v>704</v>
      </c>
      <c r="B26" s="44" t="s">
        <v>665</v>
      </c>
      <c r="C26" s="165" t="s">
        <v>70</v>
      </c>
      <c r="D26" s="45" t="str">
        <f t="shared" si="0"/>
        <v>Masculino</v>
      </c>
      <c r="E26" s="43" t="s">
        <v>684</v>
      </c>
      <c r="F26" s="43" t="s">
        <v>685</v>
      </c>
      <c r="G26" s="43" t="s">
        <v>702</v>
      </c>
      <c r="H26" s="43" t="s">
        <v>675</v>
      </c>
      <c r="I26" s="46">
        <f>SUMIFS(Movimentações!$F$6:$F$4998,Movimentações!$C$6:$C$4998,A26,Movimentações!$M$6:$M$4998,M26)</f>
        <v>0</v>
      </c>
      <c r="J26" s="43" t="s">
        <v>670</v>
      </c>
      <c r="K26" s="43" t="s">
        <v>671</v>
      </c>
      <c r="L26" s="47" t="s">
        <v>672</v>
      </c>
      <c r="M26" s="43" t="s">
        <v>703</v>
      </c>
      <c r="N26" s="43" t="str">
        <f t="shared" si="1"/>
        <v>Rua A · Prat 1 · C-05</v>
      </c>
      <c r="P26">
        <f>IF(A26="","",IF(AND(K26&lt;&gt;"",L26&lt;&gt;""),IF(COUNTIFS($K$6:K26,K26,$L$6:L26,L26)=1,1,0),0))</f>
        <v>0</v>
      </c>
      <c r="Q26">
        <f>IF(A26="","",IF(AND(K26&lt;&gt;"",M26&lt;&gt;""),IF(COUNTIFS($K$6:K26,K26,$M$6:M26,M26)=1,1,0),0))</f>
        <v>0</v>
      </c>
      <c r="R26">
        <f>IF(A26="","",IF(M26&lt;&gt;"",IF(COUNTIF($M$6:M26,M26)=1,1,0),0))</f>
        <v>0</v>
      </c>
      <c r="T26" t="str">
        <f>IF(AND($M26&lt;&gt;"",$M26='Mapa do Galpão'!$C$20),COUNTIF($M$6:$M26,'Mapa do Galpão'!$C$20),"")</f>
        <v/>
      </c>
    </row>
    <row r="27" spans="1:20" ht="14.25" hidden="1" customHeight="1" x14ac:dyDescent="0.3">
      <c r="A27" s="43" t="s">
        <v>705</v>
      </c>
      <c r="B27" s="44" t="s">
        <v>665</v>
      </c>
      <c r="C27" s="165" t="s">
        <v>71</v>
      </c>
      <c r="D27" s="45" t="str">
        <f t="shared" si="0"/>
        <v>Masculino</v>
      </c>
      <c r="E27" s="43" t="s">
        <v>684</v>
      </c>
      <c r="F27" s="43" t="s">
        <v>685</v>
      </c>
      <c r="G27" s="43" t="s">
        <v>702</v>
      </c>
      <c r="H27" s="43" t="s">
        <v>669</v>
      </c>
      <c r="I27" s="46">
        <f>SUMIFS(Movimentações!$F$6:$F$4998,Movimentações!$C$6:$C$4998,A27,Movimentações!$M$6:$M$4998,M27)</f>
        <v>0</v>
      </c>
      <c r="J27" s="43" t="s">
        <v>670</v>
      </c>
      <c r="K27" s="43" t="s">
        <v>671</v>
      </c>
      <c r="L27" s="47" t="s">
        <v>672</v>
      </c>
      <c r="M27" s="43" t="s">
        <v>703</v>
      </c>
      <c r="N27" s="43" t="str">
        <f t="shared" si="1"/>
        <v>Rua A · Prat 1 · C-05</v>
      </c>
      <c r="P27">
        <f>IF(A27="","",IF(AND(K27&lt;&gt;"",L27&lt;&gt;""),IF(COUNTIFS($K$6:K27,K27,$L$6:L27,L27)=1,1,0),0))</f>
        <v>0</v>
      </c>
      <c r="Q27">
        <f>IF(A27="","",IF(AND(K27&lt;&gt;"",M27&lt;&gt;""),IF(COUNTIFS($K$6:K27,K27,$M$6:M27,M27)=1,1,0),0))</f>
        <v>0</v>
      </c>
      <c r="R27">
        <f>IF(A27="","",IF(M27&lt;&gt;"",IF(COUNTIF($M$6:M27,M27)=1,1,0),0))</f>
        <v>0</v>
      </c>
      <c r="T27" t="str">
        <f>IF(AND($M27&lt;&gt;"",$M27='Mapa do Galpão'!$C$20),COUNTIF($M$6:$M27,'Mapa do Galpão'!$C$20),"")</f>
        <v/>
      </c>
    </row>
    <row r="28" spans="1:20" ht="14.25" hidden="1" customHeight="1" x14ac:dyDescent="0.3">
      <c r="A28" s="43" t="s">
        <v>706</v>
      </c>
      <c r="B28" s="44" t="s">
        <v>665</v>
      </c>
      <c r="C28" s="165" t="s">
        <v>72</v>
      </c>
      <c r="D28" s="45" t="str">
        <f t="shared" si="0"/>
        <v>Masculino</v>
      </c>
      <c r="E28" s="43" t="s">
        <v>684</v>
      </c>
      <c r="F28" s="43" t="s">
        <v>685</v>
      </c>
      <c r="G28" s="43" t="s">
        <v>702</v>
      </c>
      <c r="H28" s="43" t="s">
        <v>682</v>
      </c>
      <c r="I28" s="46">
        <f>SUMIFS(Movimentações!$F$6:$F$4998,Movimentações!$C$6:$C$4998,A28,Movimentações!$M$6:$M$4998,M28)</f>
        <v>0</v>
      </c>
      <c r="J28" s="43" t="s">
        <v>670</v>
      </c>
      <c r="K28" s="43" t="s">
        <v>671</v>
      </c>
      <c r="L28" s="47" t="s">
        <v>672</v>
      </c>
      <c r="M28" s="43" t="s">
        <v>703</v>
      </c>
      <c r="N28" s="43" t="str">
        <f t="shared" si="1"/>
        <v>Rua A · Prat 1 · C-05</v>
      </c>
      <c r="P28">
        <f>IF(A28="","",IF(AND(K28&lt;&gt;"",L28&lt;&gt;""),IF(COUNTIFS($K$6:K28,K28,$L$6:L28,L28)=1,1,0),0))</f>
        <v>0</v>
      </c>
      <c r="Q28">
        <f>IF(A28="","",IF(AND(K28&lt;&gt;"",M28&lt;&gt;""),IF(COUNTIFS($K$6:K28,K28,$M$6:M28,M28)=1,1,0),0))</f>
        <v>0</v>
      </c>
      <c r="R28">
        <f>IF(A28="","",IF(M28&lt;&gt;"",IF(COUNTIF($M$6:M28,M28)=1,1,0),0))</f>
        <v>0</v>
      </c>
      <c r="T28" t="str">
        <f>IF(AND($M28&lt;&gt;"",$M28='Mapa do Galpão'!$C$20),COUNTIF($M$6:$M28,'Mapa do Galpão'!$C$20),"")</f>
        <v/>
      </c>
    </row>
    <row r="29" spans="1:20" ht="14.25" hidden="1" customHeight="1" x14ac:dyDescent="0.3">
      <c r="A29" s="43" t="s">
        <v>707</v>
      </c>
      <c r="B29" s="44" t="s">
        <v>665</v>
      </c>
      <c r="C29" s="165" t="s">
        <v>73</v>
      </c>
      <c r="D29" s="45" t="str">
        <f t="shared" si="0"/>
        <v>Masculino</v>
      </c>
      <c r="E29" s="43" t="s">
        <v>684</v>
      </c>
      <c r="F29" s="43" t="s">
        <v>685</v>
      </c>
      <c r="G29" s="43" t="s">
        <v>702</v>
      </c>
      <c r="H29" s="43" t="s">
        <v>677</v>
      </c>
      <c r="I29" s="46">
        <f>SUMIFS(Movimentações!$F$6:$F$4998,Movimentações!$C$6:$C$4998,A29,Movimentações!$M$6:$M$4998,M29)</f>
        <v>0</v>
      </c>
      <c r="J29" s="43" t="s">
        <v>670</v>
      </c>
      <c r="K29" s="43" t="s">
        <v>671</v>
      </c>
      <c r="L29" s="47" t="s">
        <v>672</v>
      </c>
      <c r="M29" s="43" t="s">
        <v>703</v>
      </c>
      <c r="N29" s="43" t="str">
        <f t="shared" si="1"/>
        <v>Rua A · Prat 1 · C-05</v>
      </c>
      <c r="P29">
        <f>IF(A29="","",IF(AND(K29&lt;&gt;"",L29&lt;&gt;""),IF(COUNTIFS($K$6:K29,K29,$L$6:L29,L29)=1,1,0),0))</f>
        <v>0</v>
      </c>
      <c r="Q29">
        <f>IF(A29="","",IF(AND(K29&lt;&gt;"",M29&lt;&gt;""),IF(COUNTIFS($K$6:K29,K29,$M$6:M29,M29)=1,1,0),0))</f>
        <v>0</v>
      </c>
      <c r="R29">
        <f>IF(A29="","",IF(M29&lt;&gt;"",IF(COUNTIF($M$6:M29,M29)=1,1,0),0))</f>
        <v>0</v>
      </c>
      <c r="T29" t="str">
        <f>IF(AND($M29&lt;&gt;"",$M29='Mapa do Galpão'!$C$20),COUNTIF($M$6:$M29,'Mapa do Galpão'!$C$20),"")</f>
        <v/>
      </c>
    </row>
    <row r="30" spans="1:20" ht="14.25" hidden="1" customHeight="1" x14ac:dyDescent="0.3">
      <c r="A30" s="43" t="s">
        <v>708</v>
      </c>
      <c r="B30" s="44" t="s">
        <v>665</v>
      </c>
      <c r="C30" s="165" t="s">
        <v>74</v>
      </c>
      <c r="D30" s="45" t="str">
        <f t="shared" si="0"/>
        <v>Masculino</v>
      </c>
      <c r="E30" s="43" t="s">
        <v>709</v>
      </c>
      <c r="F30" s="43" t="s">
        <v>710</v>
      </c>
      <c r="G30" s="43" t="s">
        <v>694</v>
      </c>
      <c r="H30" s="43" t="s">
        <v>680</v>
      </c>
      <c r="I30" s="46">
        <f>SUMIFS(Movimentações!$F$6:$F$4998,Movimentações!$C$6:$C$4998,A30,Movimentações!$M$6:$M$4998,M30)</f>
        <v>9</v>
      </c>
      <c r="J30" s="43" t="s">
        <v>670</v>
      </c>
      <c r="K30" s="43" t="s">
        <v>671</v>
      </c>
      <c r="L30" s="47">
        <v>14</v>
      </c>
      <c r="M30" s="43" t="s">
        <v>711</v>
      </c>
      <c r="N30" s="43" t="str">
        <f t="shared" si="1"/>
        <v>Rua A · Prat 14 · C-06</v>
      </c>
      <c r="P30">
        <f>IF(A30="","",IF(AND(K30&lt;&gt;"",L30&lt;&gt;""),IF(COUNTIFS($K$6:K30,K30,$L$6:L30,L30)=1,1,0),0))</f>
        <v>1</v>
      </c>
      <c r="Q30">
        <f>IF(A30="","",IF(AND(K30&lt;&gt;"",M30&lt;&gt;""),IF(COUNTIFS($K$6:K30,K30,$M$6:M30,M30)=1,1,0),0))</f>
        <v>1</v>
      </c>
      <c r="R30">
        <f>IF(A30="","",IF(M30&lt;&gt;"",IF(COUNTIF($M$6:M30,M30)=1,1,0),0))</f>
        <v>1</v>
      </c>
      <c r="T30" t="str">
        <f>IF(AND($M30&lt;&gt;"",$M30='Mapa do Galpão'!$C$20),COUNTIF($M$6:$M30,'Mapa do Galpão'!$C$20),"")</f>
        <v/>
      </c>
    </row>
    <row r="31" spans="1:20" ht="14.25" hidden="1" customHeight="1" x14ac:dyDescent="0.3">
      <c r="A31" s="43" t="s">
        <v>712</v>
      </c>
      <c r="B31" s="44" t="s">
        <v>665</v>
      </c>
      <c r="C31" s="165" t="s">
        <v>75</v>
      </c>
      <c r="D31" s="45" t="str">
        <f t="shared" si="0"/>
        <v>Masculino</v>
      </c>
      <c r="E31" s="43" t="s">
        <v>709</v>
      </c>
      <c r="F31" s="43" t="s">
        <v>710</v>
      </c>
      <c r="G31" s="43" t="s">
        <v>694</v>
      </c>
      <c r="H31" s="43" t="s">
        <v>675</v>
      </c>
      <c r="I31" s="46">
        <f>SUMIFS(Movimentações!$F$6:$F$4998,Movimentações!$C$6:$C$4998,A31,Movimentações!$M$6:$M$4998,M31)</f>
        <v>9</v>
      </c>
      <c r="J31" s="43" t="s">
        <v>670</v>
      </c>
      <c r="K31" s="43" t="s">
        <v>671</v>
      </c>
      <c r="L31" s="47">
        <v>14</v>
      </c>
      <c r="M31" s="43" t="s">
        <v>711</v>
      </c>
      <c r="N31" s="43" t="str">
        <f t="shared" si="1"/>
        <v>Rua A · Prat 14 · C-06</v>
      </c>
      <c r="P31">
        <f>IF(A31="","",IF(AND(K31&lt;&gt;"",L31&lt;&gt;""),IF(COUNTIFS($K$6:K31,K31,$L$6:L31,L31)=1,1,0),0))</f>
        <v>0</v>
      </c>
      <c r="Q31">
        <f>IF(A31="","",IF(AND(K31&lt;&gt;"",M31&lt;&gt;""),IF(COUNTIFS($K$6:K31,K31,$M$6:M31,M31)=1,1,0),0))</f>
        <v>0</v>
      </c>
      <c r="R31">
        <f>IF(A31="","",IF(M31&lt;&gt;"",IF(COUNTIF($M$6:M31,M31)=1,1,0),0))</f>
        <v>0</v>
      </c>
      <c r="T31" t="str">
        <f>IF(AND($M31&lt;&gt;"",$M31='Mapa do Galpão'!$C$20),COUNTIF($M$6:$M31,'Mapa do Galpão'!$C$20),"")</f>
        <v/>
      </c>
    </row>
    <row r="32" spans="1:20" ht="14.25" hidden="1" customHeight="1" x14ac:dyDescent="0.3">
      <c r="A32" s="43" t="s">
        <v>713</v>
      </c>
      <c r="B32" s="44" t="s">
        <v>665</v>
      </c>
      <c r="C32" s="165" t="s">
        <v>76</v>
      </c>
      <c r="D32" s="45" t="str">
        <f t="shared" si="0"/>
        <v>Masculino</v>
      </c>
      <c r="E32" s="43" t="s">
        <v>709</v>
      </c>
      <c r="F32" s="43" t="s">
        <v>710</v>
      </c>
      <c r="G32" s="43" t="s">
        <v>694</v>
      </c>
      <c r="H32" s="43" t="s">
        <v>669</v>
      </c>
      <c r="I32" s="46">
        <f>SUMIFS(Movimentações!$F$6:$F$4998,Movimentações!$C$6:$C$4998,A32,Movimentações!$M$6:$M$4998,M32)</f>
        <v>4</v>
      </c>
      <c r="J32" s="43" t="s">
        <v>670</v>
      </c>
      <c r="K32" s="43" t="s">
        <v>671</v>
      </c>
      <c r="L32" s="47">
        <v>14</v>
      </c>
      <c r="M32" s="43" t="s">
        <v>711</v>
      </c>
      <c r="N32" s="43" t="str">
        <f t="shared" si="1"/>
        <v>Rua A · Prat 14 · C-06</v>
      </c>
      <c r="P32">
        <f>IF(A32="","",IF(AND(K32&lt;&gt;"",L32&lt;&gt;""),IF(COUNTIFS($K$6:K32,K32,$L$6:L32,L32)=1,1,0),0))</f>
        <v>0</v>
      </c>
      <c r="Q32">
        <f>IF(A32="","",IF(AND(K32&lt;&gt;"",M32&lt;&gt;""),IF(COUNTIFS($K$6:K32,K32,$M$6:M32,M32)=1,1,0),0))</f>
        <v>0</v>
      </c>
      <c r="R32">
        <f>IF(A32="","",IF(M32&lt;&gt;"",IF(COUNTIF($M$6:M32,M32)=1,1,0),0))</f>
        <v>0</v>
      </c>
      <c r="T32" t="str">
        <f>IF(AND($M32&lt;&gt;"",$M32='Mapa do Galpão'!$C$20),COUNTIF($M$6:$M32,'Mapa do Galpão'!$C$20),"")</f>
        <v/>
      </c>
    </row>
    <row r="33" spans="1:20" ht="14.25" hidden="1" customHeight="1" x14ac:dyDescent="0.3">
      <c r="A33" s="43" t="s">
        <v>713</v>
      </c>
      <c r="B33" s="44" t="s">
        <v>665</v>
      </c>
      <c r="C33" s="165" t="s">
        <v>76</v>
      </c>
      <c r="D33" s="45" t="str">
        <f t="shared" si="0"/>
        <v>Masculino</v>
      </c>
      <c r="E33" s="43" t="s">
        <v>709</v>
      </c>
      <c r="F33" s="43" t="s">
        <v>710</v>
      </c>
      <c r="G33" s="43" t="s">
        <v>694</v>
      </c>
      <c r="H33" s="43" t="s">
        <v>669</v>
      </c>
      <c r="I33" s="46">
        <f>SUMIFS(Movimentações!$F$6:$F$4998,Movimentações!$C$6:$C$4998,A33,Movimentações!$M$6:$M$4998,M33)</f>
        <v>4</v>
      </c>
      <c r="J33" s="43" t="s">
        <v>670</v>
      </c>
      <c r="K33" s="43" t="s">
        <v>671</v>
      </c>
      <c r="L33" s="47">
        <v>16</v>
      </c>
      <c r="M33" s="43" t="s">
        <v>714</v>
      </c>
      <c r="N33" s="43" t="str">
        <f t="shared" si="1"/>
        <v>Rua A · Prat 16 · C-07</v>
      </c>
      <c r="P33">
        <f>IF(A33="","",IF(AND(K33&lt;&gt;"",L33&lt;&gt;""),IF(COUNTIFS($K$6:K33,K33,$L$6:L33,L33)=1,1,0),0))</f>
        <v>1</v>
      </c>
      <c r="Q33">
        <f>IF(A33="","",IF(AND(K33&lt;&gt;"",M33&lt;&gt;""),IF(COUNTIFS($K$6:K33,K33,$M$6:M33,M33)=1,1,0),0))</f>
        <v>1</v>
      </c>
      <c r="R33">
        <f>IF(A33="","",IF(M33&lt;&gt;"",IF(COUNTIF($M$6:M33,M33)=1,1,0),0))</f>
        <v>1</v>
      </c>
      <c r="T33" t="str">
        <f>IF(AND($M33&lt;&gt;"",$M33='Mapa do Galpão'!$C$20),COUNTIF($M$6:$M33,'Mapa do Galpão'!$C$20),"")</f>
        <v/>
      </c>
    </row>
    <row r="34" spans="1:20" ht="14.25" hidden="1" customHeight="1" x14ac:dyDescent="0.3">
      <c r="A34" s="43" t="s">
        <v>715</v>
      </c>
      <c r="B34" s="44" t="s">
        <v>665</v>
      </c>
      <c r="C34" s="165" t="s">
        <v>77</v>
      </c>
      <c r="D34" s="45" t="str">
        <f t="shared" si="0"/>
        <v>Masculino</v>
      </c>
      <c r="E34" s="43" t="s">
        <v>709</v>
      </c>
      <c r="F34" s="43" t="s">
        <v>710</v>
      </c>
      <c r="G34" s="43" t="s">
        <v>694</v>
      </c>
      <c r="H34" s="43" t="s">
        <v>677</v>
      </c>
      <c r="I34" s="46">
        <f>SUMIFS(Movimentações!$F$6:$F$4998,Movimentações!$C$6:$C$4998,A34,Movimentações!$M$6:$M$4998,M34)</f>
        <v>17</v>
      </c>
      <c r="J34" s="43" t="s">
        <v>670</v>
      </c>
      <c r="K34" s="43" t="s">
        <v>671</v>
      </c>
      <c r="L34" s="47">
        <v>16</v>
      </c>
      <c r="M34" s="43" t="s">
        <v>714</v>
      </c>
      <c r="N34" s="43" t="str">
        <f t="shared" si="1"/>
        <v>Rua A · Prat 16 · C-07</v>
      </c>
      <c r="P34">
        <f>IF(A34="","",IF(AND(K34&lt;&gt;"",L34&lt;&gt;""),IF(COUNTIFS($K$6:K34,K34,$L$6:L34,L34)=1,1,0),0))</f>
        <v>0</v>
      </c>
      <c r="Q34">
        <f>IF(A34="","",IF(AND(K34&lt;&gt;"",M34&lt;&gt;""),IF(COUNTIFS($K$6:K34,K34,$M$6:M34,M34)=1,1,0),0))</f>
        <v>0</v>
      </c>
      <c r="R34">
        <f>IF(A34="","",IF(M34&lt;&gt;"",IF(COUNTIF($M$6:M34,M34)=1,1,0),0))</f>
        <v>0</v>
      </c>
      <c r="T34" t="str">
        <f>IF(AND($M34&lt;&gt;"",$M34='Mapa do Galpão'!$C$20),COUNTIF($M$6:$M34,'Mapa do Galpão'!$C$20),"")</f>
        <v/>
      </c>
    </row>
    <row r="35" spans="1:20" ht="14.25" hidden="1" customHeight="1" x14ac:dyDescent="0.3">
      <c r="A35" s="43" t="s">
        <v>716</v>
      </c>
      <c r="B35" s="44" t="s">
        <v>665</v>
      </c>
      <c r="C35" s="165" t="s">
        <v>78</v>
      </c>
      <c r="D35" s="45" t="str">
        <f t="shared" si="0"/>
        <v>Masculino</v>
      </c>
      <c r="E35" s="43" t="s">
        <v>709</v>
      </c>
      <c r="F35" s="43" t="s">
        <v>710</v>
      </c>
      <c r="G35" s="43" t="s">
        <v>694</v>
      </c>
      <c r="H35" s="43" t="s">
        <v>682</v>
      </c>
      <c r="I35" s="46">
        <f>SUMIFS(Movimentações!$F$6:$F$4998,Movimentações!$C$6:$C$4998,A35,Movimentações!$M$6:$M$4998,M35)</f>
        <v>16</v>
      </c>
      <c r="J35" s="43" t="s">
        <v>670</v>
      </c>
      <c r="K35" s="43" t="s">
        <v>671</v>
      </c>
      <c r="L35" s="47">
        <v>14</v>
      </c>
      <c r="M35" s="43" t="s">
        <v>717</v>
      </c>
      <c r="N35" s="43" t="str">
        <f t="shared" si="1"/>
        <v>Rua A · Prat 14 · C-08</v>
      </c>
      <c r="P35">
        <f>IF(A35="","",IF(AND(K35&lt;&gt;"",L35&lt;&gt;""),IF(COUNTIFS($K$6:K35,K35,$L$6:L35,L35)=1,1,0),0))</f>
        <v>0</v>
      </c>
      <c r="Q35">
        <f>IF(A35="","",IF(AND(K35&lt;&gt;"",M35&lt;&gt;""),IF(COUNTIFS($K$6:K35,K35,$M$6:M35,M35)=1,1,0),0))</f>
        <v>1</v>
      </c>
      <c r="R35">
        <f>IF(A35="","",IF(M35&lt;&gt;"",IF(COUNTIF($M$6:M35,M35)=1,1,0),0))</f>
        <v>1</v>
      </c>
      <c r="T35" t="str">
        <f>IF(AND($M35&lt;&gt;"",$M35='Mapa do Galpão'!$C$20),COUNTIF($M$6:$M35,'Mapa do Galpão'!$C$20),"")</f>
        <v/>
      </c>
    </row>
    <row r="36" spans="1:20" ht="14.25" hidden="1" customHeight="1" x14ac:dyDescent="0.3">
      <c r="A36" s="43" t="s">
        <v>718</v>
      </c>
      <c r="B36" s="44" t="s">
        <v>665</v>
      </c>
      <c r="C36" s="165" t="s">
        <v>79</v>
      </c>
      <c r="D36" s="45" t="str">
        <f t="shared" si="0"/>
        <v>Masculino</v>
      </c>
      <c r="E36" s="43" t="s">
        <v>709</v>
      </c>
      <c r="F36" s="43" t="s">
        <v>710</v>
      </c>
      <c r="G36" s="43" t="s">
        <v>719</v>
      </c>
      <c r="H36" s="43" t="s">
        <v>680</v>
      </c>
      <c r="I36" s="46">
        <f>SUMIFS(Movimentações!$F$6:$F$4998,Movimentações!$C$6:$C$4998,A36,Movimentações!$M$6:$M$4998,M36)</f>
        <v>10</v>
      </c>
      <c r="J36" s="43" t="s">
        <v>670</v>
      </c>
      <c r="K36" s="43" t="s">
        <v>671</v>
      </c>
      <c r="L36" s="47">
        <v>14</v>
      </c>
      <c r="M36" s="43" t="s">
        <v>720</v>
      </c>
      <c r="N36" s="43" t="str">
        <f t="shared" si="1"/>
        <v>Rua A · Prat 14 · C-09</v>
      </c>
      <c r="P36">
        <f>IF(A36="","",IF(AND(K36&lt;&gt;"",L36&lt;&gt;""),IF(COUNTIFS($K$6:K36,K36,$L$6:L36,L36)=1,1,0),0))</f>
        <v>0</v>
      </c>
      <c r="Q36">
        <f>IF(A36="","",IF(AND(K36&lt;&gt;"",M36&lt;&gt;""),IF(COUNTIFS($K$6:K36,K36,$M$6:M36,M36)=1,1,0),0))</f>
        <v>1</v>
      </c>
      <c r="R36">
        <f>IF(A36="","",IF(M36&lt;&gt;"",IF(COUNTIF($M$6:M36,M36)=1,1,0),0))</f>
        <v>1</v>
      </c>
      <c r="T36" t="str">
        <f>IF(AND($M36&lt;&gt;"",$M36='Mapa do Galpão'!$C$20),COUNTIF($M$6:$M36,'Mapa do Galpão'!$C$20),"")</f>
        <v/>
      </c>
    </row>
    <row r="37" spans="1:20" ht="14.25" hidden="1" customHeight="1" x14ac:dyDescent="0.3">
      <c r="A37" s="43" t="s">
        <v>721</v>
      </c>
      <c r="B37" s="44" t="s">
        <v>665</v>
      </c>
      <c r="C37" s="165" t="s">
        <v>80</v>
      </c>
      <c r="D37" s="45" t="str">
        <f t="shared" si="0"/>
        <v>Masculino</v>
      </c>
      <c r="E37" s="43" t="s">
        <v>709</v>
      </c>
      <c r="F37" s="43" t="s">
        <v>710</v>
      </c>
      <c r="G37" s="43" t="s">
        <v>719</v>
      </c>
      <c r="H37" s="43" t="s">
        <v>675</v>
      </c>
      <c r="I37" s="46">
        <f>SUMIFS(Movimentações!$F$6:$F$4998,Movimentações!$C$6:$C$4998,A37,Movimentações!$M$6:$M$4998,M37)</f>
        <v>10</v>
      </c>
      <c r="J37" s="43" t="s">
        <v>670</v>
      </c>
      <c r="K37" s="43" t="s">
        <v>671</v>
      </c>
      <c r="L37" s="47">
        <v>14</v>
      </c>
      <c r="M37" s="43" t="s">
        <v>720</v>
      </c>
      <c r="N37" s="43" t="str">
        <f t="shared" si="1"/>
        <v>Rua A · Prat 14 · C-09</v>
      </c>
      <c r="P37">
        <f>IF(A37="","",IF(AND(K37&lt;&gt;"",L37&lt;&gt;""),IF(COUNTIFS($K$6:K37,K37,$L$6:L37,L37)=1,1,0),0))</f>
        <v>0</v>
      </c>
      <c r="Q37">
        <f>IF(A37="","",IF(AND(K37&lt;&gt;"",M37&lt;&gt;""),IF(COUNTIFS($K$6:K37,K37,$M$6:M37,M37)=1,1,0),0))</f>
        <v>0</v>
      </c>
      <c r="R37">
        <f>IF(A37="","",IF(M37&lt;&gt;"",IF(COUNTIF($M$6:M37,M37)=1,1,0),0))</f>
        <v>0</v>
      </c>
      <c r="T37" t="str">
        <f>IF(AND($M37&lt;&gt;"",$M37='Mapa do Galpão'!$C$20),COUNTIF($M$6:$M37,'Mapa do Galpão'!$C$20),"")</f>
        <v/>
      </c>
    </row>
    <row r="38" spans="1:20" ht="14.25" hidden="1" customHeight="1" x14ac:dyDescent="0.3">
      <c r="A38" s="43" t="s">
        <v>722</v>
      </c>
      <c r="B38" s="44" t="s">
        <v>665</v>
      </c>
      <c r="C38" s="165" t="s">
        <v>81</v>
      </c>
      <c r="D38" s="45" t="str">
        <f t="shared" si="0"/>
        <v>Masculino</v>
      </c>
      <c r="E38" s="43" t="s">
        <v>709</v>
      </c>
      <c r="F38" s="43" t="s">
        <v>710</v>
      </c>
      <c r="G38" s="43" t="s">
        <v>719</v>
      </c>
      <c r="H38" s="43" t="s">
        <v>669</v>
      </c>
      <c r="I38" s="46">
        <f>SUMIFS(Movimentações!$F$6:$F$4998,Movimentações!$C$6:$C$4998,A38,Movimentações!$M$6:$M$4998,M38)</f>
        <v>10</v>
      </c>
      <c r="J38" s="43" t="s">
        <v>670</v>
      </c>
      <c r="K38" s="43" t="s">
        <v>671</v>
      </c>
      <c r="L38" s="47">
        <v>14</v>
      </c>
      <c r="M38" s="43" t="s">
        <v>723</v>
      </c>
      <c r="N38" s="43" t="str">
        <f t="shared" si="1"/>
        <v>Rua A · Prat 14 · C-10</v>
      </c>
      <c r="P38">
        <f>IF(A38="","",IF(AND(K38&lt;&gt;"",L38&lt;&gt;""),IF(COUNTIFS($K$6:K38,K38,$L$6:L38,L38)=1,1,0),0))</f>
        <v>0</v>
      </c>
      <c r="Q38">
        <f>IF(A38="","",IF(AND(K38&lt;&gt;"",M38&lt;&gt;""),IF(COUNTIFS($K$6:K38,K38,$M$6:M38,M38)=1,1,0),0))</f>
        <v>1</v>
      </c>
      <c r="R38">
        <f>IF(A38="","",IF(M38&lt;&gt;"",IF(COUNTIF($M$6:M38,M38)=1,1,0),0))</f>
        <v>1</v>
      </c>
      <c r="T38" t="str">
        <f>IF(AND($M38&lt;&gt;"",$M38='Mapa do Galpão'!$C$20),COUNTIF($M$6:$M38,'Mapa do Galpão'!$C$20),"")</f>
        <v/>
      </c>
    </row>
    <row r="39" spans="1:20" ht="14.25" hidden="1" customHeight="1" x14ac:dyDescent="0.3">
      <c r="A39" s="43" t="s">
        <v>724</v>
      </c>
      <c r="B39" s="44" t="s">
        <v>665</v>
      </c>
      <c r="C39" s="165" t="s">
        <v>82</v>
      </c>
      <c r="D39" s="45" t="str">
        <f t="shared" si="0"/>
        <v>Masculino</v>
      </c>
      <c r="E39" s="43" t="s">
        <v>709</v>
      </c>
      <c r="F39" s="43" t="s">
        <v>710</v>
      </c>
      <c r="G39" s="43" t="s">
        <v>719</v>
      </c>
      <c r="H39" s="43" t="s">
        <v>682</v>
      </c>
      <c r="I39" s="46">
        <f>SUMIFS(Movimentações!$F$6:$F$4998,Movimentações!$C$6:$C$4998,A39,Movimentações!$M$6:$M$4998,M39)</f>
        <v>0</v>
      </c>
      <c r="J39" s="43" t="s">
        <v>670</v>
      </c>
      <c r="K39" s="43" t="s">
        <v>671</v>
      </c>
      <c r="L39" s="47">
        <v>14</v>
      </c>
      <c r="M39" s="43" t="s">
        <v>723</v>
      </c>
      <c r="N39" s="43" t="str">
        <f t="shared" si="1"/>
        <v>Rua A · Prat 14 · C-10</v>
      </c>
      <c r="P39">
        <f>IF(A39="","",IF(AND(K39&lt;&gt;"",L39&lt;&gt;""),IF(COUNTIFS($K$6:K39,K39,$L$6:L39,L39)=1,1,0),0))</f>
        <v>0</v>
      </c>
      <c r="Q39">
        <f>IF(A39="","",IF(AND(K39&lt;&gt;"",M39&lt;&gt;""),IF(COUNTIFS($K$6:K39,K39,$M$6:M39,M39)=1,1,0),0))</f>
        <v>0</v>
      </c>
      <c r="R39">
        <f>IF(A39="","",IF(M39&lt;&gt;"",IF(COUNTIF($M$6:M39,M39)=1,1,0),0))</f>
        <v>0</v>
      </c>
      <c r="T39" t="str">
        <f>IF(AND($M39&lt;&gt;"",$M39='Mapa do Galpão'!$C$20),COUNTIF($M$6:$M39,'Mapa do Galpão'!$C$20),"")</f>
        <v/>
      </c>
    </row>
    <row r="40" spans="1:20" ht="14.25" hidden="1" customHeight="1" x14ac:dyDescent="0.3">
      <c r="A40" s="43" t="s">
        <v>725</v>
      </c>
      <c r="B40" s="44" t="s">
        <v>665</v>
      </c>
      <c r="C40" s="165" t="s">
        <v>83</v>
      </c>
      <c r="D40" s="45" t="str">
        <f t="shared" si="0"/>
        <v>Masculino</v>
      </c>
      <c r="E40" s="43" t="s">
        <v>709</v>
      </c>
      <c r="F40" s="43" t="s">
        <v>710</v>
      </c>
      <c r="G40" s="43" t="s">
        <v>719</v>
      </c>
      <c r="H40" s="43" t="s">
        <v>677</v>
      </c>
      <c r="I40" s="46">
        <f>SUMIFS(Movimentações!$F$6:$F$4998,Movimentações!$C$6:$C$4998,A40,Movimentações!$M$6:$M$4998,M40)</f>
        <v>0</v>
      </c>
      <c r="J40" s="43" t="s">
        <v>670</v>
      </c>
      <c r="K40" s="43" t="s">
        <v>671</v>
      </c>
      <c r="L40" s="47" t="s">
        <v>672</v>
      </c>
      <c r="M40" s="43" t="s">
        <v>726</v>
      </c>
      <c r="N40" s="43" t="str">
        <f t="shared" si="1"/>
        <v>Rua A · Prat 1 · C-11</v>
      </c>
      <c r="P40">
        <f>IF(A40="","",IF(AND(K40&lt;&gt;"",L40&lt;&gt;""),IF(COUNTIFS($K$6:K40,K40,$L$6:L40,L40)=1,1,0),0))</f>
        <v>0</v>
      </c>
      <c r="Q40">
        <f>IF(A40="","",IF(AND(K40&lt;&gt;"",M40&lt;&gt;""),IF(COUNTIFS($K$6:K40,K40,$M$6:M40,M40)=1,1,0),0))</f>
        <v>1</v>
      </c>
      <c r="R40">
        <f>IF(A40="","",IF(M40&lt;&gt;"",IF(COUNTIF($M$6:M40,M40)=1,1,0),0))</f>
        <v>1</v>
      </c>
      <c r="T40" t="str">
        <f>IF(AND($M40&lt;&gt;"",$M40='Mapa do Galpão'!$C$20),COUNTIF($M$6:$M40,'Mapa do Galpão'!$C$20),"")</f>
        <v/>
      </c>
    </row>
    <row r="41" spans="1:20" ht="14.25" hidden="1" customHeight="1" x14ac:dyDescent="0.3">
      <c r="A41" s="43" t="s">
        <v>727</v>
      </c>
      <c r="B41" s="44" t="s">
        <v>665</v>
      </c>
      <c r="C41" s="165" t="s">
        <v>84</v>
      </c>
      <c r="D41" s="45" t="str">
        <f t="shared" si="0"/>
        <v>Masculino</v>
      </c>
      <c r="E41" s="43" t="s">
        <v>709</v>
      </c>
      <c r="F41" s="43" t="s">
        <v>710</v>
      </c>
      <c r="G41" s="43" t="s">
        <v>668</v>
      </c>
      <c r="H41" s="43" t="s">
        <v>680</v>
      </c>
      <c r="I41" s="46">
        <f>SUMIFS(Movimentações!$F$6:$F$4998,Movimentações!$C$6:$C$4998,A41,Movimentações!$M$6:$M$4998,M41)</f>
        <v>10</v>
      </c>
      <c r="J41" s="43" t="s">
        <v>670</v>
      </c>
      <c r="K41" s="43" t="s">
        <v>671</v>
      </c>
      <c r="L41" s="47">
        <v>13</v>
      </c>
      <c r="M41" s="43" t="s">
        <v>728</v>
      </c>
      <c r="N41" s="43" t="str">
        <f t="shared" si="1"/>
        <v>Rua A · Prat 13 · C-12</v>
      </c>
      <c r="P41">
        <f>IF(A41="","",IF(AND(K41&lt;&gt;"",L41&lt;&gt;""),IF(COUNTIFS($K$6:K41,K41,$L$6:L41,L41)=1,1,0),0))</f>
        <v>1</v>
      </c>
      <c r="Q41">
        <f>IF(A41="","",IF(AND(K41&lt;&gt;"",M41&lt;&gt;""),IF(COUNTIFS($K$6:K41,K41,$M$6:M41,M41)=1,1,0),0))</f>
        <v>1</v>
      </c>
      <c r="R41">
        <f>IF(A41="","",IF(M41&lt;&gt;"",IF(COUNTIF($M$6:M41,M41)=1,1,0),0))</f>
        <v>1</v>
      </c>
      <c r="T41" t="str">
        <f>IF(AND($M41&lt;&gt;"",$M41='Mapa do Galpão'!$C$20),COUNTIF($M$6:$M41,'Mapa do Galpão'!$C$20),"")</f>
        <v/>
      </c>
    </row>
    <row r="42" spans="1:20" ht="14.25" hidden="1" customHeight="1" x14ac:dyDescent="0.3">
      <c r="A42" s="43" t="s">
        <v>729</v>
      </c>
      <c r="B42" s="44" t="s">
        <v>665</v>
      </c>
      <c r="C42" s="165" t="s">
        <v>85</v>
      </c>
      <c r="D42" s="45" t="str">
        <f t="shared" si="0"/>
        <v>Masculino</v>
      </c>
      <c r="E42" s="43" t="s">
        <v>709</v>
      </c>
      <c r="F42" s="43" t="s">
        <v>710</v>
      </c>
      <c r="G42" s="43" t="s">
        <v>668</v>
      </c>
      <c r="H42" s="43" t="s">
        <v>675</v>
      </c>
      <c r="I42" s="46">
        <f>SUMIFS(Movimentações!$F$6:$F$4998,Movimentações!$C$6:$C$4998,A42,Movimentações!$M$6:$M$4998,M42)</f>
        <v>10</v>
      </c>
      <c r="J42" s="43" t="s">
        <v>670</v>
      </c>
      <c r="K42" s="43" t="s">
        <v>671</v>
      </c>
      <c r="L42" s="47">
        <v>13</v>
      </c>
      <c r="M42" s="43" t="s">
        <v>728</v>
      </c>
      <c r="N42" s="43" t="str">
        <f t="shared" si="1"/>
        <v>Rua A · Prat 13 · C-12</v>
      </c>
      <c r="P42">
        <f>IF(A42="","",IF(AND(K42&lt;&gt;"",L42&lt;&gt;""),IF(COUNTIFS($K$6:K42,K42,$L$6:L42,L42)=1,1,0),0))</f>
        <v>0</v>
      </c>
      <c r="Q42">
        <f>IF(A42="","",IF(AND(K42&lt;&gt;"",M42&lt;&gt;""),IF(COUNTIFS($K$6:K42,K42,$M$6:M42,M42)=1,1,0),0))</f>
        <v>0</v>
      </c>
      <c r="R42">
        <f>IF(A42="","",IF(M42&lt;&gt;"",IF(COUNTIF($M$6:M42,M42)=1,1,0),0))</f>
        <v>0</v>
      </c>
      <c r="T42" t="str">
        <f>IF(AND($M42&lt;&gt;"",$M42='Mapa do Galpão'!$C$20),COUNTIF($M$6:$M42,'Mapa do Galpão'!$C$20),"")</f>
        <v/>
      </c>
    </row>
    <row r="43" spans="1:20" ht="14.25" hidden="1" customHeight="1" x14ac:dyDescent="0.3">
      <c r="A43" s="43" t="s">
        <v>730</v>
      </c>
      <c r="B43" s="44" t="s">
        <v>665</v>
      </c>
      <c r="C43" s="165" t="s">
        <v>86</v>
      </c>
      <c r="D43" s="45" t="str">
        <f t="shared" si="0"/>
        <v>Masculino</v>
      </c>
      <c r="E43" s="43" t="s">
        <v>709</v>
      </c>
      <c r="F43" s="43" t="s">
        <v>710</v>
      </c>
      <c r="G43" s="43" t="s">
        <v>668</v>
      </c>
      <c r="H43" s="43" t="s">
        <v>669</v>
      </c>
      <c r="I43" s="46">
        <f>SUMIFS(Movimentações!$F$6:$F$4998,Movimentações!$C$6:$C$4998,A43,Movimentações!$M$6:$M$4998,M43)</f>
        <v>8</v>
      </c>
      <c r="J43" s="43" t="s">
        <v>670</v>
      </c>
      <c r="K43" s="43" t="s">
        <v>671</v>
      </c>
      <c r="L43" s="47">
        <v>13</v>
      </c>
      <c r="M43" s="43" t="s">
        <v>731</v>
      </c>
      <c r="N43" s="43" t="str">
        <f t="shared" si="1"/>
        <v>Rua A · Prat 13 · C-13</v>
      </c>
      <c r="P43">
        <f>IF(A43="","",IF(AND(K43&lt;&gt;"",L43&lt;&gt;""),IF(COUNTIFS($K$6:K43,K43,$L$6:L43,L43)=1,1,0),0))</f>
        <v>0</v>
      </c>
      <c r="Q43">
        <f>IF(A43="","",IF(AND(K43&lt;&gt;"",M43&lt;&gt;""),IF(COUNTIFS($K$6:K43,K43,$M$6:M43,M43)=1,1,0),0))</f>
        <v>1</v>
      </c>
      <c r="R43">
        <f>IF(A43="","",IF(M43&lt;&gt;"",IF(COUNTIF($M$6:M43,M43)=1,1,0),0))</f>
        <v>1</v>
      </c>
      <c r="T43" t="str">
        <f>IF(AND($M43&lt;&gt;"",$M43='Mapa do Galpão'!$C$20),COUNTIF($M$6:$M43,'Mapa do Galpão'!$C$20),"")</f>
        <v/>
      </c>
    </row>
    <row r="44" spans="1:20" ht="14.25" hidden="1" customHeight="1" x14ac:dyDescent="0.3">
      <c r="A44" s="43" t="s">
        <v>732</v>
      </c>
      <c r="B44" s="44" t="s">
        <v>665</v>
      </c>
      <c r="C44" s="165" t="s">
        <v>87</v>
      </c>
      <c r="D44" s="45" t="str">
        <f t="shared" si="0"/>
        <v>Masculino</v>
      </c>
      <c r="E44" s="43" t="s">
        <v>709</v>
      </c>
      <c r="F44" s="43" t="s">
        <v>710</v>
      </c>
      <c r="G44" s="43" t="s">
        <v>668</v>
      </c>
      <c r="H44" s="43" t="s">
        <v>682</v>
      </c>
      <c r="I44" s="46">
        <f>SUMIFS(Movimentações!$F$6:$F$4998,Movimentações!$C$6:$C$4998,A44,Movimentações!$M$6:$M$4998,M44)</f>
        <v>9</v>
      </c>
      <c r="J44" s="43" t="s">
        <v>670</v>
      </c>
      <c r="K44" s="43" t="s">
        <v>671</v>
      </c>
      <c r="L44" s="47">
        <v>13</v>
      </c>
      <c r="M44" s="43" t="s">
        <v>731</v>
      </c>
      <c r="N44" s="43" t="str">
        <f t="shared" si="1"/>
        <v>Rua A · Prat 13 · C-13</v>
      </c>
      <c r="P44">
        <f>IF(A44="","",IF(AND(K44&lt;&gt;"",L44&lt;&gt;""),IF(COUNTIFS($K$6:K44,K44,$L$6:L44,L44)=1,1,0),0))</f>
        <v>0</v>
      </c>
      <c r="Q44">
        <f>IF(A44="","",IF(AND(K44&lt;&gt;"",M44&lt;&gt;""),IF(COUNTIFS($K$6:K44,K44,$M$6:M44,M44)=1,1,0),0))</f>
        <v>0</v>
      </c>
      <c r="R44">
        <f>IF(A44="","",IF(M44&lt;&gt;"",IF(COUNTIF($M$6:M44,M44)=1,1,0),0))</f>
        <v>0</v>
      </c>
      <c r="T44" t="str">
        <f>IF(AND($M44&lt;&gt;"",$M44='Mapa do Galpão'!$C$20),COUNTIF($M$6:$M44,'Mapa do Galpão'!$C$20),"")</f>
        <v/>
      </c>
    </row>
    <row r="45" spans="1:20" ht="14.25" hidden="1" customHeight="1" x14ac:dyDescent="0.3">
      <c r="A45" s="43" t="s">
        <v>733</v>
      </c>
      <c r="B45" s="44" t="s">
        <v>665</v>
      </c>
      <c r="C45" s="165" t="s">
        <v>88</v>
      </c>
      <c r="D45" s="45" t="str">
        <f t="shared" si="0"/>
        <v>Masculino</v>
      </c>
      <c r="E45" s="43" t="s">
        <v>709</v>
      </c>
      <c r="F45" s="43" t="s">
        <v>710</v>
      </c>
      <c r="G45" s="43" t="s">
        <v>668</v>
      </c>
      <c r="H45" s="43" t="s">
        <v>677</v>
      </c>
      <c r="I45" s="46">
        <f>SUMIFS(Movimentações!$F$6:$F$4998,Movimentações!$C$6:$C$4998,A45,Movimentações!$M$6:$M$4998,M45)</f>
        <v>11</v>
      </c>
      <c r="J45" s="43" t="s">
        <v>670</v>
      </c>
      <c r="K45" s="43" t="s">
        <v>671</v>
      </c>
      <c r="L45" s="47">
        <v>13</v>
      </c>
      <c r="M45" s="43" t="s">
        <v>731</v>
      </c>
      <c r="N45" s="43" t="str">
        <f t="shared" si="1"/>
        <v>Rua A · Prat 13 · C-13</v>
      </c>
      <c r="P45">
        <f>IF(A45="","",IF(AND(K45&lt;&gt;"",L45&lt;&gt;""),IF(COUNTIFS($K$6:K45,K45,$L$6:L45,L45)=1,1,0),0))</f>
        <v>0</v>
      </c>
      <c r="Q45">
        <f>IF(A45="","",IF(AND(K45&lt;&gt;"",M45&lt;&gt;""),IF(COUNTIFS($K$6:K45,K45,$M$6:M45,M45)=1,1,0),0))</f>
        <v>0</v>
      </c>
      <c r="R45">
        <f>IF(A45="","",IF(M45&lt;&gt;"",IF(COUNTIF($M$6:M45,M45)=1,1,0),0))</f>
        <v>0</v>
      </c>
      <c r="T45" t="str">
        <f>IF(AND($M45&lt;&gt;"",$M45='Mapa do Galpão'!$C$20),COUNTIF($M$6:$M45,'Mapa do Galpão'!$C$20),"")</f>
        <v/>
      </c>
    </row>
    <row r="46" spans="1:20" ht="14.25" hidden="1" customHeight="1" x14ac:dyDescent="0.3">
      <c r="A46" s="43" t="s">
        <v>734</v>
      </c>
      <c r="B46" s="44" t="s">
        <v>665</v>
      </c>
      <c r="C46" s="165" t="s">
        <v>89</v>
      </c>
      <c r="D46" s="45" t="str">
        <f t="shared" si="0"/>
        <v>Masculino</v>
      </c>
      <c r="E46" s="43" t="s">
        <v>709</v>
      </c>
      <c r="F46" s="43" t="s">
        <v>710</v>
      </c>
      <c r="G46" s="43" t="s">
        <v>735</v>
      </c>
      <c r="H46" s="43" t="s">
        <v>680</v>
      </c>
      <c r="I46" s="46">
        <f>SUMIFS(Movimentações!$F$6:$F$4998,Movimentações!$C$6:$C$4998,A46,Movimentações!$M$6:$M$4998,M46)</f>
        <v>9</v>
      </c>
      <c r="J46" s="43" t="s">
        <v>670</v>
      </c>
      <c r="K46" s="43" t="s">
        <v>671</v>
      </c>
      <c r="L46" s="47">
        <v>14</v>
      </c>
      <c r="M46" s="43" t="s">
        <v>736</v>
      </c>
      <c r="N46" s="43" t="str">
        <f t="shared" si="1"/>
        <v>Rua A · Prat 14 · C-14</v>
      </c>
      <c r="P46">
        <f>IF(A46="","",IF(AND(K46&lt;&gt;"",L46&lt;&gt;""),IF(COUNTIFS($K$6:K46,K46,$L$6:L46,L46)=1,1,0),0))</f>
        <v>0</v>
      </c>
      <c r="Q46">
        <f>IF(A46="","",IF(AND(K46&lt;&gt;"",M46&lt;&gt;""),IF(COUNTIFS($K$6:K46,K46,$M$6:M46,M46)=1,1,0),0))</f>
        <v>1</v>
      </c>
      <c r="R46">
        <f>IF(A46="","",IF(M46&lt;&gt;"",IF(COUNTIF($M$6:M46,M46)=1,1,0),0))</f>
        <v>1</v>
      </c>
      <c r="T46" t="str">
        <f>IF(AND($M46&lt;&gt;"",$M46='Mapa do Galpão'!$C$20),COUNTIF($M$6:$M46,'Mapa do Galpão'!$C$20),"")</f>
        <v/>
      </c>
    </row>
    <row r="47" spans="1:20" ht="14.25" hidden="1" customHeight="1" x14ac:dyDescent="0.3">
      <c r="A47" s="43" t="s">
        <v>737</v>
      </c>
      <c r="B47" s="44" t="s">
        <v>665</v>
      </c>
      <c r="C47" s="165" t="s">
        <v>90</v>
      </c>
      <c r="D47" s="45" t="str">
        <f t="shared" si="0"/>
        <v>Masculino</v>
      </c>
      <c r="E47" s="43" t="s">
        <v>709</v>
      </c>
      <c r="F47" s="43" t="s">
        <v>710</v>
      </c>
      <c r="G47" s="43" t="s">
        <v>738</v>
      </c>
      <c r="H47" s="43" t="s">
        <v>675</v>
      </c>
      <c r="I47" s="46">
        <f>SUMIFS(Movimentações!$F$6:$F$4998,Movimentações!$C$6:$C$4998,A47,Movimentações!$M$6:$M$4998,M47)</f>
        <v>8</v>
      </c>
      <c r="J47" s="43" t="s">
        <v>670</v>
      </c>
      <c r="K47" s="43" t="s">
        <v>671</v>
      </c>
      <c r="L47" s="47">
        <v>14</v>
      </c>
      <c r="M47" s="43" t="s">
        <v>739</v>
      </c>
      <c r="N47" s="43" t="str">
        <f t="shared" si="1"/>
        <v>Rua A · Prat 14 · C-15</v>
      </c>
      <c r="P47">
        <f>IF(A47="","",IF(AND(K47&lt;&gt;"",L47&lt;&gt;""),IF(COUNTIFS($K$6:K47,K47,$L$6:L47,L47)=1,1,0),0))</f>
        <v>0</v>
      </c>
      <c r="Q47">
        <f>IF(A47="","",IF(AND(K47&lt;&gt;"",M47&lt;&gt;""),IF(COUNTIFS($K$6:K47,K47,$M$6:M47,M47)=1,1,0),0))</f>
        <v>1</v>
      </c>
      <c r="R47">
        <f>IF(A47="","",IF(M47&lt;&gt;"",IF(COUNTIF($M$6:M47,M47)=1,1,0),0))</f>
        <v>1</v>
      </c>
      <c r="T47" t="str">
        <f>IF(AND($M47&lt;&gt;"",$M47='Mapa do Galpão'!$C$20),COUNTIF($M$6:$M47,'Mapa do Galpão'!$C$20),"")</f>
        <v/>
      </c>
    </row>
    <row r="48" spans="1:20" ht="14.25" hidden="1" customHeight="1" x14ac:dyDescent="0.3">
      <c r="A48" s="43" t="s">
        <v>740</v>
      </c>
      <c r="B48" s="44" t="s">
        <v>665</v>
      </c>
      <c r="C48" s="165" t="s">
        <v>91</v>
      </c>
      <c r="D48" s="45" t="str">
        <f t="shared" si="0"/>
        <v>Masculino</v>
      </c>
      <c r="E48" s="43" t="s">
        <v>709</v>
      </c>
      <c r="F48" s="43" t="s">
        <v>710</v>
      </c>
      <c r="G48" s="43" t="s">
        <v>738</v>
      </c>
      <c r="H48" s="43" t="s">
        <v>669</v>
      </c>
      <c r="I48" s="46">
        <f>SUMIFS(Movimentações!$F$6:$F$4998,Movimentações!$C$6:$C$4998,A48,Movimentações!$M$6:$M$4998,M48)</f>
        <v>11</v>
      </c>
      <c r="J48" s="43" t="s">
        <v>670</v>
      </c>
      <c r="K48" s="43" t="s">
        <v>671</v>
      </c>
      <c r="L48" s="47">
        <v>14</v>
      </c>
      <c r="M48" s="43" t="s">
        <v>736</v>
      </c>
      <c r="N48" s="43" t="str">
        <f t="shared" si="1"/>
        <v>Rua A · Prat 14 · C-14</v>
      </c>
      <c r="P48">
        <f>IF(A48="","",IF(AND(K48&lt;&gt;"",L48&lt;&gt;""),IF(COUNTIFS($K$6:K48,K48,$L$6:L48,L48)=1,1,0),0))</f>
        <v>0</v>
      </c>
      <c r="Q48">
        <f>IF(A48="","",IF(AND(K48&lt;&gt;"",M48&lt;&gt;""),IF(COUNTIFS($K$6:K48,K48,$M$6:M48,M48)=1,1,0),0))</f>
        <v>0</v>
      </c>
      <c r="R48">
        <f>IF(A48="","",IF(M48&lt;&gt;"",IF(COUNTIF($M$6:M48,M48)=1,1,0),0))</f>
        <v>0</v>
      </c>
      <c r="T48" t="str">
        <f>IF(AND($M48&lt;&gt;"",$M48='Mapa do Galpão'!$C$20),COUNTIF($M$6:$M48,'Mapa do Galpão'!$C$20),"")</f>
        <v/>
      </c>
    </row>
    <row r="49" spans="1:20" ht="14.25" hidden="1" customHeight="1" x14ac:dyDescent="0.3">
      <c r="A49" s="43" t="s">
        <v>741</v>
      </c>
      <c r="B49" s="44" t="s">
        <v>665</v>
      </c>
      <c r="C49" s="165" t="s">
        <v>92</v>
      </c>
      <c r="D49" s="45" t="str">
        <f t="shared" si="0"/>
        <v>Masculino</v>
      </c>
      <c r="E49" s="43" t="s">
        <v>709</v>
      </c>
      <c r="F49" s="43" t="s">
        <v>710</v>
      </c>
      <c r="G49" s="43" t="s">
        <v>738</v>
      </c>
      <c r="H49" s="43" t="s">
        <v>682</v>
      </c>
      <c r="I49" s="46">
        <f>SUMIFS(Movimentações!$F$6:$F$4998,Movimentações!$C$6:$C$4998,A49,Movimentações!$M$6:$M$4998,M49)</f>
        <v>9</v>
      </c>
      <c r="J49" s="43" t="s">
        <v>670</v>
      </c>
      <c r="K49" s="43" t="s">
        <v>671</v>
      </c>
      <c r="L49" s="47">
        <v>14</v>
      </c>
      <c r="M49" s="43" t="s">
        <v>739</v>
      </c>
      <c r="N49" s="43" t="str">
        <f t="shared" si="1"/>
        <v>Rua A · Prat 14 · C-15</v>
      </c>
      <c r="P49">
        <f>IF(A49="","",IF(AND(K49&lt;&gt;"",L49&lt;&gt;""),IF(COUNTIFS($K$6:K49,K49,$L$6:L49,L49)=1,1,0),0))</f>
        <v>0</v>
      </c>
      <c r="Q49">
        <f>IF(A49="","",IF(AND(K49&lt;&gt;"",M49&lt;&gt;""),IF(COUNTIFS($K$6:K49,K49,$M$6:M49,M49)=1,1,0),0))</f>
        <v>0</v>
      </c>
      <c r="R49">
        <f>IF(A49="","",IF(M49&lt;&gt;"",IF(COUNTIF($M$6:M49,M49)=1,1,0),0))</f>
        <v>0</v>
      </c>
      <c r="T49" t="str">
        <f>IF(AND($M49&lt;&gt;"",$M49='Mapa do Galpão'!$C$20),COUNTIF($M$6:$M49,'Mapa do Galpão'!$C$20),"")</f>
        <v/>
      </c>
    </row>
    <row r="50" spans="1:20" ht="14.25" hidden="1" customHeight="1" x14ac:dyDescent="0.3">
      <c r="A50" s="43" t="s">
        <v>742</v>
      </c>
      <c r="B50" s="44" t="s">
        <v>665</v>
      </c>
      <c r="C50" s="165" t="s">
        <v>93</v>
      </c>
      <c r="D50" s="45" t="str">
        <f t="shared" si="0"/>
        <v>Masculino</v>
      </c>
      <c r="E50" s="43" t="s">
        <v>709</v>
      </c>
      <c r="F50" s="43" t="s">
        <v>710</v>
      </c>
      <c r="G50" s="43" t="s">
        <v>738</v>
      </c>
      <c r="H50" s="43" t="s">
        <v>677</v>
      </c>
      <c r="I50" s="46">
        <f>SUMIFS(Movimentações!$F$6:$F$4998,Movimentações!$C$6:$C$4998,A50,Movimentações!$M$6:$M$4998,M50)</f>
        <v>8</v>
      </c>
      <c r="J50" s="43" t="s">
        <v>670</v>
      </c>
      <c r="K50" s="43" t="s">
        <v>671</v>
      </c>
      <c r="L50" s="47">
        <v>14</v>
      </c>
      <c r="M50" s="43" t="s">
        <v>739</v>
      </c>
      <c r="N50" s="43" t="str">
        <f t="shared" si="1"/>
        <v>Rua A · Prat 14 · C-15</v>
      </c>
      <c r="P50">
        <f>IF(A50="","",IF(AND(K50&lt;&gt;"",L50&lt;&gt;""),IF(COUNTIFS($K$6:K50,K50,$L$6:L50,L50)=1,1,0),0))</f>
        <v>0</v>
      </c>
      <c r="Q50">
        <f>IF(A50="","",IF(AND(K50&lt;&gt;"",M50&lt;&gt;""),IF(COUNTIFS($K$6:K50,K50,$M$6:M50,M50)=1,1,0),0))</f>
        <v>0</v>
      </c>
      <c r="R50">
        <f>IF(A50="","",IF(M50&lt;&gt;"",IF(COUNTIF($M$6:M50,M50)=1,1,0),0))</f>
        <v>0</v>
      </c>
      <c r="T50" t="str">
        <f>IF(AND($M50&lt;&gt;"",$M50='Mapa do Galpão'!$C$20),COUNTIF($M$6:$M50,'Mapa do Galpão'!$C$20),"")</f>
        <v/>
      </c>
    </row>
    <row r="51" spans="1:20" ht="14.25" hidden="1" customHeight="1" x14ac:dyDescent="0.3">
      <c r="A51" s="43" t="s">
        <v>743</v>
      </c>
      <c r="B51" s="44" t="s">
        <v>665</v>
      </c>
      <c r="C51" s="165" t="s">
        <v>94</v>
      </c>
      <c r="D51" s="45" t="str">
        <f t="shared" si="0"/>
        <v>Masculino</v>
      </c>
      <c r="E51" s="43" t="s">
        <v>684</v>
      </c>
      <c r="F51" s="43" t="s">
        <v>685</v>
      </c>
      <c r="G51" s="43" t="s">
        <v>738</v>
      </c>
      <c r="H51" s="43" t="s">
        <v>680</v>
      </c>
      <c r="I51" s="46">
        <f>SUMIFS(Movimentações!$F$6:$F$4998,Movimentações!$C$6:$C$4998,A51,Movimentações!$M$6:$M$4998,M51)</f>
        <v>0</v>
      </c>
      <c r="J51" s="43" t="s">
        <v>670</v>
      </c>
      <c r="K51" s="43" t="s">
        <v>671</v>
      </c>
      <c r="L51" s="47" t="s">
        <v>744</v>
      </c>
      <c r="M51" s="43" t="s">
        <v>745</v>
      </c>
      <c r="N51" s="43" t="str">
        <f t="shared" si="1"/>
        <v>Rua A · Prat 5 · C-16</v>
      </c>
      <c r="P51">
        <f>IF(A51="","",IF(AND(K51&lt;&gt;"",L51&lt;&gt;""),IF(COUNTIFS($K$6:K51,K51,$L$6:L51,L51)=1,1,0),0))</f>
        <v>1</v>
      </c>
      <c r="Q51">
        <f>IF(A51="","",IF(AND(K51&lt;&gt;"",M51&lt;&gt;""),IF(COUNTIFS($K$6:K51,K51,$M$6:M51,M51)=1,1,0),0))</f>
        <v>1</v>
      </c>
      <c r="R51">
        <f>IF(A51="","",IF(M51&lt;&gt;"",IF(COUNTIF($M$6:M51,M51)=1,1,0),0))</f>
        <v>1</v>
      </c>
      <c r="T51" t="str">
        <f>IF(AND($M51&lt;&gt;"",$M51='Mapa do Galpão'!$C$20),COUNTIF($M$6:$M51,'Mapa do Galpão'!$C$20),"")</f>
        <v/>
      </c>
    </row>
    <row r="52" spans="1:20" ht="14.25" hidden="1" customHeight="1" x14ac:dyDescent="0.3">
      <c r="A52" s="43" t="s">
        <v>743</v>
      </c>
      <c r="B52" s="44" t="s">
        <v>665</v>
      </c>
      <c r="C52" s="165" t="s">
        <v>94</v>
      </c>
      <c r="D52" s="45" t="str">
        <f t="shared" si="0"/>
        <v>Masculino</v>
      </c>
      <c r="E52" s="43" t="s">
        <v>684</v>
      </c>
      <c r="F52" s="43" t="s">
        <v>685</v>
      </c>
      <c r="G52" s="43" t="s">
        <v>738</v>
      </c>
      <c r="H52" s="43" t="s">
        <v>680</v>
      </c>
      <c r="I52" s="46">
        <f>SUMIFS(Movimentações!$F$6:$F$4998,Movimentações!$C$6:$C$4998,A52,Movimentações!$M$6:$M$4998,M52)</f>
        <v>0</v>
      </c>
      <c r="J52" s="43" t="s">
        <v>670</v>
      </c>
      <c r="K52" s="43" t="s">
        <v>671</v>
      </c>
      <c r="L52" s="47" t="s">
        <v>746</v>
      </c>
      <c r="M52" s="43" t="s">
        <v>747</v>
      </c>
      <c r="N52" s="43" t="str">
        <f t="shared" si="1"/>
        <v>Rua A · Prat 6 · C-37</v>
      </c>
      <c r="P52">
        <f>IF(A52="","",IF(AND(K52&lt;&gt;"",L52&lt;&gt;""),IF(COUNTIFS($K$6:K52,K52,$L$6:L52,L52)=1,1,0),0))</f>
        <v>1</v>
      </c>
      <c r="Q52">
        <f>IF(A52="","",IF(AND(K52&lt;&gt;"",M52&lt;&gt;""),IF(COUNTIFS($K$6:K52,K52,$M$6:M52,M52)=1,1,0),0))</f>
        <v>1</v>
      </c>
      <c r="R52">
        <f>IF(A52="","",IF(M52&lt;&gt;"",IF(COUNTIF($M$6:M52,M52)=1,1,0),0))</f>
        <v>1</v>
      </c>
      <c r="T52" t="str">
        <f>IF(AND($M52&lt;&gt;"",$M52='Mapa do Galpão'!$C$20),COUNTIF($M$6:$M52,'Mapa do Galpão'!$C$20),"")</f>
        <v/>
      </c>
    </row>
    <row r="53" spans="1:20" ht="14.25" hidden="1" customHeight="1" x14ac:dyDescent="0.3">
      <c r="A53" s="43" t="s">
        <v>748</v>
      </c>
      <c r="B53" s="44" t="s">
        <v>665</v>
      </c>
      <c r="C53" s="165" t="s">
        <v>95</v>
      </c>
      <c r="D53" s="45" t="str">
        <f t="shared" si="0"/>
        <v>Masculino</v>
      </c>
      <c r="E53" s="43" t="s">
        <v>684</v>
      </c>
      <c r="F53" s="43" t="s">
        <v>685</v>
      </c>
      <c r="G53" s="43" t="s">
        <v>738</v>
      </c>
      <c r="H53" s="43" t="s">
        <v>675</v>
      </c>
      <c r="I53" s="46">
        <f>SUMIFS(Movimentações!$F$6:$F$4998,Movimentações!$C$6:$C$4998,A53,Movimentações!$M$6:$M$4998,M53)</f>
        <v>0</v>
      </c>
      <c r="J53" s="43" t="s">
        <v>670</v>
      </c>
      <c r="K53" s="43" t="s">
        <v>671</v>
      </c>
      <c r="L53" s="47" t="s">
        <v>744</v>
      </c>
      <c r="M53" s="43" t="s">
        <v>745</v>
      </c>
      <c r="N53" s="43" t="str">
        <f t="shared" si="1"/>
        <v>Rua A · Prat 5 · C-16</v>
      </c>
      <c r="P53">
        <f>IF(A53="","",IF(AND(K53&lt;&gt;"",L53&lt;&gt;""),IF(COUNTIFS($K$6:K53,K53,$L$6:L53,L53)=1,1,0),0))</f>
        <v>0</v>
      </c>
      <c r="Q53">
        <f>IF(A53="","",IF(AND(K53&lt;&gt;"",M53&lt;&gt;""),IF(COUNTIFS($K$6:K53,K53,$M$6:M53,M53)=1,1,0),0))</f>
        <v>0</v>
      </c>
      <c r="R53">
        <f>IF(A53="","",IF(M53&lt;&gt;"",IF(COUNTIF($M$6:M53,M53)=1,1,0),0))</f>
        <v>0</v>
      </c>
      <c r="T53" t="str">
        <f>IF(AND($M53&lt;&gt;"",$M53='Mapa do Galpão'!$C$20),COUNTIF($M$6:$M53,'Mapa do Galpão'!$C$20),"")</f>
        <v/>
      </c>
    </row>
    <row r="54" spans="1:20" ht="14.25" hidden="1" customHeight="1" x14ac:dyDescent="0.3">
      <c r="A54" s="43" t="s">
        <v>748</v>
      </c>
      <c r="B54" s="44" t="s">
        <v>665</v>
      </c>
      <c r="C54" s="165" t="s">
        <v>95</v>
      </c>
      <c r="D54" s="45" t="str">
        <f t="shared" si="0"/>
        <v>Masculino</v>
      </c>
      <c r="E54" s="43" t="s">
        <v>684</v>
      </c>
      <c r="F54" s="43" t="s">
        <v>685</v>
      </c>
      <c r="G54" s="43" t="s">
        <v>738</v>
      </c>
      <c r="H54" s="43" t="s">
        <v>675</v>
      </c>
      <c r="I54" s="46">
        <f>SUMIFS(Movimentações!$F$6:$F$4998,Movimentações!$C$6:$C$4998,A54,Movimentações!$M$6:$M$4998,M54)</f>
        <v>0</v>
      </c>
      <c r="J54" s="43" t="s">
        <v>670</v>
      </c>
      <c r="K54" s="43" t="s">
        <v>671</v>
      </c>
      <c r="L54" s="47" t="s">
        <v>746</v>
      </c>
      <c r="M54" s="43" t="s">
        <v>747</v>
      </c>
      <c r="N54" s="43" t="str">
        <f t="shared" si="1"/>
        <v>Rua A · Prat 6 · C-37</v>
      </c>
      <c r="P54">
        <f>IF(A54="","",IF(AND(K54&lt;&gt;"",L54&lt;&gt;""),IF(COUNTIFS($K$6:K54,K54,$L$6:L54,L54)=1,1,0),0))</f>
        <v>0</v>
      </c>
      <c r="Q54">
        <f>IF(A54="","",IF(AND(K54&lt;&gt;"",M54&lt;&gt;""),IF(COUNTIFS($K$6:K54,K54,$M$6:M54,M54)=1,1,0),0))</f>
        <v>0</v>
      </c>
      <c r="R54">
        <f>IF(A54="","",IF(M54&lt;&gt;"",IF(COUNTIF($M$6:M54,M54)=1,1,0),0))</f>
        <v>0</v>
      </c>
      <c r="T54" t="str">
        <f>IF(AND($M54&lt;&gt;"",$M54='Mapa do Galpão'!$C$20),COUNTIF($M$6:$M54,'Mapa do Galpão'!$C$20),"")</f>
        <v/>
      </c>
    </row>
    <row r="55" spans="1:20" ht="14.25" hidden="1" customHeight="1" x14ac:dyDescent="0.3">
      <c r="A55" s="43" t="s">
        <v>749</v>
      </c>
      <c r="B55" s="44" t="s">
        <v>665</v>
      </c>
      <c r="C55" s="165" t="s">
        <v>96</v>
      </c>
      <c r="D55" s="45" t="str">
        <f t="shared" si="0"/>
        <v>Masculino</v>
      </c>
      <c r="E55" s="43" t="s">
        <v>684</v>
      </c>
      <c r="F55" s="43" t="s">
        <v>685</v>
      </c>
      <c r="G55" s="43" t="s">
        <v>738</v>
      </c>
      <c r="H55" s="43" t="s">
        <v>669</v>
      </c>
      <c r="I55" s="46">
        <f>SUMIFS(Movimentações!$F$6:$F$4998,Movimentações!$C$6:$C$4998,A55,Movimentações!$M$6:$M$4998,M55)</f>
        <v>0</v>
      </c>
      <c r="J55" s="43" t="s">
        <v>670</v>
      </c>
      <c r="K55" s="43" t="s">
        <v>671</v>
      </c>
      <c r="L55" s="47" t="s">
        <v>744</v>
      </c>
      <c r="M55" s="43" t="s">
        <v>745</v>
      </c>
      <c r="N55" s="43" t="str">
        <f t="shared" si="1"/>
        <v>Rua A · Prat 5 · C-16</v>
      </c>
      <c r="P55">
        <f>IF(A55="","",IF(AND(K55&lt;&gt;"",L55&lt;&gt;""),IF(COUNTIFS($K$6:K55,K55,$L$6:L55,L55)=1,1,0),0))</f>
        <v>0</v>
      </c>
      <c r="Q55">
        <f>IF(A55="","",IF(AND(K55&lt;&gt;"",M55&lt;&gt;""),IF(COUNTIFS($K$6:K55,K55,$M$6:M55,M55)=1,1,0),0))</f>
        <v>0</v>
      </c>
      <c r="R55">
        <f>IF(A55="","",IF(M55&lt;&gt;"",IF(COUNTIF($M$6:M55,M55)=1,1,0),0))</f>
        <v>0</v>
      </c>
      <c r="T55" t="str">
        <f>IF(AND($M55&lt;&gt;"",$M55='Mapa do Galpão'!$C$20),COUNTIF($M$6:$M55,'Mapa do Galpão'!$C$20),"")</f>
        <v/>
      </c>
    </row>
    <row r="56" spans="1:20" ht="14.25" hidden="1" customHeight="1" x14ac:dyDescent="0.3">
      <c r="A56" s="43" t="s">
        <v>749</v>
      </c>
      <c r="B56" s="44" t="s">
        <v>665</v>
      </c>
      <c r="C56" s="165" t="s">
        <v>96</v>
      </c>
      <c r="D56" s="45" t="str">
        <f t="shared" si="0"/>
        <v>Masculino</v>
      </c>
      <c r="E56" s="43" t="s">
        <v>684</v>
      </c>
      <c r="F56" s="43" t="s">
        <v>685</v>
      </c>
      <c r="G56" s="43" t="s">
        <v>738</v>
      </c>
      <c r="H56" s="43" t="s">
        <v>669</v>
      </c>
      <c r="I56" s="46">
        <f>SUMIFS(Movimentações!$F$6:$F$4998,Movimentações!$C$6:$C$4998,A56,Movimentações!$M$6:$M$4998,M56)</f>
        <v>0</v>
      </c>
      <c r="J56" s="43" t="s">
        <v>670</v>
      </c>
      <c r="K56" s="43" t="s">
        <v>671</v>
      </c>
      <c r="L56" s="47" t="s">
        <v>746</v>
      </c>
      <c r="M56" s="43" t="s">
        <v>747</v>
      </c>
      <c r="N56" s="43" t="str">
        <f t="shared" si="1"/>
        <v>Rua A · Prat 6 · C-37</v>
      </c>
      <c r="P56">
        <f>IF(A56="","",IF(AND(K56&lt;&gt;"",L56&lt;&gt;""),IF(COUNTIFS($K$6:K56,K56,$L$6:L56,L56)=1,1,0),0))</f>
        <v>0</v>
      </c>
      <c r="Q56">
        <f>IF(A56="","",IF(AND(K56&lt;&gt;"",M56&lt;&gt;""),IF(COUNTIFS($K$6:K56,K56,$M$6:M56,M56)=1,1,0),0))</f>
        <v>0</v>
      </c>
      <c r="R56">
        <f>IF(A56="","",IF(M56&lt;&gt;"",IF(COUNTIF($M$6:M56,M56)=1,1,0),0))</f>
        <v>0</v>
      </c>
      <c r="T56" t="str">
        <f>IF(AND($M56&lt;&gt;"",$M56='Mapa do Galpão'!$C$20),COUNTIF($M$6:$M56,'Mapa do Galpão'!$C$20),"")</f>
        <v/>
      </c>
    </row>
    <row r="57" spans="1:20" ht="14.25" hidden="1" customHeight="1" x14ac:dyDescent="0.3">
      <c r="A57" s="43" t="s">
        <v>750</v>
      </c>
      <c r="B57" s="44" t="s">
        <v>665</v>
      </c>
      <c r="C57" s="165" t="s">
        <v>97</v>
      </c>
      <c r="D57" s="45" t="str">
        <f t="shared" si="0"/>
        <v>Masculino</v>
      </c>
      <c r="E57" s="43" t="s">
        <v>684</v>
      </c>
      <c r="F57" s="43" t="s">
        <v>685</v>
      </c>
      <c r="G57" s="43" t="s">
        <v>738</v>
      </c>
      <c r="H57" s="43" t="s">
        <v>682</v>
      </c>
      <c r="I57" s="46">
        <f>SUMIFS(Movimentações!$F$6:$F$4998,Movimentações!$C$6:$C$4998,A57,Movimentações!$M$6:$M$4998,M57)</f>
        <v>0</v>
      </c>
      <c r="J57" s="43" t="s">
        <v>670</v>
      </c>
      <c r="K57" s="43" t="s">
        <v>671</v>
      </c>
      <c r="L57" s="47" t="s">
        <v>744</v>
      </c>
      <c r="M57" s="43" t="s">
        <v>745</v>
      </c>
      <c r="N57" s="43" t="str">
        <f t="shared" si="1"/>
        <v>Rua A · Prat 5 · C-16</v>
      </c>
      <c r="P57">
        <f>IF(A57="","",IF(AND(K57&lt;&gt;"",L57&lt;&gt;""),IF(COUNTIFS($K$6:K57,K57,$L$6:L57,L57)=1,1,0),0))</f>
        <v>0</v>
      </c>
      <c r="Q57">
        <f>IF(A57="","",IF(AND(K57&lt;&gt;"",M57&lt;&gt;""),IF(COUNTIFS($K$6:K57,K57,$M$6:M57,M57)=1,1,0),0))</f>
        <v>0</v>
      </c>
      <c r="R57">
        <f>IF(A57="","",IF(M57&lt;&gt;"",IF(COUNTIF($M$6:M57,M57)=1,1,0),0))</f>
        <v>0</v>
      </c>
      <c r="T57" t="str">
        <f>IF(AND($M57&lt;&gt;"",$M57='Mapa do Galpão'!$C$20),COUNTIF($M$6:$M57,'Mapa do Galpão'!$C$20),"")</f>
        <v/>
      </c>
    </row>
    <row r="58" spans="1:20" ht="14.25" hidden="1" customHeight="1" x14ac:dyDescent="0.3">
      <c r="A58" s="43" t="s">
        <v>750</v>
      </c>
      <c r="B58" s="44" t="s">
        <v>665</v>
      </c>
      <c r="C58" s="165" t="s">
        <v>97</v>
      </c>
      <c r="D58" s="45" t="str">
        <f t="shared" si="0"/>
        <v>Masculino</v>
      </c>
      <c r="E58" s="43" t="s">
        <v>684</v>
      </c>
      <c r="F58" s="43" t="s">
        <v>685</v>
      </c>
      <c r="G58" s="43" t="s">
        <v>738</v>
      </c>
      <c r="H58" s="43" t="s">
        <v>682</v>
      </c>
      <c r="I58" s="46">
        <f>SUMIFS(Movimentações!$F$6:$F$4998,Movimentações!$C$6:$C$4998,A58,Movimentações!$M$6:$M$4998,M58)</f>
        <v>0</v>
      </c>
      <c r="J58" s="43" t="s">
        <v>670</v>
      </c>
      <c r="K58" s="43" t="s">
        <v>671</v>
      </c>
      <c r="L58" s="47" t="s">
        <v>746</v>
      </c>
      <c r="M58" s="43" t="s">
        <v>747</v>
      </c>
      <c r="N58" s="43" t="str">
        <f t="shared" si="1"/>
        <v>Rua A · Prat 6 · C-37</v>
      </c>
      <c r="P58">
        <f>IF(A58="","",IF(AND(K58&lt;&gt;"",L58&lt;&gt;""),IF(COUNTIFS($K$6:K58,K58,$L$6:L58,L58)=1,1,0),0))</f>
        <v>0</v>
      </c>
      <c r="Q58">
        <f>IF(A58="","",IF(AND(K58&lt;&gt;"",M58&lt;&gt;""),IF(COUNTIFS($K$6:K58,K58,$M$6:M58,M58)=1,1,0),0))</f>
        <v>0</v>
      </c>
      <c r="R58">
        <f>IF(A58="","",IF(M58&lt;&gt;"",IF(COUNTIF($M$6:M58,M58)=1,1,0),0))</f>
        <v>0</v>
      </c>
      <c r="T58" t="str">
        <f>IF(AND($M58&lt;&gt;"",$M58='Mapa do Galpão'!$C$20),COUNTIF($M$6:$M58,'Mapa do Galpão'!$C$20),"")</f>
        <v/>
      </c>
    </row>
    <row r="59" spans="1:20" ht="14.25" hidden="1" customHeight="1" x14ac:dyDescent="0.3">
      <c r="A59" s="43" t="s">
        <v>751</v>
      </c>
      <c r="B59" s="44" t="s">
        <v>665</v>
      </c>
      <c r="C59" s="165" t="s">
        <v>98</v>
      </c>
      <c r="D59" s="45" t="str">
        <f t="shared" si="0"/>
        <v>Masculino</v>
      </c>
      <c r="E59" s="43" t="s">
        <v>684</v>
      </c>
      <c r="F59" s="43" t="s">
        <v>685</v>
      </c>
      <c r="G59" s="43" t="s">
        <v>738</v>
      </c>
      <c r="H59" s="43" t="s">
        <v>677</v>
      </c>
      <c r="I59" s="46">
        <f>SUMIFS(Movimentações!$F$6:$F$4998,Movimentações!$C$6:$C$4998,A59,Movimentações!$M$6:$M$4998,M59)</f>
        <v>0</v>
      </c>
      <c r="J59" s="43" t="s">
        <v>670</v>
      </c>
      <c r="K59" s="43" t="s">
        <v>671</v>
      </c>
      <c r="L59" s="47" t="s">
        <v>744</v>
      </c>
      <c r="M59" s="43" t="s">
        <v>745</v>
      </c>
      <c r="N59" s="43" t="str">
        <f t="shared" si="1"/>
        <v>Rua A · Prat 5 · C-16</v>
      </c>
      <c r="P59">
        <f>IF(A59="","",IF(AND(K59&lt;&gt;"",L59&lt;&gt;""),IF(COUNTIFS($K$6:K59,K59,$L$6:L59,L59)=1,1,0),0))</f>
        <v>0</v>
      </c>
      <c r="Q59">
        <f>IF(A59="","",IF(AND(K59&lt;&gt;"",M59&lt;&gt;""),IF(COUNTIFS($K$6:K59,K59,$M$6:M59,M59)=1,1,0),0))</f>
        <v>0</v>
      </c>
      <c r="R59">
        <f>IF(A59="","",IF(M59&lt;&gt;"",IF(COUNTIF($M$6:M59,M59)=1,1,0),0))</f>
        <v>0</v>
      </c>
      <c r="T59" t="str">
        <f>IF(AND($M59&lt;&gt;"",$M59='Mapa do Galpão'!$C$20),COUNTIF($M$6:$M59,'Mapa do Galpão'!$C$20),"")</f>
        <v/>
      </c>
    </row>
    <row r="60" spans="1:20" ht="14.25" hidden="1" customHeight="1" x14ac:dyDescent="0.3">
      <c r="A60" s="43" t="s">
        <v>751</v>
      </c>
      <c r="B60" s="44" t="s">
        <v>665</v>
      </c>
      <c r="C60" s="165" t="s">
        <v>98</v>
      </c>
      <c r="D60" s="45" t="str">
        <f t="shared" si="0"/>
        <v>Masculino</v>
      </c>
      <c r="E60" s="43" t="s">
        <v>684</v>
      </c>
      <c r="F60" s="43" t="s">
        <v>685</v>
      </c>
      <c r="G60" s="43" t="s">
        <v>738</v>
      </c>
      <c r="H60" s="43" t="s">
        <v>677</v>
      </c>
      <c r="I60" s="46">
        <f>SUMIFS(Movimentações!$F$6:$F$4998,Movimentações!$C$6:$C$4998,A60,Movimentações!$M$6:$M$4998,M60)</f>
        <v>0</v>
      </c>
      <c r="J60" s="43" t="s">
        <v>670</v>
      </c>
      <c r="K60" s="43" t="s">
        <v>671</v>
      </c>
      <c r="L60" s="47" t="s">
        <v>746</v>
      </c>
      <c r="M60" s="43" t="s">
        <v>747</v>
      </c>
      <c r="N60" s="43" t="str">
        <f t="shared" si="1"/>
        <v>Rua A · Prat 6 · C-37</v>
      </c>
      <c r="P60">
        <f>IF(A60="","",IF(AND(K60&lt;&gt;"",L60&lt;&gt;""),IF(COUNTIFS($K$6:K60,K60,$L$6:L60,L60)=1,1,0),0))</f>
        <v>0</v>
      </c>
      <c r="Q60">
        <f>IF(A60="","",IF(AND(K60&lt;&gt;"",M60&lt;&gt;""),IF(COUNTIFS($K$6:K60,K60,$M$6:M60,M60)=1,1,0),0))</f>
        <v>0</v>
      </c>
      <c r="R60">
        <f>IF(A60="","",IF(M60&lt;&gt;"",IF(COUNTIF($M$6:M60,M60)=1,1,0),0))</f>
        <v>0</v>
      </c>
      <c r="T60" t="str">
        <f>IF(AND($M60&lt;&gt;"",$M60='Mapa do Galpão'!$C$20),COUNTIF($M$6:$M60,'Mapa do Galpão'!$C$20),"")</f>
        <v/>
      </c>
    </row>
    <row r="61" spans="1:20" ht="14.25" hidden="1" customHeight="1" x14ac:dyDescent="0.3">
      <c r="A61" s="43" t="s">
        <v>752</v>
      </c>
      <c r="B61" s="44" t="s">
        <v>665</v>
      </c>
      <c r="C61" s="165" t="s">
        <v>99</v>
      </c>
      <c r="D61" s="45" t="str">
        <f t="shared" si="0"/>
        <v>Masculino</v>
      </c>
      <c r="E61" s="43" t="s">
        <v>684</v>
      </c>
      <c r="F61" s="43" t="s">
        <v>685</v>
      </c>
      <c r="G61" s="43" t="s">
        <v>738</v>
      </c>
      <c r="H61" s="43" t="s">
        <v>692</v>
      </c>
      <c r="I61" s="46">
        <f>SUMIFS(Movimentações!$F$6:$F$4998,Movimentações!$C$6:$C$4998,A61,Movimentações!$M$6:$M$4998,M61)</f>
        <v>0</v>
      </c>
      <c r="J61" s="43" t="s">
        <v>670</v>
      </c>
      <c r="K61" s="43" t="s">
        <v>671</v>
      </c>
      <c r="L61" s="47" t="s">
        <v>744</v>
      </c>
      <c r="M61" s="43" t="s">
        <v>745</v>
      </c>
      <c r="N61" s="43" t="str">
        <f t="shared" si="1"/>
        <v>Rua A · Prat 5 · C-16</v>
      </c>
      <c r="P61">
        <f>IF(A61="","",IF(AND(K61&lt;&gt;"",L61&lt;&gt;""),IF(COUNTIFS($K$6:K61,K61,$L$6:L61,L61)=1,1,0),0))</f>
        <v>0</v>
      </c>
      <c r="Q61">
        <f>IF(A61="","",IF(AND(K61&lt;&gt;"",M61&lt;&gt;""),IF(COUNTIFS($K$6:K61,K61,$M$6:M61,M61)=1,1,0),0))</f>
        <v>0</v>
      </c>
      <c r="R61">
        <f>IF(A61="","",IF(M61&lt;&gt;"",IF(COUNTIF($M$6:M61,M61)=1,1,0),0))</f>
        <v>0</v>
      </c>
      <c r="T61" t="str">
        <f>IF(AND($M61&lt;&gt;"",$M61='Mapa do Galpão'!$C$20),COUNTIF($M$6:$M61,'Mapa do Galpão'!$C$20),"")</f>
        <v/>
      </c>
    </row>
    <row r="62" spans="1:20" ht="14.25" hidden="1" customHeight="1" x14ac:dyDescent="0.3">
      <c r="A62" s="43" t="s">
        <v>752</v>
      </c>
      <c r="B62" s="44" t="s">
        <v>665</v>
      </c>
      <c r="C62" s="165" t="s">
        <v>99</v>
      </c>
      <c r="D62" s="45" t="str">
        <f t="shared" si="0"/>
        <v>Masculino</v>
      </c>
      <c r="E62" s="43" t="s">
        <v>684</v>
      </c>
      <c r="F62" s="43" t="s">
        <v>685</v>
      </c>
      <c r="G62" s="43" t="s">
        <v>738</v>
      </c>
      <c r="H62" s="43" t="s">
        <v>692</v>
      </c>
      <c r="I62" s="46">
        <f>SUMIFS(Movimentações!$F$6:$F$4998,Movimentações!$C$6:$C$4998,A62,Movimentações!$M$6:$M$4998,M62)</f>
        <v>0</v>
      </c>
      <c r="J62" s="43" t="s">
        <v>670</v>
      </c>
      <c r="K62" s="43" t="s">
        <v>671</v>
      </c>
      <c r="L62" s="47">
        <v>6</v>
      </c>
      <c r="M62" s="43" t="s">
        <v>747</v>
      </c>
      <c r="N62" s="43" t="str">
        <f t="shared" si="1"/>
        <v>Rua A · Prat 6 · C-37</v>
      </c>
      <c r="P62">
        <f>IF(A62="","",IF(AND(K62&lt;&gt;"",L62&lt;&gt;""),IF(COUNTIFS($K$6:K62,K62,$L$6:L62,L62)=1,1,0),0))</f>
        <v>0</v>
      </c>
      <c r="Q62">
        <f>IF(A62="","",IF(AND(K62&lt;&gt;"",M62&lt;&gt;""),IF(COUNTIFS($K$6:K62,K62,$M$6:M62,M62)=1,1,0),0))</f>
        <v>0</v>
      </c>
      <c r="R62">
        <f>IF(A62="","",IF(M62&lt;&gt;"",IF(COUNTIF($M$6:M62,M62)=1,1,0),0))</f>
        <v>0</v>
      </c>
      <c r="T62" t="str">
        <f>IF(AND($M62&lt;&gt;"",$M62='Mapa do Galpão'!$C$20),COUNTIF($M$6:$M62,'Mapa do Galpão'!$C$20),"")</f>
        <v/>
      </c>
    </row>
    <row r="63" spans="1:20" ht="14.25" hidden="1" customHeight="1" x14ac:dyDescent="0.3">
      <c r="A63" s="43" t="s">
        <v>753</v>
      </c>
      <c r="B63" s="44" t="s">
        <v>665</v>
      </c>
      <c r="C63" s="165" t="s">
        <v>100</v>
      </c>
      <c r="D63" s="45" t="str">
        <f t="shared" si="0"/>
        <v>Masculino</v>
      </c>
      <c r="E63" s="43" t="s">
        <v>666</v>
      </c>
      <c r="F63" s="43" t="s">
        <v>754</v>
      </c>
      <c r="G63" s="43" t="s">
        <v>755</v>
      </c>
      <c r="H63" s="43" t="s">
        <v>756</v>
      </c>
      <c r="I63" s="46">
        <f>SUMIFS(Movimentações!$F$6:$F$4998,Movimentações!$C$6:$C$4998,A63,Movimentações!$M$6:$M$4998,M63)</f>
        <v>0</v>
      </c>
      <c r="J63" s="43" t="s">
        <v>670</v>
      </c>
      <c r="K63" s="43" t="s">
        <v>671</v>
      </c>
      <c r="L63" s="47">
        <v>15</v>
      </c>
      <c r="M63" s="43" t="s">
        <v>757</v>
      </c>
      <c r="N63" s="43" t="str">
        <f t="shared" si="1"/>
        <v>Rua A · Prat 15 · C-17</v>
      </c>
      <c r="P63">
        <f>IF(A63="","",IF(AND(K63&lt;&gt;"",L63&lt;&gt;""),IF(COUNTIFS($K$6:K63,K63,$L$6:L63,L63)=1,1,0),0))</f>
        <v>1</v>
      </c>
      <c r="Q63">
        <f>IF(A63="","",IF(AND(K63&lt;&gt;"",M63&lt;&gt;""),IF(COUNTIFS($K$6:K63,K63,$M$6:M63,M63)=1,1,0),0))</f>
        <v>1</v>
      </c>
      <c r="R63">
        <f>IF(A63="","",IF(M63&lt;&gt;"",IF(COUNTIF($M$6:M63,M63)=1,1,0),0))</f>
        <v>1</v>
      </c>
      <c r="T63" t="str">
        <f>IF(AND($M63&lt;&gt;"",$M63='Mapa do Galpão'!$C$20),COUNTIF($M$6:$M63,'Mapa do Galpão'!$C$20),"")</f>
        <v/>
      </c>
    </row>
    <row r="64" spans="1:20" ht="14.25" hidden="1" customHeight="1" x14ac:dyDescent="0.3">
      <c r="A64" s="43" t="s">
        <v>758</v>
      </c>
      <c r="B64" s="44" t="s">
        <v>665</v>
      </c>
      <c r="C64" s="165" t="s">
        <v>101</v>
      </c>
      <c r="D64" s="45" t="str">
        <f t="shared" si="0"/>
        <v>Masculino</v>
      </c>
      <c r="E64" s="43" t="s">
        <v>666</v>
      </c>
      <c r="F64" s="43" t="s">
        <v>754</v>
      </c>
      <c r="G64" s="43" t="s">
        <v>755</v>
      </c>
      <c r="H64" s="43" t="s">
        <v>680</v>
      </c>
      <c r="I64" s="46">
        <f>SUMIFS(Movimentações!$F$6:$F$4998,Movimentações!$C$6:$C$4998,A64,Movimentações!$M$6:$M$4998,M64)</f>
        <v>8</v>
      </c>
      <c r="J64" s="43" t="s">
        <v>670</v>
      </c>
      <c r="K64" s="43" t="s">
        <v>671</v>
      </c>
      <c r="L64" s="47">
        <v>12</v>
      </c>
      <c r="M64" s="43" t="s">
        <v>759</v>
      </c>
      <c r="N64" s="43" t="str">
        <f t="shared" si="1"/>
        <v>Rua A · Prat 12 · C-18</v>
      </c>
      <c r="P64">
        <f>IF(A64="","",IF(AND(K64&lt;&gt;"",L64&lt;&gt;""),IF(COUNTIFS($K$6:K64,K64,$L$6:L64,L64)=1,1,0),0))</f>
        <v>1</v>
      </c>
      <c r="Q64">
        <f>IF(A64="","",IF(AND(K64&lt;&gt;"",M64&lt;&gt;""),IF(COUNTIFS($K$6:K64,K64,$M$6:M64,M64)=1,1,0),0))</f>
        <v>1</v>
      </c>
      <c r="R64">
        <f>IF(A64="","",IF(M64&lt;&gt;"",IF(COUNTIF($M$6:M64,M64)=1,1,0),0))</f>
        <v>1</v>
      </c>
      <c r="T64" t="str">
        <f>IF(AND($M64&lt;&gt;"",$M64='Mapa do Galpão'!$C$20),COUNTIF($M$6:$M64,'Mapa do Galpão'!$C$20),"")</f>
        <v/>
      </c>
    </row>
    <row r="65" spans="1:20" ht="14.25" hidden="1" customHeight="1" x14ac:dyDescent="0.3">
      <c r="A65" s="43" t="s">
        <v>760</v>
      </c>
      <c r="B65" s="44" t="s">
        <v>665</v>
      </c>
      <c r="C65" s="165" t="s">
        <v>102</v>
      </c>
      <c r="D65" s="45" t="str">
        <f t="shared" si="0"/>
        <v>Masculino</v>
      </c>
      <c r="E65" s="43" t="s">
        <v>666</v>
      </c>
      <c r="F65" s="43" t="s">
        <v>754</v>
      </c>
      <c r="G65" s="43" t="s">
        <v>755</v>
      </c>
      <c r="H65" s="43" t="s">
        <v>675</v>
      </c>
      <c r="I65" s="46">
        <f>SUMIFS(Movimentações!$F$6:$F$4998,Movimentações!$C$6:$C$4998,A65,Movimentações!$M$6:$M$4998,M65)</f>
        <v>26</v>
      </c>
      <c r="J65" s="43" t="s">
        <v>670</v>
      </c>
      <c r="K65" s="43" t="s">
        <v>671</v>
      </c>
      <c r="L65" s="47">
        <v>12</v>
      </c>
      <c r="M65" s="43" t="s">
        <v>759</v>
      </c>
      <c r="N65" s="43" t="str">
        <f t="shared" si="1"/>
        <v>Rua A · Prat 12 · C-18</v>
      </c>
      <c r="P65">
        <f>IF(A65="","",IF(AND(K65&lt;&gt;"",L65&lt;&gt;""),IF(COUNTIFS($K$6:K65,K65,$L$6:L65,L65)=1,1,0),0))</f>
        <v>0</v>
      </c>
      <c r="Q65">
        <f>IF(A65="","",IF(AND(K65&lt;&gt;"",M65&lt;&gt;""),IF(COUNTIFS($K$6:K65,K65,$M$6:M65,M65)=1,1,0),0))</f>
        <v>0</v>
      </c>
      <c r="R65">
        <f>IF(A65="","",IF(M65&lt;&gt;"",IF(COUNTIF($M$6:M65,M65)=1,1,0),0))</f>
        <v>0</v>
      </c>
      <c r="T65" t="str">
        <f>IF(AND($M65&lt;&gt;"",$M65='Mapa do Galpão'!$C$20),COUNTIF($M$6:$M65,'Mapa do Galpão'!$C$20),"")</f>
        <v/>
      </c>
    </row>
    <row r="66" spans="1:20" ht="14.25" hidden="1" customHeight="1" x14ac:dyDescent="0.3">
      <c r="A66" s="43" t="s">
        <v>761</v>
      </c>
      <c r="B66" s="44" t="s">
        <v>665</v>
      </c>
      <c r="C66" s="165" t="s">
        <v>103</v>
      </c>
      <c r="D66" s="45" t="str">
        <f t="shared" si="0"/>
        <v>Masculino</v>
      </c>
      <c r="E66" s="43" t="s">
        <v>666</v>
      </c>
      <c r="F66" s="43" t="s">
        <v>754</v>
      </c>
      <c r="G66" s="43" t="s">
        <v>755</v>
      </c>
      <c r="H66" s="43" t="s">
        <v>669</v>
      </c>
      <c r="I66" s="46">
        <f>SUMIFS(Movimentações!$F$6:$F$4998,Movimentações!$C$6:$C$4998,A66,Movimentações!$M$6:$M$4998,M66)</f>
        <v>29</v>
      </c>
      <c r="J66" s="43" t="s">
        <v>670</v>
      </c>
      <c r="K66" s="43" t="s">
        <v>671</v>
      </c>
      <c r="L66" s="47">
        <v>15</v>
      </c>
      <c r="M66" s="43" t="s">
        <v>757</v>
      </c>
      <c r="N66" s="43" t="str">
        <f t="shared" si="1"/>
        <v>Rua A · Prat 15 · C-17</v>
      </c>
      <c r="P66">
        <f>IF(A66="","",IF(AND(K66&lt;&gt;"",L66&lt;&gt;""),IF(COUNTIFS($K$6:K66,K66,$L$6:L66,L66)=1,1,0),0))</f>
        <v>0</v>
      </c>
      <c r="Q66">
        <f>IF(A66="","",IF(AND(K66&lt;&gt;"",M66&lt;&gt;""),IF(COUNTIFS($K$6:K66,K66,$M$6:M66,M66)=1,1,0),0))</f>
        <v>0</v>
      </c>
      <c r="R66">
        <f>IF(A66="","",IF(M66&lt;&gt;"",IF(COUNTIF($M$6:M66,M66)=1,1,0),0))</f>
        <v>0</v>
      </c>
      <c r="T66" t="str">
        <f>IF(AND($M66&lt;&gt;"",$M66='Mapa do Galpão'!$C$20),COUNTIF($M$6:$M66,'Mapa do Galpão'!$C$20),"")</f>
        <v/>
      </c>
    </row>
    <row r="67" spans="1:20" ht="14.25" hidden="1" customHeight="1" x14ac:dyDescent="0.3">
      <c r="A67" s="43" t="s">
        <v>762</v>
      </c>
      <c r="B67" s="44" t="s">
        <v>665</v>
      </c>
      <c r="C67" s="165" t="s">
        <v>104</v>
      </c>
      <c r="D67" s="45" t="str">
        <f t="shared" si="0"/>
        <v>Masculino</v>
      </c>
      <c r="E67" s="43" t="s">
        <v>666</v>
      </c>
      <c r="F67" s="43" t="s">
        <v>754</v>
      </c>
      <c r="G67" s="43" t="s">
        <v>755</v>
      </c>
      <c r="H67" s="43" t="s">
        <v>682</v>
      </c>
      <c r="I67" s="46">
        <f>SUMIFS(Movimentações!$F$6:$F$4998,Movimentações!$C$6:$C$4998,A67,Movimentações!$M$6:$M$4998,M67)</f>
        <v>0</v>
      </c>
      <c r="J67" s="43" t="s">
        <v>670</v>
      </c>
      <c r="K67" s="43" t="s">
        <v>671</v>
      </c>
      <c r="L67" s="47">
        <v>12</v>
      </c>
      <c r="M67" s="43" t="s">
        <v>759</v>
      </c>
      <c r="N67" s="43" t="str">
        <f t="shared" si="1"/>
        <v>Rua A · Prat 12 · C-18</v>
      </c>
      <c r="P67">
        <f>IF(A67="","",IF(AND(K67&lt;&gt;"",L67&lt;&gt;""),IF(COUNTIFS($K$6:K67,K67,$L$6:L67,L67)=1,1,0),0))</f>
        <v>0</v>
      </c>
      <c r="Q67">
        <f>IF(A67="","",IF(AND(K67&lt;&gt;"",M67&lt;&gt;""),IF(COUNTIFS($K$6:K67,K67,$M$6:M67,M67)=1,1,0),0))</f>
        <v>0</v>
      </c>
      <c r="R67">
        <f>IF(A67="","",IF(M67&lt;&gt;"",IF(COUNTIF($M$6:M67,M67)=1,1,0),0))</f>
        <v>0</v>
      </c>
      <c r="T67" t="str">
        <f>IF(AND($M67&lt;&gt;"",$M67='Mapa do Galpão'!$C$20),COUNTIF($M$6:$M67,'Mapa do Galpão'!$C$20),"")</f>
        <v/>
      </c>
    </row>
    <row r="68" spans="1:20" ht="14.25" hidden="1" customHeight="1" x14ac:dyDescent="0.3">
      <c r="A68" s="43" t="s">
        <v>763</v>
      </c>
      <c r="B68" s="44" t="s">
        <v>665</v>
      </c>
      <c r="C68" s="165" t="s">
        <v>105</v>
      </c>
      <c r="D68" s="45" t="str">
        <f t="shared" si="0"/>
        <v>Masculino</v>
      </c>
      <c r="E68" s="43" t="s">
        <v>666</v>
      </c>
      <c r="F68" s="43" t="s">
        <v>754</v>
      </c>
      <c r="G68" s="43" t="s">
        <v>755</v>
      </c>
      <c r="H68" s="43" t="s">
        <v>677</v>
      </c>
      <c r="I68" s="46">
        <f>SUMIFS(Movimentações!$F$6:$F$4998,Movimentações!$C$6:$C$4998,A68,Movimentações!$M$6:$M$4998,M68)</f>
        <v>0</v>
      </c>
      <c r="J68" s="43" t="s">
        <v>670</v>
      </c>
      <c r="K68" s="43" t="s">
        <v>671</v>
      </c>
      <c r="L68" s="47">
        <v>12</v>
      </c>
      <c r="M68" s="43" t="s">
        <v>759</v>
      </c>
      <c r="N68" s="43" t="str">
        <f t="shared" si="1"/>
        <v>Rua A · Prat 12 · C-18</v>
      </c>
      <c r="P68">
        <f>IF(A68="","",IF(AND(K68&lt;&gt;"",L68&lt;&gt;""),IF(COUNTIFS($K$6:K68,K68,$L$6:L68,L68)=1,1,0),0))</f>
        <v>0</v>
      </c>
      <c r="Q68">
        <f>IF(A68="","",IF(AND(K68&lt;&gt;"",M68&lt;&gt;""),IF(COUNTIFS($K$6:K68,K68,$M$6:M68,M68)=1,1,0),0))</f>
        <v>0</v>
      </c>
      <c r="R68">
        <f>IF(A68="","",IF(M68&lt;&gt;"",IF(COUNTIF($M$6:M68,M68)=1,1,0),0))</f>
        <v>0</v>
      </c>
      <c r="T68" t="str">
        <f>IF(AND($M68&lt;&gt;"",$M68='Mapa do Galpão'!$C$20),COUNTIF($M$6:$M68,'Mapa do Galpão'!$C$20),"")</f>
        <v/>
      </c>
    </row>
    <row r="69" spans="1:20" ht="14.25" hidden="1" customHeight="1" x14ac:dyDescent="0.3">
      <c r="A69" s="43" t="s">
        <v>764</v>
      </c>
      <c r="B69" s="44" t="s">
        <v>665</v>
      </c>
      <c r="C69" s="165" t="s">
        <v>106</v>
      </c>
      <c r="D69" s="45" t="str">
        <f t="shared" si="0"/>
        <v>Masculino</v>
      </c>
      <c r="E69" s="43" t="s">
        <v>666</v>
      </c>
      <c r="F69" s="43" t="s">
        <v>754</v>
      </c>
      <c r="G69" s="43" t="s">
        <v>765</v>
      </c>
      <c r="H69" s="43" t="s">
        <v>756</v>
      </c>
      <c r="I69" s="46">
        <f>SUMIFS(Movimentações!$F$6:$F$4998,Movimentações!$C$6:$C$4998,A69,Movimentações!$M$6:$M$4998,M69)</f>
        <v>0</v>
      </c>
      <c r="J69" s="43" t="s">
        <v>670</v>
      </c>
      <c r="K69" s="43" t="s">
        <v>671</v>
      </c>
      <c r="L69" s="47">
        <v>12</v>
      </c>
      <c r="M69" s="43" t="s">
        <v>766</v>
      </c>
      <c r="N69" s="43" t="str">
        <f t="shared" si="1"/>
        <v>Rua A · Prat 12 · C-19</v>
      </c>
      <c r="P69">
        <f>IF(A69="","",IF(AND(K69&lt;&gt;"",L69&lt;&gt;""),IF(COUNTIFS($K$6:K69,K69,$L$6:L69,L69)=1,1,0),0))</f>
        <v>0</v>
      </c>
      <c r="Q69">
        <f>IF(A69="","",IF(AND(K69&lt;&gt;"",M69&lt;&gt;""),IF(COUNTIFS($K$6:K69,K69,$M$6:M69,M69)=1,1,0),0))</f>
        <v>1</v>
      </c>
      <c r="R69">
        <f>IF(A69="","",IF(M69&lt;&gt;"",IF(COUNTIF($M$6:M69,M69)=1,1,0),0))</f>
        <v>1</v>
      </c>
      <c r="T69" t="str">
        <f>IF(AND($M69&lt;&gt;"",$M69='Mapa do Galpão'!$C$20),COUNTIF($M$6:$M69,'Mapa do Galpão'!$C$20),"")</f>
        <v/>
      </c>
    </row>
    <row r="70" spans="1:20" ht="14.25" hidden="1" customHeight="1" x14ac:dyDescent="0.3">
      <c r="A70" s="43" t="s">
        <v>767</v>
      </c>
      <c r="B70" s="44" t="s">
        <v>665</v>
      </c>
      <c r="C70" s="165" t="s">
        <v>107</v>
      </c>
      <c r="D70" s="45" t="str">
        <f t="shared" ref="D70:D133" si="2">IF(C70="","",IFERROR(IF(TRIM(MID(SUBSTITUTE(C70,".",REPT(" ",50)),51,50))="01","Masculino",IF(TRIM(MID(SUBSTITUTE(C70,".",REPT(" ",50)),51,50))="02","Feminino",IF(TRIM(MID(SUBSTITUTE(C70,".",REPT(" ",50)),51,50))="03","Outros","—"))),"—"))</f>
        <v>Masculino</v>
      </c>
      <c r="E70" s="43" t="s">
        <v>666</v>
      </c>
      <c r="F70" s="43" t="s">
        <v>754</v>
      </c>
      <c r="G70" s="43" t="s">
        <v>765</v>
      </c>
      <c r="H70" s="43" t="s">
        <v>680</v>
      </c>
      <c r="I70" s="46">
        <f>SUMIFS(Movimentações!$F$6:$F$4998,Movimentações!$C$6:$C$4998,A70,Movimentações!$M$6:$M$4998,M70)</f>
        <v>7</v>
      </c>
      <c r="J70" s="43" t="s">
        <v>670</v>
      </c>
      <c r="K70" s="43" t="s">
        <v>671</v>
      </c>
      <c r="L70" s="47">
        <v>12</v>
      </c>
      <c r="M70" s="43" t="s">
        <v>766</v>
      </c>
      <c r="N70" s="43" t="str">
        <f t="shared" ref="N70:N133" si="3">IF(AND(K70="",L70="",M70=""),"⚠ sem endereço","Rua "&amp;K70&amp;IF(L70="",""," · Prat "&amp;L70)&amp;IF(M70="",""," · "&amp;M70))</f>
        <v>Rua A · Prat 12 · C-19</v>
      </c>
      <c r="P70">
        <f>IF(A70="","",IF(AND(K70&lt;&gt;"",L70&lt;&gt;""),IF(COUNTIFS($K$6:K70,K70,$L$6:L70,L70)=1,1,0),0))</f>
        <v>0</v>
      </c>
      <c r="Q70">
        <f>IF(A70="","",IF(AND(K70&lt;&gt;"",M70&lt;&gt;""),IF(COUNTIFS($K$6:K70,K70,$M$6:M70,M70)=1,1,0),0))</f>
        <v>0</v>
      </c>
      <c r="R70">
        <f>IF(A70="","",IF(M70&lt;&gt;"",IF(COUNTIF($M$6:M70,M70)=1,1,0),0))</f>
        <v>0</v>
      </c>
      <c r="T70" t="str">
        <f>IF(AND($M70&lt;&gt;"",$M70='Mapa do Galpão'!$C$20),COUNTIF($M$6:$M70,'Mapa do Galpão'!$C$20),"")</f>
        <v/>
      </c>
    </row>
    <row r="71" spans="1:20" ht="14.25" hidden="1" customHeight="1" x14ac:dyDescent="0.3">
      <c r="A71" s="43" t="s">
        <v>768</v>
      </c>
      <c r="B71" s="44" t="s">
        <v>665</v>
      </c>
      <c r="C71" s="165" t="s">
        <v>108</v>
      </c>
      <c r="D71" s="45" t="str">
        <f t="shared" si="2"/>
        <v>Masculino</v>
      </c>
      <c r="E71" s="43" t="s">
        <v>666</v>
      </c>
      <c r="F71" s="43" t="s">
        <v>754</v>
      </c>
      <c r="G71" s="43" t="s">
        <v>765</v>
      </c>
      <c r="H71" s="43" t="s">
        <v>675</v>
      </c>
      <c r="I71" s="46">
        <f>SUMIFS(Movimentações!$F$6:$F$4998,Movimentações!$C$6:$C$4998,A71,Movimentações!$M$6:$M$4998,M71)</f>
        <v>23</v>
      </c>
      <c r="J71" s="43" t="s">
        <v>670</v>
      </c>
      <c r="K71" s="43" t="s">
        <v>671</v>
      </c>
      <c r="L71" s="47">
        <v>12</v>
      </c>
      <c r="M71" s="43" t="s">
        <v>766</v>
      </c>
      <c r="N71" s="43" t="str">
        <f t="shared" si="3"/>
        <v>Rua A · Prat 12 · C-19</v>
      </c>
      <c r="P71">
        <f>IF(A71="","",IF(AND(K71&lt;&gt;"",L71&lt;&gt;""),IF(COUNTIFS($K$6:K71,K71,$L$6:L71,L71)=1,1,0),0))</f>
        <v>0</v>
      </c>
      <c r="Q71">
        <f>IF(A71="","",IF(AND(K71&lt;&gt;"",M71&lt;&gt;""),IF(COUNTIFS($K$6:K71,K71,$M$6:M71,M71)=1,1,0),0))</f>
        <v>0</v>
      </c>
      <c r="R71">
        <f>IF(A71="","",IF(M71&lt;&gt;"",IF(COUNTIF($M$6:M71,M71)=1,1,0),0))</f>
        <v>0</v>
      </c>
      <c r="T71" t="str">
        <f>IF(AND($M71&lt;&gt;"",$M71='Mapa do Galpão'!$C$20),COUNTIF($M$6:$M71,'Mapa do Galpão'!$C$20),"")</f>
        <v/>
      </c>
    </row>
    <row r="72" spans="1:20" ht="14.25" hidden="1" customHeight="1" x14ac:dyDescent="0.3">
      <c r="A72" s="43" t="s">
        <v>769</v>
      </c>
      <c r="B72" s="44" t="s">
        <v>665</v>
      </c>
      <c r="C72" s="165" t="s">
        <v>109</v>
      </c>
      <c r="D72" s="45" t="str">
        <f t="shared" si="2"/>
        <v>Masculino</v>
      </c>
      <c r="E72" s="43" t="s">
        <v>666</v>
      </c>
      <c r="F72" s="43" t="s">
        <v>754</v>
      </c>
      <c r="G72" s="43" t="s">
        <v>765</v>
      </c>
      <c r="H72" s="43" t="s">
        <v>669</v>
      </c>
      <c r="I72" s="46">
        <f>SUMIFS(Movimentações!$F$6:$F$4998,Movimentações!$C$6:$C$4998,A72,Movimentações!$M$6:$M$4998,M72)</f>
        <v>18</v>
      </c>
      <c r="J72" s="43" t="s">
        <v>670</v>
      </c>
      <c r="K72" s="43" t="s">
        <v>671</v>
      </c>
      <c r="L72" s="47">
        <v>12</v>
      </c>
      <c r="M72" s="43" t="s">
        <v>766</v>
      </c>
      <c r="N72" s="43" t="str">
        <f t="shared" si="3"/>
        <v>Rua A · Prat 12 · C-19</v>
      </c>
      <c r="P72">
        <f>IF(A72="","",IF(AND(K72&lt;&gt;"",L72&lt;&gt;""),IF(COUNTIFS($K$6:K72,K72,$L$6:L72,L72)=1,1,0),0))</f>
        <v>0</v>
      </c>
      <c r="Q72">
        <f>IF(A72="","",IF(AND(K72&lt;&gt;"",M72&lt;&gt;""),IF(COUNTIFS($K$6:K72,K72,$M$6:M72,M72)=1,1,0),0))</f>
        <v>0</v>
      </c>
      <c r="R72">
        <f>IF(A72="","",IF(M72&lt;&gt;"",IF(COUNTIF($M$6:M72,M72)=1,1,0),0))</f>
        <v>0</v>
      </c>
      <c r="T72" t="str">
        <f>IF(AND($M72&lt;&gt;"",$M72='Mapa do Galpão'!$C$20),COUNTIF($M$6:$M72,'Mapa do Galpão'!$C$20),"")</f>
        <v/>
      </c>
    </row>
    <row r="73" spans="1:20" ht="14.25" hidden="1" customHeight="1" x14ac:dyDescent="0.3">
      <c r="A73" s="43" t="s">
        <v>770</v>
      </c>
      <c r="B73" s="44" t="s">
        <v>665</v>
      </c>
      <c r="C73" s="165" t="s">
        <v>110</v>
      </c>
      <c r="D73" s="45" t="str">
        <f t="shared" si="2"/>
        <v>Masculino</v>
      </c>
      <c r="E73" s="43" t="s">
        <v>666</v>
      </c>
      <c r="F73" s="43" t="s">
        <v>754</v>
      </c>
      <c r="G73" s="43" t="s">
        <v>765</v>
      </c>
      <c r="H73" s="43" t="s">
        <v>682</v>
      </c>
      <c r="I73" s="46">
        <f>SUMIFS(Movimentações!$F$6:$F$4998,Movimentações!$C$6:$C$4998,A73,Movimentações!$M$6:$M$4998,M73)</f>
        <v>0</v>
      </c>
      <c r="J73" s="43" t="s">
        <v>670</v>
      </c>
      <c r="K73" s="43" t="s">
        <v>671</v>
      </c>
      <c r="L73" s="47">
        <v>12</v>
      </c>
      <c r="M73" s="43" t="s">
        <v>766</v>
      </c>
      <c r="N73" s="43" t="str">
        <f t="shared" si="3"/>
        <v>Rua A · Prat 12 · C-19</v>
      </c>
      <c r="P73">
        <f>IF(A73="","",IF(AND(K73&lt;&gt;"",L73&lt;&gt;""),IF(COUNTIFS($K$6:K73,K73,$L$6:L73,L73)=1,1,0),0))</f>
        <v>0</v>
      </c>
      <c r="Q73">
        <f>IF(A73="","",IF(AND(K73&lt;&gt;"",M73&lt;&gt;""),IF(COUNTIFS($K$6:K73,K73,$M$6:M73,M73)=1,1,0),0))</f>
        <v>0</v>
      </c>
      <c r="R73">
        <f>IF(A73="","",IF(M73&lt;&gt;"",IF(COUNTIF($M$6:M73,M73)=1,1,0),0))</f>
        <v>0</v>
      </c>
      <c r="T73" t="str">
        <f>IF(AND($M73&lt;&gt;"",$M73='Mapa do Galpão'!$C$20),COUNTIF($M$6:$M73,'Mapa do Galpão'!$C$20),"")</f>
        <v/>
      </c>
    </row>
    <row r="74" spans="1:20" ht="14.25" hidden="1" customHeight="1" x14ac:dyDescent="0.3">
      <c r="A74" s="43" t="s">
        <v>771</v>
      </c>
      <c r="B74" s="44" t="s">
        <v>665</v>
      </c>
      <c r="C74" s="165" t="s">
        <v>111</v>
      </c>
      <c r="D74" s="45" t="str">
        <f t="shared" si="2"/>
        <v>Masculino</v>
      </c>
      <c r="E74" s="43" t="s">
        <v>666</v>
      </c>
      <c r="F74" s="43" t="s">
        <v>754</v>
      </c>
      <c r="G74" s="43" t="s">
        <v>765</v>
      </c>
      <c r="H74" s="43" t="s">
        <v>677</v>
      </c>
      <c r="I74" s="46">
        <f>SUMIFS(Movimentações!$F$6:$F$4998,Movimentações!$C$6:$C$4998,A74,Movimentações!$M$6:$M$4998,M74)</f>
        <v>0</v>
      </c>
      <c r="J74" s="43" t="s">
        <v>670</v>
      </c>
      <c r="K74" s="43" t="s">
        <v>671</v>
      </c>
      <c r="L74" s="47">
        <v>12</v>
      </c>
      <c r="M74" s="43" t="s">
        <v>766</v>
      </c>
      <c r="N74" s="43" t="str">
        <f t="shared" si="3"/>
        <v>Rua A · Prat 12 · C-19</v>
      </c>
      <c r="P74">
        <f>IF(A74="","",IF(AND(K74&lt;&gt;"",L74&lt;&gt;""),IF(COUNTIFS($K$6:K74,K74,$L$6:L74,L74)=1,1,0),0))</f>
        <v>0</v>
      </c>
      <c r="Q74">
        <f>IF(A74="","",IF(AND(K74&lt;&gt;"",M74&lt;&gt;""),IF(COUNTIFS($K$6:K74,K74,$M$6:M74,M74)=1,1,0),0))</f>
        <v>0</v>
      </c>
      <c r="R74">
        <f>IF(A74="","",IF(M74&lt;&gt;"",IF(COUNTIF($M$6:M74,M74)=1,1,0),0))</f>
        <v>0</v>
      </c>
      <c r="T74" t="str">
        <f>IF(AND($M74&lt;&gt;"",$M74='Mapa do Galpão'!$C$20),COUNTIF($M$6:$M74,'Mapa do Galpão'!$C$20),"")</f>
        <v/>
      </c>
    </row>
    <row r="75" spans="1:20" ht="14.25" hidden="1" customHeight="1" x14ac:dyDescent="0.3">
      <c r="A75" s="43" t="s">
        <v>772</v>
      </c>
      <c r="B75" s="44" t="s">
        <v>665</v>
      </c>
      <c r="C75" s="165" t="s">
        <v>112</v>
      </c>
      <c r="D75" s="45" t="str">
        <f t="shared" si="2"/>
        <v>Masculino</v>
      </c>
      <c r="E75" s="43" t="s">
        <v>666</v>
      </c>
      <c r="F75" s="43" t="s">
        <v>754</v>
      </c>
      <c r="G75" s="43" t="s">
        <v>735</v>
      </c>
      <c r="H75" s="43" t="s">
        <v>756</v>
      </c>
      <c r="I75" s="46">
        <f>SUMIFS(Movimentações!$F$6:$F$4998,Movimentações!$C$6:$C$4998,A75,Movimentações!$M$6:$M$4998,M75)</f>
        <v>0</v>
      </c>
      <c r="J75" s="43" t="s">
        <v>670</v>
      </c>
      <c r="K75" s="43" t="s">
        <v>671</v>
      </c>
      <c r="L75" s="47" t="s">
        <v>744</v>
      </c>
      <c r="M75" s="43" t="s">
        <v>773</v>
      </c>
      <c r="N75" s="43" t="str">
        <f t="shared" si="3"/>
        <v>Rua A · Prat 5 · C-20</v>
      </c>
      <c r="P75">
        <f>IF(A75="","",IF(AND(K75&lt;&gt;"",L75&lt;&gt;""),IF(COUNTIFS($K$6:K75,K75,$L$6:L75,L75)=1,1,0),0))</f>
        <v>0</v>
      </c>
      <c r="Q75">
        <f>IF(A75="","",IF(AND(K75&lt;&gt;"",M75&lt;&gt;""),IF(COUNTIFS($K$6:K75,K75,$M$6:M75,M75)=1,1,0),0))</f>
        <v>1</v>
      </c>
      <c r="R75">
        <f>IF(A75="","",IF(M75&lt;&gt;"",IF(COUNTIF($M$6:M75,M75)=1,1,0),0))</f>
        <v>1</v>
      </c>
      <c r="T75" t="str">
        <f>IF(AND($M75&lt;&gt;"",$M75='Mapa do Galpão'!$C$20),COUNTIF($M$6:$M75,'Mapa do Galpão'!$C$20),"")</f>
        <v/>
      </c>
    </row>
    <row r="76" spans="1:20" ht="14.25" hidden="1" customHeight="1" x14ac:dyDescent="0.3">
      <c r="A76" s="43" t="s">
        <v>774</v>
      </c>
      <c r="B76" s="44" t="s">
        <v>665</v>
      </c>
      <c r="C76" s="165" t="s">
        <v>113</v>
      </c>
      <c r="D76" s="45" t="str">
        <f t="shared" si="2"/>
        <v>Masculino</v>
      </c>
      <c r="E76" s="43" t="s">
        <v>666</v>
      </c>
      <c r="F76" s="43" t="s">
        <v>754</v>
      </c>
      <c r="G76" s="43" t="s">
        <v>738</v>
      </c>
      <c r="H76" s="43" t="s">
        <v>680</v>
      </c>
      <c r="I76" s="46">
        <f>SUMIFS(Movimentações!$F$6:$F$4998,Movimentações!$C$6:$C$4998,A76,Movimentações!$M$6:$M$4998,M76)</f>
        <v>0</v>
      </c>
      <c r="J76" s="43" t="s">
        <v>670</v>
      </c>
      <c r="K76" s="43" t="s">
        <v>671</v>
      </c>
      <c r="L76" s="47" t="s">
        <v>744</v>
      </c>
      <c r="M76" s="43" t="s">
        <v>773</v>
      </c>
      <c r="N76" s="43" t="str">
        <f t="shared" si="3"/>
        <v>Rua A · Prat 5 · C-20</v>
      </c>
      <c r="P76">
        <f>IF(A76="","",IF(AND(K76&lt;&gt;"",L76&lt;&gt;""),IF(COUNTIFS($K$6:K76,K76,$L$6:L76,L76)=1,1,0),0))</f>
        <v>0</v>
      </c>
      <c r="Q76">
        <f>IF(A76="","",IF(AND(K76&lt;&gt;"",M76&lt;&gt;""),IF(COUNTIFS($K$6:K76,K76,$M$6:M76,M76)=1,1,0),0))</f>
        <v>0</v>
      </c>
      <c r="R76">
        <f>IF(A76="","",IF(M76&lt;&gt;"",IF(COUNTIF($M$6:M76,M76)=1,1,0),0))</f>
        <v>0</v>
      </c>
      <c r="T76" t="str">
        <f>IF(AND($M76&lt;&gt;"",$M76='Mapa do Galpão'!$C$20),COUNTIF($M$6:$M76,'Mapa do Galpão'!$C$20),"")</f>
        <v/>
      </c>
    </row>
    <row r="77" spans="1:20" ht="14.25" hidden="1" customHeight="1" x14ac:dyDescent="0.3">
      <c r="A77" s="43" t="s">
        <v>775</v>
      </c>
      <c r="B77" s="44" t="s">
        <v>665</v>
      </c>
      <c r="C77" s="165" t="s">
        <v>114</v>
      </c>
      <c r="D77" s="45" t="str">
        <f t="shared" si="2"/>
        <v>Masculino</v>
      </c>
      <c r="E77" s="43" t="s">
        <v>666</v>
      </c>
      <c r="F77" s="43" t="s">
        <v>754</v>
      </c>
      <c r="G77" s="43" t="s">
        <v>738</v>
      </c>
      <c r="H77" s="43" t="s">
        <v>675</v>
      </c>
      <c r="I77" s="46">
        <f>SUMIFS(Movimentações!$F$6:$F$4998,Movimentações!$C$6:$C$4998,A77,Movimentações!$M$6:$M$4998,M77)</f>
        <v>0</v>
      </c>
      <c r="J77" s="43" t="s">
        <v>670</v>
      </c>
      <c r="K77" s="43" t="s">
        <v>671</v>
      </c>
      <c r="L77" s="47" t="s">
        <v>744</v>
      </c>
      <c r="M77" s="43" t="s">
        <v>773</v>
      </c>
      <c r="N77" s="43" t="str">
        <f t="shared" si="3"/>
        <v>Rua A · Prat 5 · C-20</v>
      </c>
      <c r="P77">
        <f>IF(A77="","",IF(AND(K77&lt;&gt;"",L77&lt;&gt;""),IF(COUNTIFS($K$6:K77,K77,$L$6:L77,L77)=1,1,0),0))</f>
        <v>0</v>
      </c>
      <c r="Q77">
        <f>IF(A77="","",IF(AND(K77&lt;&gt;"",M77&lt;&gt;""),IF(COUNTIFS($K$6:K77,K77,$M$6:M77,M77)=1,1,0),0))</f>
        <v>0</v>
      </c>
      <c r="R77">
        <f>IF(A77="","",IF(M77&lt;&gt;"",IF(COUNTIF($M$6:M77,M77)=1,1,0),0))</f>
        <v>0</v>
      </c>
      <c r="T77" t="str">
        <f>IF(AND($M77&lt;&gt;"",$M77='Mapa do Galpão'!$C$20),COUNTIF($M$6:$M77,'Mapa do Galpão'!$C$20),"")</f>
        <v/>
      </c>
    </row>
    <row r="78" spans="1:20" ht="14.25" hidden="1" customHeight="1" x14ac:dyDescent="0.3">
      <c r="A78" s="43" t="s">
        <v>776</v>
      </c>
      <c r="B78" s="44" t="s">
        <v>665</v>
      </c>
      <c r="C78" s="165" t="s">
        <v>115</v>
      </c>
      <c r="D78" s="45" t="str">
        <f t="shared" si="2"/>
        <v>Masculino</v>
      </c>
      <c r="E78" s="43" t="s">
        <v>666</v>
      </c>
      <c r="F78" s="43" t="s">
        <v>754</v>
      </c>
      <c r="G78" s="43" t="s">
        <v>738</v>
      </c>
      <c r="H78" s="43" t="s">
        <v>669</v>
      </c>
      <c r="I78" s="46">
        <f>SUMIFS(Movimentações!$F$6:$F$4998,Movimentações!$C$6:$C$4998,A78,Movimentações!$M$6:$M$4998,M78)</f>
        <v>0</v>
      </c>
      <c r="J78" s="43" t="s">
        <v>670</v>
      </c>
      <c r="K78" s="43" t="s">
        <v>671</v>
      </c>
      <c r="L78" s="47">
        <v>5</v>
      </c>
      <c r="M78" s="43" t="s">
        <v>773</v>
      </c>
      <c r="N78" s="43" t="str">
        <f t="shared" si="3"/>
        <v>Rua A · Prat 5 · C-20</v>
      </c>
      <c r="P78">
        <f>IF(A78="","",IF(AND(K78&lt;&gt;"",L78&lt;&gt;""),IF(COUNTIFS($K$6:K78,K78,$L$6:L78,L78)=1,1,0),0))</f>
        <v>0</v>
      </c>
      <c r="Q78">
        <f>IF(A78="","",IF(AND(K78&lt;&gt;"",M78&lt;&gt;""),IF(COUNTIFS($K$6:K78,K78,$M$6:M78,M78)=1,1,0),0))</f>
        <v>0</v>
      </c>
      <c r="R78">
        <f>IF(A78="","",IF(M78&lt;&gt;"",IF(COUNTIF($M$6:M78,M78)=1,1,0),0))</f>
        <v>0</v>
      </c>
      <c r="T78" t="str">
        <f>IF(AND($M78&lt;&gt;"",$M78='Mapa do Galpão'!$C$20),COUNTIF($M$6:$M78,'Mapa do Galpão'!$C$20),"")</f>
        <v/>
      </c>
    </row>
    <row r="79" spans="1:20" ht="14.25" hidden="1" customHeight="1" x14ac:dyDescent="0.3">
      <c r="A79" s="43" t="s">
        <v>777</v>
      </c>
      <c r="B79" s="44" t="s">
        <v>665</v>
      </c>
      <c r="C79" s="165" t="s">
        <v>116</v>
      </c>
      <c r="D79" s="45" t="str">
        <f t="shared" si="2"/>
        <v>Masculino</v>
      </c>
      <c r="E79" s="43" t="s">
        <v>666</v>
      </c>
      <c r="F79" s="43" t="s">
        <v>754</v>
      </c>
      <c r="G79" s="43" t="s">
        <v>738</v>
      </c>
      <c r="H79" s="43" t="s">
        <v>682</v>
      </c>
      <c r="I79" s="46">
        <f>SUMIFS(Movimentações!$F$6:$F$4998,Movimentações!$C$6:$C$4998,A79,Movimentações!$M$6:$M$4998,M79)</f>
        <v>0</v>
      </c>
      <c r="J79" s="43" t="s">
        <v>670</v>
      </c>
      <c r="K79" s="43" t="s">
        <v>671</v>
      </c>
      <c r="L79" s="47" t="s">
        <v>744</v>
      </c>
      <c r="M79" s="43" t="s">
        <v>773</v>
      </c>
      <c r="N79" s="43" t="str">
        <f t="shared" si="3"/>
        <v>Rua A · Prat 5 · C-20</v>
      </c>
      <c r="P79">
        <f>IF(A79="","",IF(AND(K79&lt;&gt;"",L79&lt;&gt;""),IF(COUNTIFS($K$6:K79,K79,$L$6:L79,L79)=1,1,0),0))</f>
        <v>0</v>
      </c>
      <c r="Q79">
        <f>IF(A79="","",IF(AND(K79&lt;&gt;"",M79&lt;&gt;""),IF(COUNTIFS($K$6:K79,K79,$M$6:M79,M79)=1,1,0),0))</f>
        <v>0</v>
      </c>
      <c r="R79">
        <f>IF(A79="","",IF(M79&lt;&gt;"",IF(COUNTIF($M$6:M79,M79)=1,1,0),0))</f>
        <v>0</v>
      </c>
      <c r="T79" t="str">
        <f>IF(AND($M79&lt;&gt;"",$M79='Mapa do Galpão'!$C$20),COUNTIF($M$6:$M79,'Mapa do Galpão'!$C$20),"")</f>
        <v/>
      </c>
    </row>
    <row r="80" spans="1:20" ht="14.25" hidden="1" customHeight="1" x14ac:dyDescent="0.3">
      <c r="A80" s="43" t="s">
        <v>778</v>
      </c>
      <c r="B80" s="44" t="s">
        <v>665</v>
      </c>
      <c r="C80" s="165" t="s">
        <v>117</v>
      </c>
      <c r="D80" s="45" t="str">
        <f t="shared" si="2"/>
        <v>Masculino</v>
      </c>
      <c r="E80" s="43" t="s">
        <v>666</v>
      </c>
      <c r="F80" s="43" t="s">
        <v>754</v>
      </c>
      <c r="G80" s="43" t="s">
        <v>738</v>
      </c>
      <c r="H80" s="43" t="s">
        <v>677</v>
      </c>
      <c r="I80" s="46">
        <f>SUMIFS(Movimentações!$F$6:$F$4998,Movimentações!$C$6:$C$4998,A80,Movimentações!$M$6:$M$4998,M80)</f>
        <v>0</v>
      </c>
      <c r="J80" s="43" t="s">
        <v>670</v>
      </c>
      <c r="K80" s="43" t="s">
        <v>671</v>
      </c>
      <c r="L80" s="47" t="s">
        <v>744</v>
      </c>
      <c r="M80" s="43" t="s">
        <v>773</v>
      </c>
      <c r="N80" s="43" t="str">
        <f t="shared" si="3"/>
        <v>Rua A · Prat 5 · C-20</v>
      </c>
      <c r="P80">
        <f>IF(A80="","",IF(AND(K80&lt;&gt;"",L80&lt;&gt;""),IF(COUNTIFS($K$6:K80,K80,$L$6:L80,L80)=1,1,0),0))</f>
        <v>0</v>
      </c>
      <c r="Q80">
        <f>IF(A80="","",IF(AND(K80&lt;&gt;"",M80&lt;&gt;""),IF(COUNTIFS($K$6:K80,K80,$M$6:M80,M80)=1,1,0),0))</f>
        <v>0</v>
      </c>
      <c r="R80">
        <f>IF(A80="","",IF(M80&lt;&gt;"",IF(COUNTIF($M$6:M80,M80)=1,1,0),0))</f>
        <v>0</v>
      </c>
      <c r="T80" t="str">
        <f>IF(AND($M80&lt;&gt;"",$M80='Mapa do Galpão'!$C$20),COUNTIF($M$6:$M80,'Mapa do Galpão'!$C$20),"")</f>
        <v/>
      </c>
    </row>
    <row r="81" spans="1:20" ht="14.25" hidden="1" customHeight="1" x14ac:dyDescent="0.3">
      <c r="A81" s="43" t="s">
        <v>779</v>
      </c>
      <c r="B81" s="44" t="s">
        <v>665</v>
      </c>
      <c r="C81" s="165" t="s">
        <v>118</v>
      </c>
      <c r="D81" s="45" t="str">
        <f t="shared" si="2"/>
        <v>Masculino</v>
      </c>
      <c r="E81" s="43" t="s">
        <v>666</v>
      </c>
      <c r="F81" s="43" t="s">
        <v>754</v>
      </c>
      <c r="G81" s="43" t="s">
        <v>780</v>
      </c>
      <c r="H81" s="43" t="s">
        <v>756</v>
      </c>
      <c r="I81" s="46">
        <f>SUMIFS(Movimentações!$F$6:$F$4998,Movimentações!$C$6:$C$4998,A81,Movimentações!$M$6:$M$4998,M81)</f>
        <v>0</v>
      </c>
      <c r="J81" s="43" t="s">
        <v>670</v>
      </c>
      <c r="K81" s="43" t="s">
        <v>671</v>
      </c>
      <c r="L81" s="47">
        <v>13</v>
      </c>
      <c r="M81" s="43" t="s">
        <v>781</v>
      </c>
      <c r="N81" s="43" t="str">
        <f t="shared" si="3"/>
        <v xml:space="preserve">Rua A · Prat 13 · C-21 </v>
      </c>
      <c r="P81">
        <f>IF(A81="","",IF(AND(K81&lt;&gt;"",L81&lt;&gt;""),IF(COUNTIFS($K$6:K81,K81,$L$6:L81,L81)=1,1,0),0))</f>
        <v>0</v>
      </c>
      <c r="Q81">
        <f>IF(A81="","",IF(AND(K81&lt;&gt;"",M81&lt;&gt;""),IF(COUNTIFS($K$6:K81,K81,$M$6:M81,M81)=1,1,0),0))</f>
        <v>1</v>
      </c>
      <c r="R81">
        <f>IF(A81="","",IF(M81&lt;&gt;"",IF(COUNTIF($M$6:M81,M81)=1,1,0),0))</f>
        <v>1</v>
      </c>
      <c r="T81" t="str">
        <f>IF(AND($M81&lt;&gt;"",$M81='Mapa do Galpão'!$C$20),COUNTIF($M$6:$M81,'Mapa do Galpão'!$C$20),"")</f>
        <v/>
      </c>
    </row>
    <row r="82" spans="1:20" ht="14.25" hidden="1" customHeight="1" x14ac:dyDescent="0.3">
      <c r="A82" s="43" t="s">
        <v>782</v>
      </c>
      <c r="B82" s="44" t="s">
        <v>665</v>
      </c>
      <c r="C82" s="165" t="s">
        <v>119</v>
      </c>
      <c r="D82" s="45" t="str">
        <f t="shared" si="2"/>
        <v>Masculino</v>
      </c>
      <c r="E82" s="43" t="s">
        <v>666</v>
      </c>
      <c r="F82" s="43" t="s">
        <v>754</v>
      </c>
      <c r="G82" s="43" t="s">
        <v>780</v>
      </c>
      <c r="H82" s="43" t="s">
        <v>680</v>
      </c>
      <c r="I82" s="46">
        <f>SUMIFS(Movimentações!$F$6:$F$4998,Movimentações!$C$6:$C$4998,A82,Movimentações!$M$6:$M$4998,M82)</f>
        <v>0</v>
      </c>
      <c r="J82" s="43" t="s">
        <v>670</v>
      </c>
      <c r="K82" s="43" t="s">
        <v>671</v>
      </c>
      <c r="L82" s="47">
        <v>13</v>
      </c>
      <c r="M82" s="43" t="s">
        <v>781</v>
      </c>
      <c r="N82" s="43" t="str">
        <f t="shared" si="3"/>
        <v xml:space="preserve">Rua A · Prat 13 · C-21 </v>
      </c>
      <c r="P82">
        <f>IF(A82="","",IF(AND(K82&lt;&gt;"",L82&lt;&gt;""),IF(COUNTIFS($K$6:K82,K82,$L$6:L82,L82)=1,1,0),0))</f>
        <v>0</v>
      </c>
      <c r="Q82">
        <f>IF(A82="","",IF(AND(K82&lt;&gt;"",M82&lt;&gt;""),IF(COUNTIFS($K$6:K82,K82,$M$6:M82,M82)=1,1,0),0))</f>
        <v>0</v>
      </c>
      <c r="R82">
        <f>IF(A82="","",IF(M82&lt;&gt;"",IF(COUNTIF($M$6:M82,M82)=1,1,0),0))</f>
        <v>0</v>
      </c>
      <c r="T82" t="str">
        <f>IF(AND($M82&lt;&gt;"",$M82='Mapa do Galpão'!$C$20),COUNTIF($M$6:$M82,'Mapa do Galpão'!$C$20),"")</f>
        <v/>
      </c>
    </row>
    <row r="83" spans="1:20" ht="14.25" hidden="1" customHeight="1" x14ac:dyDescent="0.3">
      <c r="A83" s="43" t="s">
        <v>783</v>
      </c>
      <c r="B83" s="44" t="s">
        <v>665</v>
      </c>
      <c r="C83" s="165" t="s">
        <v>120</v>
      </c>
      <c r="D83" s="45" t="str">
        <f t="shared" si="2"/>
        <v>Masculino</v>
      </c>
      <c r="E83" s="43" t="s">
        <v>666</v>
      </c>
      <c r="F83" s="43" t="s">
        <v>754</v>
      </c>
      <c r="G83" s="43" t="s">
        <v>780</v>
      </c>
      <c r="H83" s="43" t="s">
        <v>675</v>
      </c>
      <c r="I83" s="46">
        <f>SUMIFS(Movimentações!$F$6:$F$4998,Movimentações!$C$6:$C$4998,A83,Movimentações!$M$6:$M$4998,M83)</f>
        <v>29</v>
      </c>
      <c r="J83" s="43" t="s">
        <v>670</v>
      </c>
      <c r="K83" s="43" t="s">
        <v>671</v>
      </c>
      <c r="L83" s="47">
        <v>13</v>
      </c>
      <c r="M83" s="43" t="s">
        <v>781</v>
      </c>
      <c r="N83" s="43" t="str">
        <f t="shared" si="3"/>
        <v xml:space="preserve">Rua A · Prat 13 · C-21 </v>
      </c>
      <c r="P83">
        <f>IF(A83="","",IF(AND(K83&lt;&gt;"",L83&lt;&gt;""),IF(COUNTIFS($K$6:K83,K83,$L$6:L83,L83)=1,1,0),0))</f>
        <v>0</v>
      </c>
      <c r="Q83">
        <f>IF(A83="","",IF(AND(K83&lt;&gt;"",M83&lt;&gt;""),IF(COUNTIFS($K$6:K83,K83,$M$6:M83,M83)=1,1,0),0))</f>
        <v>0</v>
      </c>
      <c r="R83">
        <f>IF(A83="","",IF(M83&lt;&gt;"",IF(COUNTIF($M$6:M83,M83)=1,1,0),0))</f>
        <v>0</v>
      </c>
      <c r="T83" t="str">
        <f>IF(AND($M83&lt;&gt;"",$M83='Mapa do Galpão'!$C$20),COUNTIF($M$6:$M83,'Mapa do Galpão'!$C$20),"")</f>
        <v/>
      </c>
    </row>
    <row r="84" spans="1:20" ht="14.25" hidden="1" customHeight="1" x14ac:dyDescent="0.3">
      <c r="A84" s="43" t="s">
        <v>784</v>
      </c>
      <c r="B84" s="44" t="s">
        <v>665</v>
      </c>
      <c r="C84" s="165" t="s">
        <v>121</v>
      </c>
      <c r="D84" s="45" t="str">
        <f t="shared" si="2"/>
        <v>Masculino</v>
      </c>
      <c r="E84" s="43" t="s">
        <v>666</v>
      </c>
      <c r="F84" s="43" t="s">
        <v>754</v>
      </c>
      <c r="G84" s="43" t="s">
        <v>780</v>
      </c>
      <c r="H84" s="43" t="s">
        <v>669</v>
      </c>
      <c r="I84" s="46">
        <f>SUMIFS(Movimentações!$F$6:$F$4998,Movimentações!$C$6:$C$4998,A84,Movimentações!$M$6:$M$4998,M84)</f>
        <v>18</v>
      </c>
      <c r="J84" s="43" t="s">
        <v>670</v>
      </c>
      <c r="K84" s="43" t="s">
        <v>671</v>
      </c>
      <c r="L84" s="47">
        <v>13</v>
      </c>
      <c r="M84" s="43" t="s">
        <v>781</v>
      </c>
      <c r="N84" s="43" t="str">
        <f t="shared" si="3"/>
        <v xml:space="preserve">Rua A · Prat 13 · C-21 </v>
      </c>
      <c r="P84">
        <f>IF(A84="","",IF(AND(K84&lt;&gt;"",L84&lt;&gt;""),IF(COUNTIFS($K$6:K84,K84,$L$6:L84,L84)=1,1,0),0))</f>
        <v>0</v>
      </c>
      <c r="Q84">
        <f>IF(A84="","",IF(AND(K84&lt;&gt;"",M84&lt;&gt;""),IF(COUNTIFS($K$6:K84,K84,$M$6:M84,M84)=1,1,0),0))</f>
        <v>0</v>
      </c>
      <c r="R84">
        <f>IF(A84="","",IF(M84&lt;&gt;"",IF(COUNTIF($M$6:M84,M84)=1,1,0),0))</f>
        <v>0</v>
      </c>
      <c r="T84" t="str">
        <f>IF(AND($M84&lt;&gt;"",$M84='Mapa do Galpão'!$C$20),COUNTIF($M$6:$M84,'Mapa do Galpão'!$C$20),"")</f>
        <v/>
      </c>
    </row>
    <row r="85" spans="1:20" ht="14.25" hidden="1" customHeight="1" x14ac:dyDescent="0.3">
      <c r="A85" s="43" t="s">
        <v>785</v>
      </c>
      <c r="B85" s="44" t="s">
        <v>665</v>
      </c>
      <c r="C85" s="165" t="s">
        <v>122</v>
      </c>
      <c r="D85" s="45" t="str">
        <f t="shared" si="2"/>
        <v>Masculino</v>
      </c>
      <c r="E85" s="43" t="s">
        <v>666</v>
      </c>
      <c r="F85" s="43" t="s">
        <v>754</v>
      </c>
      <c r="G85" s="43" t="s">
        <v>780</v>
      </c>
      <c r="H85" s="43" t="s">
        <v>682</v>
      </c>
      <c r="I85" s="46">
        <f>SUMIFS(Movimentações!$F$6:$F$4998,Movimentações!$C$6:$C$4998,A85,Movimentações!$M$6:$M$4998,M85)</f>
        <v>0</v>
      </c>
      <c r="J85" s="43" t="s">
        <v>670</v>
      </c>
      <c r="K85" s="43" t="s">
        <v>671</v>
      </c>
      <c r="L85" s="47">
        <v>13</v>
      </c>
      <c r="M85" s="43" t="s">
        <v>781</v>
      </c>
      <c r="N85" s="43" t="str">
        <f t="shared" si="3"/>
        <v xml:space="preserve">Rua A · Prat 13 · C-21 </v>
      </c>
      <c r="P85">
        <f>IF(A85="","",IF(AND(K85&lt;&gt;"",L85&lt;&gt;""),IF(COUNTIFS($K$6:K85,K85,$L$6:L85,L85)=1,1,0),0))</f>
        <v>0</v>
      </c>
      <c r="Q85">
        <f>IF(A85="","",IF(AND(K85&lt;&gt;"",M85&lt;&gt;""),IF(COUNTIFS($K$6:K85,K85,$M$6:M85,M85)=1,1,0),0))</f>
        <v>0</v>
      </c>
      <c r="R85">
        <f>IF(A85="","",IF(M85&lt;&gt;"",IF(COUNTIF($M$6:M85,M85)=1,1,0),0))</f>
        <v>0</v>
      </c>
      <c r="T85" t="str">
        <f>IF(AND($M85&lt;&gt;"",$M85='Mapa do Galpão'!$C$20),COUNTIF($M$6:$M85,'Mapa do Galpão'!$C$20),"")</f>
        <v/>
      </c>
    </row>
    <row r="86" spans="1:20" ht="14.25" hidden="1" customHeight="1" x14ac:dyDescent="0.3">
      <c r="A86" s="43" t="s">
        <v>786</v>
      </c>
      <c r="B86" s="44" t="s">
        <v>665</v>
      </c>
      <c r="C86" s="165" t="s">
        <v>123</v>
      </c>
      <c r="D86" s="45" t="str">
        <f t="shared" si="2"/>
        <v>Masculino</v>
      </c>
      <c r="E86" s="43" t="s">
        <v>666</v>
      </c>
      <c r="F86" s="43" t="s">
        <v>754</v>
      </c>
      <c r="G86" s="43" t="s">
        <v>780</v>
      </c>
      <c r="H86" s="43" t="s">
        <v>677</v>
      </c>
      <c r="I86" s="46">
        <f>SUMIFS(Movimentações!$F$6:$F$4998,Movimentações!$C$6:$C$4998,A86,Movimentações!$M$6:$M$4998,M86)</f>
        <v>0</v>
      </c>
      <c r="J86" s="43" t="s">
        <v>670</v>
      </c>
      <c r="K86" s="43" t="s">
        <v>671</v>
      </c>
      <c r="L86" s="47">
        <v>13</v>
      </c>
      <c r="M86" s="43" t="s">
        <v>781</v>
      </c>
      <c r="N86" s="43" t="str">
        <f t="shared" si="3"/>
        <v xml:space="preserve">Rua A · Prat 13 · C-21 </v>
      </c>
      <c r="P86">
        <f>IF(A86="","",IF(AND(K86&lt;&gt;"",L86&lt;&gt;""),IF(COUNTIFS($K$6:K86,K86,$L$6:L86,L86)=1,1,0),0))</f>
        <v>0</v>
      </c>
      <c r="Q86">
        <f>IF(A86="","",IF(AND(K86&lt;&gt;"",M86&lt;&gt;""),IF(COUNTIFS($K$6:K86,K86,$M$6:M86,M86)=1,1,0),0))</f>
        <v>0</v>
      </c>
      <c r="R86">
        <f>IF(A86="","",IF(M86&lt;&gt;"",IF(COUNTIF($M$6:M86,M86)=1,1,0),0))</f>
        <v>0</v>
      </c>
      <c r="T86" t="str">
        <f>IF(AND($M86&lt;&gt;"",$M86='Mapa do Galpão'!$C$20),COUNTIF($M$6:$M86,'Mapa do Galpão'!$C$20),"")</f>
        <v/>
      </c>
    </row>
    <row r="87" spans="1:20" ht="14.25" hidden="1" customHeight="1" x14ac:dyDescent="0.3">
      <c r="A87" s="43" t="s">
        <v>787</v>
      </c>
      <c r="B87" s="44" t="s">
        <v>665</v>
      </c>
      <c r="C87" s="165" t="s">
        <v>124</v>
      </c>
      <c r="D87" s="45" t="str">
        <f t="shared" si="2"/>
        <v>Masculino</v>
      </c>
      <c r="E87" s="43" t="s">
        <v>666</v>
      </c>
      <c r="F87" s="43" t="s">
        <v>788</v>
      </c>
      <c r="G87" s="43" t="s">
        <v>789</v>
      </c>
      <c r="H87" s="43" t="s">
        <v>756</v>
      </c>
      <c r="I87" s="46">
        <f>SUMIFS(Movimentações!$F$6:$F$4998,Movimentações!$C$6:$C$4998,A87,Movimentações!$M$6:$M$4998,M87)</f>
        <v>0</v>
      </c>
      <c r="J87" s="43" t="s">
        <v>670</v>
      </c>
      <c r="K87" s="43" t="s">
        <v>671</v>
      </c>
      <c r="L87" s="47" t="s">
        <v>744</v>
      </c>
      <c r="M87" s="43" t="s">
        <v>790</v>
      </c>
      <c r="N87" s="43" t="str">
        <f t="shared" si="3"/>
        <v>Rua A · Prat 5 · C-22</v>
      </c>
      <c r="P87">
        <f>IF(A87="","",IF(AND(K87&lt;&gt;"",L87&lt;&gt;""),IF(COUNTIFS($K$6:K87,K87,$L$6:L87,L87)=1,1,0),0))</f>
        <v>0</v>
      </c>
      <c r="Q87">
        <f>IF(A87="","",IF(AND(K87&lt;&gt;"",M87&lt;&gt;""),IF(COUNTIFS($K$6:K87,K87,$M$6:M87,M87)=1,1,0),0))</f>
        <v>1</v>
      </c>
      <c r="R87">
        <f>IF(A87="","",IF(M87&lt;&gt;"",IF(COUNTIF($M$6:M87,M87)=1,1,0),0))</f>
        <v>1</v>
      </c>
      <c r="T87" t="str">
        <f>IF(AND($M87&lt;&gt;"",$M87='Mapa do Galpão'!$C$20),COUNTIF($M$6:$M87,'Mapa do Galpão'!$C$20),"")</f>
        <v/>
      </c>
    </row>
    <row r="88" spans="1:20" ht="14.25" hidden="1" customHeight="1" x14ac:dyDescent="0.3">
      <c r="A88" s="43" t="s">
        <v>791</v>
      </c>
      <c r="B88" s="44" t="s">
        <v>665</v>
      </c>
      <c r="C88" s="165" t="s">
        <v>125</v>
      </c>
      <c r="D88" s="45" t="str">
        <f t="shared" si="2"/>
        <v>Masculino</v>
      </c>
      <c r="E88" s="43" t="s">
        <v>666</v>
      </c>
      <c r="F88" s="43" t="s">
        <v>788</v>
      </c>
      <c r="G88" s="43" t="s">
        <v>789</v>
      </c>
      <c r="H88" s="43" t="s">
        <v>680</v>
      </c>
      <c r="I88" s="46">
        <f>SUMIFS(Movimentações!$F$6:$F$4998,Movimentações!$C$6:$C$4998,A88,Movimentações!$M$6:$M$4998,M88)</f>
        <v>0</v>
      </c>
      <c r="J88" s="43" t="s">
        <v>670</v>
      </c>
      <c r="K88" s="43" t="s">
        <v>671</v>
      </c>
      <c r="L88" s="47" t="s">
        <v>744</v>
      </c>
      <c r="M88" s="43" t="s">
        <v>790</v>
      </c>
      <c r="N88" s="43" t="str">
        <f t="shared" si="3"/>
        <v>Rua A · Prat 5 · C-22</v>
      </c>
      <c r="P88">
        <f>IF(A88="","",IF(AND(K88&lt;&gt;"",L88&lt;&gt;""),IF(COUNTIFS($K$6:K88,K88,$L$6:L88,L88)=1,1,0),0))</f>
        <v>0</v>
      </c>
      <c r="Q88">
        <f>IF(A88="","",IF(AND(K88&lt;&gt;"",M88&lt;&gt;""),IF(COUNTIFS($K$6:K88,K88,$M$6:M88,M88)=1,1,0),0))</f>
        <v>0</v>
      </c>
      <c r="R88">
        <f>IF(A88="","",IF(M88&lt;&gt;"",IF(COUNTIF($M$6:M88,M88)=1,1,0),0))</f>
        <v>0</v>
      </c>
      <c r="T88" t="str">
        <f>IF(AND($M88&lt;&gt;"",$M88='Mapa do Galpão'!$C$20),COUNTIF($M$6:$M88,'Mapa do Galpão'!$C$20),"")</f>
        <v/>
      </c>
    </row>
    <row r="89" spans="1:20" ht="14.25" hidden="1" customHeight="1" x14ac:dyDescent="0.3">
      <c r="A89" s="43" t="s">
        <v>792</v>
      </c>
      <c r="B89" s="44" t="s">
        <v>665</v>
      </c>
      <c r="C89" s="165" t="s">
        <v>126</v>
      </c>
      <c r="D89" s="45" t="str">
        <f t="shared" si="2"/>
        <v>Masculino</v>
      </c>
      <c r="E89" s="43" t="s">
        <v>666</v>
      </c>
      <c r="F89" s="43" t="s">
        <v>788</v>
      </c>
      <c r="G89" s="43" t="s">
        <v>789</v>
      </c>
      <c r="H89" s="43" t="s">
        <v>675</v>
      </c>
      <c r="I89" s="46">
        <f>SUMIFS(Movimentações!$F$6:$F$4998,Movimentações!$C$6:$C$4998,A89,Movimentações!$M$6:$M$4998,M89)</f>
        <v>0</v>
      </c>
      <c r="J89" s="43" t="s">
        <v>670</v>
      </c>
      <c r="K89" s="43" t="s">
        <v>671</v>
      </c>
      <c r="L89" s="47" t="s">
        <v>744</v>
      </c>
      <c r="M89" s="43" t="s">
        <v>790</v>
      </c>
      <c r="N89" s="43" t="str">
        <f t="shared" si="3"/>
        <v>Rua A · Prat 5 · C-22</v>
      </c>
      <c r="P89">
        <f>IF(A89="","",IF(AND(K89&lt;&gt;"",L89&lt;&gt;""),IF(COUNTIFS($K$6:K89,K89,$L$6:L89,L89)=1,1,0),0))</f>
        <v>0</v>
      </c>
      <c r="Q89">
        <f>IF(A89="","",IF(AND(K89&lt;&gt;"",M89&lt;&gt;""),IF(COUNTIFS($K$6:K89,K89,$M$6:M89,M89)=1,1,0),0))</f>
        <v>0</v>
      </c>
      <c r="R89">
        <f>IF(A89="","",IF(M89&lt;&gt;"",IF(COUNTIF($M$6:M89,M89)=1,1,0),0))</f>
        <v>0</v>
      </c>
      <c r="T89" t="str">
        <f>IF(AND($M89&lt;&gt;"",$M89='Mapa do Galpão'!$C$20),COUNTIF($M$6:$M89,'Mapa do Galpão'!$C$20),"")</f>
        <v/>
      </c>
    </row>
    <row r="90" spans="1:20" ht="14.25" hidden="1" customHeight="1" x14ac:dyDescent="0.3">
      <c r="A90" s="43" t="s">
        <v>793</v>
      </c>
      <c r="B90" s="44" t="s">
        <v>665</v>
      </c>
      <c r="C90" s="165" t="s">
        <v>127</v>
      </c>
      <c r="D90" s="45" t="str">
        <f t="shared" si="2"/>
        <v>Masculino</v>
      </c>
      <c r="E90" s="43" t="s">
        <v>666</v>
      </c>
      <c r="F90" s="43" t="s">
        <v>788</v>
      </c>
      <c r="G90" s="43" t="s">
        <v>789</v>
      </c>
      <c r="H90" s="43" t="s">
        <v>669</v>
      </c>
      <c r="I90" s="46">
        <f>SUMIFS(Movimentações!$F$6:$F$4998,Movimentações!$C$6:$C$4998,A90,Movimentações!$M$6:$M$4998,M90)</f>
        <v>0</v>
      </c>
      <c r="J90" s="43" t="s">
        <v>670</v>
      </c>
      <c r="K90" s="43" t="s">
        <v>671</v>
      </c>
      <c r="L90" s="47" t="s">
        <v>744</v>
      </c>
      <c r="M90" s="43" t="s">
        <v>790</v>
      </c>
      <c r="N90" s="43" t="str">
        <f t="shared" si="3"/>
        <v>Rua A · Prat 5 · C-22</v>
      </c>
      <c r="P90">
        <f>IF(A90="","",IF(AND(K90&lt;&gt;"",L90&lt;&gt;""),IF(COUNTIFS($K$6:K90,K90,$L$6:L90,L90)=1,1,0),0))</f>
        <v>0</v>
      </c>
      <c r="Q90">
        <f>IF(A90="","",IF(AND(K90&lt;&gt;"",M90&lt;&gt;""),IF(COUNTIFS($K$6:K90,K90,$M$6:M90,M90)=1,1,0),0))</f>
        <v>0</v>
      </c>
      <c r="R90">
        <f>IF(A90="","",IF(M90&lt;&gt;"",IF(COUNTIF($M$6:M90,M90)=1,1,0),0))</f>
        <v>0</v>
      </c>
      <c r="T90" t="str">
        <f>IF(AND($M90&lt;&gt;"",$M90='Mapa do Galpão'!$C$20),COUNTIF($M$6:$M90,'Mapa do Galpão'!$C$20),"")</f>
        <v/>
      </c>
    </row>
    <row r="91" spans="1:20" ht="14.25" hidden="1" customHeight="1" x14ac:dyDescent="0.3">
      <c r="A91" s="43" t="s">
        <v>794</v>
      </c>
      <c r="B91" s="44" t="s">
        <v>665</v>
      </c>
      <c r="C91" s="165" t="s">
        <v>128</v>
      </c>
      <c r="D91" s="45" t="str">
        <f t="shared" si="2"/>
        <v>Masculino</v>
      </c>
      <c r="E91" s="43" t="s">
        <v>666</v>
      </c>
      <c r="F91" s="43" t="s">
        <v>788</v>
      </c>
      <c r="G91" s="43" t="s">
        <v>789</v>
      </c>
      <c r="H91" s="43" t="s">
        <v>682</v>
      </c>
      <c r="I91" s="46">
        <f>SUMIFS(Movimentações!$F$6:$F$4998,Movimentações!$C$6:$C$4998,A91,Movimentações!$M$6:$M$4998,M91)</f>
        <v>0</v>
      </c>
      <c r="J91" s="43" t="s">
        <v>670</v>
      </c>
      <c r="K91" s="43" t="s">
        <v>671</v>
      </c>
      <c r="L91" s="47">
        <v>5</v>
      </c>
      <c r="M91" s="43" t="s">
        <v>790</v>
      </c>
      <c r="N91" s="43" t="str">
        <f t="shared" si="3"/>
        <v>Rua A · Prat 5 · C-22</v>
      </c>
      <c r="P91">
        <f>IF(A91="","",IF(AND(K91&lt;&gt;"",L91&lt;&gt;""),IF(COUNTIFS($K$6:K91,K91,$L$6:L91,L91)=1,1,0),0))</f>
        <v>0</v>
      </c>
      <c r="Q91">
        <f>IF(A91="","",IF(AND(K91&lt;&gt;"",M91&lt;&gt;""),IF(COUNTIFS($K$6:K91,K91,$M$6:M91,M91)=1,1,0),0))</f>
        <v>0</v>
      </c>
      <c r="R91">
        <f>IF(A91="","",IF(M91&lt;&gt;"",IF(COUNTIF($M$6:M91,M91)=1,1,0),0))</f>
        <v>0</v>
      </c>
      <c r="T91" t="str">
        <f>IF(AND($M91&lt;&gt;"",$M91='Mapa do Galpão'!$C$20),COUNTIF($M$6:$M91,'Mapa do Galpão'!$C$20),"")</f>
        <v/>
      </c>
    </row>
    <row r="92" spans="1:20" ht="14.25" hidden="1" customHeight="1" x14ac:dyDescent="0.3">
      <c r="A92" s="43" t="s">
        <v>795</v>
      </c>
      <c r="B92" s="44" t="s">
        <v>665</v>
      </c>
      <c r="C92" s="165" t="s">
        <v>129</v>
      </c>
      <c r="D92" s="45" t="str">
        <f t="shared" si="2"/>
        <v>Masculino</v>
      </c>
      <c r="E92" s="43" t="s">
        <v>666</v>
      </c>
      <c r="F92" s="43" t="s">
        <v>788</v>
      </c>
      <c r="G92" s="43" t="s">
        <v>789</v>
      </c>
      <c r="H92" s="43" t="s">
        <v>677</v>
      </c>
      <c r="I92" s="46">
        <f>SUMIFS(Movimentações!$F$6:$F$4998,Movimentações!$C$6:$C$4998,A92,Movimentações!$M$6:$M$4998,M92)</f>
        <v>0</v>
      </c>
      <c r="J92" s="43" t="s">
        <v>670</v>
      </c>
      <c r="K92" s="43" t="s">
        <v>671</v>
      </c>
      <c r="L92" s="47" t="s">
        <v>744</v>
      </c>
      <c r="M92" s="43" t="s">
        <v>790</v>
      </c>
      <c r="N92" s="43" t="str">
        <f t="shared" si="3"/>
        <v>Rua A · Prat 5 · C-22</v>
      </c>
      <c r="P92">
        <f>IF(A92="","",IF(AND(K92&lt;&gt;"",L92&lt;&gt;""),IF(COUNTIFS($K$6:K92,K92,$L$6:L92,L92)=1,1,0),0))</f>
        <v>0</v>
      </c>
      <c r="Q92">
        <f>IF(A92="","",IF(AND(K92&lt;&gt;"",M92&lt;&gt;""),IF(COUNTIFS($K$6:K92,K92,$M$6:M92,M92)=1,1,0),0))</f>
        <v>0</v>
      </c>
      <c r="R92">
        <f>IF(A92="","",IF(M92&lt;&gt;"",IF(COUNTIF($M$6:M92,M92)=1,1,0),0))</f>
        <v>0</v>
      </c>
      <c r="T92" t="str">
        <f>IF(AND($M92&lt;&gt;"",$M92='Mapa do Galpão'!$C$20),COUNTIF($M$6:$M92,'Mapa do Galpão'!$C$20),"")</f>
        <v/>
      </c>
    </row>
    <row r="93" spans="1:20" ht="14.25" hidden="1" customHeight="1" x14ac:dyDescent="0.3">
      <c r="A93" s="43" t="s">
        <v>796</v>
      </c>
      <c r="B93" s="44" t="s">
        <v>665</v>
      </c>
      <c r="C93" s="165" t="s">
        <v>130</v>
      </c>
      <c r="D93" s="45" t="str">
        <f t="shared" si="2"/>
        <v>Masculino</v>
      </c>
      <c r="E93" s="43" t="s">
        <v>666</v>
      </c>
      <c r="F93" s="43" t="s">
        <v>797</v>
      </c>
      <c r="G93" s="43" t="s">
        <v>798</v>
      </c>
      <c r="H93" s="43" t="s">
        <v>756</v>
      </c>
      <c r="I93" s="46">
        <f>SUMIFS(Movimentações!$F$6:$F$4998,Movimentações!$C$6:$C$4998,A93,Movimentações!$M$6:$M$4998,M93)</f>
        <v>0</v>
      </c>
      <c r="J93" s="43" t="s">
        <v>670</v>
      </c>
      <c r="K93" s="43" t="s">
        <v>671</v>
      </c>
      <c r="L93" s="47">
        <v>11</v>
      </c>
      <c r="M93" s="43" t="s">
        <v>799</v>
      </c>
      <c r="N93" s="43" t="str">
        <f t="shared" si="3"/>
        <v>Rua A · Prat 11 · C-23</v>
      </c>
      <c r="P93">
        <f>IF(A93="","",IF(AND(K93&lt;&gt;"",L93&lt;&gt;""),IF(COUNTIFS($K$6:K93,K93,$L$6:L93,L93)=1,1,0),0))</f>
        <v>1</v>
      </c>
      <c r="Q93">
        <f>IF(A93="","",IF(AND(K93&lt;&gt;"",M93&lt;&gt;""),IF(COUNTIFS($K$6:K93,K93,$M$6:M93,M93)=1,1,0),0))</f>
        <v>1</v>
      </c>
      <c r="R93">
        <f>IF(A93="","",IF(M93&lt;&gt;"",IF(COUNTIF($M$6:M93,M93)=1,1,0),0))</f>
        <v>1</v>
      </c>
      <c r="T93" t="str">
        <f>IF(AND($M93&lt;&gt;"",$M93='Mapa do Galpão'!$C$20),COUNTIF($M$6:$M93,'Mapa do Galpão'!$C$20),"")</f>
        <v/>
      </c>
    </row>
    <row r="94" spans="1:20" ht="14.25" hidden="1" customHeight="1" x14ac:dyDescent="0.3">
      <c r="A94" s="43" t="s">
        <v>800</v>
      </c>
      <c r="B94" s="44" t="s">
        <v>665</v>
      </c>
      <c r="C94" s="165" t="s">
        <v>131</v>
      </c>
      <c r="D94" s="45" t="str">
        <f t="shared" si="2"/>
        <v>Masculino</v>
      </c>
      <c r="E94" s="43" t="s">
        <v>666</v>
      </c>
      <c r="F94" s="43" t="s">
        <v>797</v>
      </c>
      <c r="G94" s="43" t="s">
        <v>798</v>
      </c>
      <c r="H94" s="43" t="s">
        <v>680</v>
      </c>
      <c r="I94" s="46">
        <f>SUMIFS(Movimentações!$F$6:$F$4998,Movimentações!$C$6:$C$4998,A94,Movimentações!$M$6:$M$4998,M94)</f>
        <v>6</v>
      </c>
      <c r="J94" s="43" t="s">
        <v>670</v>
      </c>
      <c r="K94" s="43" t="s">
        <v>671</v>
      </c>
      <c r="L94" s="47">
        <v>11</v>
      </c>
      <c r="M94" s="43" t="s">
        <v>799</v>
      </c>
      <c r="N94" s="43" t="str">
        <f t="shared" si="3"/>
        <v>Rua A · Prat 11 · C-23</v>
      </c>
      <c r="P94">
        <f>IF(A94="","",IF(AND(K94&lt;&gt;"",L94&lt;&gt;""),IF(COUNTIFS($K$6:K94,K94,$L$6:L94,L94)=1,1,0),0))</f>
        <v>0</v>
      </c>
      <c r="Q94">
        <f>IF(A94="","",IF(AND(K94&lt;&gt;"",M94&lt;&gt;""),IF(COUNTIFS($K$6:K94,K94,$M$6:M94,M94)=1,1,0),0))</f>
        <v>0</v>
      </c>
      <c r="R94">
        <f>IF(A94="","",IF(M94&lt;&gt;"",IF(COUNTIF($M$6:M94,M94)=1,1,0),0))</f>
        <v>0</v>
      </c>
      <c r="T94" t="str">
        <f>IF(AND($M94&lt;&gt;"",$M94='Mapa do Galpão'!$C$20),COUNTIF($M$6:$M94,'Mapa do Galpão'!$C$20),"")</f>
        <v/>
      </c>
    </row>
    <row r="95" spans="1:20" ht="14.25" hidden="1" customHeight="1" x14ac:dyDescent="0.3">
      <c r="A95" s="43" t="s">
        <v>800</v>
      </c>
      <c r="B95" s="44" t="s">
        <v>665</v>
      </c>
      <c r="C95" s="165" t="s">
        <v>131</v>
      </c>
      <c r="D95" s="45" t="str">
        <f t="shared" si="2"/>
        <v>Masculino</v>
      </c>
      <c r="E95" s="43" t="s">
        <v>666</v>
      </c>
      <c r="F95" s="43" t="s">
        <v>797</v>
      </c>
      <c r="G95" s="43" t="s">
        <v>798</v>
      </c>
      <c r="H95" s="43" t="s">
        <v>680</v>
      </c>
      <c r="I95" s="46">
        <f>SUMIFS(Movimentações!$F$6:$F$4998,Movimentações!$C$6:$C$4998,A95,Movimentações!$M$6:$M$4998,M95)</f>
        <v>4</v>
      </c>
      <c r="J95" s="43" t="s">
        <v>670</v>
      </c>
      <c r="K95" s="43" t="s">
        <v>671</v>
      </c>
      <c r="L95" s="47">
        <v>11</v>
      </c>
      <c r="M95" s="43" t="s">
        <v>801</v>
      </c>
      <c r="N95" s="43" t="str">
        <f t="shared" si="3"/>
        <v>Rua A · Prat 11 · C-24</v>
      </c>
      <c r="P95">
        <f>IF(A95="","",IF(AND(K95&lt;&gt;"",L95&lt;&gt;""),IF(COUNTIFS($K$6:K95,K95,$L$6:L95,L95)=1,1,0),0))</f>
        <v>0</v>
      </c>
      <c r="Q95">
        <f>IF(A95="","",IF(AND(K95&lt;&gt;"",M95&lt;&gt;""),IF(COUNTIFS($K$6:K95,K95,$M$6:M95,M95)=1,1,0),0))</f>
        <v>1</v>
      </c>
      <c r="R95">
        <f>IF(A95="","",IF(M95&lt;&gt;"",IF(COUNTIF($M$6:M95,M95)=1,1,0),0))</f>
        <v>1</v>
      </c>
      <c r="T95" t="str">
        <f>IF(AND($M95&lt;&gt;"",$M95='Mapa do Galpão'!$C$20),COUNTIF($M$6:$M95,'Mapa do Galpão'!$C$20),"")</f>
        <v/>
      </c>
    </row>
    <row r="96" spans="1:20" ht="14.25" hidden="1" customHeight="1" x14ac:dyDescent="0.3">
      <c r="A96" s="43" t="s">
        <v>802</v>
      </c>
      <c r="B96" s="44" t="s">
        <v>665</v>
      </c>
      <c r="C96" s="165" t="s">
        <v>132</v>
      </c>
      <c r="D96" s="45" t="str">
        <f t="shared" si="2"/>
        <v>Masculino</v>
      </c>
      <c r="E96" s="43" t="s">
        <v>666</v>
      </c>
      <c r="F96" s="43" t="s">
        <v>797</v>
      </c>
      <c r="G96" s="43" t="s">
        <v>798</v>
      </c>
      <c r="H96" s="43" t="s">
        <v>675</v>
      </c>
      <c r="I96" s="46">
        <f>SUMIFS(Movimentações!$F$6:$F$4998,Movimentações!$C$6:$C$4998,A96,Movimentações!$M$6:$M$4998,M96)</f>
        <v>20</v>
      </c>
      <c r="J96" s="43" t="s">
        <v>670</v>
      </c>
      <c r="K96" s="43" t="s">
        <v>671</v>
      </c>
      <c r="L96" s="47">
        <v>11</v>
      </c>
      <c r="M96" s="43" t="s">
        <v>799</v>
      </c>
      <c r="N96" s="43" t="str">
        <f t="shared" si="3"/>
        <v>Rua A · Prat 11 · C-23</v>
      </c>
      <c r="P96">
        <f>IF(A96="","",IF(AND(K96&lt;&gt;"",L96&lt;&gt;""),IF(COUNTIFS($K$6:K96,K96,$L$6:L96,L96)=1,1,0),0))</f>
        <v>0</v>
      </c>
      <c r="Q96">
        <f>IF(A96="","",IF(AND(K96&lt;&gt;"",M96&lt;&gt;""),IF(COUNTIFS($K$6:K96,K96,$M$6:M96,M96)=1,1,0),0))</f>
        <v>0</v>
      </c>
      <c r="R96">
        <f>IF(A96="","",IF(M96&lt;&gt;"",IF(COUNTIF($M$6:M96,M96)=1,1,0),0))</f>
        <v>0</v>
      </c>
      <c r="T96" t="str">
        <f>IF(AND($M96&lt;&gt;"",$M96='Mapa do Galpão'!$C$20),COUNTIF($M$6:$M96,'Mapa do Galpão'!$C$20),"")</f>
        <v/>
      </c>
    </row>
    <row r="97" spans="1:20" ht="14.25" hidden="1" customHeight="1" x14ac:dyDescent="0.3">
      <c r="A97" s="43" t="s">
        <v>802</v>
      </c>
      <c r="B97" s="44" t="s">
        <v>665</v>
      </c>
      <c r="C97" s="165" t="s">
        <v>132</v>
      </c>
      <c r="D97" s="45" t="str">
        <f t="shared" si="2"/>
        <v>Masculino</v>
      </c>
      <c r="E97" s="43" t="s">
        <v>666</v>
      </c>
      <c r="F97" s="43" t="s">
        <v>797</v>
      </c>
      <c r="G97" s="43" t="s">
        <v>798</v>
      </c>
      <c r="H97" s="43" t="s">
        <v>675</v>
      </c>
      <c r="I97" s="46">
        <f>SUMIFS(Movimentações!$F$6:$F$4998,Movimentações!$C$6:$C$4998,A97,Movimentações!$M$6:$M$4998,M97)</f>
        <v>5</v>
      </c>
      <c r="J97" s="43" t="s">
        <v>670</v>
      </c>
      <c r="K97" s="43" t="s">
        <v>671</v>
      </c>
      <c r="L97" s="47">
        <v>11</v>
      </c>
      <c r="M97" s="43" t="s">
        <v>801</v>
      </c>
      <c r="N97" s="43" t="str">
        <f t="shared" si="3"/>
        <v>Rua A · Prat 11 · C-24</v>
      </c>
      <c r="P97">
        <f>IF(A97="","",IF(AND(K97&lt;&gt;"",L97&lt;&gt;""),IF(COUNTIFS($K$6:K97,K97,$L$6:L97,L97)=1,1,0),0))</f>
        <v>0</v>
      </c>
      <c r="Q97">
        <f>IF(A97="","",IF(AND(K97&lt;&gt;"",M97&lt;&gt;""),IF(COUNTIFS($K$6:K97,K97,$M$6:M97,M97)=1,1,0),0))</f>
        <v>0</v>
      </c>
      <c r="R97">
        <f>IF(A97="","",IF(M97&lt;&gt;"",IF(COUNTIF($M$6:M97,M97)=1,1,0),0))</f>
        <v>0</v>
      </c>
      <c r="T97" t="str">
        <f>IF(AND($M97&lt;&gt;"",$M97='Mapa do Galpão'!$C$20),COUNTIF($M$6:$M97,'Mapa do Galpão'!$C$20),"")</f>
        <v/>
      </c>
    </row>
    <row r="98" spans="1:20" ht="14.25" hidden="1" customHeight="1" x14ac:dyDescent="0.3">
      <c r="A98" s="43" t="s">
        <v>803</v>
      </c>
      <c r="B98" s="44" t="s">
        <v>665</v>
      </c>
      <c r="C98" s="165" t="s">
        <v>133</v>
      </c>
      <c r="D98" s="45" t="str">
        <f t="shared" si="2"/>
        <v>Masculino</v>
      </c>
      <c r="E98" s="43" t="s">
        <v>666</v>
      </c>
      <c r="F98" s="43" t="s">
        <v>797</v>
      </c>
      <c r="G98" s="43" t="s">
        <v>798</v>
      </c>
      <c r="H98" s="43" t="s">
        <v>669</v>
      </c>
      <c r="I98" s="46">
        <f>SUMIFS(Movimentações!$F$6:$F$4998,Movimentações!$C$6:$C$4998,A98,Movimentações!$M$6:$M$4998,M98)</f>
        <v>9</v>
      </c>
      <c r="J98" s="43" t="s">
        <v>670</v>
      </c>
      <c r="K98" s="43" t="s">
        <v>671</v>
      </c>
      <c r="L98" s="47">
        <v>11</v>
      </c>
      <c r="M98" s="43" t="s">
        <v>799</v>
      </c>
      <c r="N98" s="43" t="str">
        <f t="shared" si="3"/>
        <v>Rua A · Prat 11 · C-23</v>
      </c>
      <c r="P98">
        <f>IF(A98="","",IF(AND(K98&lt;&gt;"",L98&lt;&gt;""),IF(COUNTIFS($K$6:K98,K98,$L$6:L98,L98)=1,1,0),0))</f>
        <v>0</v>
      </c>
      <c r="Q98">
        <f>IF(A98="","",IF(AND(K98&lt;&gt;"",M98&lt;&gt;""),IF(COUNTIFS($K$6:K98,K98,$M$6:M98,M98)=1,1,0),0))</f>
        <v>0</v>
      </c>
      <c r="R98">
        <f>IF(A98="","",IF(M98&lt;&gt;"",IF(COUNTIF($M$6:M98,M98)=1,1,0),0))</f>
        <v>0</v>
      </c>
      <c r="T98" t="str">
        <f>IF(AND($M98&lt;&gt;"",$M98='Mapa do Galpão'!$C$20),COUNTIF($M$6:$M98,'Mapa do Galpão'!$C$20),"")</f>
        <v/>
      </c>
    </row>
    <row r="99" spans="1:20" ht="14.25" hidden="1" customHeight="1" x14ac:dyDescent="0.3">
      <c r="A99" s="43" t="s">
        <v>803</v>
      </c>
      <c r="B99" s="44" t="s">
        <v>665</v>
      </c>
      <c r="C99" s="165" t="s">
        <v>133</v>
      </c>
      <c r="D99" s="45" t="str">
        <f t="shared" si="2"/>
        <v>Masculino</v>
      </c>
      <c r="E99" s="43" t="s">
        <v>666</v>
      </c>
      <c r="F99" s="43" t="s">
        <v>797</v>
      </c>
      <c r="G99" s="43" t="s">
        <v>798</v>
      </c>
      <c r="H99" s="43" t="s">
        <v>669</v>
      </c>
      <c r="I99" s="46">
        <f>SUMIFS(Movimentações!$F$6:$F$4998,Movimentações!$C$6:$C$4998,A99,Movimentações!$M$6:$M$4998,M99)</f>
        <v>9</v>
      </c>
      <c r="J99" s="43" t="s">
        <v>670</v>
      </c>
      <c r="K99" s="43" t="s">
        <v>671</v>
      </c>
      <c r="L99" s="47">
        <v>11</v>
      </c>
      <c r="M99" s="43" t="s">
        <v>801</v>
      </c>
      <c r="N99" s="43" t="str">
        <f t="shared" si="3"/>
        <v>Rua A · Prat 11 · C-24</v>
      </c>
      <c r="P99">
        <f>IF(A99="","",IF(AND(K99&lt;&gt;"",L99&lt;&gt;""),IF(COUNTIFS($K$6:K99,K99,$L$6:L99,L99)=1,1,0),0))</f>
        <v>0</v>
      </c>
      <c r="Q99">
        <f>IF(A99="","",IF(AND(K99&lt;&gt;"",M99&lt;&gt;""),IF(COUNTIFS($K$6:K99,K99,$M$6:M99,M99)=1,1,0),0))</f>
        <v>0</v>
      </c>
      <c r="R99">
        <f>IF(A99="","",IF(M99&lt;&gt;"",IF(COUNTIF($M$6:M99,M99)=1,1,0),0))</f>
        <v>0</v>
      </c>
      <c r="T99" t="str">
        <f>IF(AND($M99&lt;&gt;"",$M99='Mapa do Galpão'!$C$20),COUNTIF($M$6:$M99,'Mapa do Galpão'!$C$20),"")</f>
        <v/>
      </c>
    </row>
    <row r="100" spans="1:20" ht="14.25" hidden="1" customHeight="1" x14ac:dyDescent="0.3">
      <c r="A100" s="43" t="s">
        <v>804</v>
      </c>
      <c r="B100" s="44" t="s">
        <v>665</v>
      </c>
      <c r="C100" s="165" t="s">
        <v>134</v>
      </c>
      <c r="D100" s="45" t="str">
        <f t="shared" si="2"/>
        <v>Masculino</v>
      </c>
      <c r="E100" s="43" t="s">
        <v>666</v>
      </c>
      <c r="F100" s="43" t="s">
        <v>797</v>
      </c>
      <c r="G100" s="43" t="s">
        <v>798</v>
      </c>
      <c r="H100" s="43" t="s">
        <v>682</v>
      </c>
      <c r="I100" s="46">
        <f>SUMIFS(Movimentações!$F$6:$F$4998,Movimentações!$C$6:$C$4998,A100,Movimentações!$M$6:$M$4998,M100)</f>
        <v>0</v>
      </c>
      <c r="J100" s="43" t="s">
        <v>670</v>
      </c>
      <c r="K100" s="43" t="s">
        <v>671</v>
      </c>
      <c r="L100" s="47">
        <v>11</v>
      </c>
      <c r="M100" s="43" t="s">
        <v>799</v>
      </c>
      <c r="N100" s="43" t="str">
        <f t="shared" si="3"/>
        <v>Rua A · Prat 11 · C-23</v>
      </c>
      <c r="P100">
        <f>IF(A100="","",IF(AND(K100&lt;&gt;"",L100&lt;&gt;""),IF(COUNTIFS($K$6:K100,K100,$L$6:L100,L100)=1,1,0),0))</f>
        <v>0</v>
      </c>
      <c r="Q100">
        <f>IF(A100="","",IF(AND(K100&lt;&gt;"",M100&lt;&gt;""),IF(COUNTIFS($K$6:K100,K100,$M$6:M100,M100)=1,1,0),0))</f>
        <v>0</v>
      </c>
      <c r="R100">
        <f>IF(A100="","",IF(M100&lt;&gt;"",IF(COUNTIF($M$6:M100,M100)=1,1,0),0))</f>
        <v>0</v>
      </c>
      <c r="T100" t="str">
        <f>IF(AND($M100&lt;&gt;"",$M100='Mapa do Galpão'!$C$20),COUNTIF($M$6:$M100,'Mapa do Galpão'!$C$20),"")</f>
        <v/>
      </c>
    </row>
    <row r="101" spans="1:20" ht="14.25" hidden="1" customHeight="1" x14ac:dyDescent="0.3">
      <c r="A101" s="43" t="s">
        <v>804</v>
      </c>
      <c r="B101" s="44" t="s">
        <v>665</v>
      </c>
      <c r="C101" s="165" t="s">
        <v>134</v>
      </c>
      <c r="D101" s="45" t="str">
        <f t="shared" si="2"/>
        <v>Masculino</v>
      </c>
      <c r="E101" s="43" t="s">
        <v>666</v>
      </c>
      <c r="F101" s="43" t="s">
        <v>797</v>
      </c>
      <c r="G101" s="43" t="s">
        <v>798</v>
      </c>
      <c r="H101" s="43" t="s">
        <v>682</v>
      </c>
      <c r="I101" s="46">
        <f>SUMIFS(Movimentações!$F$6:$F$4998,Movimentações!$C$6:$C$4998,A101,Movimentações!$M$6:$M$4998,M101)</f>
        <v>0</v>
      </c>
      <c r="J101" s="43" t="s">
        <v>670</v>
      </c>
      <c r="K101" s="43" t="s">
        <v>671</v>
      </c>
      <c r="L101" s="47">
        <v>11</v>
      </c>
      <c r="M101" s="43" t="s">
        <v>801</v>
      </c>
      <c r="N101" s="43" t="str">
        <f t="shared" si="3"/>
        <v>Rua A · Prat 11 · C-24</v>
      </c>
      <c r="P101">
        <f>IF(A101="","",IF(AND(K101&lt;&gt;"",L101&lt;&gt;""),IF(COUNTIFS($K$6:K101,K101,$L$6:L101,L101)=1,1,0),0))</f>
        <v>0</v>
      </c>
      <c r="Q101">
        <f>IF(A101="","",IF(AND(K101&lt;&gt;"",M101&lt;&gt;""),IF(COUNTIFS($K$6:K101,K101,$M$6:M101,M101)=1,1,0),0))</f>
        <v>0</v>
      </c>
      <c r="R101">
        <f>IF(A101="","",IF(M101&lt;&gt;"",IF(COUNTIF($M$6:M101,M101)=1,1,0),0))</f>
        <v>0</v>
      </c>
      <c r="T101" t="str">
        <f>IF(AND($M101&lt;&gt;"",$M101='Mapa do Galpão'!$C$20),COUNTIF($M$6:$M101,'Mapa do Galpão'!$C$20),"")</f>
        <v/>
      </c>
    </row>
    <row r="102" spans="1:20" ht="14.25" hidden="1" customHeight="1" x14ac:dyDescent="0.3">
      <c r="A102" s="43" t="s">
        <v>805</v>
      </c>
      <c r="B102" s="44" t="s">
        <v>665</v>
      </c>
      <c r="C102" s="165" t="s">
        <v>135</v>
      </c>
      <c r="D102" s="45" t="str">
        <f t="shared" si="2"/>
        <v>Masculino</v>
      </c>
      <c r="E102" s="43" t="s">
        <v>666</v>
      </c>
      <c r="F102" s="43" t="s">
        <v>797</v>
      </c>
      <c r="G102" s="43" t="s">
        <v>798</v>
      </c>
      <c r="H102" s="43" t="s">
        <v>677</v>
      </c>
      <c r="I102" s="46">
        <f>SUMIFS(Movimentações!$F$6:$F$4998,Movimentações!$C$6:$C$4998,A102,Movimentações!$M$6:$M$4998,M102)</f>
        <v>0</v>
      </c>
      <c r="J102" s="43" t="s">
        <v>670</v>
      </c>
      <c r="K102" s="43" t="s">
        <v>671</v>
      </c>
      <c r="L102" s="47">
        <v>11</v>
      </c>
      <c r="M102" s="43" t="s">
        <v>799</v>
      </c>
      <c r="N102" s="43" t="str">
        <f t="shared" si="3"/>
        <v>Rua A · Prat 11 · C-23</v>
      </c>
      <c r="P102">
        <f>IF(A102="","",IF(AND(K102&lt;&gt;"",L102&lt;&gt;""),IF(COUNTIFS($K$6:K102,K102,$L$6:L102,L102)=1,1,0),0))</f>
        <v>0</v>
      </c>
      <c r="Q102">
        <f>IF(A102="","",IF(AND(K102&lt;&gt;"",M102&lt;&gt;""),IF(COUNTIFS($K$6:K102,K102,$M$6:M102,M102)=1,1,0),0))</f>
        <v>0</v>
      </c>
      <c r="R102">
        <f>IF(A102="","",IF(M102&lt;&gt;"",IF(COUNTIF($M$6:M102,M102)=1,1,0),0))</f>
        <v>0</v>
      </c>
      <c r="T102" t="str">
        <f>IF(AND($M102&lt;&gt;"",$M102='Mapa do Galpão'!$C$20),COUNTIF($M$6:$M102,'Mapa do Galpão'!$C$20),"")</f>
        <v/>
      </c>
    </row>
    <row r="103" spans="1:20" ht="14.25" hidden="1" customHeight="1" x14ac:dyDescent="0.3">
      <c r="A103" s="43" t="s">
        <v>805</v>
      </c>
      <c r="B103" s="44" t="s">
        <v>665</v>
      </c>
      <c r="C103" s="165" t="s">
        <v>135</v>
      </c>
      <c r="D103" s="45" t="str">
        <f t="shared" si="2"/>
        <v>Masculino</v>
      </c>
      <c r="E103" s="43" t="s">
        <v>666</v>
      </c>
      <c r="F103" s="43" t="s">
        <v>797</v>
      </c>
      <c r="G103" s="43" t="s">
        <v>798</v>
      </c>
      <c r="H103" s="43" t="s">
        <v>677</v>
      </c>
      <c r="I103" s="46">
        <f>SUMIFS(Movimentações!$F$6:$F$4998,Movimentações!$C$6:$C$4998,A103,Movimentações!$M$6:$M$4998,M103)</f>
        <v>0</v>
      </c>
      <c r="J103" s="43" t="s">
        <v>670</v>
      </c>
      <c r="K103" s="43" t="s">
        <v>671</v>
      </c>
      <c r="L103" s="47">
        <v>11</v>
      </c>
      <c r="M103" s="43" t="s">
        <v>801</v>
      </c>
      <c r="N103" s="43" t="str">
        <f t="shared" si="3"/>
        <v>Rua A · Prat 11 · C-24</v>
      </c>
      <c r="P103">
        <f>IF(A103="","",IF(AND(K103&lt;&gt;"",L103&lt;&gt;""),IF(COUNTIFS($K$6:K103,K103,$L$6:L103,L103)=1,1,0),0))</f>
        <v>0</v>
      </c>
      <c r="Q103">
        <f>IF(A103="","",IF(AND(K103&lt;&gt;"",M103&lt;&gt;""),IF(COUNTIFS($K$6:K103,K103,$M$6:M103,M103)=1,1,0),0))</f>
        <v>0</v>
      </c>
      <c r="R103">
        <f>IF(A103="","",IF(M103&lt;&gt;"",IF(COUNTIF($M$6:M103,M103)=1,1,0),0))</f>
        <v>0</v>
      </c>
      <c r="T103" t="str">
        <f>IF(AND($M103&lt;&gt;"",$M103='Mapa do Galpão'!$C$20),COUNTIF($M$6:$M103,'Mapa do Galpão'!$C$20),"")</f>
        <v/>
      </c>
    </row>
    <row r="104" spans="1:20" ht="14.25" hidden="1" customHeight="1" x14ac:dyDescent="0.3">
      <c r="A104" s="43" t="s">
        <v>806</v>
      </c>
      <c r="B104" s="44" t="s">
        <v>665</v>
      </c>
      <c r="C104" s="165" t="s">
        <v>136</v>
      </c>
      <c r="D104" s="45" t="str">
        <f t="shared" si="2"/>
        <v>Masculino</v>
      </c>
      <c r="E104" s="43" t="s">
        <v>666</v>
      </c>
      <c r="F104" s="43" t="s">
        <v>788</v>
      </c>
      <c r="G104" s="43" t="s">
        <v>798</v>
      </c>
      <c r="H104" s="43" t="s">
        <v>756</v>
      </c>
      <c r="I104" s="46">
        <f>SUMIFS(Movimentações!$F$6:$F$4998,Movimentações!$C$6:$C$4998,A104,Movimentações!$M$6:$M$4998,M104)</f>
        <v>0</v>
      </c>
      <c r="J104" s="43" t="s">
        <v>670</v>
      </c>
      <c r="K104" s="43" t="s">
        <v>671</v>
      </c>
      <c r="L104" s="47" t="s">
        <v>807</v>
      </c>
      <c r="M104" s="43" t="s">
        <v>808</v>
      </c>
      <c r="N104" s="43" t="str">
        <f t="shared" si="3"/>
        <v>Rua A · Prat 9 · C-25</v>
      </c>
      <c r="P104">
        <f>IF(A104="","",IF(AND(K104&lt;&gt;"",L104&lt;&gt;""),IF(COUNTIFS($K$6:K104,K104,$L$6:L104,L104)=1,1,0),0))</f>
        <v>1</v>
      </c>
      <c r="Q104">
        <f>IF(A104="","",IF(AND(K104&lt;&gt;"",M104&lt;&gt;""),IF(COUNTIFS($K$6:K104,K104,$M$6:M104,M104)=1,1,0),0))</f>
        <v>1</v>
      </c>
      <c r="R104">
        <f>IF(A104="","",IF(M104&lt;&gt;"",IF(COUNTIF($M$6:M104,M104)=1,1,0),0))</f>
        <v>1</v>
      </c>
      <c r="T104" t="str">
        <f>IF(AND($M104&lt;&gt;"",$M104='Mapa do Galpão'!$C$20),COUNTIF($M$6:$M104,'Mapa do Galpão'!$C$20),"")</f>
        <v/>
      </c>
    </row>
    <row r="105" spans="1:20" ht="14.25" hidden="1" customHeight="1" x14ac:dyDescent="0.3">
      <c r="A105" s="43" t="s">
        <v>809</v>
      </c>
      <c r="B105" s="44" t="s">
        <v>665</v>
      </c>
      <c r="C105" s="165" t="s">
        <v>137</v>
      </c>
      <c r="D105" s="45" t="str">
        <f t="shared" si="2"/>
        <v>Masculino</v>
      </c>
      <c r="E105" s="43" t="s">
        <v>666</v>
      </c>
      <c r="F105" s="43" t="s">
        <v>788</v>
      </c>
      <c r="G105" s="43" t="s">
        <v>798</v>
      </c>
      <c r="H105" s="43" t="s">
        <v>680</v>
      </c>
      <c r="I105" s="46">
        <f>SUMIFS(Movimentações!$F$6:$F$4998,Movimentações!$C$6:$C$4998,A105,Movimentações!$M$6:$M$4998,M105)</f>
        <v>0</v>
      </c>
      <c r="J105" s="43" t="s">
        <v>670</v>
      </c>
      <c r="K105" s="43" t="s">
        <v>671</v>
      </c>
      <c r="L105" s="47" t="s">
        <v>807</v>
      </c>
      <c r="M105" s="43" t="s">
        <v>808</v>
      </c>
      <c r="N105" s="43" t="str">
        <f t="shared" si="3"/>
        <v>Rua A · Prat 9 · C-25</v>
      </c>
      <c r="P105">
        <f>IF(A105="","",IF(AND(K105&lt;&gt;"",L105&lt;&gt;""),IF(COUNTIFS($K$6:K105,K105,$L$6:L105,L105)=1,1,0),0))</f>
        <v>0</v>
      </c>
      <c r="Q105">
        <f>IF(A105="","",IF(AND(K105&lt;&gt;"",M105&lt;&gt;""),IF(COUNTIFS($K$6:K105,K105,$M$6:M105,M105)=1,1,0),0))</f>
        <v>0</v>
      </c>
      <c r="R105">
        <f>IF(A105="","",IF(M105&lt;&gt;"",IF(COUNTIF($M$6:M105,M105)=1,1,0),0))</f>
        <v>0</v>
      </c>
      <c r="T105" t="str">
        <f>IF(AND($M105&lt;&gt;"",$M105='Mapa do Galpão'!$C$20),COUNTIF($M$6:$M105,'Mapa do Galpão'!$C$20),"")</f>
        <v/>
      </c>
    </row>
    <row r="106" spans="1:20" ht="14.25" hidden="1" customHeight="1" x14ac:dyDescent="0.3">
      <c r="A106" s="43" t="s">
        <v>810</v>
      </c>
      <c r="B106" s="44" t="s">
        <v>665</v>
      </c>
      <c r="C106" s="165" t="s">
        <v>138</v>
      </c>
      <c r="D106" s="45" t="str">
        <f t="shared" si="2"/>
        <v>Masculino</v>
      </c>
      <c r="E106" s="43" t="s">
        <v>666</v>
      </c>
      <c r="F106" s="43" t="s">
        <v>788</v>
      </c>
      <c r="G106" s="43" t="s">
        <v>798</v>
      </c>
      <c r="H106" s="43" t="s">
        <v>675</v>
      </c>
      <c r="I106" s="46">
        <f>SUMIFS(Movimentações!$F$6:$F$4998,Movimentações!$C$6:$C$4998,A106,Movimentações!$M$6:$M$4998,M106)</f>
        <v>0</v>
      </c>
      <c r="J106" s="43" t="s">
        <v>670</v>
      </c>
      <c r="K106" s="43" t="s">
        <v>671</v>
      </c>
      <c r="L106" s="47" t="s">
        <v>807</v>
      </c>
      <c r="M106" s="43" t="s">
        <v>808</v>
      </c>
      <c r="N106" s="43" t="str">
        <f t="shared" si="3"/>
        <v>Rua A · Prat 9 · C-25</v>
      </c>
      <c r="P106">
        <f>IF(A106="","",IF(AND(K106&lt;&gt;"",L106&lt;&gt;""),IF(COUNTIFS($K$6:K106,K106,$L$6:L106,L106)=1,1,0),0))</f>
        <v>0</v>
      </c>
      <c r="Q106">
        <f>IF(A106="","",IF(AND(K106&lt;&gt;"",M106&lt;&gt;""),IF(COUNTIFS($K$6:K106,K106,$M$6:M106,M106)=1,1,0),0))</f>
        <v>0</v>
      </c>
      <c r="R106">
        <f>IF(A106="","",IF(M106&lt;&gt;"",IF(COUNTIF($M$6:M106,M106)=1,1,0),0))</f>
        <v>0</v>
      </c>
      <c r="T106" t="str">
        <f>IF(AND($M106&lt;&gt;"",$M106='Mapa do Galpão'!$C$20),COUNTIF($M$6:$M106,'Mapa do Galpão'!$C$20),"")</f>
        <v/>
      </c>
    </row>
    <row r="107" spans="1:20" ht="14.25" hidden="1" customHeight="1" x14ac:dyDescent="0.3">
      <c r="A107" s="43" t="s">
        <v>811</v>
      </c>
      <c r="B107" s="44" t="s">
        <v>665</v>
      </c>
      <c r="C107" s="165" t="s">
        <v>139</v>
      </c>
      <c r="D107" s="45" t="str">
        <f t="shared" si="2"/>
        <v>Masculino</v>
      </c>
      <c r="E107" s="43" t="s">
        <v>666</v>
      </c>
      <c r="F107" s="43" t="s">
        <v>788</v>
      </c>
      <c r="G107" s="43" t="s">
        <v>798</v>
      </c>
      <c r="H107" s="43" t="s">
        <v>669</v>
      </c>
      <c r="I107" s="46">
        <f>SUMIFS(Movimentações!$F$6:$F$4998,Movimentações!$C$6:$C$4998,A107,Movimentações!$M$6:$M$4998,M107)</f>
        <v>0</v>
      </c>
      <c r="J107" s="43" t="s">
        <v>670</v>
      </c>
      <c r="K107" s="43" t="s">
        <v>671</v>
      </c>
      <c r="L107" s="47" t="s">
        <v>807</v>
      </c>
      <c r="M107" s="43" t="s">
        <v>808</v>
      </c>
      <c r="N107" s="43" t="str">
        <f t="shared" si="3"/>
        <v>Rua A · Prat 9 · C-25</v>
      </c>
      <c r="P107">
        <f>IF(A107="","",IF(AND(K107&lt;&gt;"",L107&lt;&gt;""),IF(COUNTIFS($K$6:K107,K107,$L$6:L107,L107)=1,1,0),0))</f>
        <v>0</v>
      </c>
      <c r="Q107">
        <f>IF(A107="","",IF(AND(K107&lt;&gt;"",M107&lt;&gt;""),IF(COUNTIFS($K$6:K107,K107,$M$6:M107,M107)=1,1,0),0))</f>
        <v>0</v>
      </c>
      <c r="R107">
        <f>IF(A107="","",IF(M107&lt;&gt;"",IF(COUNTIF($M$6:M107,M107)=1,1,0),0))</f>
        <v>0</v>
      </c>
      <c r="T107" t="str">
        <f>IF(AND($M107&lt;&gt;"",$M107='Mapa do Galpão'!$C$20),COUNTIF($M$6:$M107,'Mapa do Galpão'!$C$20),"")</f>
        <v/>
      </c>
    </row>
    <row r="108" spans="1:20" ht="14.25" hidden="1" customHeight="1" x14ac:dyDescent="0.3">
      <c r="A108" s="43" t="s">
        <v>812</v>
      </c>
      <c r="B108" s="44" t="s">
        <v>665</v>
      </c>
      <c r="C108" s="165" t="s">
        <v>140</v>
      </c>
      <c r="D108" s="45" t="str">
        <f t="shared" si="2"/>
        <v>Masculino</v>
      </c>
      <c r="E108" s="43" t="s">
        <v>666</v>
      </c>
      <c r="F108" s="43" t="s">
        <v>788</v>
      </c>
      <c r="G108" s="43" t="s">
        <v>798</v>
      </c>
      <c r="H108" s="43" t="s">
        <v>682</v>
      </c>
      <c r="I108" s="46">
        <f>SUMIFS(Movimentações!$F$6:$F$4998,Movimentações!$C$6:$C$4998,A108,Movimentações!$M$6:$M$4998,M108)</f>
        <v>0</v>
      </c>
      <c r="J108" s="43" t="s">
        <v>670</v>
      </c>
      <c r="K108" s="43" t="s">
        <v>671</v>
      </c>
      <c r="L108" s="47" t="s">
        <v>807</v>
      </c>
      <c r="M108" s="43" t="s">
        <v>808</v>
      </c>
      <c r="N108" s="43" t="str">
        <f t="shared" si="3"/>
        <v>Rua A · Prat 9 · C-25</v>
      </c>
      <c r="P108">
        <f>IF(A108="","",IF(AND(K108&lt;&gt;"",L108&lt;&gt;""),IF(COUNTIFS($K$6:K108,K108,$L$6:L108,L108)=1,1,0),0))</f>
        <v>0</v>
      </c>
      <c r="Q108">
        <f>IF(A108="","",IF(AND(K108&lt;&gt;"",M108&lt;&gt;""),IF(COUNTIFS($K$6:K108,K108,$M$6:M108,M108)=1,1,0),0))</f>
        <v>0</v>
      </c>
      <c r="R108">
        <f>IF(A108="","",IF(M108&lt;&gt;"",IF(COUNTIF($M$6:M108,M108)=1,1,0),0))</f>
        <v>0</v>
      </c>
      <c r="T108" t="str">
        <f>IF(AND($M108&lt;&gt;"",$M108='Mapa do Galpão'!$C$20),COUNTIF($M$6:$M108,'Mapa do Galpão'!$C$20),"")</f>
        <v/>
      </c>
    </row>
    <row r="109" spans="1:20" ht="14.25" hidden="1" customHeight="1" x14ac:dyDescent="0.3">
      <c r="A109" s="43" t="s">
        <v>813</v>
      </c>
      <c r="B109" s="44" t="s">
        <v>665</v>
      </c>
      <c r="C109" s="165" t="s">
        <v>141</v>
      </c>
      <c r="D109" s="45" t="str">
        <f t="shared" si="2"/>
        <v>Masculino</v>
      </c>
      <c r="E109" s="43" t="s">
        <v>666</v>
      </c>
      <c r="F109" s="43" t="s">
        <v>788</v>
      </c>
      <c r="G109" s="43" t="s">
        <v>798</v>
      </c>
      <c r="H109" s="43" t="s">
        <v>677</v>
      </c>
      <c r="I109" s="46">
        <f>SUMIFS(Movimentações!$F$6:$F$4998,Movimentações!$C$6:$C$4998,A109,Movimentações!$M$6:$M$4998,M109)</f>
        <v>0</v>
      </c>
      <c r="J109" s="43" t="s">
        <v>670</v>
      </c>
      <c r="K109" s="43" t="s">
        <v>671</v>
      </c>
      <c r="L109" s="47" t="s">
        <v>807</v>
      </c>
      <c r="M109" s="43" t="s">
        <v>808</v>
      </c>
      <c r="N109" s="43" t="str">
        <f t="shared" si="3"/>
        <v>Rua A · Prat 9 · C-25</v>
      </c>
      <c r="P109">
        <f>IF(A109="","",IF(AND(K109&lt;&gt;"",L109&lt;&gt;""),IF(COUNTIFS($K$6:K109,K109,$L$6:L109,L109)=1,1,0),0))</f>
        <v>0</v>
      </c>
      <c r="Q109">
        <f>IF(A109="","",IF(AND(K109&lt;&gt;"",M109&lt;&gt;""),IF(COUNTIFS($K$6:K109,K109,$M$6:M109,M109)=1,1,0),0))</f>
        <v>0</v>
      </c>
      <c r="R109">
        <f>IF(A109="","",IF(M109&lt;&gt;"",IF(COUNTIF($M$6:M109,M109)=1,1,0),0))</f>
        <v>0</v>
      </c>
      <c r="T109" t="str">
        <f>IF(AND($M109&lt;&gt;"",$M109='Mapa do Galpão'!$C$20),COUNTIF($M$6:$M109,'Mapa do Galpão'!$C$20),"")</f>
        <v/>
      </c>
    </row>
    <row r="110" spans="1:20" ht="14.25" hidden="1" customHeight="1" x14ac:dyDescent="0.3">
      <c r="A110" s="43" t="s">
        <v>814</v>
      </c>
      <c r="B110" s="44" t="s">
        <v>665</v>
      </c>
      <c r="C110" s="165" t="s">
        <v>142</v>
      </c>
      <c r="D110" s="45" t="str">
        <f t="shared" si="2"/>
        <v>Masculino</v>
      </c>
      <c r="E110" s="43" t="s">
        <v>684</v>
      </c>
      <c r="F110" s="43" t="s">
        <v>685</v>
      </c>
      <c r="G110" s="43" t="s">
        <v>719</v>
      </c>
      <c r="H110" s="43" t="s">
        <v>680</v>
      </c>
      <c r="I110" s="46">
        <f>SUMIFS(Movimentações!$F$6:$F$4998,Movimentações!$C$6:$C$4998,A110,Movimentações!$M$6:$M$4998,M110)</f>
        <v>0</v>
      </c>
      <c r="J110" s="43" t="s">
        <v>670</v>
      </c>
      <c r="K110" s="43" t="s">
        <v>671</v>
      </c>
      <c r="L110" s="47" t="s">
        <v>807</v>
      </c>
      <c r="M110" s="43" t="s">
        <v>815</v>
      </c>
      <c r="N110" s="43" t="str">
        <f t="shared" si="3"/>
        <v>Rua A · Prat 9 · C-26</v>
      </c>
      <c r="P110">
        <f>IF(A110="","",IF(AND(K110&lt;&gt;"",L110&lt;&gt;""),IF(COUNTIFS($K$6:K110,K110,$L$6:L110,L110)=1,1,0),0))</f>
        <v>0</v>
      </c>
      <c r="Q110">
        <f>IF(A110="","",IF(AND(K110&lt;&gt;"",M110&lt;&gt;""),IF(COUNTIFS($K$6:K110,K110,$M$6:M110,M110)=1,1,0),0))</f>
        <v>1</v>
      </c>
      <c r="R110">
        <f>IF(A110="","",IF(M110&lt;&gt;"",IF(COUNTIF($M$6:M110,M110)=1,1,0),0))</f>
        <v>1</v>
      </c>
      <c r="T110" t="str">
        <f>IF(AND($M110&lt;&gt;"",$M110='Mapa do Galpão'!$C$20),COUNTIF($M$6:$M110,'Mapa do Galpão'!$C$20),"")</f>
        <v/>
      </c>
    </row>
    <row r="111" spans="1:20" ht="14.25" hidden="1" customHeight="1" x14ac:dyDescent="0.3">
      <c r="A111" s="43" t="s">
        <v>816</v>
      </c>
      <c r="B111" s="44" t="s">
        <v>665</v>
      </c>
      <c r="C111" s="165" t="s">
        <v>143</v>
      </c>
      <c r="D111" s="45" t="str">
        <f t="shared" si="2"/>
        <v>Masculino</v>
      </c>
      <c r="E111" s="43" t="s">
        <v>684</v>
      </c>
      <c r="F111" s="43" t="s">
        <v>685</v>
      </c>
      <c r="G111" s="43" t="s">
        <v>719</v>
      </c>
      <c r="H111" s="43" t="s">
        <v>675</v>
      </c>
      <c r="I111" s="46">
        <f>SUMIFS(Movimentações!$F$6:$F$4998,Movimentações!$C$6:$C$4998,A111,Movimentações!$M$6:$M$4998,M111)</f>
        <v>0</v>
      </c>
      <c r="J111" s="43" t="s">
        <v>670</v>
      </c>
      <c r="K111" s="43" t="s">
        <v>671</v>
      </c>
      <c r="L111" s="47" t="s">
        <v>807</v>
      </c>
      <c r="M111" s="43" t="s">
        <v>815</v>
      </c>
      <c r="N111" s="43" t="str">
        <f t="shared" si="3"/>
        <v>Rua A · Prat 9 · C-26</v>
      </c>
      <c r="P111">
        <f>IF(A111="","",IF(AND(K111&lt;&gt;"",L111&lt;&gt;""),IF(COUNTIFS($K$6:K111,K111,$L$6:L111,L111)=1,1,0),0))</f>
        <v>0</v>
      </c>
      <c r="Q111">
        <f>IF(A111="","",IF(AND(K111&lt;&gt;"",M111&lt;&gt;""),IF(COUNTIFS($K$6:K111,K111,$M$6:M111,M111)=1,1,0),0))</f>
        <v>0</v>
      </c>
      <c r="R111">
        <f>IF(A111="","",IF(M111&lt;&gt;"",IF(COUNTIF($M$6:M111,M111)=1,1,0),0))</f>
        <v>0</v>
      </c>
      <c r="T111" t="str">
        <f>IF(AND($M111&lt;&gt;"",$M111='Mapa do Galpão'!$C$20),COUNTIF($M$6:$M111,'Mapa do Galpão'!$C$20),"")</f>
        <v/>
      </c>
    </row>
    <row r="112" spans="1:20" ht="14.25" hidden="1" customHeight="1" x14ac:dyDescent="0.3">
      <c r="A112" s="43" t="s">
        <v>817</v>
      </c>
      <c r="B112" s="44" t="s">
        <v>665</v>
      </c>
      <c r="C112" s="165" t="s">
        <v>144</v>
      </c>
      <c r="D112" s="45" t="str">
        <f t="shared" si="2"/>
        <v>Masculino</v>
      </c>
      <c r="E112" s="43" t="s">
        <v>684</v>
      </c>
      <c r="F112" s="43" t="s">
        <v>685</v>
      </c>
      <c r="G112" s="43" t="s">
        <v>719</v>
      </c>
      <c r="H112" s="43" t="s">
        <v>669</v>
      </c>
      <c r="I112" s="46">
        <f>SUMIFS(Movimentações!$F$6:$F$4998,Movimentações!$C$6:$C$4998,A112,Movimentações!$M$6:$M$4998,M112)</f>
        <v>0</v>
      </c>
      <c r="J112" s="43" t="s">
        <v>670</v>
      </c>
      <c r="K112" s="43" t="s">
        <v>671</v>
      </c>
      <c r="L112" s="47" t="s">
        <v>807</v>
      </c>
      <c r="M112" s="43" t="s">
        <v>815</v>
      </c>
      <c r="N112" s="43" t="str">
        <f t="shared" si="3"/>
        <v>Rua A · Prat 9 · C-26</v>
      </c>
      <c r="P112">
        <f>IF(A112="","",IF(AND(K112&lt;&gt;"",L112&lt;&gt;""),IF(COUNTIFS($K$6:K112,K112,$L$6:L112,L112)=1,1,0),0))</f>
        <v>0</v>
      </c>
      <c r="Q112">
        <f>IF(A112="","",IF(AND(K112&lt;&gt;"",M112&lt;&gt;""),IF(COUNTIFS($K$6:K112,K112,$M$6:M112,M112)=1,1,0),0))</f>
        <v>0</v>
      </c>
      <c r="R112">
        <f>IF(A112="","",IF(M112&lt;&gt;"",IF(COUNTIF($M$6:M112,M112)=1,1,0),0))</f>
        <v>0</v>
      </c>
      <c r="T112" t="str">
        <f>IF(AND($M112&lt;&gt;"",$M112='Mapa do Galpão'!$C$20),COUNTIF($M$6:$M112,'Mapa do Galpão'!$C$20),"")</f>
        <v/>
      </c>
    </row>
    <row r="113" spans="1:20" ht="14.25" hidden="1" customHeight="1" x14ac:dyDescent="0.3">
      <c r="A113" s="43" t="s">
        <v>818</v>
      </c>
      <c r="B113" s="44" t="s">
        <v>665</v>
      </c>
      <c r="C113" s="165" t="s">
        <v>145</v>
      </c>
      <c r="D113" s="45" t="str">
        <f t="shared" si="2"/>
        <v>Masculino</v>
      </c>
      <c r="E113" s="43" t="s">
        <v>684</v>
      </c>
      <c r="F113" s="43" t="s">
        <v>685</v>
      </c>
      <c r="G113" s="43" t="s">
        <v>719</v>
      </c>
      <c r="H113" s="43" t="s">
        <v>682</v>
      </c>
      <c r="I113" s="46">
        <f>SUMIFS(Movimentações!$F$6:$F$4998,Movimentações!$C$6:$C$4998,A113,Movimentações!$M$6:$M$4998,M113)</f>
        <v>0</v>
      </c>
      <c r="J113" s="43" t="s">
        <v>670</v>
      </c>
      <c r="K113" s="43" t="s">
        <v>671</v>
      </c>
      <c r="L113" s="47" t="s">
        <v>807</v>
      </c>
      <c r="M113" s="43" t="s">
        <v>815</v>
      </c>
      <c r="N113" s="43" t="str">
        <f t="shared" si="3"/>
        <v>Rua A · Prat 9 · C-26</v>
      </c>
      <c r="P113">
        <f>IF(A113="","",IF(AND(K113&lt;&gt;"",L113&lt;&gt;""),IF(COUNTIFS($K$6:K113,K113,$L$6:L113,L113)=1,1,0),0))</f>
        <v>0</v>
      </c>
      <c r="Q113">
        <f>IF(A113="","",IF(AND(K113&lt;&gt;"",M113&lt;&gt;""),IF(COUNTIFS($K$6:K113,K113,$M$6:M113,M113)=1,1,0),0))</f>
        <v>0</v>
      </c>
      <c r="R113">
        <f>IF(A113="","",IF(M113&lt;&gt;"",IF(COUNTIF($M$6:M113,M113)=1,1,0),0))</f>
        <v>0</v>
      </c>
      <c r="T113" t="str">
        <f>IF(AND($M113&lt;&gt;"",$M113='Mapa do Galpão'!$C$20),COUNTIF($M$6:$M113,'Mapa do Galpão'!$C$20),"")</f>
        <v/>
      </c>
    </row>
    <row r="114" spans="1:20" ht="14.25" hidden="1" customHeight="1" x14ac:dyDescent="0.3">
      <c r="A114" s="43" t="s">
        <v>819</v>
      </c>
      <c r="B114" s="44" t="s">
        <v>665</v>
      </c>
      <c r="C114" s="165" t="s">
        <v>146</v>
      </c>
      <c r="D114" s="45" t="str">
        <f t="shared" si="2"/>
        <v>Masculino</v>
      </c>
      <c r="E114" s="43" t="s">
        <v>684</v>
      </c>
      <c r="F114" s="43" t="s">
        <v>685</v>
      </c>
      <c r="G114" s="43" t="s">
        <v>719</v>
      </c>
      <c r="H114" s="43" t="s">
        <v>677</v>
      </c>
      <c r="I114" s="46">
        <f>SUMIFS(Movimentações!$F$6:$F$4998,Movimentações!$C$6:$C$4998,A114,Movimentações!$M$6:$M$4998,M114)</f>
        <v>0</v>
      </c>
      <c r="J114" s="43" t="s">
        <v>670</v>
      </c>
      <c r="K114" s="43" t="s">
        <v>671</v>
      </c>
      <c r="L114" s="47" t="s">
        <v>807</v>
      </c>
      <c r="M114" s="43" t="s">
        <v>815</v>
      </c>
      <c r="N114" s="43" t="str">
        <f t="shared" si="3"/>
        <v>Rua A · Prat 9 · C-26</v>
      </c>
      <c r="P114">
        <f>IF(A114="","",IF(AND(K114&lt;&gt;"",L114&lt;&gt;""),IF(COUNTIFS($K$6:K114,K114,$L$6:L114,L114)=1,1,0),0))</f>
        <v>0</v>
      </c>
      <c r="Q114">
        <f>IF(A114="","",IF(AND(K114&lt;&gt;"",M114&lt;&gt;""),IF(COUNTIFS($K$6:K114,K114,$M$6:M114,M114)=1,1,0),0))</f>
        <v>0</v>
      </c>
      <c r="R114">
        <f>IF(A114="","",IF(M114&lt;&gt;"",IF(COUNTIF($M$6:M114,M114)=1,1,0),0))</f>
        <v>0</v>
      </c>
      <c r="T114" t="str">
        <f>IF(AND($M114&lt;&gt;"",$M114='Mapa do Galpão'!$C$20),COUNTIF($M$6:$M114,'Mapa do Galpão'!$C$20),"")</f>
        <v/>
      </c>
    </row>
    <row r="115" spans="1:20" ht="14.25" hidden="1" customHeight="1" x14ac:dyDescent="0.3">
      <c r="A115" s="43" t="s">
        <v>820</v>
      </c>
      <c r="B115" s="44" t="s">
        <v>665</v>
      </c>
      <c r="C115" s="165" t="s">
        <v>147</v>
      </c>
      <c r="D115" s="45" t="str">
        <f t="shared" si="2"/>
        <v>Masculino</v>
      </c>
      <c r="E115" s="43" t="s">
        <v>684</v>
      </c>
      <c r="F115" s="43" t="s">
        <v>685</v>
      </c>
      <c r="G115" s="43" t="s">
        <v>719</v>
      </c>
      <c r="H115" s="43" t="s">
        <v>692</v>
      </c>
      <c r="I115" s="46">
        <f>SUMIFS(Movimentações!$F$6:$F$4998,Movimentações!$C$6:$C$4998,A115,Movimentações!$M$6:$M$4998,M115)</f>
        <v>0</v>
      </c>
      <c r="J115" s="43" t="s">
        <v>670</v>
      </c>
      <c r="K115" s="43" t="s">
        <v>671</v>
      </c>
      <c r="L115" s="47" t="s">
        <v>807</v>
      </c>
      <c r="M115" s="43" t="s">
        <v>815</v>
      </c>
      <c r="N115" s="43" t="str">
        <f t="shared" si="3"/>
        <v>Rua A · Prat 9 · C-26</v>
      </c>
      <c r="P115">
        <f>IF(A115="","",IF(AND(K115&lt;&gt;"",L115&lt;&gt;""),IF(COUNTIFS($K$6:K115,K115,$L$6:L115,L115)=1,1,0),0))</f>
        <v>0</v>
      </c>
      <c r="Q115">
        <f>IF(A115="","",IF(AND(K115&lt;&gt;"",M115&lt;&gt;""),IF(COUNTIFS($K$6:K115,K115,$M$6:M115,M115)=1,1,0),0))</f>
        <v>0</v>
      </c>
      <c r="R115">
        <f>IF(A115="","",IF(M115&lt;&gt;"",IF(COUNTIF($M$6:M115,M115)=1,1,0),0))</f>
        <v>0</v>
      </c>
      <c r="T115" t="str">
        <f>IF(AND($M115&lt;&gt;"",$M115='Mapa do Galpão'!$C$20),COUNTIF($M$6:$M115,'Mapa do Galpão'!$C$20),"")</f>
        <v/>
      </c>
    </row>
    <row r="116" spans="1:20" ht="14.25" hidden="1" customHeight="1" x14ac:dyDescent="0.3">
      <c r="A116" s="43" t="s">
        <v>821</v>
      </c>
      <c r="B116" s="44" t="s">
        <v>665</v>
      </c>
      <c r="C116" s="165" t="s">
        <v>148</v>
      </c>
      <c r="D116" s="45" t="str">
        <f t="shared" si="2"/>
        <v>Feminino</v>
      </c>
      <c r="E116" s="43" t="s">
        <v>666</v>
      </c>
      <c r="F116" s="43" t="s">
        <v>822</v>
      </c>
      <c r="G116" s="43" t="s">
        <v>765</v>
      </c>
      <c r="H116" s="43" t="s">
        <v>756</v>
      </c>
      <c r="I116" s="46">
        <f>SUMIFS(Movimentações!$F$6:$F$4998,Movimentações!$C$6:$C$4998,A116,Movimentações!$M$6:$M$4998,M116)</f>
        <v>0</v>
      </c>
      <c r="J116" s="43" t="s">
        <v>670</v>
      </c>
      <c r="K116" s="43" t="s">
        <v>671</v>
      </c>
      <c r="L116" s="47" t="s">
        <v>807</v>
      </c>
      <c r="M116" s="43" t="s">
        <v>823</v>
      </c>
      <c r="N116" s="43" t="str">
        <f t="shared" si="3"/>
        <v>Rua A · Prat 9 · C-27</v>
      </c>
      <c r="P116">
        <f>IF(A116="","",IF(AND(K116&lt;&gt;"",L116&lt;&gt;""),IF(COUNTIFS($K$6:K116,K116,$L$6:L116,L116)=1,1,0),0))</f>
        <v>0</v>
      </c>
      <c r="Q116">
        <f>IF(A116="","",IF(AND(K116&lt;&gt;"",M116&lt;&gt;""),IF(COUNTIFS($K$6:K116,K116,$M$6:M116,M116)=1,1,0),0))</f>
        <v>1</v>
      </c>
      <c r="R116">
        <f>IF(A116="","",IF(M116&lt;&gt;"",IF(COUNTIF($M$6:M116,M116)=1,1,0),0))</f>
        <v>1</v>
      </c>
      <c r="T116" t="str">
        <f>IF(AND($M116&lt;&gt;"",$M116='Mapa do Galpão'!$C$20),COUNTIF($M$6:$M116,'Mapa do Galpão'!$C$20),"")</f>
        <v/>
      </c>
    </row>
    <row r="117" spans="1:20" ht="14.25" hidden="1" customHeight="1" x14ac:dyDescent="0.3">
      <c r="A117" s="43" t="s">
        <v>824</v>
      </c>
      <c r="B117" s="44" t="s">
        <v>665</v>
      </c>
      <c r="C117" s="165" t="s">
        <v>149</v>
      </c>
      <c r="D117" s="45" t="str">
        <f t="shared" si="2"/>
        <v>Feminino</v>
      </c>
      <c r="E117" s="43" t="s">
        <v>666</v>
      </c>
      <c r="F117" s="43" t="s">
        <v>822</v>
      </c>
      <c r="G117" s="43" t="s">
        <v>765</v>
      </c>
      <c r="H117" s="43" t="s">
        <v>680</v>
      </c>
      <c r="I117" s="46">
        <f>SUMIFS(Movimentações!$F$6:$F$4998,Movimentações!$C$6:$C$4998,A117,Movimentações!$M$6:$M$4998,M117)</f>
        <v>0</v>
      </c>
      <c r="J117" s="43" t="s">
        <v>670</v>
      </c>
      <c r="K117" s="43" t="s">
        <v>671</v>
      </c>
      <c r="L117" s="47" t="s">
        <v>807</v>
      </c>
      <c r="M117" s="43" t="s">
        <v>823</v>
      </c>
      <c r="N117" s="43" t="str">
        <f t="shared" si="3"/>
        <v>Rua A · Prat 9 · C-27</v>
      </c>
      <c r="P117">
        <f>IF(A117="","",IF(AND(K117&lt;&gt;"",L117&lt;&gt;""),IF(COUNTIFS($K$6:K117,K117,$L$6:L117,L117)=1,1,0),0))</f>
        <v>0</v>
      </c>
      <c r="Q117">
        <f>IF(A117="","",IF(AND(K117&lt;&gt;"",M117&lt;&gt;""),IF(COUNTIFS($K$6:K117,K117,$M$6:M117,M117)=1,1,0),0))</f>
        <v>0</v>
      </c>
      <c r="R117">
        <f>IF(A117="","",IF(M117&lt;&gt;"",IF(COUNTIF($M$6:M117,M117)=1,1,0),0))</f>
        <v>0</v>
      </c>
      <c r="T117" t="str">
        <f>IF(AND($M117&lt;&gt;"",$M117='Mapa do Galpão'!$C$20),COUNTIF($M$6:$M117,'Mapa do Galpão'!$C$20),"")</f>
        <v/>
      </c>
    </row>
    <row r="118" spans="1:20" ht="14.25" hidden="1" customHeight="1" x14ac:dyDescent="0.3">
      <c r="A118" s="43" t="s">
        <v>825</v>
      </c>
      <c r="B118" s="44" t="s">
        <v>665</v>
      </c>
      <c r="C118" s="165" t="s">
        <v>150</v>
      </c>
      <c r="D118" s="45" t="str">
        <f t="shared" si="2"/>
        <v>Feminino</v>
      </c>
      <c r="E118" s="43" t="s">
        <v>666</v>
      </c>
      <c r="F118" s="43" t="s">
        <v>822</v>
      </c>
      <c r="G118" s="43" t="s">
        <v>765</v>
      </c>
      <c r="H118" s="43" t="s">
        <v>675</v>
      </c>
      <c r="I118" s="46">
        <f>SUMIFS(Movimentações!$F$6:$F$4998,Movimentações!$C$6:$C$4998,A118,Movimentações!$M$6:$M$4998,M118)</f>
        <v>0</v>
      </c>
      <c r="J118" s="43" t="s">
        <v>670</v>
      </c>
      <c r="K118" s="43" t="s">
        <v>671</v>
      </c>
      <c r="L118" s="47" t="s">
        <v>807</v>
      </c>
      <c r="M118" s="43" t="s">
        <v>823</v>
      </c>
      <c r="N118" s="43" t="str">
        <f t="shared" si="3"/>
        <v>Rua A · Prat 9 · C-27</v>
      </c>
      <c r="P118">
        <f>IF(A118="","",IF(AND(K118&lt;&gt;"",L118&lt;&gt;""),IF(COUNTIFS($K$6:K118,K118,$L$6:L118,L118)=1,1,0),0))</f>
        <v>0</v>
      </c>
      <c r="Q118">
        <f>IF(A118="","",IF(AND(K118&lt;&gt;"",M118&lt;&gt;""),IF(COUNTIFS($K$6:K118,K118,$M$6:M118,M118)=1,1,0),0))</f>
        <v>0</v>
      </c>
      <c r="R118">
        <f>IF(A118="","",IF(M118&lt;&gt;"",IF(COUNTIF($M$6:M118,M118)=1,1,0),0))</f>
        <v>0</v>
      </c>
      <c r="T118" t="str">
        <f>IF(AND($M118&lt;&gt;"",$M118='Mapa do Galpão'!$C$20),COUNTIF($M$6:$M118,'Mapa do Galpão'!$C$20),"")</f>
        <v/>
      </c>
    </row>
    <row r="119" spans="1:20" ht="14.25" hidden="1" customHeight="1" x14ac:dyDescent="0.3">
      <c r="A119" s="43" t="s">
        <v>826</v>
      </c>
      <c r="B119" s="44" t="s">
        <v>665</v>
      </c>
      <c r="C119" s="165" t="s">
        <v>151</v>
      </c>
      <c r="D119" s="45" t="str">
        <f t="shared" si="2"/>
        <v>Feminino</v>
      </c>
      <c r="E119" s="43" t="s">
        <v>666</v>
      </c>
      <c r="F119" s="43" t="s">
        <v>822</v>
      </c>
      <c r="G119" s="43" t="s">
        <v>765</v>
      </c>
      <c r="H119" s="43" t="s">
        <v>669</v>
      </c>
      <c r="I119" s="46">
        <f>SUMIFS(Movimentações!$F$6:$F$4998,Movimentações!$C$6:$C$4998,A119,Movimentações!$M$6:$M$4998,M119)</f>
        <v>0</v>
      </c>
      <c r="J119" s="43" t="s">
        <v>670</v>
      </c>
      <c r="K119" s="43" t="s">
        <v>671</v>
      </c>
      <c r="L119" s="47" t="s">
        <v>807</v>
      </c>
      <c r="M119" s="43" t="s">
        <v>823</v>
      </c>
      <c r="N119" s="43" t="str">
        <f t="shared" si="3"/>
        <v>Rua A · Prat 9 · C-27</v>
      </c>
      <c r="P119">
        <f>IF(A119="","",IF(AND(K119&lt;&gt;"",L119&lt;&gt;""),IF(COUNTIFS($K$6:K119,K119,$L$6:L119,L119)=1,1,0),0))</f>
        <v>0</v>
      </c>
      <c r="Q119">
        <f>IF(A119="","",IF(AND(K119&lt;&gt;"",M119&lt;&gt;""),IF(COUNTIFS($K$6:K119,K119,$M$6:M119,M119)=1,1,0),0))</f>
        <v>0</v>
      </c>
      <c r="R119">
        <f>IF(A119="","",IF(M119&lt;&gt;"",IF(COUNTIF($M$6:M119,M119)=1,1,0),0))</f>
        <v>0</v>
      </c>
      <c r="T119" t="str">
        <f>IF(AND($M119&lt;&gt;"",$M119='Mapa do Galpão'!$C$20),COUNTIF($M$6:$M119,'Mapa do Galpão'!$C$20),"")</f>
        <v/>
      </c>
    </row>
    <row r="120" spans="1:20" ht="14.25" hidden="1" customHeight="1" x14ac:dyDescent="0.3">
      <c r="A120" s="43" t="s">
        <v>827</v>
      </c>
      <c r="B120" s="44" t="s">
        <v>665</v>
      </c>
      <c r="C120" s="165" t="s">
        <v>152</v>
      </c>
      <c r="D120" s="45" t="str">
        <f t="shared" si="2"/>
        <v>Feminino</v>
      </c>
      <c r="E120" s="43" t="s">
        <v>666</v>
      </c>
      <c r="F120" s="43" t="s">
        <v>822</v>
      </c>
      <c r="G120" s="43" t="s">
        <v>765</v>
      </c>
      <c r="H120" s="43" t="s">
        <v>682</v>
      </c>
      <c r="I120" s="46">
        <f>SUMIFS(Movimentações!$F$6:$F$4998,Movimentações!$C$6:$C$4998,A120,Movimentações!$M$6:$M$4998,M120)</f>
        <v>0</v>
      </c>
      <c r="J120" s="43" t="s">
        <v>670</v>
      </c>
      <c r="K120" s="43" t="s">
        <v>671</v>
      </c>
      <c r="L120" s="47" t="s">
        <v>807</v>
      </c>
      <c r="M120" s="43" t="s">
        <v>823</v>
      </c>
      <c r="N120" s="43" t="str">
        <f t="shared" si="3"/>
        <v>Rua A · Prat 9 · C-27</v>
      </c>
      <c r="P120">
        <f>IF(A120="","",IF(AND(K120&lt;&gt;"",L120&lt;&gt;""),IF(COUNTIFS($K$6:K120,K120,$L$6:L120,L120)=1,1,0),0))</f>
        <v>0</v>
      </c>
      <c r="Q120">
        <f>IF(A120="","",IF(AND(K120&lt;&gt;"",M120&lt;&gt;""),IF(COUNTIFS($K$6:K120,K120,$M$6:M120,M120)=1,1,0),0))</f>
        <v>0</v>
      </c>
      <c r="R120">
        <f>IF(A120="","",IF(M120&lt;&gt;"",IF(COUNTIF($M$6:M120,M120)=1,1,0),0))</f>
        <v>0</v>
      </c>
      <c r="T120" t="str">
        <f>IF(AND($M120&lt;&gt;"",$M120='Mapa do Galpão'!$C$20),COUNTIF($M$6:$M120,'Mapa do Galpão'!$C$20),"")</f>
        <v/>
      </c>
    </row>
    <row r="121" spans="1:20" ht="14.25" hidden="1" customHeight="1" x14ac:dyDescent="0.3">
      <c r="A121" s="43" t="s">
        <v>828</v>
      </c>
      <c r="B121" s="44" t="s">
        <v>665</v>
      </c>
      <c r="C121" s="165" t="s">
        <v>153</v>
      </c>
      <c r="D121" s="45" t="str">
        <f t="shared" si="2"/>
        <v>Feminino</v>
      </c>
      <c r="E121" s="43" t="s">
        <v>666</v>
      </c>
      <c r="F121" s="43" t="s">
        <v>822</v>
      </c>
      <c r="G121" s="43" t="s">
        <v>765</v>
      </c>
      <c r="H121" s="43" t="s">
        <v>677</v>
      </c>
      <c r="I121" s="46">
        <f>SUMIFS(Movimentações!$F$6:$F$4998,Movimentações!$C$6:$C$4998,A121,Movimentações!$M$6:$M$4998,M121)</f>
        <v>0</v>
      </c>
      <c r="J121" s="43" t="s">
        <v>670</v>
      </c>
      <c r="K121" s="43" t="s">
        <v>671</v>
      </c>
      <c r="L121" s="47" t="s">
        <v>807</v>
      </c>
      <c r="M121" s="43" t="s">
        <v>823</v>
      </c>
      <c r="N121" s="43" t="str">
        <f t="shared" si="3"/>
        <v>Rua A · Prat 9 · C-27</v>
      </c>
      <c r="P121">
        <f>IF(A121="","",IF(AND(K121&lt;&gt;"",L121&lt;&gt;""),IF(COUNTIFS($K$6:K121,K121,$L$6:L121,L121)=1,1,0),0))</f>
        <v>0</v>
      </c>
      <c r="Q121">
        <f>IF(A121="","",IF(AND(K121&lt;&gt;"",M121&lt;&gt;""),IF(COUNTIFS($K$6:K121,K121,$M$6:M121,M121)=1,1,0),0))</f>
        <v>0</v>
      </c>
      <c r="R121">
        <f>IF(A121="","",IF(M121&lt;&gt;"",IF(COUNTIF($M$6:M121,M121)=1,1,0),0))</f>
        <v>0</v>
      </c>
      <c r="T121" t="str">
        <f>IF(AND($M121&lt;&gt;"",$M121='Mapa do Galpão'!$C$20),COUNTIF($M$6:$M121,'Mapa do Galpão'!$C$20),"")</f>
        <v/>
      </c>
    </row>
    <row r="122" spans="1:20" ht="14.25" hidden="1" customHeight="1" x14ac:dyDescent="0.3">
      <c r="A122" s="43" t="s">
        <v>829</v>
      </c>
      <c r="B122" s="44" t="s">
        <v>665</v>
      </c>
      <c r="C122" s="165" t="s">
        <v>154</v>
      </c>
      <c r="D122" s="45" t="str">
        <f t="shared" si="2"/>
        <v>Feminino</v>
      </c>
      <c r="E122" s="43" t="s">
        <v>666</v>
      </c>
      <c r="F122" s="43" t="s">
        <v>830</v>
      </c>
      <c r="G122" s="43" t="s">
        <v>789</v>
      </c>
      <c r="H122" s="43" t="s">
        <v>756</v>
      </c>
      <c r="I122" s="46">
        <f>SUMIFS(Movimentações!$F$6:$F$4998,Movimentações!$C$6:$C$4998,A122,Movimentações!$M$6:$M$4998,M122)</f>
        <v>0</v>
      </c>
      <c r="J122" s="43" t="s">
        <v>670</v>
      </c>
      <c r="K122" s="43" t="s">
        <v>671</v>
      </c>
      <c r="L122" s="47" t="s">
        <v>807</v>
      </c>
      <c r="M122" s="43" t="s">
        <v>831</v>
      </c>
      <c r="N122" s="43" t="str">
        <f t="shared" si="3"/>
        <v>Rua A · Prat 9 · C-28</v>
      </c>
      <c r="P122">
        <f>IF(A122="","",IF(AND(K122&lt;&gt;"",L122&lt;&gt;""),IF(COUNTIFS($K$6:K122,K122,$L$6:L122,L122)=1,1,0),0))</f>
        <v>0</v>
      </c>
      <c r="Q122">
        <f>IF(A122="","",IF(AND(K122&lt;&gt;"",M122&lt;&gt;""),IF(COUNTIFS($K$6:K122,K122,$M$6:M122,M122)=1,1,0),0))</f>
        <v>1</v>
      </c>
      <c r="R122">
        <f>IF(A122="","",IF(M122&lt;&gt;"",IF(COUNTIF($M$6:M122,M122)=1,1,0),0))</f>
        <v>1</v>
      </c>
      <c r="T122" t="str">
        <f>IF(AND($M122&lt;&gt;"",$M122='Mapa do Galpão'!$C$20),COUNTIF($M$6:$M122,'Mapa do Galpão'!$C$20),"")</f>
        <v/>
      </c>
    </row>
    <row r="123" spans="1:20" ht="14.25" hidden="1" customHeight="1" x14ac:dyDescent="0.3">
      <c r="A123" s="43" t="s">
        <v>832</v>
      </c>
      <c r="B123" s="44" t="s">
        <v>665</v>
      </c>
      <c r="C123" s="165" t="s">
        <v>155</v>
      </c>
      <c r="D123" s="45" t="str">
        <f t="shared" si="2"/>
        <v>Feminino</v>
      </c>
      <c r="E123" s="43" t="s">
        <v>666</v>
      </c>
      <c r="F123" s="43" t="s">
        <v>830</v>
      </c>
      <c r="G123" s="43" t="s">
        <v>789</v>
      </c>
      <c r="H123" s="43" t="s">
        <v>756</v>
      </c>
      <c r="I123" s="46">
        <f>SUMIFS(Movimentações!$F$6:$F$4998,Movimentações!$C$6:$C$4998,A123,Movimentações!$M$6:$M$4998,M123)</f>
        <v>0</v>
      </c>
      <c r="J123" s="43" t="s">
        <v>670</v>
      </c>
      <c r="K123" s="43" t="s">
        <v>671</v>
      </c>
      <c r="L123" s="47" t="s">
        <v>807</v>
      </c>
      <c r="M123" s="43" t="s">
        <v>831</v>
      </c>
      <c r="N123" s="43" t="str">
        <f t="shared" si="3"/>
        <v>Rua A · Prat 9 · C-28</v>
      </c>
      <c r="P123">
        <f>IF(A123="","",IF(AND(K123&lt;&gt;"",L123&lt;&gt;""),IF(COUNTIFS($K$6:K123,K123,$L$6:L123,L123)=1,1,0),0))</f>
        <v>0</v>
      </c>
      <c r="Q123">
        <f>IF(A123="","",IF(AND(K123&lt;&gt;"",M123&lt;&gt;""),IF(COUNTIFS($K$6:K123,K123,$M$6:M123,M123)=1,1,0),0))</f>
        <v>0</v>
      </c>
      <c r="R123">
        <f>IF(A123="","",IF(M123&lt;&gt;"",IF(COUNTIF($M$6:M123,M123)=1,1,0),0))</f>
        <v>0</v>
      </c>
      <c r="T123" t="str">
        <f>IF(AND($M123&lt;&gt;"",$M123='Mapa do Galpão'!$C$20),COUNTIF($M$6:$M123,'Mapa do Galpão'!$C$20),"")</f>
        <v/>
      </c>
    </row>
    <row r="124" spans="1:20" ht="14.25" hidden="1" customHeight="1" x14ac:dyDescent="0.3">
      <c r="A124" s="43" t="s">
        <v>833</v>
      </c>
      <c r="B124" s="44" t="s">
        <v>665</v>
      </c>
      <c r="C124" s="165" t="s">
        <v>156</v>
      </c>
      <c r="D124" s="45" t="str">
        <f t="shared" si="2"/>
        <v>Feminino</v>
      </c>
      <c r="E124" s="43" t="s">
        <v>666</v>
      </c>
      <c r="F124" s="43" t="s">
        <v>830</v>
      </c>
      <c r="G124" s="43" t="s">
        <v>789</v>
      </c>
      <c r="H124" s="43" t="s">
        <v>675</v>
      </c>
      <c r="I124" s="46">
        <f>SUMIFS(Movimentações!$F$6:$F$4998,Movimentações!$C$6:$C$4998,A124,Movimentações!$M$6:$M$4998,M124)</f>
        <v>0</v>
      </c>
      <c r="J124" s="43" t="s">
        <v>670</v>
      </c>
      <c r="K124" s="43" t="s">
        <v>671</v>
      </c>
      <c r="L124" s="47" t="s">
        <v>807</v>
      </c>
      <c r="M124" s="43" t="s">
        <v>831</v>
      </c>
      <c r="N124" s="43" t="str">
        <f t="shared" si="3"/>
        <v>Rua A · Prat 9 · C-28</v>
      </c>
      <c r="P124">
        <f>IF(A124="","",IF(AND(K124&lt;&gt;"",L124&lt;&gt;""),IF(COUNTIFS($K$6:K124,K124,$L$6:L124,L124)=1,1,0),0))</f>
        <v>0</v>
      </c>
      <c r="Q124">
        <f>IF(A124="","",IF(AND(K124&lt;&gt;"",M124&lt;&gt;""),IF(COUNTIFS($K$6:K124,K124,$M$6:M124,M124)=1,1,0),0))</f>
        <v>0</v>
      </c>
      <c r="R124">
        <f>IF(A124="","",IF(M124&lt;&gt;"",IF(COUNTIF($M$6:M124,M124)=1,1,0),0))</f>
        <v>0</v>
      </c>
      <c r="T124" t="str">
        <f>IF(AND($M124&lt;&gt;"",$M124='Mapa do Galpão'!$C$20),COUNTIF($M$6:$M124,'Mapa do Galpão'!$C$20),"")</f>
        <v/>
      </c>
    </row>
    <row r="125" spans="1:20" ht="14.25" hidden="1" customHeight="1" x14ac:dyDescent="0.3">
      <c r="A125" s="43" t="s">
        <v>834</v>
      </c>
      <c r="B125" s="44" t="s">
        <v>665</v>
      </c>
      <c r="C125" s="165" t="s">
        <v>157</v>
      </c>
      <c r="D125" s="45" t="str">
        <f t="shared" si="2"/>
        <v>Feminino</v>
      </c>
      <c r="E125" s="43" t="s">
        <v>666</v>
      </c>
      <c r="F125" s="43" t="s">
        <v>830</v>
      </c>
      <c r="G125" s="43" t="s">
        <v>789</v>
      </c>
      <c r="H125" s="43" t="s">
        <v>669</v>
      </c>
      <c r="I125" s="46">
        <f>SUMIFS(Movimentações!$F$6:$F$4998,Movimentações!$C$6:$C$4998,A125,Movimentações!$M$6:$M$4998,M125)</f>
        <v>0</v>
      </c>
      <c r="J125" s="43" t="s">
        <v>670</v>
      </c>
      <c r="K125" s="43" t="s">
        <v>671</v>
      </c>
      <c r="L125" s="47" t="s">
        <v>807</v>
      </c>
      <c r="M125" s="43" t="s">
        <v>831</v>
      </c>
      <c r="N125" s="43" t="str">
        <f t="shared" si="3"/>
        <v>Rua A · Prat 9 · C-28</v>
      </c>
      <c r="P125">
        <f>IF(A125="","",IF(AND(K125&lt;&gt;"",L125&lt;&gt;""),IF(COUNTIFS($K$6:K125,K125,$L$6:L125,L125)=1,1,0),0))</f>
        <v>0</v>
      </c>
      <c r="Q125">
        <f>IF(A125="","",IF(AND(K125&lt;&gt;"",M125&lt;&gt;""),IF(COUNTIFS($K$6:K125,K125,$M$6:M125,M125)=1,1,0),0))</f>
        <v>0</v>
      </c>
      <c r="R125">
        <f>IF(A125="","",IF(M125&lt;&gt;"",IF(COUNTIF($M$6:M125,M125)=1,1,0),0))</f>
        <v>0</v>
      </c>
      <c r="T125" t="str">
        <f>IF(AND($M125&lt;&gt;"",$M125='Mapa do Galpão'!$C$20),COUNTIF($M$6:$M125,'Mapa do Galpão'!$C$20),"")</f>
        <v/>
      </c>
    </row>
    <row r="126" spans="1:20" ht="14.25" hidden="1" customHeight="1" x14ac:dyDescent="0.3">
      <c r="A126" s="43" t="s">
        <v>835</v>
      </c>
      <c r="B126" s="44" t="s">
        <v>665</v>
      </c>
      <c r="C126" s="165" t="s">
        <v>158</v>
      </c>
      <c r="D126" s="45" t="str">
        <f t="shared" si="2"/>
        <v>Feminino</v>
      </c>
      <c r="E126" s="43" t="s">
        <v>666</v>
      </c>
      <c r="F126" s="43" t="s">
        <v>830</v>
      </c>
      <c r="G126" s="43" t="s">
        <v>789</v>
      </c>
      <c r="H126" s="43" t="s">
        <v>682</v>
      </c>
      <c r="I126" s="46">
        <f>SUMIFS(Movimentações!$F$6:$F$4998,Movimentações!$C$6:$C$4998,A126,Movimentações!$M$6:$M$4998,M126)</f>
        <v>0</v>
      </c>
      <c r="J126" s="43" t="s">
        <v>670</v>
      </c>
      <c r="K126" s="43" t="s">
        <v>671</v>
      </c>
      <c r="L126" s="47" t="s">
        <v>807</v>
      </c>
      <c r="M126" s="43" t="s">
        <v>831</v>
      </c>
      <c r="N126" s="43" t="str">
        <f t="shared" si="3"/>
        <v>Rua A · Prat 9 · C-28</v>
      </c>
      <c r="P126">
        <f>IF(A126="","",IF(AND(K126&lt;&gt;"",L126&lt;&gt;""),IF(COUNTIFS($K$6:K126,K126,$L$6:L126,L126)=1,1,0),0))</f>
        <v>0</v>
      </c>
      <c r="Q126">
        <f>IF(A126="","",IF(AND(K126&lt;&gt;"",M126&lt;&gt;""),IF(COUNTIFS($K$6:K126,K126,$M$6:M126,M126)=1,1,0),0))</f>
        <v>0</v>
      </c>
      <c r="R126">
        <f>IF(A126="","",IF(M126&lt;&gt;"",IF(COUNTIF($M$6:M126,M126)=1,1,0),0))</f>
        <v>0</v>
      </c>
      <c r="T126" t="str">
        <f>IF(AND($M126&lt;&gt;"",$M126='Mapa do Galpão'!$C$20),COUNTIF($M$6:$M126,'Mapa do Galpão'!$C$20),"")</f>
        <v/>
      </c>
    </row>
    <row r="127" spans="1:20" ht="14.25" hidden="1" customHeight="1" x14ac:dyDescent="0.3">
      <c r="A127" s="43" t="s">
        <v>836</v>
      </c>
      <c r="B127" s="44" t="s">
        <v>665</v>
      </c>
      <c r="C127" s="165" t="s">
        <v>159</v>
      </c>
      <c r="D127" s="45" t="str">
        <f t="shared" si="2"/>
        <v>Feminino</v>
      </c>
      <c r="E127" s="43" t="s">
        <v>666</v>
      </c>
      <c r="F127" s="43" t="s">
        <v>830</v>
      </c>
      <c r="G127" s="43" t="s">
        <v>789</v>
      </c>
      <c r="H127" s="43" t="s">
        <v>677</v>
      </c>
      <c r="I127" s="46">
        <f>SUMIFS(Movimentações!$F$6:$F$4998,Movimentações!$C$6:$C$4998,A127,Movimentações!$M$6:$M$4998,M127)</f>
        <v>0</v>
      </c>
      <c r="J127" s="43" t="s">
        <v>670</v>
      </c>
      <c r="K127" s="43" t="s">
        <v>671</v>
      </c>
      <c r="L127" s="47" t="s">
        <v>807</v>
      </c>
      <c r="M127" s="43" t="s">
        <v>831</v>
      </c>
      <c r="N127" s="43" t="str">
        <f t="shared" si="3"/>
        <v>Rua A · Prat 9 · C-28</v>
      </c>
      <c r="P127">
        <f>IF(A127="","",IF(AND(K127&lt;&gt;"",L127&lt;&gt;""),IF(COUNTIFS($K$6:K127,K127,$L$6:L127,L127)=1,1,0),0))</f>
        <v>0</v>
      </c>
      <c r="Q127">
        <f>IF(A127="","",IF(AND(K127&lt;&gt;"",M127&lt;&gt;""),IF(COUNTIFS($K$6:K127,K127,$M$6:M127,M127)=1,1,0),0))</f>
        <v>0</v>
      </c>
      <c r="R127">
        <f>IF(A127="","",IF(M127&lt;&gt;"",IF(COUNTIF($M$6:M127,M127)=1,1,0),0))</f>
        <v>0</v>
      </c>
      <c r="T127" t="str">
        <f>IF(AND($M127&lt;&gt;"",$M127='Mapa do Galpão'!$C$20),COUNTIF($M$6:$M127,'Mapa do Galpão'!$C$20),"")</f>
        <v/>
      </c>
    </row>
    <row r="128" spans="1:20" ht="14.25" hidden="1" customHeight="1" x14ac:dyDescent="0.3">
      <c r="A128" s="43" t="s">
        <v>837</v>
      </c>
      <c r="B128" s="44" t="s">
        <v>665</v>
      </c>
      <c r="C128" s="165" t="s">
        <v>160</v>
      </c>
      <c r="D128" s="45" t="str">
        <f t="shared" si="2"/>
        <v>Masculino</v>
      </c>
      <c r="E128" s="43" t="s">
        <v>684</v>
      </c>
      <c r="F128" s="43" t="s">
        <v>838</v>
      </c>
      <c r="G128" s="43" t="s">
        <v>668</v>
      </c>
      <c r="H128" s="43" t="s">
        <v>756</v>
      </c>
      <c r="I128" s="46">
        <f>SUMIFS(Movimentações!$F$6:$F$4998,Movimentações!$C$6:$C$4998,A128,Movimentações!$M$6:$M$4998,M128)</f>
        <v>0</v>
      </c>
      <c r="J128" s="43" t="s">
        <v>670</v>
      </c>
      <c r="K128" s="43" t="s">
        <v>671</v>
      </c>
      <c r="L128" s="47" t="s">
        <v>807</v>
      </c>
      <c r="M128" s="43" t="s">
        <v>839</v>
      </c>
      <c r="N128" s="43" t="str">
        <f t="shared" si="3"/>
        <v>Rua A · Prat 9 · C-29</v>
      </c>
      <c r="P128">
        <f>IF(A128="","",IF(AND(K128&lt;&gt;"",L128&lt;&gt;""),IF(COUNTIFS($K$6:K128,K128,$L$6:L128,L128)=1,1,0),0))</f>
        <v>0</v>
      </c>
      <c r="Q128">
        <f>IF(A128="","",IF(AND(K128&lt;&gt;"",M128&lt;&gt;""),IF(COUNTIFS($K$6:K128,K128,$M$6:M128,M128)=1,1,0),0))</f>
        <v>1</v>
      </c>
      <c r="R128">
        <f>IF(A128="","",IF(M128&lt;&gt;"",IF(COUNTIF($M$6:M128,M128)=1,1,0),0))</f>
        <v>1</v>
      </c>
      <c r="T128" t="str">
        <f>IF(AND($M128&lt;&gt;"",$M128='Mapa do Galpão'!$C$20),COUNTIF($M$6:$M128,'Mapa do Galpão'!$C$20),"")</f>
        <v/>
      </c>
    </row>
    <row r="129" spans="1:20" ht="14.25" hidden="1" customHeight="1" x14ac:dyDescent="0.3">
      <c r="A129" s="43" t="s">
        <v>840</v>
      </c>
      <c r="B129" s="44" t="s">
        <v>665</v>
      </c>
      <c r="C129" s="165" t="s">
        <v>161</v>
      </c>
      <c r="D129" s="45" t="str">
        <f t="shared" si="2"/>
        <v>Masculino</v>
      </c>
      <c r="E129" s="43" t="s">
        <v>684</v>
      </c>
      <c r="F129" s="43" t="s">
        <v>838</v>
      </c>
      <c r="G129" s="43" t="s">
        <v>668</v>
      </c>
      <c r="H129" s="43" t="s">
        <v>680</v>
      </c>
      <c r="I129" s="46">
        <f>SUMIFS(Movimentações!$F$6:$F$4998,Movimentações!$C$6:$C$4998,A129,Movimentações!$M$6:$M$4998,M129)</f>
        <v>0</v>
      </c>
      <c r="J129" s="43" t="s">
        <v>670</v>
      </c>
      <c r="K129" s="43" t="s">
        <v>671</v>
      </c>
      <c r="L129" s="47" t="s">
        <v>807</v>
      </c>
      <c r="M129" s="43" t="s">
        <v>839</v>
      </c>
      <c r="N129" s="43" t="str">
        <f t="shared" si="3"/>
        <v>Rua A · Prat 9 · C-29</v>
      </c>
      <c r="P129">
        <f>IF(A129="","",IF(AND(K129&lt;&gt;"",L129&lt;&gt;""),IF(COUNTIFS($K$6:K129,K129,$L$6:L129,L129)=1,1,0),0))</f>
        <v>0</v>
      </c>
      <c r="Q129">
        <f>IF(A129="","",IF(AND(K129&lt;&gt;"",M129&lt;&gt;""),IF(COUNTIFS($K$6:K129,K129,$M$6:M129,M129)=1,1,0),0))</f>
        <v>0</v>
      </c>
      <c r="R129">
        <f>IF(A129="","",IF(M129&lt;&gt;"",IF(COUNTIF($M$6:M129,M129)=1,1,0),0))</f>
        <v>0</v>
      </c>
      <c r="T129" t="str">
        <f>IF(AND($M129&lt;&gt;"",$M129='Mapa do Galpão'!$C$20),COUNTIF($M$6:$M129,'Mapa do Galpão'!$C$20),"")</f>
        <v/>
      </c>
    </row>
    <row r="130" spans="1:20" ht="14.25" hidden="1" customHeight="1" x14ac:dyDescent="0.3">
      <c r="A130" s="43" t="s">
        <v>841</v>
      </c>
      <c r="B130" s="44" t="s">
        <v>665</v>
      </c>
      <c r="C130" s="165" t="s">
        <v>162</v>
      </c>
      <c r="D130" s="45" t="str">
        <f t="shared" si="2"/>
        <v>Masculino</v>
      </c>
      <c r="E130" s="43" t="s">
        <v>684</v>
      </c>
      <c r="F130" s="43" t="s">
        <v>838</v>
      </c>
      <c r="G130" s="43" t="s">
        <v>668</v>
      </c>
      <c r="H130" s="43" t="s">
        <v>675</v>
      </c>
      <c r="I130" s="46">
        <f>SUMIFS(Movimentações!$F$6:$F$4998,Movimentações!$C$6:$C$4998,A130,Movimentações!$M$6:$M$4998,M130)</f>
        <v>0</v>
      </c>
      <c r="J130" s="43" t="s">
        <v>670</v>
      </c>
      <c r="K130" s="43" t="s">
        <v>671</v>
      </c>
      <c r="L130" s="47" t="s">
        <v>807</v>
      </c>
      <c r="M130" s="43" t="s">
        <v>839</v>
      </c>
      <c r="N130" s="43" t="str">
        <f t="shared" si="3"/>
        <v>Rua A · Prat 9 · C-29</v>
      </c>
      <c r="P130">
        <f>IF(A130="","",IF(AND(K130&lt;&gt;"",L130&lt;&gt;""),IF(COUNTIFS($K$6:K130,K130,$L$6:L130,L130)=1,1,0),0))</f>
        <v>0</v>
      </c>
      <c r="Q130">
        <f>IF(A130="","",IF(AND(K130&lt;&gt;"",M130&lt;&gt;""),IF(COUNTIFS($K$6:K130,K130,$M$6:M130,M130)=1,1,0),0))</f>
        <v>0</v>
      </c>
      <c r="R130">
        <f>IF(A130="","",IF(M130&lt;&gt;"",IF(COUNTIF($M$6:M130,M130)=1,1,0),0))</f>
        <v>0</v>
      </c>
      <c r="T130" t="str">
        <f>IF(AND($M130&lt;&gt;"",$M130='Mapa do Galpão'!$C$20),COUNTIF($M$6:$M130,'Mapa do Galpão'!$C$20),"")</f>
        <v/>
      </c>
    </row>
    <row r="131" spans="1:20" ht="14.25" hidden="1" customHeight="1" x14ac:dyDescent="0.3">
      <c r="A131" s="43" t="s">
        <v>842</v>
      </c>
      <c r="B131" s="44" t="s">
        <v>665</v>
      </c>
      <c r="C131" s="165" t="s">
        <v>163</v>
      </c>
      <c r="D131" s="45" t="str">
        <f t="shared" si="2"/>
        <v>Masculino</v>
      </c>
      <c r="E131" s="43" t="s">
        <v>684</v>
      </c>
      <c r="F131" s="43" t="s">
        <v>838</v>
      </c>
      <c r="G131" s="43" t="s">
        <v>668</v>
      </c>
      <c r="H131" s="43" t="s">
        <v>669</v>
      </c>
      <c r="I131" s="46">
        <f>SUMIFS(Movimentações!$F$6:$F$4998,Movimentações!$C$6:$C$4998,A131,Movimentações!$M$6:$M$4998,M131)</f>
        <v>0</v>
      </c>
      <c r="J131" s="43" t="s">
        <v>670</v>
      </c>
      <c r="K131" s="43" t="s">
        <v>671</v>
      </c>
      <c r="L131" s="47" t="s">
        <v>807</v>
      </c>
      <c r="M131" s="43" t="s">
        <v>839</v>
      </c>
      <c r="N131" s="43" t="str">
        <f t="shared" si="3"/>
        <v>Rua A · Prat 9 · C-29</v>
      </c>
      <c r="P131">
        <f>IF(A131="","",IF(AND(K131&lt;&gt;"",L131&lt;&gt;""),IF(COUNTIFS($K$6:K131,K131,$L$6:L131,L131)=1,1,0),0))</f>
        <v>0</v>
      </c>
      <c r="Q131">
        <f>IF(A131="","",IF(AND(K131&lt;&gt;"",M131&lt;&gt;""),IF(COUNTIFS($K$6:K131,K131,$M$6:M131,M131)=1,1,0),0))</f>
        <v>0</v>
      </c>
      <c r="R131">
        <f>IF(A131="","",IF(M131&lt;&gt;"",IF(COUNTIF($M$6:M131,M131)=1,1,0),0))</f>
        <v>0</v>
      </c>
      <c r="T131" t="str">
        <f>IF(AND($M131&lt;&gt;"",$M131='Mapa do Galpão'!$C$20),COUNTIF($M$6:$M131,'Mapa do Galpão'!$C$20),"")</f>
        <v/>
      </c>
    </row>
    <row r="132" spans="1:20" ht="14.25" hidden="1" customHeight="1" x14ac:dyDescent="0.3">
      <c r="A132" s="43" t="s">
        <v>843</v>
      </c>
      <c r="B132" s="44" t="s">
        <v>665</v>
      </c>
      <c r="C132" s="165" t="s">
        <v>164</v>
      </c>
      <c r="D132" s="45" t="str">
        <f t="shared" si="2"/>
        <v>Masculino</v>
      </c>
      <c r="E132" s="43" t="s">
        <v>684</v>
      </c>
      <c r="F132" s="43" t="s">
        <v>838</v>
      </c>
      <c r="G132" s="43" t="s">
        <v>668</v>
      </c>
      <c r="H132" s="43" t="s">
        <v>682</v>
      </c>
      <c r="I132" s="46">
        <f>SUMIFS(Movimentações!$F$6:$F$4998,Movimentações!$C$6:$C$4998,A132,Movimentações!$M$6:$M$4998,M132)</f>
        <v>0</v>
      </c>
      <c r="J132" s="43" t="s">
        <v>670</v>
      </c>
      <c r="K132" s="43" t="s">
        <v>671</v>
      </c>
      <c r="L132" s="47" t="s">
        <v>807</v>
      </c>
      <c r="M132" s="43" t="s">
        <v>839</v>
      </c>
      <c r="N132" s="43" t="str">
        <f t="shared" si="3"/>
        <v>Rua A · Prat 9 · C-29</v>
      </c>
      <c r="P132">
        <f>IF(A132="","",IF(AND(K132&lt;&gt;"",L132&lt;&gt;""),IF(COUNTIFS($K$6:K132,K132,$L$6:L132,L132)=1,1,0),0))</f>
        <v>0</v>
      </c>
      <c r="Q132">
        <f>IF(A132="","",IF(AND(K132&lt;&gt;"",M132&lt;&gt;""),IF(COUNTIFS($K$6:K132,K132,$M$6:M132,M132)=1,1,0),0))</f>
        <v>0</v>
      </c>
      <c r="R132">
        <f>IF(A132="","",IF(M132&lt;&gt;"",IF(COUNTIF($M$6:M132,M132)=1,1,0),0))</f>
        <v>0</v>
      </c>
      <c r="T132" t="str">
        <f>IF(AND($M132&lt;&gt;"",$M132='Mapa do Galpão'!$C$20),COUNTIF($M$6:$M132,'Mapa do Galpão'!$C$20),"")</f>
        <v/>
      </c>
    </row>
    <row r="133" spans="1:20" ht="14.25" hidden="1" customHeight="1" x14ac:dyDescent="0.3">
      <c r="A133" s="43" t="s">
        <v>844</v>
      </c>
      <c r="B133" s="44" t="s">
        <v>665</v>
      </c>
      <c r="C133" s="165" t="s">
        <v>165</v>
      </c>
      <c r="D133" s="45" t="str">
        <f t="shared" si="2"/>
        <v>Masculino</v>
      </c>
      <c r="E133" s="43" t="s">
        <v>684</v>
      </c>
      <c r="F133" s="43" t="s">
        <v>838</v>
      </c>
      <c r="G133" s="43" t="s">
        <v>668</v>
      </c>
      <c r="H133" s="43" t="s">
        <v>845</v>
      </c>
      <c r="I133" s="46">
        <f>SUMIFS(Movimentações!$F$6:$F$4998,Movimentações!$C$6:$C$4998,A133,Movimentações!$M$6:$M$4998,M133)</f>
        <v>0</v>
      </c>
      <c r="J133" s="43" t="s">
        <v>670</v>
      </c>
      <c r="K133" s="43" t="s">
        <v>671</v>
      </c>
      <c r="L133" s="47" t="s">
        <v>807</v>
      </c>
      <c r="M133" s="43" t="s">
        <v>839</v>
      </c>
      <c r="N133" s="43" t="str">
        <f t="shared" si="3"/>
        <v>Rua A · Prat 9 · C-29</v>
      </c>
      <c r="P133">
        <f>IF(A133="","",IF(AND(K133&lt;&gt;"",L133&lt;&gt;""),IF(COUNTIFS($K$6:K133,K133,$L$6:L133,L133)=1,1,0),0))</f>
        <v>0</v>
      </c>
      <c r="Q133">
        <f>IF(A133="","",IF(AND(K133&lt;&gt;"",M133&lt;&gt;""),IF(COUNTIFS($K$6:K133,K133,$M$6:M133,M133)=1,1,0),0))</f>
        <v>0</v>
      </c>
      <c r="R133">
        <f>IF(A133="","",IF(M133&lt;&gt;"",IF(COUNTIF($M$6:M133,M133)=1,1,0),0))</f>
        <v>0</v>
      </c>
      <c r="T133" t="str">
        <f>IF(AND($M133&lt;&gt;"",$M133='Mapa do Galpão'!$C$20),COUNTIF($M$6:$M133,'Mapa do Galpão'!$C$20),"")</f>
        <v/>
      </c>
    </row>
    <row r="134" spans="1:20" ht="14.25" hidden="1" customHeight="1" x14ac:dyDescent="0.3">
      <c r="A134" s="43" t="s">
        <v>846</v>
      </c>
      <c r="B134" s="44" t="s">
        <v>665</v>
      </c>
      <c r="C134" s="165" t="s">
        <v>166</v>
      </c>
      <c r="D134" s="45" t="str">
        <f t="shared" ref="D134:D197" si="4">IF(C134="","",IFERROR(IF(TRIM(MID(SUBSTITUTE(C134,".",REPT(" ",50)),51,50))="01","Masculino",IF(TRIM(MID(SUBSTITUTE(C134,".",REPT(" ",50)),51,50))="02","Feminino",IF(TRIM(MID(SUBSTITUTE(C134,".",REPT(" ",50)),51,50))="03","Outros","—"))),"—"))</f>
        <v>Masculino</v>
      </c>
      <c r="E134" s="43" t="s">
        <v>684</v>
      </c>
      <c r="F134" s="43" t="s">
        <v>838</v>
      </c>
      <c r="G134" s="43" t="s">
        <v>735</v>
      </c>
      <c r="H134" s="43" t="s">
        <v>756</v>
      </c>
      <c r="I134" s="46">
        <f>SUMIFS(Movimentações!$F$6:$F$4998,Movimentações!$C$6:$C$4998,A134,Movimentações!$M$6:$M$4998,M134)</f>
        <v>0</v>
      </c>
      <c r="J134" s="43" t="s">
        <v>670</v>
      </c>
      <c r="K134" s="43" t="s">
        <v>671</v>
      </c>
      <c r="L134" s="47" t="s">
        <v>807</v>
      </c>
      <c r="M134" s="43" t="s">
        <v>839</v>
      </c>
      <c r="N134" s="43" t="str">
        <f t="shared" ref="N134:N197" si="5">IF(AND(K134="",L134="",M134=""),"⚠ sem endereço","Rua "&amp;K134&amp;IF(L134="",""," · Prat "&amp;L134)&amp;IF(M134="",""," · "&amp;M134))</f>
        <v>Rua A · Prat 9 · C-29</v>
      </c>
      <c r="P134">
        <f>IF(A134="","",IF(AND(K134&lt;&gt;"",L134&lt;&gt;""),IF(COUNTIFS($K$6:K134,K134,$L$6:L134,L134)=1,1,0),0))</f>
        <v>0</v>
      </c>
      <c r="Q134">
        <f>IF(A134="","",IF(AND(K134&lt;&gt;"",M134&lt;&gt;""),IF(COUNTIFS($K$6:K134,K134,$M$6:M134,M134)=1,1,0),0))</f>
        <v>0</v>
      </c>
      <c r="R134">
        <f>IF(A134="","",IF(M134&lt;&gt;"",IF(COUNTIF($M$6:M134,M134)=1,1,0),0))</f>
        <v>0</v>
      </c>
      <c r="T134" t="str">
        <f>IF(AND($M134&lt;&gt;"",$M134='Mapa do Galpão'!$C$20),COUNTIF($M$6:$M134,'Mapa do Galpão'!$C$20),"")</f>
        <v/>
      </c>
    </row>
    <row r="135" spans="1:20" ht="14.25" hidden="1" customHeight="1" x14ac:dyDescent="0.3">
      <c r="A135" s="43" t="s">
        <v>847</v>
      </c>
      <c r="B135" s="44" t="s">
        <v>665</v>
      </c>
      <c r="C135" s="165" t="s">
        <v>167</v>
      </c>
      <c r="D135" s="45" t="str">
        <f t="shared" si="4"/>
        <v>Masculino</v>
      </c>
      <c r="E135" s="43" t="s">
        <v>684</v>
      </c>
      <c r="F135" s="43" t="s">
        <v>838</v>
      </c>
      <c r="G135" s="43" t="s">
        <v>738</v>
      </c>
      <c r="H135" s="43" t="s">
        <v>680</v>
      </c>
      <c r="I135" s="46">
        <f>SUMIFS(Movimentações!$F$6:$F$4998,Movimentações!$C$6:$C$4998,A135,Movimentações!$M$6:$M$4998,M135)</f>
        <v>0</v>
      </c>
      <c r="J135" s="43" t="s">
        <v>670</v>
      </c>
      <c r="K135" s="43" t="s">
        <v>671</v>
      </c>
      <c r="L135" s="47" t="s">
        <v>807</v>
      </c>
      <c r="M135" s="43" t="s">
        <v>839</v>
      </c>
      <c r="N135" s="43" t="str">
        <f t="shared" si="5"/>
        <v>Rua A · Prat 9 · C-29</v>
      </c>
      <c r="P135">
        <f>IF(A135="","",IF(AND(K135&lt;&gt;"",L135&lt;&gt;""),IF(COUNTIFS($K$6:K135,K135,$L$6:L135,L135)=1,1,0),0))</f>
        <v>0</v>
      </c>
      <c r="Q135">
        <f>IF(A135="","",IF(AND(K135&lt;&gt;"",M135&lt;&gt;""),IF(COUNTIFS($K$6:K135,K135,$M$6:M135,M135)=1,1,0),0))</f>
        <v>0</v>
      </c>
      <c r="R135">
        <f>IF(A135="","",IF(M135&lt;&gt;"",IF(COUNTIF($M$6:M135,M135)=1,1,0),0))</f>
        <v>0</v>
      </c>
      <c r="T135" t="str">
        <f>IF(AND($M135&lt;&gt;"",$M135='Mapa do Galpão'!$C$20),COUNTIF($M$6:$M135,'Mapa do Galpão'!$C$20),"")</f>
        <v/>
      </c>
    </row>
    <row r="136" spans="1:20" ht="14.25" hidden="1" customHeight="1" x14ac:dyDescent="0.3">
      <c r="A136" s="43" t="s">
        <v>848</v>
      </c>
      <c r="B136" s="44" t="s">
        <v>665</v>
      </c>
      <c r="C136" s="165" t="s">
        <v>168</v>
      </c>
      <c r="D136" s="45" t="str">
        <f t="shared" si="4"/>
        <v>Masculino</v>
      </c>
      <c r="E136" s="43" t="s">
        <v>684</v>
      </c>
      <c r="F136" s="43" t="s">
        <v>838</v>
      </c>
      <c r="G136" s="43" t="s">
        <v>738</v>
      </c>
      <c r="H136" s="43" t="s">
        <v>675</v>
      </c>
      <c r="I136" s="46">
        <f>SUMIFS(Movimentações!$F$6:$F$4998,Movimentações!$C$6:$C$4998,A136,Movimentações!$M$6:$M$4998,M136)</f>
        <v>0</v>
      </c>
      <c r="J136" s="43" t="s">
        <v>670</v>
      </c>
      <c r="K136" s="43" t="s">
        <v>671</v>
      </c>
      <c r="L136" s="47" t="s">
        <v>807</v>
      </c>
      <c r="M136" s="43" t="s">
        <v>839</v>
      </c>
      <c r="N136" s="43" t="str">
        <f t="shared" si="5"/>
        <v>Rua A · Prat 9 · C-29</v>
      </c>
      <c r="P136">
        <f>IF(A136="","",IF(AND(K136&lt;&gt;"",L136&lt;&gt;""),IF(COUNTIFS($K$6:K136,K136,$L$6:L136,L136)=1,1,0),0))</f>
        <v>0</v>
      </c>
      <c r="Q136">
        <f>IF(A136="","",IF(AND(K136&lt;&gt;"",M136&lt;&gt;""),IF(COUNTIFS($K$6:K136,K136,$M$6:M136,M136)=1,1,0),0))</f>
        <v>0</v>
      </c>
      <c r="R136">
        <f>IF(A136="","",IF(M136&lt;&gt;"",IF(COUNTIF($M$6:M136,M136)=1,1,0),0))</f>
        <v>0</v>
      </c>
      <c r="T136" t="str">
        <f>IF(AND($M136&lt;&gt;"",$M136='Mapa do Galpão'!$C$20),COUNTIF($M$6:$M136,'Mapa do Galpão'!$C$20),"")</f>
        <v/>
      </c>
    </row>
    <row r="137" spans="1:20" ht="14.25" hidden="1" customHeight="1" x14ac:dyDescent="0.3">
      <c r="A137" s="43" t="s">
        <v>849</v>
      </c>
      <c r="B137" s="44" t="s">
        <v>665</v>
      </c>
      <c r="C137" s="165" t="s">
        <v>169</v>
      </c>
      <c r="D137" s="45" t="str">
        <f t="shared" si="4"/>
        <v>Masculino</v>
      </c>
      <c r="E137" s="43" t="s">
        <v>684</v>
      </c>
      <c r="F137" s="43" t="s">
        <v>838</v>
      </c>
      <c r="G137" s="43" t="s">
        <v>738</v>
      </c>
      <c r="H137" s="43" t="s">
        <v>669</v>
      </c>
      <c r="I137" s="46">
        <f>SUMIFS(Movimentações!$F$6:$F$4998,Movimentações!$C$6:$C$4998,A137,Movimentações!$M$6:$M$4998,M137)</f>
        <v>0</v>
      </c>
      <c r="J137" s="43" t="s">
        <v>670</v>
      </c>
      <c r="K137" s="43" t="s">
        <v>671</v>
      </c>
      <c r="L137" s="47" t="s">
        <v>807</v>
      </c>
      <c r="M137" s="43" t="s">
        <v>839</v>
      </c>
      <c r="N137" s="43" t="str">
        <f t="shared" si="5"/>
        <v>Rua A · Prat 9 · C-29</v>
      </c>
      <c r="P137">
        <f>IF(A137="","",IF(AND(K137&lt;&gt;"",L137&lt;&gt;""),IF(COUNTIFS($K$6:K137,K137,$L$6:L137,L137)=1,1,0),0))</f>
        <v>0</v>
      </c>
      <c r="Q137">
        <f>IF(A137="","",IF(AND(K137&lt;&gt;"",M137&lt;&gt;""),IF(COUNTIFS($K$6:K137,K137,$M$6:M137,M137)=1,1,0),0))</f>
        <v>0</v>
      </c>
      <c r="R137">
        <f>IF(A137="","",IF(M137&lt;&gt;"",IF(COUNTIF($M$6:M137,M137)=1,1,0),0))</f>
        <v>0</v>
      </c>
      <c r="T137" t="str">
        <f>IF(AND($M137&lt;&gt;"",$M137='Mapa do Galpão'!$C$20),COUNTIF($M$6:$M137,'Mapa do Galpão'!$C$20),"")</f>
        <v/>
      </c>
    </row>
    <row r="138" spans="1:20" ht="14.25" hidden="1" customHeight="1" x14ac:dyDescent="0.3">
      <c r="A138" s="43" t="s">
        <v>850</v>
      </c>
      <c r="B138" s="44" t="s">
        <v>665</v>
      </c>
      <c r="C138" s="165" t="s">
        <v>170</v>
      </c>
      <c r="D138" s="45" t="str">
        <f t="shared" si="4"/>
        <v>Masculino</v>
      </c>
      <c r="E138" s="43" t="s">
        <v>684</v>
      </c>
      <c r="F138" s="43" t="s">
        <v>838</v>
      </c>
      <c r="G138" s="43" t="s">
        <v>738</v>
      </c>
      <c r="H138" s="43" t="s">
        <v>682</v>
      </c>
      <c r="I138" s="46">
        <f>SUMIFS(Movimentações!$F$6:$F$4998,Movimentações!$C$6:$C$4998,A138,Movimentações!$M$6:$M$4998,M138)</f>
        <v>0</v>
      </c>
      <c r="J138" s="43" t="s">
        <v>670</v>
      </c>
      <c r="K138" s="43" t="s">
        <v>671</v>
      </c>
      <c r="L138" s="47" t="s">
        <v>807</v>
      </c>
      <c r="M138" s="43" t="s">
        <v>839</v>
      </c>
      <c r="N138" s="43" t="str">
        <f t="shared" si="5"/>
        <v>Rua A · Prat 9 · C-29</v>
      </c>
      <c r="P138">
        <f>IF(A138="","",IF(AND(K138&lt;&gt;"",L138&lt;&gt;""),IF(COUNTIFS($K$6:K138,K138,$L$6:L138,L138)=1,1,0),0))</f>
        <v>0</v>
      </c>
      <c r="Q138">
        <f>IF(A138="","",IF(AND(K138&lt;&gt;"",M138&lt;&gt;""),IF(COUNTIFS($K$6:K138,K138,$M$6:M138,M138)=1,1,0),0))</f>
        <v>0</v>
      </c>
      <c r="R138">
        <f>IF(A138="","",IF(M138&lt;&gt;"",IF(COUNTIF($M$6:M138,M138)=1,1,0),0))</f>
        <v>0</v>
      </c>
      <c r="T138" t="str">
        <f>IF(AND($M138&lt;&gt;"",$M138='Mapa do Galpão'!$C$20),COUNTIF($M$6:$M138,'Mapa do Galpão'!$C$20),"")</f>
        <v/>
      </c>
    </row>
    <row r="139" spans="1:20" ht="14.25" hidden="1" customHeight="1" x14ac:dyDescent="0.3">
      <c r="A139" s="43" t="s">
        <v>851</v>
      </c>
      <c r="B139" s="44" t="s">
        <v>665</v>
      </c>
      <c r="C139" s="165" t="s">
        <v>171</v>
      </c>
      <c r="D139" s="45" t="str">
        <f t="shared" si="4"/>
        <v>Masculino</v>
      </c>
      <c r="E139" s="43" t="s">
        <v>684</v>
      </c>
      <c r="F139" s="43" t="s">
        <v>838</v>
      </c>
      <c r="G139" s="43" t="s">
        <v>738</v>
      </c>
      <c r="H139" s="43" t="s">
        <v>845</v>
      </c>
      <c r="I139" s="46">
        <f>SUMIFS(Movimentações!$F$6:$F$4998,Movimentações!$C$6:$C$4998,A139,Movimentações!$M$6:$M$4998,M139)</f>
        <v>0</v>
      </c>
      <c r="J139" s="43" t="s">
        <v>670</v>
      </c>
      <c r="K139" s="43" t="s">
        <v>671</v>
      </c>
      <c r="L139" s="47" t="s">
        <v>807</v>
      </c>
      <c r="M139" s="43" t="s">
        <v>839</v>
      </c>
      <c r="N139" s="43" t="str">
        <f t="shared" si="5"/>
        <v>Rua A · Prat 9 · C-29</v>
      </c>
      <c r="P139">
        <f>IF(A139="","",IF(AND(K139&lt;&gt;"",L139&lt;&gt;""),IF(COUNTIFS($K$6:K139,K139,$L$6:L139,L139)=1,1,0),0))</f>
        <v>0</v>
      </c>
      <c r="Q139">
        <f>IF(A139="","",IF(AND(K139&lt;&gt;"",M139&lt;&gt;""),IF(COUNTIFS($K$6:K139,K139,$M$6:M139,M139)=1,1,0),0))</f>
        <v>0</v>
      </c>
      <c r="R139">
        <f>IF(A139="","",IF(M139&lt;&gt;"",IF(COUNTIF($M$6:M139,M139)=1,1,0),0))</f>
        <v>0</v>
      </c>
      <c r="T139" t="str">
        <f>IF(AND($M139&lt;&gt;"",$M139='Mapa do Galpão'!$C$20),COUNTIF($M$6:$M139,'Mapa do Galpão'!$C$20),"")</f>
        <v/>
      </c>
    </row>
    <row r="140" spans="1:20" ht="14.25" hidden="1" customHeight="1" x14ac:dyDescent="0.3">
      <c r="A140" s="43" t="s">
        <v>852</v>
      </c>
      <c r="B140" s="44" t="s">
        <v>665</v>
      </c>
      <c r="C140" s="165" t="s">
        <v>172</v>
      </c>
      <c r="D140" s="45" t="str">
        <f t="shared" si="4"/>
        <v>Feminino</v>
      </c>
      <c r="E140" s="43" t="s">
        <v>684</v>
      </c>
      <c r="F140" s="43" t="s">
        <v>853</v>
      </c>
      <c r="G140" s="43" t="s">
        <v>738</v>
      </c>
      <c r="H140" s="43" t="s">
        <v>680</v>
      </c>
      <c r="I140" s="46">
        <f>SUMIFS(Movimentações!$F$6:$F$4998,Movimentações!$C$6:$C$4998,A140,Movimentações!$M$6:$M$4998,M140)</f>
        <v>0</v>
      </c>
      <c r="J140" s="43" t="s">
        <v>670</v>
      </c>
      <c r="K140" s="43" t="s">
        <v>671</v>
      </c>
      <c r="L140" s="47" t="s">
        <v>807</v>
      </c>
      <c r="M140" s="43" t="s">
        <v>854</v>
      </c>
      <c r="N140" s="43" t="str">
        <f t="shared" si="5"/>
        <v>Rua A · Prat 9 · C-30</v>
      </c>
      <c r="P140">
        <f>IF(A140="","",IF(AND(K140&lt;&gt;"",L140&lt;&gt;""),IF(COUNTIFS($K$6:K140,K140,$L$6:L140,L140)=1,1,0),0))</f>
        <v>0</v>
      </c>
      <c r="Q140">
        <f>IF(A140="","",IF(AND(K140&lt;&gt;"",M140&lt;&gt;""),IF(COUNTIFS($K$6:K140,K140,$M$6:M140,M140)=1,1,0),0))</f>
        <v>1</v>
      </c>
      <c r="R140">
        <f>IF(A140="","",IF(M140&lt;&gt;"",IF(COUNTIF($M$6:M140,M140)=1,1,0),0))</f>
        <v>1</v>
      </c>
      <c r="T140" t="str">
        <f>IF(AND($M140&lt;&gt;"",$M140='Mapa do Galpão'!$C$20),COUNTIF($M$6:$M140,'Mapa do Galpão'!$C$20),"")</f>
        <v/>
      </c>
    </row>
    <row r="141" spans="1:20" ht="14.25" hidden="1" customHeight="1" x14ac:dyDescent="0.3">
      <c r="A141" s="43" t="s">
        <v>855</v>
      </c>
      <c r="B141" s="44" t="s">
        <v>665</v>
      </c>
      <c r="C141" s="165" t="s">
        <v>173</v>
      </c>
      <c r="D141" s="45" t="str">
        <f t="shared" si="4"/>
        <v>Feminino</v>
      </c>
      <c r="E141" s="43" t="s">
        <v>684</v>
      </c>
      <c r="F141" s="43" t="s">
        <v>853</v>
      </c>
      <c r="G141" s="43" t="s">
        <v>738</v>
      </c>
      <c r="H141" s="43" t="s">
        <v>675</v>
      </c>
      <c r="I141" s="46">
        <f>SUMIFS(Movimentações!$F$6:$F$4998,Movimentações!$C$6:$C$4998,A141,Movimentações!$M$6:$M$4998,M141)</f>
        <v>0</v>
      </c>
      <c r="J141" s="43" t="s">
        <v>670</v>
      </c>
      <c r="K141" s="43" t="s">
        <v>671</v>
      </c>
      <c r="L141" s="47" t="s">
        <v>807</v>
      </c>
      <c r="M141" s="43" t="s">
        <v>854</v>
      </c>
      <c r="N141" s="43" t="str">
        <f t="shared" si="5"/>
        <v>Rua A · Prat 9 · C-30</v>
      </c>
      <c r="P141">
        <f>IF(A141="","",IF(AND(K141&lt;&gt;"",L141&lt;&gt;""),IF(COUNTIFS($K$6:K141,K141,$L$6:L141,L141)=1,1,0),0))</f>
        <v>0</v>
      </c>
      <c r="Q141">
        <f>IF(A141="","",IF(AND(K141&lt;&gt;"",M141&lt;&gt;""),IF(COUNTIFS($K$6:K141,K141,$M$6:M141,M141)=1,1,0),0))</f>
        <v>0</v>
      </c>
      <c r="R141">
        <f>IF(A141="","",IF(M141&lt;&gt;"",IF(COUNTIF($M$6:M141,M141)=1,1,0),0))</f>
        <v>0</v>
      </c>
      <c r="T141" t="str">
        <f>IF(AND($M141&lt;&gt;"",$M141='Mapa do Galpão'!$C$20),COUNTIF($M$6:$M141,'Mapa do Galpão'!$C$20),"")</f>
        <v/>
      </c>
    </row>
    <row r="142" spans="1:20" ht="14.25" hidden="1" customHeight="1" x14ac:dyDescent="0.3">
      <c r="A142" s="43" t="s">
        <v>856</v>
      </c>
      <c r="B142" s="44" t="s">
        <v>665</v>
      </c>
      <c r="C142" s="165" t="s">
        <v>174</v>
      </c>
      <c r="D142" s="45" t="str">
        <f t="shared" si="4"/>
        <v>Feminino</v>
      </c>
      <c r="E142" s="43" t="s">
        <v>684</v>
      </c>
      <c r="F142" s="43" t="s">
        <v>853</v>
      </c>
      <c r="G142" s="43" t="s">
        <v>738</v>
      </c>
      <c r="H142" s="43" t="s">
        <v>669</v>
      </c>
      <c r="I142" s="46">
        <f>SUMIFS(Movimentações!$F$6:$F$4998,Movimentações!$C$6:$C$4998,A142,Movimentações!$M$6:$M$4998,M142)</f>
        <v>0</v>
      </c>
      <c r="J142" s="43" t="s">
        <v>670</v>
      </c>
      <c r="K142" s="43" t="s">
        <v>671</v>
      </c>
      <c r="L142" s="47" t="s">
        <v>807</v>
      </c>
      <c r="M142" s="43" t="s">
        <v>854</v>
      </c>
      <c r="N142" s="43" t="str">
        <f t="shared" si="5"/>
        <v>Rua A · Prat 9 · C-30</v>
      </c>
      <c r="P142">
        <f>IF(A142="","",IF(AND(K142&lt;&gt;"",L142&lt;&gt;""),IF(COUNTIFS($K$6:K142,K142,$L$6:L142,L142)=1,1,0),0))</f>
        <v>0</v>
      </c>
      <c r="Q142">
        <f>IF(A142="","",IF(AND(K142&lt;&gt;"",M142&lt;&gt;""),IF(COUNTIFS($K$6:K142,K142,$M$6:M142,M142)=1,1,0),0))</f>
        <v>0</v>
      </c>
      <c r="R142">
        <f>IF(A142="","",IF(M142&lt;&gt;"",IF(COUNTIF($M$6:M142,M142)=1,1,0),0))</f>
        <v>0</v>
      </c>
      <c r="T142" t="str">
        <f>IF(AND($M142&lt;&gt;"",$M142='Mapa do Galpão'!$C$20),COUNTIF($M$6:$M142,'Mapa do Galpão'!$C$20),"")</f>
        <v/>
      </c>
    </row>
    <row r="143" spans="1:20" ht="14.25" hidden="1" customHeight="1" x14ac:dyDescent="0.3">
      <c r="A143" s="43" t="s">
        <v>857</v>
      </c>
      <c r="B143" s="44" t="s">
        <v>665</v>
      </c>
      <c r="C143" s="165" t="s">
        <v>175</v>
      </c>
      <c r="D143" s="45" t="str">
        <f t="shared" si="4"/>
        <v>Feminino</v>
      </c>
      <c r="E143" s="43" t="s">
        <v>684</v>
      </c>
      <c r="F143" s="43" t="s">
        <v>853</v>
      </c>
      <c r="G143" s="43" t="s">
        <v>738</v>
      </c>
      <c r="H143" s="43" t="s">
        <v>682</v>
      </c>
      <c r="I143" s="46">
        <f>SUMIFS(Movimentações!$F$6:$F$4998,Movimentações!$C$6:$C$4998,A143,Movimentações!$M$6:$M$4998,M143)</f>
        <v>0</v>
      </c>
      <c r="J143" s="43" t="s">
        <v>670</v>
      </c>
      <c r="K143" s="43" t="s">
        <v>671</v>
      </c>
      <c r="L143" s="47" t="s">
        <v>807</v>
      </c>
      <c r="M143" s="43" t="s">
        <v>854</v>
      </c>
      <c r="N143" s="43" t="str">
        <f t="shared" si="5"/>
        <v>Rua A · Prat 9 · C-30</v>
      </c>
      <c r="P143">
        <f>IF(A143="","",IF(AND(K143&lt;&gt;"",L143&lt;&gt;""),IF(COUNTIFS($K$6:K143,K143,$L$6:L143,L143)=1,1,0),0))</f>
        <v>0</v>
      </c>
      <c r="Q143">
        <f>IF(A143="","",IF(AND(K143&lt;&gt;"",M143&lt;&gt;""),IF(COUNTIFS($K$6:K143,K143,$M$6:M143,M143)=1,1,0),0))</f>
        <v>0</v>
      </c>
      <c r="R143">
        <f>IF(A143="","",IF(M143&lt;&gt;"",IF(COUNTIF($M$6:M143,M143)=1,1,0),0))</f>
        <v>0</v>
      </c>
      <c r="T143" t="str">
        <f>IF(AND($M143&lt;&gt;"",$M143='Mapa do Galpão'!$C$20),COUNTIF($M$6:$M143,'Mapa do Galpão'!$C$20),"")</f>
        <v/>
      </c>
    </row>
    <row r="144" spans="1:20" ht="14.25" hidden="1" customHeight="1" x14ac:dyDescent="0.3">
      <c r="A144" s="43" t="s">
        <v>858</v>
      </c>
      <c r="B144" s="44" t="s">
        <v>665</v>
      </c>
      <c r="C144" s="165" t="s">
        <v>176</v>
      </c>
      <c r="D144" s="45" t="str">
        <f t="shared" si="4"/>
        <v>Feminino</v>
      </c>
      <c r="E144" s="43" t="s">
        <v>684</v>
      </c>
      <c r="F144" s="43" t="s">
        <v>853</v>
      </c>
      <c r="G144" s="43" t="s">
        <v>738</v>
      </c>
      <c r="H144" s="43" t="s">
        <v>677</v>
      </c>
      <c r="I144" s="46">
        <f>SUMIFS(Movimentações!$F$6:$F$4998,Movimentações!$C$6:$C$4998,A144,Movimentações!$M$6:$M$4998,M144)</f>
        <v>0</v>
      </c>
      <c r="J144" s="43" t="s">
        <v>670</v>
      </c>
      <c r="K144" s="43" t="s">
        <v>671</v>
      </c>
      <c r="L144" s="47" t="s">
        <v>807</v>
      </c>
      <c r="M144" s="43" t="s">
        <v>854</v>
      </c>
      <c r="N144" s="43" t="str">
        <f t="shared" si="5"/>
        <v>Rua A · Prat 9 · C-30</v>
      </c>
      <c r="P144">
        <f>IF(A144="","",IF(AND(K144&lt;&gt;"",L144&lt;&gt;""),IF(COUNTIFS($K$6:K144,K144,$L$6:L144,L144)=1,1,0),0))</f>
        <v>0</v>
      </c>
      <c r="Q144">
        <f>IF(A144="","",IF(AND(K144&lt;&gt;"",M144&lt;&gt;""),IF(COUNTIFS($K$6:K144,K144,$M$6:M144,M144)=1,1,0),0))</f>
        <v>0</v>
      </c>
      <c r="R144">
        <f>IF(A144="","",IF(M144&lt;&gt;"",IF(COUNTIF($M$6:M144,M144)=1,1,0),0))</f>
        <v>0</v>
      </c>
      <c r="T144" t="str">
        <f>IF(AND($M144&lt;&gt;"",$M144='Mapa do Galpão'!$C$20),COUNTIF($M$6:$M144,'Mapa do Galpão'!$C$20),"")</f>
        <v/>
      </c>
    </row>
    <row r="145" spans="1:20" ht="14.25" hidden="1" customHeight="1" x14ac:dyDescent="0.3">
      <c r="A145" s="43" t="s">
        <v>859</v>
      </c>
      <c r="B145" s="44" t="s">
        <v>665</v>
      </c>
      <c r="C145" s="165" t="s">
        <v>177</v>
      </c>
      <c r="D145" s="45" t="str">
        <f t="shared" si="4"/>
        <v>Feminino</v>
      </c>
      <c r="E145" s="43" t="s">
        <v>666</v>
      </c>
      <c r="F145" s="43" t="s">
        <v>822</v>
      </c>
      <c r="G145" s="43" t="s">
        <v>738</v>
      </c>
      <c r="H145" s="43" t="s">
        <v>756</v>
      </c>
      <c r="I145" s="46">
        <f>SUMIFS(Movimentações!$F$6:$F$4998,Movimentações!$C$6:$C$4998,A145,Movimentações!$M$6:$M$4998,M145)</f>
        <v>0</v>
      </c>
      <c r="J145" s="43" t="s">
        <v>670</v>
      </c>
      <c r="K145" s="43" t="s">
        <v>671</v>
      </c>
      <c r="L145" s="47" t="s">
        <v>807</v>
      </c>
      <c r="M145" s="43" t="s">
        <v>860</v>
      </c>
      <c r="N145" s="43" t="str">
        <f t="shared" si="5"/>
        <v>Rua A · Prat 9 · C-31</v>
      </c>
      <c r="P145">
        <f>IF(A145="","",IF(AND(K145&lt;&gt;"",L145&lt;&gt;""),IF(COUNTIFS($K$6:K145,K145,$L$6:L145,L145)=1,1,0),0))</f>
        <v>0</v>
      </c>
      <c r="Q145">
        <f>IF(A145="","",IF(AND(K145&lt;&gt;"",M145&lt;&gt;""),IF(COUNTIFS($K$6:K145,K145,$M$6:M145,M145)=1,1,0),0))</f>
        <v>1</v>
      </c>
      <c r="R145">
        <f>IF(A145="","",IF(M145&lt;&gt;"",IF(COUNTIF($M$6:M145,M145)=1,1,0),0))</f>
        <v>1</v>
      </c>
      <c r="T145" t="str">
        <f>IF(AND($M145&lt;&gt;"",$M145='Mapa do Galpão'!$C$20),COUNTIF($M$6:$M145,'Mapa do Galpão'!$C$20),"")</f>
        <v/>
      </c>
    </row>
    <row r="146" spans="1:20" ht="14.25" hidden="1" customHeight="1" x14ac:dyDescent="0.3">
      <c r="A146" s="43" t="s">
        <v>861</v>
      </c>
      <c r="B146" s="44" t="s">
        <v>665</v>
      </c>
      <c r="C146" s="165" t="s">
        <v>178</v>
      </c>
      <c r="D146" s="45" t="str">
        <f t="shared" si="4"/>
        <v>Feminino</v>
      </c>
      <c r="E146" s="43" t="s">
        <v>666</v>
      </c>
      <c r="F146" s="43" t="s">
        <v>822</v>
      </c>
      <c r="G146" s="43" t="s">
        <v>738</v>
      </c>
      <c r="H146" s="43" t="s">
        <v>680</v>
      </c>
      <c r="I146" s="46">
        <f>SUMIFS(Movimentações!$F$6:$F$4998,Movimentações!$C$6:$C$4998,A146,Movimentações!$M$6:$M$4998,M146)</f>
        <v>0</v>
      </c>
      <c r="J146" s="43" t="s">
        <v>670</v>
      </c>
      <c r="K146" s="43" t="s">
        <v>671</v>
      </c>
      <c r="L146" s="47" t="s">
        <v>807</v>
      </c>
      <c r="M146" s="43" t="s">
        <v>860</v>
      </c>
      <c r="N146" s="43" t="str">
        <f t="shared" si="5"/>
        <v>Rua A · Prat 9 · C-31</v>
      </c>
      <c r="P146">
        <f>IF(A146="","",IF(AND(K146&lt;&gt;"",L146&lt;&gt;""),IF(COUNTIFS($K$6:K146,K146,$L$6:L146,L146)=1,1,0),0))</f>
        <v>0</v>
      </c>
      <c r="Q146">
        <f>IF(A146="","",IF(AND(K146&lt;&gt;"",M146&lt;&gt;""),IF(COUNTIFS($K$6:K146,K146,$M$6:M146,M146)=1,1,0),0))</f>
        <v>0</v>
      </c>
      <c r="R146">
        <f>IF(A146="","",IF(M146&lt;&gt;"",IF(COUNTIF($M$6:M146,M146)=1,1,0),0))</f>
        <v>0</v>
      </c>
      <c r="T146" t="str">
        <f>IF(AND($M146&lt;&gt;"",$M146='Mapa do Galpão'!$C$20),COUNTIF($M$6:$M146,'Mapa do Galpão'!$C$20),"")</f>
        <v/>
      </c>
    </row>
    <row r="147" spans="1:20" ht="14.25" hidden="1" customHeight="1" x14ac:dyDescent="0.3">
      <c r="A147" s="43" t="s">
        <v>862</v>
      </c>
      <c r="B147" s="44" t="s">
        <v>665</v>
      </c>
      <c r="C147" s="165" t="s">
        <v>179</v>
      </c>
      <c r="D147" s="45" t="str">
        <f t="shared" si="4"/>
        <v>Feminino</v>
      </c>
      <c r="E147" s="43" t="s">
        <v>666</v>
      </c>
      <c r="F147" s="43" t="s">
        <v>822</v>
      </c>
      <c r="G147" s="43" t="s">
        <v>738</v>
      </c>
      <c r="H147" s="43" t="s">
        <v>675</v>
      </c>
      <c r="I147" s="46">
        <f>SUMIFS(Movimentações!$F$6:$F$4998,Movimentações!$C$6:$C$4998,A147,Movimentações!$M$6:$M$4998,M147)</f>
        <v>0</v>
      </c>
      <c r="J147" s="43" t="s">
        <v>670</v>
      </c>
      <c r="K147" s="43" t="s">
        <v>671</v>
      </c>
      <c r="L147" s="47" t="s">
        <v>807</v>
      </c>
      <c r="M147" s="43" t="s">
        <v>860</v>
      </c>
      <c r="N147" s="43" t="str">
        <f t="shared" si="5"/>
        <v>Rua A · Prat 9 · C-31</v>
      </c>
      <c r="P147">
        <f>IF(A147="","",IF(AND(K147&lt;&gt;"",L147&lt;&gt;""),IF(COUNTIFS($K$6:K147,K147,$L$6:L147,L147)=1,1,0),0))</f>
        <v>0</v>
      </c>
      <c r="Q147">
        <f>IF(A147="","",IF(AND(K147&lt;&gt;"",M147&lt;&gt;""),IF(COUNTIFS($K$6:K147,K147,$M$6:M147,M147)=1,1,0),0))</f>
        <v>0</v>
      </c>
      <c r="R147">
        <f>IF(A147="","",IF(M147&lt;&gt;"",IF(COUNTIF($M$6:M147,M147)=1,1,0),0))</f>
        <v>0</v>
      </c>
      <c r="T147" t="str">
        <f>IF(AND($M147&lt;&gt;"",$M147='Mapa do Galpão'!$C$20),COUNTIF($M$6:$M147,'Mapa do Galpão'!$C$20),"")</f>
        <v/>
      </c>
    </row>
    <row r="148" spans="1:20" ht="14.25" hidden="1" customHeight="1" x14ac:dyDescent="0.3">
      <c r="A148" s="43" t="s">
        <v>863</v>
      </c>
      <c r="B148" s="44" t="s">
        <v>665</v>
      </c>
      <c r="C148" s="165" t="s">
        <v>180</v>
      </c>
      <c r="D148" s="45" t="str">
        <f t="shared" si="4"/>
        <v>Feminino</v>
      </c>
      <c r="E148" s="43" t="s">
        <v>666</v>
      </c>
      <c r="F148" s="43" t="s">
        <v>822</v>
      </c>
      <c r="G148" s="43" t="s">
        <v>738</v>
      </c>
      <c r="H148" s="43" t="s">
        <v>669</v>
      </c>
      <c r="I148" s="46">
        <f>SUMIFS(Movimentações!$F$6:$F$4998,Movimentações!$C$6:$C$4998,A148,Movimentações!$M$6:$M$4998,M148)</f>
        <v>0</v>
      </c>
      <c r="J148" s="43" t="s">
        <v>670</v>
      </c>
      <c r="K148" s="43" t="s">
        <v>671</v>
      </c>
      <c r="L148" s="47" t="s">
        <v>807</v>
      </c>
      <c r="M148" s="43" t="s">
        <v>860</v>
      </c>
      <c r="N148" s="43" t="str">
        <f t="shared" si="5"/>
        <v>Rua A · Prat 9 · C-31</v>
      </c>
      <c r="P148">
        <f>IF(A148="","",IF(AND(K148&lt;&gt;"",L148&lt;&gt;""),IF(COUNTIFS($K$6:K148,K148,$L$6:L148,L148)=1,1,0),0))</f>
        <v>0</v>
      </c>
      <c r="Q148">
        <f>IF(A148="","",IF(AND(K148&lt;&gt;"",M148&lt;&gt;""),IF(COUNTIFS($K$6:K148,K148,$M$6:M148,M148)=1,1,0),0))</f>
        <v>0</v>
      </c>
      <c r="R148">
        <f>IF(A148="","",IF(M148&lt;&gt;"",IF(COUNTIF($M$6:M148,M148)=1,1,0),0))</f>
        <v>0</v>
      </c>
      <c r="T148" t="str">
        <f>IF(AND($M148&lt;&gt;"",$M148='Mapa do Galpão'!$C$20),COUNTIF($M$6:$M148,'Mapa do Galpão'!$C$20),"")</f>
        <v/>
      </c>
    </row>
    <row r="149" spans="1:20" ht="14.25" hidden="1" customHeight="1" x14ac:dyDescent="0.3">
      <c r="A149" s="43" t="s">
        <v>864</v>
      </c>
      <c r="B149" s="44" t="s">
        <v>665</v>
      </c>
      <c r="C149" s="165" t="s">
        <v>181</v>
      </c>
      <c r="D149" s="45" t="str">
        <f t="shared" si="4"/>
        <v>Feminino</v>
      </c>
      <c r="E149" s="43" t="s">
        <v>666</v>
      </c>
      <c r="F149" s="43" t="s">
        <v>822</v>
      </c>
      <c r="G149" s="43" t="s">
        <v>738</v>
      </c>
      <c r="H149" s="43" t="s">
        <v>682</v>
      </c>
      <c r="I149" s="46">
        <f>SUMIFS(Movimentações!$F$6:$F$4998,Movimentações!$C$6:$C$4998,A149,Movimentações!$M$6:$M$4998,M149)</f>
        <v>0</v>
      </c>
      <c r="J149" s="43" t="s">
        <v>670</v>
      </c>
      <c r="K149" s="43" t="s">
        <v>671</v>
      </c>
      <c r="L149" s="47" t="s">
        <v>807</v>
      </c>
      <c r="M149" s="43" t="s">
        <v>860</v>
      </c>
      <c r="N149" s="43" t="str">
        <f t="shared" si="5"/>
        <v>Rua A · Prat 9 · C-31</v>
      </c>
      <c r="P149">
        <f>IF(A149="","",IF(AND(K149&lt;&gt;"",L149&lt;&gt;""),IF(COUNTIFS($K$6:K149,K149,$L$6:L149,L149)=1,1,0),0))</f>
        <v>0</v>
      </c>
      <c r="Q149">
        <f>IF(A149="","",IF(AND(K149&lt;&gt;"",M149&lt;&gt;""),IF(COUNTIFS($K$6:K149,K149,$M$6:M149,M149)=1,1,0),0))</f>
        <v>0</v>
      </c>
      <c r="R149">
        <f>IF(A149="","",IF(M149&lt;&gt;"",IF(COUNTIF($M$6:M149,M149)=1,1,0),0))</f>
        <v>0</v>
      </c>
      <c r="T149" t="str">
        <f>IF(AND($M149&lt;&gt;"",$M149='Mapa do Galpão'!$C$20),COUNTIF($M$6:$M149,'Mapa do Galpão'!$C$20),"")</f>
        <v/>
      </c>
    </row>
    <row r="150" spans="1:20" ht="14.25" hidden="1" customHeight="1" x14ac:dyDescent="0.3">
      <c r="A150" s="43" t="s">
        <v>865</v>
      </c>
      <c r="B150" s="44" t="s">
        <v>665</v>
      </c>
      <c r="C150" s="165" t="s">
        <v>182</v>
      </c>
      <c r="D150" s="45" t="str">
        <f t="shared" si="4"/>
        <v>Feminino</v>
      </c>
      <c r="E150" s="43" t="s">
        <v>666</v>
      </c>
      <c r="F150" s="43" t="s">
        <v>822</v>
      </c>
      <c r="G150" s="43" t="s">
        <v>738</v>
      </c>
      <c r="H150" s="43" t="s">
        <v>677</v>
      </c>
      <c r="I150" s="46">
        <f>SUMIFS(Movimentações!$F$6:$F$4998,Movimentações!$C$6:$C$4998,A150,Movimentações!$M$6:$M$4998,M150)</f>
        <v>0</v>
      </c>
      <c r="J150" s="43" t="s">
        <v>670</v>
      </c>
      <c r="K150" s="43" t="s">
        <v>671</v>
      </c>
      <c r="L150" s="47" t="s">
        <v>807</v>
      </c>
      <c r="M150" s="43" t="s">
        <v>860</v>
      </c>
      <c r="N150" s="43" t="str">
        <f t="shared" si="5"/>
        <v>Rua A · Prat 9 · C-31</v>
      </c>
      <c r="P150">
        <f>IF(A150="","",IF(AND(K150&lt;&gt;"",L150&lt;&gt;""),IF(COUNTIFS($K$6:K150,K150,$L$6:L150,L150)=1,1,0),0))</f>
        <v>0</v>
      </c>
      <c r="Q150">
        <f>IF(A150="","",IF(AND(K150&lt;&gt;"",M150&lt;&gt;""),IF(COUNTIFS($K$6:K150,K150,$M$6:M150,M150)=1,1,0),0))</f>
        <v>0</v>
      </c>
      <c r="R150">
        <f>IF(A150="","",IF(M150&lt;&gt;"",IF(COUNTIF($M$6:M150,M150)=1,1,0),0))</f>
        <v>0</v>
      </c>
      <c r="T150" t="str">
        <f>IF(AND($M150&lt;&gt;"",$M150='Mapa do Galpão'!$C$20),COUNTIF($M$6:$M150,'Mapa do Galpão'!$C$20),"")</f>
        <v/>
      </c>
    </row>
    <row r="151" spans="1:20" ht="14.25" hidden="1" customHeight="1" x14ac:dyDescent="0.3">
      <c r="A151" s="43" t="s">
        <v>866</v>
      </c>
      <c r="B151" s="44" t="s">
        <v>665</v>
      </c>
      <c r="C151" s="165" t="s">
        <v>183</v>
      </c>
      <c r="D151" s="45" t="str">
        <f t="shared" si="4"/>
        <v>Masculino</v>
      </c>
      <c r="E151" s="43" t="s">
        <v>709</v>
      </c>
      <c r="F151" s="43" t="s">
        <v>867</v>
      </c>
      <c r="G151" s="43" t="s">
        <v>668</v>
      </c>
      <c r="H151" s="43" t="s">
        <v>669</v>
      </c>
      <c r="I151" s="46">
        <f>SUMIFS(Movimentações!$F$6:$F$4998,Movimentações!$C$6:$C$4998,A151,Movimentações!$M$6:$M$4998,M151)</f>
        <v>4</v>
      </c>
      <c r="J151" s="43" t="s">
        <v>670</v>
      </c>
      <c r="K151" s="43" t="s">
        <v>671</v>
      </c>
      <c r="L151" s="47" t="s">
        <v>807</v>
      </c>
      <c r="M151" s="43" t="s">
        <v>868</v>
      </c>
      <c r="N151" s="43" t="str">
        <f t="shared" si="5"/>
        <v>Rua A · Prat 9 · C-32</v>
      </c>
      <c r="P151">
        <f>IF(A151="","",IF(AND(K151&lt;&gt;"",L151&lt;&gt;""),IF(COUNTIFS($K$6:K151,K151,$L$6:L151,L151)=1,1,0),0))</f>
        <v>0</v>
      </c>
      <c r="Q151">
        <f>IF(A151="","",IF(AND(K151&lt;&gt;"",M151&lt;&gt;""),IF(COUNTIFS($K$6:K151,K151,$M$6:M151,M151)=1,1,0),0))</f>
        <v>1</v>
      </c>
      <c r="R151">
        <f>IF(A151="","",IF(M151&lt;&gt;"",IF(COUNTIF($M$6:M151,M151)=1,1,0),0))</f>
        <v>1</v>
      </c>
      <c r="T151" t="str">
        <f>IF(AND($M151&lt;&gt;"",$M151='Mapa do Galpão'!$C$20),COUNTIF($M$6:$M151,'Mapa do Galpão'!$C$20),"")</f>
        <v/>
      </c>
    </row>
    <row r="152" spans="1:20" ht="14.25" hidden="1" customHeight="1" x14ac:dyDescent="0.3">
      <c r="A152" s="43" t="s">
        <v>869</v>
      </c>
      <c r="B152" s="44" t="s">
        <v>665</v>
      </c>
      <c r="C152" s="165" t="s">
        <v>184</v>
      </c>
      <c r="D152" s="45" t="str">
        <f t="shared" si="4"/>
        <v>Masculino</v>
      </c>
      <c r="E152" s="43" t="s">
        <v>709</v>
      </c>
      <c r="F152" s="43" t="s">
        <v>867</v>
      </c>
      <c r="G152" s="43" t="s">
        <v>668</v>
      </c>
      <c r="H152" s="43" t="s">
        <v>682</v>
      </c>
      <c r="I152" s="46">
        <f>SUMIFS(Movimentações!$F$6:$F$4998,Movimentações!$C$6:$C$4998,A152,Movimentações!$M$6:$M$4998,M152)</f>
        <v>4</v>
      </c>
      <c r="J152" s="43" t="s">
        <v>670</v>
      </c>
      <c r="K152" s="43" t="s">
        <v>671</v>
      </c>
      <c r="L152" s="47" t="s">
        <v>807</v>
      </c>
      <c r="M152" s="43" t="s">
        <v>868</v>
      </c>
      <c r="N152" s="43" t="str">
        <f t="shared" si="5"/>
        <v>Rua A · Prat 9 · C-32</v>
      </c>
      <c r="P152">
        <f>IF(A152="","",IF(AND(K152&lt;&gt;"",L152&lt;&gt;""),IF(COUNTIFS($K$6:K152,K152,$L$6:L152,L152)=1,1,0),0))</f>
        <v>0</v>
      </c>
      <c r="Q152">
        <f>IF(A152="","",IF(AND(K152&lt;&gt;"",M152&lt;&gt;""),IF(COUNTIFS($K$6:K152,K152,$M$6:M152,M152)=1,1,0),0))</f>
        <v>0</v>
      </c>
      <c r="R152">
        <f>IF(A152="","",IF(M152&lt;&gt;"",IF(COUNTIF($M$6:M152,M152)=1,1,0),0))</f>
        <v>0</v>
      </c>
      <c r="T152" t="str">
        <f>IF(AND($M152&lt;&gt;"",$M152='Mapa do Galpão'!$C$20),COUNTIF($M$6:$M152,'Mapa do Galpão'!$C$20),"")</f>
        <v/>
      </c>
    </row>
    <row r="153" spans="1:20" ht="14.25" hidden="1" customHeight="1" x14ac:dyDescent="0.3">
      <c r="A153" s="43" t="s">
        <v>870</v>
      </c>
      <c r="B153" s="44" t="s">
        <v>665</v>
      </c>
      <c r="C153" s="165" t="s">
        <v>185</v>
      </c>
      <c r="D153" s="45" t="str">
        <f t="shared" si="4"/>
        <v>Feminino</v>
      </c>
      <c r="E153" s="43" t="s">
        <v>709</v>
      </c>
      <c r="F153" s="43" t="s">
        <v>871</v>
      </c>
      <c r="G153" s="43" t="s">
        <v>668</v>
      </c>
      <c r="H153" s="43" t="s">
        <v>680</v>
      </c>
      <c r="I153" s="46">
        <f>SUMIFS(Movimentações!$F$6:$F$4998,Movimentações!$C$6:$C$4998,A153,Movimentações!$M$6:$M$4998,M153)</f>
        <v>8</v>
      </c>
      <c r="J153" s="43" t="s">
        <v>670</v>
      </c>
      <c r="K153" s="43" t="s">
        <v>671</v>
      </c>
      <c r="L153" s="47" t="s">
        <v>807</v>
      </c>
      <c r="M153" s="43" t="s">
        <v>872</v>
      </c>
      <c r="N153" s="43" t="str">
        <f t="shared" si="5"/>
        <v>Rua A · Prat 9 · C-33</v>
      </c>
      <c r="P153">
        <f>IF(A153="","",IF(AND(K153&lt;&gt;"",L153&lt;&gt;""),IF(COUNTIFS($K$6:K153,K153,$L$6:L153,L153)=1,1,0),0))</f>
        <v>0</v>
      </c>
      <c r="Q153">
        <f>IF(A153="","",IF(AND(K153&lt;&gt;"",M153&lt;&gt;""),IF(COUNTIFS($K$6:K153,K153,$M$6:M153,M153)=1,1,0),0))</f>
        <v>1</v>
      </c>
      <c r="R153">
        <f>IF(A153="","",IF(M153&lt;&gt;"",IF(COUNTIF($M$6:M153,M153)=1,1,0),0))</f>
        <v>1</v>
      </c>
      <c r="T153" t="str">
        <f>IF(AND($M153&lt;&gt;"",$M153='Mapa do Galpão'!$C$20),COUNTIF($M$6:$M153,'Mapa do Galpão'!$C$20),"")</f>
        <v/>
      </c>
    </row>
    <row r="154" spans="1:20" ht="14.25" hidden="1" customHeight="1" x14ac:dyDescent="0.3">
      <c r="A154" s="43" t="s">
        <v>873</v>
      </c>
      <c r="B154" s="44" t="s">
        <v>665</v>
      </c>
      <c r="C154" s="165" t="s">
        <v>186</v>
      </c>
      <c r="D154" s="45" t="str">
        <f t="shared" si="4"/>
        <v>Feminino</v>
      </c>
      <c r="E154" s="43" t="s">
        <v>709</v>
      </c>
      <c r="F154" s="43" t="s">
        <v>871</v>
      </c>
      <c r="G154" s="43" t="s">
        <v>668</v>
      </c>
      <c r="H154" s="43" t="s">
        <v>675</v>
      </c>
      <c r="I154" s="46">
        <f>SUMIFS(Movimentações!$F$6:$F$4998,Movimentações!$C$6:$C$4998,A154,Movimentações!$M$6:$M$4998,M154)</f>
        <v>8</v>
      </c>
      <c r="J154" s="43" t="s">
        <v>670</v>
      </c>
      <c r="K154" s="43" t="s">
        <v>671</v>
      </c>
      <c r="L154" s="47" t="s">
        <v>807</v>
      </c>
      <c r="M154" s="43" t="s">
        <v>872</v>
      </c>
      <c r="N154" s="43" t="str">
        <f t="shared" si="5"/>
        <v>Rua A · Prat 9 · C-33</v>
      </c>
      <c r="P154">
        <f>IF(A154="","",IF(AND(K154&lt;&gt;"",L154&lt;&gt;""),IF(COUNTIFS($K$6:K154,K154,$L$6:L154,L154)=1,1,0),0))</f>
        <v>0</v>
      </c>
      <c r="Q154">
        <f>IF(A154="","",IF(AND(K154&lt;&gt;"",M154&lt;&gt;""),IF(COUNTIFS($K$6:K154,K154,$M$6:M154,M154)=1,1,0),0))</f>
        <v>0</v>
      </c>
      <c r="R154">
        <f>IF(A154="","",IF(M154&lt;&gt;"",IF(COUNTIF($M$6:M154,M154)=1,1,0),0))</f>
        <v>0</v>
      </c>
      <c r="T154" t="str">
        <f>IF(AND($M154&lt;&gt;"",$M154='Mapa do Galpão'!$C$20),COUNTIF($M$6:$M154,'Mapa do Galpão'!$C$20),"")</f>
        <v/>
      </c>
    </row>
    <row r="155" spans="1:20" ht="14.25" hidden="1" customHeight="1" x14ac:dyDescent="0.3">
      <c r="A155" s="43" t="s">
        <v>874</v>
      </c>
      <c r="B155" s="44" t="s">
        <v>665</v>
      </c>
      <c r="C155" s="165" t="s">
        <v>187</v>
      </c>
      <c r="D155" s="45" t="str">
        <f t="shared" si="4"/>
        <v>Feminino</v>
      </c>
      <c r="E155" s="43" t="s">
        <v>709</v>
      </c>
      <c r="F155" s="43" t="s">
        <v>871</v>
      </c>
      <c r="G155" s="43" t="s">
        <v>668</v>
      </c>
      <c r="H155" s="43" t="s">
        <v>669</v>
      </c>
      <c r="I155" s="46">
        <f>SUMIFS(Movimentações!$F$6:$F$4998,Movimentações!$C$6:$C$4998,A155,Movimentações!$M$6:$M$4998,M155)</f>
        <v>9</v>
      </c>
      <c r="J155" s="43" t="s">
        <v>670</v>
      </c>
      <c r="K155" s="43" t="s">
        <v>671</v>
      </c>
      <c r="L155" s="47" t="s">
        <v>807</v>
      </c>
      <c r="M155" s="43" t="s">
        <v>872</v>
      </c>
      <c r="N155" s="43" t="str">
        <f t="shared" si="5"/>
        <v>Rua A · Prat 9 · C-33</v>
      </c>
      <c r="P155">
        <f>IF(A155="","",IF(AND(K155&lt;&gt;"",L155&lt;&gt;""),IF(COUNTIFS($K$6:K155,K155,$L$6:L155,L155)=1,1,0),0))</f>
        <v>0</v>
      </c>
      <c r="Q155">
        <f>IF(A155="","",IF(AND(K155&lt;&gt;"",M155&lt;&gt;""),IF(COUNTIFS($K$6:K155,K155,$M$6:M155,M155)=1,1,0),0))</f>
        <v>0</v>
      </c>
      <c r="R155">
        <f>IF(A155="","",IF(M155&lt;&gt;"",IF(COUNTIF($M$6:M155,M155)=1,1,0),0))</f>
        <v>0</v>
      </c>
      <c r="T155" t="str">
        <f>IF(AND($M155&lt;&gt;"",$M155='Mapa do Galpão'!$C$20),COUNTIF($M$6:$M155,'Mapa do Galpão'!$C$20),"")</f>
        <v/>
      </c>
    </row>
    <row r="156" spans="1:20" ht="14.25" hidden="1" customHeight="1" x14ac:dyDescent="0.3">
      <c r="A156" s="43" t="s">
        <v>875</v>
      </c>
      <c r="B156" s="44" t="s">
        <v>665</v>
      </c>
      <c r="C156" s="165" t="s">
        <v>188</v>
      </c>
      <c r="D156" s="45" t="str">
        <f t="shared" si="4"/>
        <v>Feminino</v>
      </c>
      <c r="E156" s="43" t="s">
        <v>709</v>
      </c>
      <c r="F156" s="43" t="s">
        <v>871</v>
      </c>
      <c r="G156" s="43" t="s">
        <v>668</v>
      </c>
      <c r="H156" s="43" t="s">
        <v>682</v>
      </c>
      <c r="I156" s="46">
        <f>SUMIFS(Movimentações!$F$6:$F$4998,Movimentações!$C$6:$C$4998,A156,Movimentações!$M$6:$M$4998,M156)</f>
        <v>0</v>
      </c>
      <c r="J156" s="43" t="s">
        <v>670</v>
      </c>
      <c r="K156" s="43" t="s">
        <v>671</v>
      </c>
      <c r="L156" s="47" t="s">
        <v>807</v>
      </c>
      <c r="M156" s="43" t="s">
        <v>872</v>
      </c>
      <c r="N156" s="43" t="str">
        <f t="shared" si="5"/>
        <v>Rua A · Prat 9 · C-33</v>
      </c>
      <c r="P156">
        <f>IF(A156="","",IF(AND(K156&lt;&gt;"",L156&lt;&gt;""),IF(COUNTIFS($K$6:K156,K156,$L$6:L156,L156)=1,1,0),0))</f>
        <v>0</v>
      </c>
      <c r="Q156">
        <f>IF(A156="","",IF(AND(K156&lt;&gt;"",M156&lt;&gt;""),IF(COUNTIFS($K$6:K156,K156,$M$6:M156,M156)=1,1,0),0))</f>
        <v>0</v>
      </c>
      <c r="R156">
        <f>IF(A156="","",IF(M156&lt;&gt;"",IF(COUNTIF($M$6:M156,M156)=1,1,0),0))</f>
        <v>0</v>
      </c>
      <c r="T156" t="str">
        <f>IF(AND($M156&lt;&gt;"",$M156='Mapa do Galpão'!$C$20),COUNTIF($M$6:$M156,'Mapa do Galpão'!$C$20),"")</f>
        <v/>
      </c>
    </row>
    <row r="157" spans="1:20" ht="14.25" hidden="1" customHeight="1" x14ac:dyDescent="0.3">
      <c r="A157" s="43" t="s">
        <v>876</v>
      </c>
      <c r="B157" s="44" t="s">
        <v>665</v>
      </c>
      <c r="C157" s="165" t="s">
        <v>189</v>
      </c>
      <c r="D157" s="45" t="str">
        <f t="shared" si="4"/>
        <v>Feminino</v>
      </c>
      <c r="E157" s="43" t="s">
        <v>709</v>
      </c>
      <c r="F157" s="43" t="s">
        <v>871</v>
      </c>
      <c r="G157" s="43" t="s">
        <v>668</v>
      </c>
      <c r="H157" s="43" t="s">
        <v>677</v>
      </c>
      <c r="I157" s="46">
        <f>SUMIFS(Movimentações!$F$6:$F$4998,Movimentações!$C$6:$C$4998,A157,Movimentações!$M$6:$M$4998,M157)</f>
        <v>0</v>
      </c>
      <c r="J157" s="43" t="s">
        <v>670</v>
      </c>
      <c r="K157" s="43" t="s">
        <v>671</v>
      </c>
      <c r="L157" s="47" t="s">
        <v>807</v>
      </c>
      <c r="M157" s="43" t="s">
        <v>872</v>
      </c>
      <c r="N157" s="43" t="str">
        <f t="shared" si="5"/>
        <v>Rua A · Prat 9 · C-33</v>
      </c>
      <c r="P157">
        <f>IF(A157="","",IF(AND(K157&lt;&gt;"",L157&lt;&gt;""),IF(COUNTIFS($K$6:K157,K157,$L$6:L157,L157)=1,1,0),0))</f>
        <v>0</v>
      </c>
      <c r="Q157">
        <f>IF(A157="","",IF(AND(K157&lt;&gt;"",M157&lt;&gt;""),IF(COUNTIFS($K$6:K157,K157,$M$6:M157,M157)=1,1,0),0))</f>
        <v>0</v>
      </c>
      <c r="R157">
        <f>IF(A157="","",IF(M157&lt;&gt;"",IF(COUNTIF($M$6:M157,M157)=1,1,0),0))</f>
        <v>0</v>
      </c>
      <c r="T157" t="str">
        <f>IF(AND($M157&lt;&gt;"",$M157='Mapa do Galpão'!$C$20),COUNTIF($M$6:$M157,'Mapa do Galpão'!$C$20),"")</f>
        <v/>
      </c>
    </row>
    <row r="158" spans="1:20" ht="14.25" hidden="1" customHeight="1" x14ac:dyDescent="0.3">
      <c r="A158" s="43" t="s">
        <v>877</v>
      </c>
      <c r="B158" s="44" t="s">
        <v>665</v>
      </c>
      <c r="C158" s="165" t="s">
        <v>190</v>
      </c>
      <c r="D158" s="45" t="str">
        <f t="shared" si="4"/>
        <v>Feminino</v>
      </c>
      <c r="E158" s="43" t="s">
        <v>709</v>
      </c>
      <c r="F158" s="43" t="s">
        <v>871</v>
      </c>
      <c r="G158" s="43" t="s">
        <v>719</v>
      </c>
      <c r="H158" s="43" t="s">
        <v>682</v>
      </c>
      <c r="I158" s="46">
        <f>SUMIFS(Movimentações!$F$6:$F$4998,Movimentações!$C$6:$C$4998,A158,Movimentações!$M$6:$M$4998,M158)</f>
        <v>0</v>
      </c>
      <c r="J158" s="43" t="s">
        <v>670</v>
      </c>
      <c r="K158" s="43" t="s">
        <v>671</v>
      </c>
      <c r="L158" s="47" t="s">
        <v>807</v>
      </c>
      <c r="M158" s="43" t="s">
        <v>878</v>
      </c>
      <c r="N158" s="43" t="str">
        <f t="shared" si="5"/>
        <v>Rua A · Prat 9 · C-34</v>
      </c>
      <c r="P158">
        <f>IF(A158="","",IF(AND(K158&lt;&gt;"",L158&lt;&gt;""),IF(COUNTIFS($K$6:K158,K158,$L$6:L158,L158)=1,1,0),0))</f>
        <v>0</v>
      </c>
      <c r="Q158">
        <f>IF(A158="","",IF(AND(K158&lt;&gt;"",M158&lt;&gt;""),IF(COUNTIFS($K$6:K158,K158,$M$6:M158,M158)=1,1,0),0))</f>
        <v>1</v>
      </c>
      <c r="R158">
        <f>IF(A158="","",IF(M158&lt;&gt;"",IF(COUNTIF($M$6:M158,M158)=1,1,0),0))</f>
        <v>1</v>
      </c>
      <c r="T158" t="str">
        <f>IF(AND($M158&lt;&gt;"",$M158='Mapa do Galpão'!$C$20),COUNTIF($M$6:$M158,'Mapa do Galpão'!$C$20),"")</f>
        <v/>
      </c>
    </row>
    <row r="159" spans="1:20" ht="14.25" hidden="1" customHeight="1" x14ac:dyDescent="0.3">
      <c r="A159" s="43" t="s">
        <v>877</v>
      </c>
      <c r="B159" s="44" t="s">
        <v>665</v>
      </c>
      <c r="C159" s="165" t="s">
        <v>190</v>
      </c>
      <c r="D159" s="45" t="str">
        <f t="shared" si="4"/>
        <v>Feminino</v>
      </c>
      <c r="E159" s="43" t="s">
        <v>709</v>
      </c>
      <c r="F159" s="43" t="s">
        <v>871</v>
      </c>
      <c r="G159" s="43" t="s">
        <v>719</v>
      </c>
      <c r="H159" s="43" t="s">
        <v>682</v>
      </c>
      <c r="I159" s="46">
        <f>SUMIFS(Movimentações!$F$6:$F$4998,Movimentações!$C$6:$C$4998,A159,Movimentações!$M$6:$M$4998,M159)</f>
        <v>0</v>
      </c>
      <c r="J159" s="43" t="s">
        <v>670</v>
      </c>
      <c r="K159" s="43" t="s">
        <v>671</v>
      </c>
      <c r="L159" s="47">
        <v>6</v>
      </c>
      <c r="M159" s="43" t="s">
        <v>879</v>
      </c>
      <c r="N159" s="43" t="str">
        <f t="shared" si="5"/>
        <v>Rua A · Prat 6 · C-44</v>
      </c>
      <c r="P159">
        <f>IF(A159="","",IF(AND(K159&lt;&gt;"",L159&lt;&gt;""),IF(COUNTIFS($K$6:K159,K159,$L$6:L159,L159)=1,1,0),0))</f>
        <v>0</v>
      </c>
      <c r="Q159">
        <f>IF(A159="","",IF(AND(K159&lt;&gt;"",M159&lt;&gt;""),IF(COUNTIFS($K$6:K159,K159,$M$6:M159,M159)=1,1,0),0))</f>
        <v>1</v>
      </c>
      <c r="R159">
        <f>IF(A159="","",IF(M159&lt;&gt;"",IF(COUNTIF($M$6:M159,M159)=1,1,0),0))</f>
        <v>1</v>
      </c>
      <c r="T159" t="str">
        <f>IF(AND($M159&lt;&gt;"",$M159='Mapa do Galpão'!$C$20),COUNTIF($M$6:$M159,'Mapa do Galpão'!$C$20),"")</f>
        <v/>
      </c>
    </row>
    <row r="160" spans="1:20" ht="14.25" hidden="1" customHeight="1" x14ac:dyDescent="0.3">
      <c r="A160" s="43" t="s">
        <v>880</v>
      </c>
      <c r="B160" s="44" t="s">
        <v>665</v>
      </c>
      <c r="C160" s="165" t="s">
        <v>191</v>
      </c>
      <c r="D160" s="45" t="str">
        <f t="shared" si="4"/>
        <v>Feminino</v>
      </c>
      <c r="E160" s="43" t="s">
        <v>709</v>
      </c>
      <c r="F160" s="43" t="s">
        <v>871</v>
      </c>
      <c r="G160" s="43" t="s">
        <v>719</v>
      </c>
      <c r="H160" s="43" t="s">
        <v>677</v>
      </c>
      <c r="I160" s="46">
        <f>SUMIFS(Movimentações!$F$6:$F$4998,Movimentações!$C$6:$C$4998,A160,Movimentações!$M$6:$M$4998,M160)</f>
        <v>0</v>
      </c>
      <c r="J160" s="43" t="s">
        <v>670</v>
      </c>
      <c r="K160" s="43" t="s">
        <v>671</v>
      </c>
      <c r="L160" s="47" t="s">
        <v>807</v>
      </c>
      <c r="M160" s="43" t="s">
        <v>878</v>
      </c>
      <c r="N160" s="43" t="str">
        <f t="shared" si="5"/>
        <v>Rua A · Prat 9 · C-34</v>
      </c>
      <c r="P160">
        <f>IF(A160="","",IF(AND(K160&lt;&gt;"",L160&lt;&gt;""),IF(COUNTIFS($K$6:K160,K160,$L$6:L160,L160)=1,1,0),0))</f>
        <v>0</v>
      </c>
      <c r="Q160">
        <f>IF(A160="","",IF(AND(K160&lt;&gt;"",M160&lt;&gt;""),IF(COUNTIFS($K$6:K160,K160,$M$6:M160,M160)=1,1,0),0))</f>
        <v>0</v>
      </c>
      <c r="R160">
        <f>IF(A160="","",IF(M160&lt;&gt;"",IF(COUNTIF($M$6:M160,M160)=1,1,0),0))</f>
        <v>0</v>
      </c>
      <c r="T160" t="str">
        <f>IF(AND($M160&lt;&gt;"",$M160='Mapa do Galpão'!$C$20),COUNTIF($M$6:$M160,'Mapa do Galpão'!$C$20),"")</f>
        <v/>
      </c>
    </row>
    <row r="161" spans="1:20" ht="14.25" hidden="1" customHeight="1" x14ac:dyDescent="0.3">
      <c r="A161" s="43" t="s">
        <v>880</v>
      </c>
      <c r="B161" s="44" t="s">
        <v>665</v>
      </c>
      <c r="C161" s="165" t="s">
        <v>191</v>
      </c>
      <c r="D161" s="45" t="str">
        <f t="shared" si="4"/>
        <v>Feminino</v>
      </c>
      <c r="E161" s="43" t="s">
        <v>709</v>
      </c>
      <c r="F161" s="43" t="s">
        <v>871</v>
      </c>
      <c r="G161" s="43" t="s">
        <v>719</v>
      </c>
      <c r="H161" s="43" t="s">
        <v>677</v>
      </c>
      <c r="I161" s="46">
        <f>SUMIFS(Movimentações!$F$6:$F$4998,Movimentações!$C$6:$C$4998,A161,Movimentações!$M$6:$M$4998,M161)</f>
        <v>0</v>
      </c>
      <c r="J161" s="43" t="s">
        <v>670</v>
      </c>
      <c r="K161" s="43" t="s">
        <v>671</v>
      </c>
      <c r="L161" s="47" t="s">
        <v>746</v>
      </c>
      <c r="M161" s="43" t="s">
        <v>879</v>
      </c>
      <c r="N161" s="43" t="str">
        <f t="shared" si="5"/>
        <v>Rua A · Prat 6 · C-44</v>
      </c>
      <c r="P161">
        <f>IF(A161="","",IF(AND(K161&lt;&gt;"",L161&lt;&gt;""),IF(COUNTIFS($K$6:K161,K161,$L$6:L161,L161)=1,1,0),0))</f>
        <v>0</v>
      </c>
      <c r="Q161">
        <f>IF(A161="","",IF(AND(K161&lt;&gt;"",M161&lt;&gt;""),IF(COUNTIFS($K$6:K161,K161,$M$6:M161,M161)=1,1,0),0))</f>
        <v>0</v>
      </c>
      <c r="R161">
        <f>IF(A161="","",IF(M161&lt;&gt;"",IF(COUNTIF($M$6:M161,M161)=1,1,0),0))</f>
        <v>0</v>
      </c>
      <c r="T161" t="str">
        <f>IF(AND($M161&lt;&gt;"",$M161='Mapa do Galpão'!$C$20),COUNTIF($M$6:$M161,'Mapa do Galpão'!$C$20),"")</f>
        <v/>
      </c>
    </row>
    <row r="162" spans="1:20" ht="14.25" hidden="1" customHeight="1" x14ac:dyDescent="0.3">
      <c r="A162" s="43" t="s">
        <v>881</v>
      </c>
      <c r="B162" s="44" t="s">
        <v>665</v>
      </c>
      <c r="C162" s="165" t="s">
        <v>192</v>
      </c>
      <c r="D162" s="45" t="str">
        <f t="shared" si="4"/>
        <v>Feminino</v>
      </c>
      <c r="E162" s="43" t="s">
        <v>666</v>
      </c>
      <c r="F162" s="43" t="s">
        <v>822</v>
      </c>
      <c r="G162" s="43" t="s">
        <v>755</v>
      </c>
      <c r="H162" s="43" t="s">
        <v>756</v>
      </c>
      <c r="I162" s="46">
        <f>SUMIFS(Movimentações!$F$6:$F$4998,Movimentações!$C$6:$C$4998,A162,Movimentações!$M$6:$M$4998,M162)</f>
        <v>0</v>
      </c>
      <c r="J162" s="43" t="s">
        <v>670</v>
      </c>
      <c r="K162" s="43" t="s">
        <v>671</v>
      </c>
      <c r="L162" s="47" t="s">
        <v>807</v>
      </c>
      <c r="M162" s="43" t="s">
        <v>882</v>
      </c>
      <c r="N162" s="43" t="str">
        <f t="shared" si="5"/>
        <v>Rua A · Prat 9 · C-35</v>
      </c>
      <c r="P162">
        <f>IF(A162="","",IF(AND(K162&lt;&gt;"",L162&lt;&gt;""),IF(COUNTIFS($K$6:K162,K162,$L$6:L162,L162)=1,1,0),0))</f>
        <v>0</v>
      </c>
      <c r="Q162">
        <f>IF(A162="","",IF(AND(K162&lt;&gt;"",M162&lt;&gt;""),IF(COUNTIFS($K$6:K162,K162,$M$6:M162,M162)=1,1,0),0))</f>
        <v>1</v>
      </c>
      <c r="R162">
        <f>IF(A162="","",IF(M162&lt;&gt;"",IF(COUNTIF($M$6:M162,M162)=1,1,0),0))</f>
        <v>1</v>
      </c>
      <c r="T162" t="str">
        <f>IF(AND($M162&lt;&gt;"",$M162='Mapa do Galpão'!$C$20),COUNTIF($M$6:$M162,'Mapa do Galpão'!$C$20),"")</f>
        <v/>
      </c>
    </row>
    <row r="163" spans="1:20" ht="14.25" hidden="1" customHeight="1" x14ac:dyDescent="0.3">
      <c r="A163" s="43" t="s">
        <v>883</v>
      </c>
      <c r="B163" s="44" t="s">
        <v>665</v>
      </c>
      <c r="C163" s="165" t="s">
        <v>193</v>
      </c>
      <c r="D163" s="45" t="str">
        <f t="shared" si="4"/>
        <v>Feminino</v>
      </c>
      <c r="E163" s="43" t="s">
        <v>666</v>
      </c>
      <c r="F163" s="43" t="s">
        <v>822</v>
      </c>
      <c r="G163" s="43" t="s">
        <v>755</v>
      </c>
      <c r="H163" s="43" t="s">
        <v>680</v>
      </c>
      <c r="I163" s="46">
        <f>SUMIFS(Movimentações!$F$6:$F$4998,Movimentações!$C$6:$C$4998,A163,Movimentações!$M$6:$M$4998,M163)</f>
        <v>0</v>
      </c>
      <c r="J163" s="43" t="s">
        <v>670</v>
      </c>
      <c r="K163" s="43" t="s">
        <v>671</v>
      </c>
      <c r="L163" s="47" t="s">
        <v>807</v>
      </c>
      <c r="M163" s="43" t="s">
        <v>882</v>
      </c>
      <c r="N163" s="43" t="str">
        <f t="shared" si="5"/>
        <v>Rua A · Prat 9 · C-35</v>
      </c>
      <c r="P163">
        <f>IF(A163="","",IF(AND(K163&lt;&gt;"",L163&lt;&gt;""),IF(COUNTIFS($K$6:K163,K163,$L$6:L163,L163)=1,1,0),0))</f>
        <v>0</v>
      </c>
      <c r="Q163">
        <f>IF(A163="","",IF(AND(K163&lt;&gt;"",M163&lt;&gt;""),IF(COUNTIFS($K$6:K163,K163,$M$6:M163,M163)=1,1,0),0))</f>
        <v>0</v>
      </c>
      <c r="R163">
        <f>IF(A163="","",IF(M163&lt;&gt;"",IF(COUNTIF($M$6:M163,M163)=1,1,0),0))</f>
        <v>0</v>
      </c>
      <c r="T163" t="str">
        <f>IF(AND($M163&lt;&gt;"",$M163='Mapa do Galpão'!$C$20),COUNTIF($M$6:$M163,'Mapa do Galpão'!$C$20),"")</f>
        <v/>
      </c>
    </row>
    <row r="164" spans="1:20" ht="14.25" hidden="1" customHeight="1" x14ac:dyDescent="0.3">
      <c r="A164" s="43" t="s">
        <v>884</v>
      </c>
      <c r="B164" s="44" t="s">
        <v>665</v>
      </c>
      <c r="C164" s="165" t="s">
        <v>194</v>
      </c>
      <c r="D164" s="45" t="str">
        <f t="shared" si="4"/>
        <v>Feminino</v>
      </c>
      <c r="E164" s="43" t="s">
        <v>666</v>
      </c>
      <c r="F164" s="43" t="s">
        <v>822</v>
      </c>
      <c r="G164" s="43" t="s">
        <v>755</v>
      </c>
      <c r="H164" s="43" t="s">
        <v>675</v>
      </c>
      <c r="I164" s="46">
        <f>SUMIFS(Movimentações!$F$6:$F$4998,Movimentações!$C$6:$C$4998,A164,Movimentações!$M$6:$M$4998,M164)</f>
        <v>0</v>
      </c>
      <c r="J164" s="43" t="s">
        <v>670</v>
      </c>
      <c r="K164" s="43" t="s">
        <v>671</v>
      </c>
      <c r="L164" s="47" t="s">
        <v>807</v>
      </c>
      <c r="M164" s="43" t="s">
        <v>882</v>
      </c>
      <c r="N164" s="43" t="str">
        <f t="shared" si="5"/>
        <v>Rua A · Prat 9 · C-35</v>
      </c>
      <c r="P164">
        <f>IF(A164="","",IF(AND(K164&lt;&gt;"",L164&lt;&gt;""),IF(COUNTIFS($K$6:K164,K164,$L$6:L164,L164)=1,1,0),0))</f>
        <v>0</v>
      </c>
      <c r="Q164">
        <f>IF(A164="","",IF(AND(K164&lt;&gt;"",M164&lt;&gt;""),IF(COUNTIFS($K$6:K164,K164,$M$6:M164,M164)=1,1,0),0))</f>
        <v>0</v>
      </c>
      <c r="R164">
        <f>IF(A164="","",IF(M164&lt;&gt;"",IF(COUNTIF($M$6:M164,M164)=1,1,0),0))</f>
        <v>0</v>
      </c>
      <c r="T164" t="str">
        <f>IF(AND($M164&lt;&gt;"",$M164='Mapa do Galpão'!$C$20),COUNTIF($M$6:$M164,'Mapa do Galpão'!$C$20),"")</f>
        <v/>
      </c>
    </row>
    <row r="165" spans="1:20" ht="14.25" hidden="1" customHeight="1" x14ac:dyDescent="0.3">
      <c r="A165" s="43" t="s">
        <v>885</v>
      </c>
      <c r="B165" s="44" t="s">
        <v>665</v>
      </c>
      <c r="C165" s="165" t="s">
        <v>195</v>
      </c>
      <c r="D165" s="45" t="str">
        <f t="shared" si="4"/>
        <v>Feminino</v>
      </c>
      <c r="E165" s="43" t="s">
        <v>666</v>
      </c>
      <c r="F165" s="43" t="s">
        <v>822</v>
      </c>
      <c r="G165" s="43" t="s">
        <v>755</v>
      </c>
      <c r="H165" s="43" t="s">
        <v>669</v>
      </c>
      <c r="I165" s="46">
        <f>SUMIFS(Movimentações!$F$6:$F$4998,Movimentações!$C$6:$C$4998,A165,Movimentações!$M$6:$M$4998,M165)</f>
        <v>0</v>
      </c>
      <c r="J165" s="43" t="s">
        <v>670</v>
      </c>
      <c r="K165" s="43" t="s">
        <v>671</v>
      </c>
      <c r="L165" s="47" t="s">
        <v>807</v>
      </c>
      <c r="M165" s="43" t="s">
        <v>882</v>
      </c>
      <c r="N165" s="43" t="str">
        <f t="shared" si="5"/>
        <v>Rua A · Prat 9 · C-35</v>
      </c>
      <c r="P165">
        <f>IF(A165="","",IF(AND(K165&lt;&gt;"",L165&lt;&gt;""),IF(COUNTIFS($K$6:K165,K165,$L$6:L165,L165)=1,1,0),0))</f>
        <v>0</v>
      </c>
      <c r="Q165">
        <f>IF(A165="","",IF(AND(K165&lt;&gt;"",M165&lt;&gt;""),IF(COUNTIFS($K$6:K165,K165,$M$6:M165,M165)=1,1,0),0))</f>
        <v>0</v>
      </c>
      <c r="R165">
        <f>IF(A165="","",IF(M165&lt;&gt;"",IF(COUNTIF($M$6:M165,M165)=1,1,0),0))</f>
        <v>0</v>
      </c>
      <c r="T165" t="str">
        <f>IF(AND($M165&lt;&gt;"",$M165='Mapa do Galpão'!$C$20),COUNTIF($M$6:$M165,'Mapa do Galpão'!$C$20),"")</f>
        <v/>
      </c>
    </row>
    <row r="166" spans="1:20" ht="14.25" hidden="1" customHeight="1" x14ac:dyDescent="0.3">
      <c r="A166" s="43" t="s">
        <v>886</v>
      </c>
      <c r="B166" s="44" t="s">
        <v>665</v>
      </c>
      <c r="C166" s="165" t="s">
        <v>196</v>
      </c>
      <c r="D166" s="45" t="str">
        <f t="shared" si="4"/>
        <v>Feminino</v>
      </c>
      <c r="E166" s="43" t="s">
        <v>666</v>
      </c>
      <c r="F166" s="43" t="s">
        <v>822</v>
      </c>
      <c r="G166" s="43" t="s">
        <v>755</v>
      </c>
      <c r="H166" s="43" t="s">
        <v>682</v>
      </c>
      <c r="I166" s="46">
        <f>SUMIFS(Movimentações!$F$6:$F$4998,Movimentações!$C$6:$C$4998,A166,Movimentações!$M$6:$M$4998,M166)</f>
        <v>0</v>
      </c>
      <c r="J166" s="43" t="s">
        <v>670</v>
      </c>
      <c r="K166" s="43" t="s">
        <v>671</v>
      </c>
      <c r="L166" s="47" t="s">
        <v>807</v>
      </c>
      <c r="M166" s="43" t="s">
        <v>882</v>
      </c>
      <c r="N166" s="43" t="str">
        <f t="shared" si="5"/>
        <v>Rua A · Prat 9 · C-35</v>
      </c>
      <c r="P166">
        <f>IF(A166="","",IF(AND(K166&lt;&gt;"",L166&lt;&gt;""),IF(COUNTIFS($K$6:K166,K166,$L$6:L166,L166)=1,1,0),0))</f>
        <v>0</v>
      </c>
      <c r="Q166">
        <f>IF(A166="","",IF(AND(K166&lt;&gt;"",M166&lt;&gt;""),IF(COUNTIFS($K$6:K166,K166,$M$6:M166,M166)=1,1,0),0))</f>
        <v>0</v>
      </c>
      <c r="R166">
        <f>IF(A166="","",IF(M166&lt;&gt;"",IF(COUNTIF($M$6:M166,M166)=1,1,0),0))</f>
        <v>0</v>
      </c>
      <c r="T166" t="str">
        <f>IF(AND($M166&lt;&gt;"",$M166='Mapa do Galpão'!$C$20),COUNTIF($M$6:$M166,'Mapa do Galpão'!$C$20),"")</f>
        <v/>
      </c>
    </row>
    <row r="167" spans="1:20" ht="14.25" hidden="1" customHeight="1" x14ac:dyDescent="0.3">
      <c r="A167" s="43" t="s">
        <v>887</v>
      </c>
      <c r="B167" s="44" t="s">
        <v>665</v>
      </c>
      <c r="C167" s="165" t="s">
        <v>197</v>
      </c>
      <c r="D167" s="45" t="str">
        <f t="shared" si="4"/>
        <v>Feminino</v>
      </c>
      <c r="E167" s="43" t="s">
        <v>666</v>
      </c>
      <c r="F167" s="43" t="s">
        <v>822</v>
      </c>
      <c r="G167" s="43" t="s">
        <v>755</v>
      </c>
      <c r="H167" s="43" t="s">
        <v>677</v>
      </c>
      <c r="I167" s="46">
        <f>SUMIFS(Movimentações!$F$6:$F$4998,Movimentações!$C$6:$C$4998,A167,Movimentações!$M$6:$M$4998,M167)</f>
        <v>0</v>
      </c>
      <c r="J167" s="43" t="s">
        <v>670</v>
      </c>
      <c r="K167" s="43" t="s">
        <v>671</v>
      </c>
      <c r="L167" s="47" t="s">
        <v>807</v>
      </c>
      <c r="M167" s="43" t="s">
        <v>882</v>
      </c>
      <c r="N167" s="43" t="str">
        <f t="shared" si="5"/>
        <v>Rua A · Prat 9 · C-35</v>
      </c>
      <c r="P167">
        <f>IF(A167="","",IF(AND(K167&lt;&gt;"",L167&lt;&gt;""),IF(COUNTIFS($K$6:K167,K167,$L$6:L167,L167)=1,1,0),0))</f>
        <v>0</v>
      </c>
      <c r="Q167">
        <f>IF(A167="","",IF(AND(K167&lt;&gt;"",M167&lt;&gt;""),IF(COUNTIFS($K$6:K167,K167,$M$6:M167,M167)=1,1,0),0))</f>
        <v>0</v>
      </c>
      <c r="R167">
        <f>IF(A167="","",IF(M167&lt;&gt;"",IF(COUNTIF($M$6:M167,M167)=1,1,0),0))</f>
        <v>0</v>
      </c>
      <c r="T167" t="str">
        <f>IF(AND($M167&lt;&gt;"",$M167='Mapa do Galpão'!$C$20),COUNTIF($M$6:$M167,'Mapa do Galpão'!$C$20),"")</f>
        <v/>
      </c>
    </row>
    <row r="168" spans="1:20" ht="14.25" hidden="1" customHeight="1" x14ac:dyDescent="0.3">
      <c r="A168" s="43" t="s">
        <v>888</v>
      </c>
      <c r="B168" s="44" t="s">
        <v>665</v>
      </c>
      <c r="C168" s="165" t="s">
        <v>198</v>
      </c>
      <c r="D168" s="45" t="str">
        <f t="shared" si="4"/>
        <v>Feminino</v>
      </c>
      <c r="E168" s="43" t="s">
        <v>666</v>
      </c>
      <c r="F168" s="43" t="s">
        <v>830</v>
      </c>
      <c r="G168" s="43" t="s">
        <v>798</v>
      </c>
      <c r="H168" s="43" t="s">
        <v>756</v>
      </c>
      <c r="I168" s="46">
        <f>SUMIFS(Movimentações!$F$6:$F$4998,Movimentações!$C$6:$C$4998,A168,Movimentações!$M$6:$M$4998,M168)</f>
        <v>0</v>
      </c>
      <c r="J168" s="43" t="s">
        <v>670</v>
      </c>
      <c r="K168" s="43" t="s">
        <v>671</v>
      </c>
      <c r="L168" s="47" t="s">
        <v>807</v>
      </c>
      <c r="M168" s="43" t="s">
        <v>889</v>
      </c>
      <c r="N168" s="43" t="str">
        <f t="shared" si="5"/>
        <v>Rua A · Prat 9 · C-36</v>
      </c>
      <c r="P168">
        <f>IF(A168="","",IF(AND(K168&lt;&gt;"",L168&lt;&gt;""),IF(COUNTIFS($K$6:K168,K168,$L$6:L168,L168)=1,1,0),0))</f>
        <v>0</v>
      </c>
      <c r="Q168">
        <f>IF(A168="","",IF(AND(K168&lt;&gt;"",M168&lt;&gt;""),IF(COUNTIFS($K$6:K168,K168,$M$6:M168,M168)=1,1,0),0))</f>
        <v>1</v>
      </c>
      <c r="R168">
        <f>IF(A168="","",IF(M168&lt;&gt;"",IF(COUNTIF($M$6:M168,M168)=1,1,0),0))</f>
        <v>1</v>
      </c>
      <c r="T168" t="str">
        <f>IF(AND($M168&lt;&gt;"",$M168='Mapa do Galpão'!$C$20),COUNTIF($M$6:$M168,'Mapa do Galpão'!$C$20),"")</f>
        <v/>
      </c>
    </row>
    <row r="169" spans="1:20" ht="14.25" hidden="1" customHeight="1" x14ac:dyDescent="0.3">
      <c r="A169" s="43" t="s">
        <v>890</v>
      </c>
      <c r="B169" s="44" t="s">
        <v>665</v>
      </c>
      <c r="C169" s="165" t="s">
        <v>199</v>
      </c>
      <c r="D169" s="45" t="str">
        <f t="shared" si="4"/>
        <v>Feminino</v>
      </c>
      <c r="E169" s="43" t="s">
        <v>666</v>
      </c>
      <c r="F169" s="43" t="s">
        <v>830</v>
      </c>
      <c r="G169" s="43" t="s">
        <v>798</v>
      </c>
      <c r="H169" s="43" t="s">
        <v>680</v>
      </c>
      <c r="I169" s="46">
        <f>SUMIFS(Movimentações!$F$6:$F$4998,Movimentações!$C$6:$C$4998,A169,Movimentações!$M$6:$M$4998,M169)</f>
        <v>0</v>
      </c>
      <c r="J169" s="43" t="s">
        <v>670</v>
      </c>
      <c r="K169" s="43" t="s">
        <v>671</v>
      </c>
      <c r="L169" s="47" t="s">
        <v>807</v>
      </c>
      <c r="M169" s="43" t="s">
        <v>889</v>
      </c>
      <c r="N169" s="43" t="str">
        <f t="shared" si="5"/>
        <v>Rua A · Prat 9 · C-36</v>
      </c>
      <c r="P169">
        <f>IF(A169="","",IF(AND(K169&lt;&gt;"",L169&lt;&gt;""),IF(COUNTIFS($K$6:K169,K169,$L$6:L169,L169)=1,1,0),0))</f>
        <v>0</v>
      </c>
      <c r="Q169">
        <f>IF(A169="","",IF(AND(K169&lt;&gt;"",M169&lt;&gt;""),IF(COUNTIFS($K$6:K169,K169,$M$6:M169,M169)=1,1,0),0))</f>
        <v>0</v>
      </c>
      <c r="R169">
        <f>IF(A169="","",IF(M169&lt;&gt;"",IF(COUNTIF($M$6:M169,M169)=1,1,0),0))</f>
        <v>0</v>
      </c>
      <c r="T169" t="str">
        <f>IF(AND($M169&lt;&gt;"",$M169='Mapa do Galpão'!$C$20),COUNTIF($M$6:$M169,'Mapa do Galpão'!$C$20),"")</f>
        <v/>
      </c>
    </row>
    <row r="170" spans="1:20" ht="14.25" hidden="1" customHeight="1" x14ac:dyDescent="0.3">
      <c r="A170" s="43" t="s">
        <v>891</v>
      </c>
      <c r="B170" s="44" t="s">
        <v>665</v>
      </c>
      <c r="C170" s="165" t="s">
        <v>200</v>
      </c>
      <c r="D170" s="45" t="str">
        <f t="shared" si="4"/>
        <v>Feminino</v>
      </c>
      <c r="E170" s="43" t="s">
        <v>666</v>
      </c>
      <c r="F170" s="43" t="s">
        <v>830</v>
      </c>
      <c r="G170" s="43" t="s">
        <v>798</v>
      </c>
      <c r="H170" s="43" t="s">
        <v>675</v>
      </c>
      <c r="I170" s="46">
        <f>SUMIFS(Movimentações!$F$6:$F$4998,Movimentações!$C$6:$C$4998,A170,Movimentações!$M$6:$M$4998,M170)</f>
        <v>0</v>
      </c>
      <c r="J170" s="43" t="s">
        <v>670</v>
      </c>
      <c r="K170" s="43" t="s">
        <v>671</v>
      </c>
      <c r="L170" s="47" t="s">
        <v>807</v>
      </c>
      <c r="M170" s="43" t="s">
        <v>889</v>
      </c>
      <c r="N170" s="43" t="str">
        <f t="shared" si="5"/>
        <v>Rua A · Prat 9 · C-36</v>
      </c>
      <c r="P170">
        <f>IF(A170="","",IF(AND(K170&lt;&gt;"",L170&lt;&gt;""),IF(COUNTIFS($K$6:K170,K170,$L$6:L170,L170)=1,1,0),0))</f>
        <v>0</v>
      </c>
      <c r="Q170">
        <f>IF(A170="","",IF(AND(K170&lt;&gt;"",M170&lt;&gt;""),IF(COUNTIFS($K$6:K170,K170,$M$6:M170,M170)=1,1,0),0))</f>
        <v>0</v>
      </c>
      <c r="R170">
        <f>IF(A170="","",IF(M170&lt;&gt;"",IF(COUNTIF($M$6:M170,M170)=1,1,0),0))</f>
        <v>0</v>
      </c>
      <c r="T170" t="str">
        <f>IF(AND($M170&lt;&gt;"",$M170='Mapa do Galpão'!$C$20),COUNTIF($M$6:$M170,'Mapa do Galpão'!$C$20),"")</f>
        <v/>
      </c>
    </row>
    <row r="171" spans="1:20" ht="14.25" hidden="1" customHeight="1" x14ac:dyDescent="0.3">
      <c r="A171" s="43" t="s">
        <v>892</v>
      </c>
      <c r="B171" s="44" t="s">
        <v>665</v>
      </c>
      <c r="C171" s="165" t="s">
        <v>201</v>
      </c>
      <c r="D171" s="45" t="str">
        <f t="shared" si="4"/>
        <v>Feminino</v>
      </c>
      <c r="E171" s="43" t="s">
        <v>666</v>
      </c>
      <c r="F171" s="43" t="s">
        <v>830</v>
      </c>
      <c r="G171" s="43" t="s">
        <v>798</v>
      </c>
      <c r="H171" s="43" t="s">
        <v>669</v>
      </c>
      <c r="I171" s="46">
        <f>SUMIFS(Movimentações!$F$6:$F$4998,Movimentações!$C$6:$C$4998,A171,Movimentações!$M$6:$M$4998,M171)</f>
        <v>0</v>
      </c>
      <c r="J171" s="43" t="s">
        <v>670</v>
      </c>
      <c r="K171" s="43" t="s">
        <v>671</v>
      </c>
      <c r="L171" s="47" t="s">
        <v>807</v>
      </c>
      <c r="M171" s="43" t="s">
        <v>889</v>
      </c>
      <c r="N171" s="43" t="str">
        <f t="shared" si="5"/>
        <v>Rua A · Prat 9 · C-36</v>
      </c>
      <c r="P171">
        <f>IF(A171="","",IF(AND(K171&lt;&gt;"",L171&lt;&gt;""),IF(COUNTIFS($K$6:K171,K171,$L$6:L171,L171)=1,1,0),0))</f>
        <v>0</v>
      </c>
      <c r="Q171">
        <f>IF(A171="","",IF(AND(K171&lt;&gt;"",M171&lt;&gt;""),IF(COUNTIFS($K$6:K171,K171,$M$6:M171,M171)=1,1,0),0))</f>
        <v>0</v>
      </c>
      <c r="R171">
        <f>IF(A171="","",IF(M171&lt;&gt;"",IF(COUNTIF($M$6:M171,M171)=1,1,0),0))</f>
        <v>0</v>
      </c>
      <c r="T171" t="str">
        <f>IF(AND($M171&lt;&gt;"",$M171='Mapa do Galpão'!$C$20),COUNTIF($M$6:$M171,'Mapa do Galpão'!$C$20),"")</f>
        <v/>
      </c>
    </row>
    <row r="172" spans="1:20" ht="14.25" hidden="1" customHeight="1" x14ac:dyDescent="0.3">
      <c r="A172" s="43" t="s">
        <v>893</v>
      </c>
      <c r="B172" s="44" t="s">
        <v>665</v>
      </c>
      <c r="C172" s="165" t="s">
        <v>202</v>
      </c>
      <c r="D172" s="45" t="str">
        <f t="shared" si="4"/>
        <v>Feminino</v>
      </c>
      <c r="E172" s="43" t="s">
        <v>666</v>
      </c>
      <c r="F172" s="43" t="s">
        <v>830</v>
      </c>
      <c r="G172" s="43" t="s">
        <v>798</v>
      </c>
      <c r="H172" s="43" t="s">
        <v>682</v>
      </c>
      <c r="I172" s="46">
        <f>SUMIFS(Movimentações!$F$6:$F$4998,Movimentações!$C$6:$C$4998,A172,Movimentações!$M$6:$M$4998,M172)</f>
        <v>0</v>
      </c>
      <c r="J172" s="43" t="s">
        <v>670</v>
      </c>
      <c r="K172" s="43" t="s">
        <v>671</v>
      </c>
      <c r="L172" s="47" t="s">
        <v>807</v>
      </c>
      <c r="M172" s="43" t="s">
        <v>889</v>
      </c>
      <c r="N172" s="43" t="str">
        <f t="shared" si="5"/>
        <v>Rua A · Prat 9 · C-36</v>
      </c>
      <c r="P172">
        <f>IF(A172="","",IF(AND(K172&lt;&gt;"",L172&lt;&gt;""),IF(COUNTIFS($K$6:K172,K172,$L$6:L172,L172)=1,1,0),0))</f>
        <v>0</v>
      </c>
      <c r="Q172">
        <f>IF(A172="","",IF(AND(K172&lt;&gt;"",M172&lt;&gt;""),IF(COUNTIFS($K$6:K172,K172,$M$6:M172,M172)=1,1,0),0))</f>
        <v>0</v>
      </c>
      <c r="R172">
        <f>IF(A172="","",IF(M172&lt;&gt;"",IF(COUNTIF($M$6:M172,M172)=1,1,0),0))</f>
        <v>0</v>
      </c>
      <c r="T172" t="str">
        <f>IF(AND($M172&lt;&gt;"",$M172='Mapa do Galpão'!$C$20),COUNTIF($M$6:$M172,'Mapa do Galpão'!$C$20),"")</f>
        <v/>
      </c>
    </row>
    <row r="173" spans="1:20" ht="14.25" hidden="1" customHeight="1" x14ac:dyDescent="0.3">
      <c r="A173" s="43" t="s">
        <v>894</v>
      </c>
      <c r="B173" s="44" t="s">
        <v>665</v>
      </c>
      <c r="C173" s="165" t="s">
        <v>203</v>
      </c>
      <c r="D173" s="45" t="str">
        <f t="shared" si="4"/>
        <v>Feminino</v>
      </c>
      <c r="E173" s="43" t="s">
        <v>666</v>
      </c>
      <c r="F173" s="43" t="s">
        <v>830</v>
      </c>
      <c r="G173" s="43" t="s">
        <v>798</v>
      </c>
      <c r="H173" s="43" t="s">
        <v>677</v>
      </c>
      <c r="I173" s="46">
        <f>SUMIFS(Movimentações!$F$6:$F$4998,Movimentações!$C$6:$C$4998,A173,Movimentações!$M$6:$M$4998,M173)</f>
        <v>0</v>
      </c>
      <c r="J173" s="43" t="s">
        <v>670</v>
      </c>
      <c r="K173" s="43" t="s">
        <v>671</v>
      </c>
      <c r="L173" s="47" t="s">
        <v>807</v>
      </c>
      <c r="M173" s="43" t="s">
        <v>889</v>
      </c>
      <c r="N173" s="43" t="str">
        <f t="shared" si="5"/>
        <v>Rua A · Prat 9 · C-36</v>
      </c>
      <c r="P173">
        <f>IF(A173="","",IF(AND(K173&lt;&gt;"",L173&lt;&gt;""),IF(COUNTIFS($K$6:K173,K173,$L$6:L173,L173)=1,1,0),0))</f>
        <v>0</v>
      </c>
      <c r="Q173">
        <f>IF(A173="","",IF(AND(K173&lt;&gt;"",M173&lt;&gt;""),IF(COUNTIFS($K$6:K173,K173,$M$6:M173,M173)=1,1,0),0))</f>
        <v>0</v>
      </c>
      <c r="R173">
        <f>IF(A173="","",IF(M173&lt;&gt;"",IF(COUNTIF($M$6:M173,M173)=1,1,0),0))</f>
        <v>0</v>
      </c>
      <c r="T173" t="str">
        <f>IF(AND($M173&lt;&gt;"",$M173='Mapa do Galpão'!$C$20),COUNTIF($M$6:$M173,'Mapa do Galpão'!$C$20),"")</f>
        <v/>
      </c>
    </row>
    <row r="174" spans="1:20" ht="14.25" hidden="1" customHeight="1" x14ac:dyDescent="0.3">
      <c r="A174" s="43" t="s">
        <v>895</v>
      </c>
      <c r="B174" s="44" t="s">
        <v>665</v>
      </c>
      <c r="C174" s="165" t="s">
        <v>204</v>
      </c>
      <c r="D174" s="45" t="str">
        <f t="shared" si="4"/>
        <v>Feminino</v>
      </c>
      <c r="E174" s="43" t="s">
        <v>684</v>
      </c>
      <c r="F174" s="43" t="s">
        <v>853</v>
      </c>
      <c r="G174" s="43" t="s">
        <v>694</v>
      </c>
      <c r="H174" s="43" t="s">
        <v>680</v>
      </c>
      <c r="I174" s="46">
        <f>SUMIFS(Movimentações!$F$6:$F$4998,Movimentações!$C$6:$C$4998,A174,Movimentações!$M$6:$M$4998,M174)</f>
        <v>0</v>
      </c>
      <c r="J174" s="43" t="s">
        <v>670</v>
      </c>
      <c r="K174" s="43" t="s">
        <v>671</v>
      </c>
      <c r="L174" s="47" t="s">
        <v>746</v>
      </c>
      <c r="M174" s="43" t="s">
        <v>747</v>
      </c>
      <c r="N174" s="43" t="str">
        <f t="shared" si="5"/>
        <v>Rua A · Prat 6 · C-37</v>
      </c>
      <c r="P174">
        <f>IF(A174="","",IF(AND(K174&lt;&gt;"",L174&lt;&gt;""),IF(COUNTIFS($K$6:K174,K174,$L$6:L174,L174)=1,1,0),0))</f>
        <v>0</v>
      </c>
      <c r="Q174">
        <f>IF(A174="","",IF(AND(K174&lt;&gt;"",M174&lt;&gt;""),IF(COUNTIFS($K$6:K174,K174,$M$6:M174,M174)=1,1,0),0))</f>
        <v>0</v>
      </c>
      <c r="R174">
        <f>IF(A174="","",IF(M174&lt;&gt;"",IF(COUNTIF($M$6:M174,M174)=1,1,0),0))</f>
        <v>0</v>
      </c>
      <c r="T174" t="str">
        <f>IF(AND($M174&lt;&gt;"",$M174='Mapa do Galpão'!$C$20),COUNTIF($M$6:$M174,'Mapa do Galpão'!$C$20),"")</f>
        <v/>
      </c>
    </row>
    <row r="175" spans="1:20" ht="14.25" hidden="1" customHeight="1" x14ac:dyDescent="0.3">
      <c r="A175" s="43" t="s">
        <v>896</v>
      </c>
      <c r="B175" s="44" t="s">
        <v>665</v>
      </c>
      <c r="C175" s="165" t="s">
        <v>205</v>
      </c>
      <c r="D175" s="45" t="str">
        <f t="shared" si="4"/>
        <v>Feminino</v>
      </c>
      <c r="E175" s="43" t="s">
        <v>684</v>
      </c>
      <c r="F175" s="43" t="s">
        <v>853</v>
      </c>
      <c r="G175" s="43" t="s">
        <v>694</v>
      </c>
      <c r="H175" s="43" t="s">
        <v>675</v>
      </c>
      <c r="I175" s="46">
        <f>SUMIFS(Movimentações!$F$6:$F$4998,Movimentações!$C$6:$C$4998,A175,Movimentações!$M$6:$M$4998,M175)</f>
        <v>0</v>
      </c>
      <c r="J175" s="43" t="s">
        <v>670</v>
      </c>
      <c r="K175" s="43" t="s">
        <v>671</v>
      </c>
      <c r="L175" s="47" t="s">
        <v>746</v>
      </c>
      <c r="M175" s="43" t="s">
        <v>747</v>
      </c>
      <c r="N175" s="43" t="str">
        <f t="shared" si="5"/>
        <v>Rua A · Prat 6 · C-37</v>
      </c>
      <c r="P175">
        <f>IF(A175="","",IF(AND(K175&lt;&gt;"",L175&lt;&gt;""),IF(COUNTIFS($K$6:K175,K175,$L$6:L175,L175)=1,1,0),0))</f>
        <v>0</v>
      </c>
      <c r="Q175">
        <f>IF(A175="","",IF(AND(K175&lt;&gt;"",M175&lt;&gt;""),IF(COUNTIFS($K$6:K175,K175,$M$6:M175,M175)=1,1,0),0))</f>
        <v>0</v>
      </c>
      <c r="R175">
        <f>IF(A175="","",IF(M175&lt;&gt;"",IF(COUNTIF($M$6:M175,M175)=1,1,0),0))</f>
        <v>0</v>
      </c>
      <c r="T175" t="str">
        <f>IF(AND($M175&lt;&gt;"",$M175='Mapa do Galpão'!$C$20),COUNTIF($M$6:$M175,'Mapa do Galpão'!$C$20),"")</f>
        <v/>
      </c>
    </row>
    <row r="176" spans="1:20" ht="14.25" hidden="1" customHeight="1" x14ac:dyDescent="0.3">
      <c r="A176" s="43" t="s">
        <v>897</v>
      </c>
      <c r="B176" s="44" t="s">
        <v>665</v>
      </c>
      <c r="C176" s="165" t="s">
        <v>206</v>
      </c>
      <c r="D176" s="45" t="str">
        <f t="shared" si="4"/>
        <v>Feminino</v>
      </c>
      <c r="E176" s="43" t="s">
        <v>684</v>
      </c>
      <c r="F176" s="43" t="s">
        <v>853</v>
      </c>
      <c r="G176" s="43" t="s">
        <v>694</v>
      </c>
      <c r="H176" s="43" t="s">
        <v>669</v>
      </c>
      <c r="I176" s="46">
        <f>SUMIFS(Movimentações!$F$6:$F$4998,Movimentações!$C$6:$C$4998,A176,Movimentações!$M$6:$M$4998,M176)</f>
        <v>0</v>
      </c>
      <c r="J176" s="43" t="s">
        <v>670</v>
      </c>
      <c r="K176" s="43" t="s">
        <v>671</v>
      </c>
      <c r="L176" s="47" t="s">
        <v>746</v>
      </c>
      <c r="M176" s="43" t="s">
        <v>747</v>
      </c>
      <c r="N176" s="43" t="str">
        <f t="shared" si="5"/>
        <v>Rua A · Prat 6 · C-37</v>
      </c>
      <c r="P176">
        <f>IF(A176="","",IF(AND(K176&lt;&gt;"",L176&lt;&gt;""),IF(COUNTIFS($K$6:K176,K176,$L$6:L176,L176)=1,1,0),0))</f>
        <v>0</v>
      </c>
      <c r="Q176">
        <f>IF(A176="","",IF(AND(K176&lt;&gt;"",M176&lt;&gt;""),IF(COUNTIFS($K$6:K176,K176,$M$6:M176,M176)=1,1,0),0))</f>
        <v>0</v>
      </c>
      <c r="R176">
        <f>IF(A176="","",IF(M176&lt;&gt;"",IF(COUNTIF($M$6:M176,M176)=1,1,0),0))</f>
        <v>0</v>
      </c>
      <c r="T176" t="str">
        <f>IF(AND($M176&lt;&gt;"",$M176='Mapa do Galpão'!$C$20),COUNTIF($M$6:$M176,'Mapa do Galpão'!$C$20),"")</f>
        <v/>
      </c>
    </row>
    <row r="177" spans="1:20" ht="14.25" hidden="1" customHeight="1" x14ac:dyDescent="0.3">
      <c r="A177" s="43" t="s">
        <v>898</v>
      </c>
      <c r="B177" s="44" t="s">
        <v>665</v>
      </c>
      <c r="C177" s="165" t="s">
        <v>207</v>
      </c>
      <c r="D177" s="45" t="str">
        <f t="shared" si="4"/>
        <v>Feminino</v>
      </c>
      <c r="E177" s="43" t="s">
        <v>684</v>
      </c>
      <c r="F177" s="43" t="s">
        <v>853</v>
      </c>
      <c r="G177" s="43" t="s">
        <v>694</v>
      </c>
      <c r="H177" s="43" t="s">
        <v>682</v>
      </c>
      <c r="I177" s="46">
        <f>SUMIFS(Movimentações!$F$6:$F$4998,Movimentações!$C$6:$C$4998,A177,Movimentações!$M$6:$M$4998,M177)</f>
        <v>0</v>
      </c>
      <c r="J177" s="43" t="s">
        <v>670</v>
      </c>
      <c r="K177" s="43" t="s">
        <v>671</v>
      </c>
      <c r="L177" s="47" t="s">
        <v>746</v>
      </c>
      <c r="M177" s="43" t="s">
        <v>747</v>
      </c>
      <c r="N177" s="43" t="str">
        <f t="shared" si="5"/>
        <v>Rua A · Prat 6 · C-37</v>
      </c>
      <c r="P177">
        <f>IF(A177="","",IF(AND(K177&lt;&gt;"",L177&lt;&gt;""),IF(COUNTIFS($K$6:K177,K177,$L$6:L177,L177)=1,1,0),0))</f>
        <v>0</v>
      </c>
      <c r="Q177">
        <f>IF(A177="","",IF(AND(K177&lt;&gt;"",M177&lt;&gt;""),IF(COUNTIFS($K$6:K177,K177,$M$6:M177,M177)=1,1,0),0))</f>
        <v>0</v>
      </c>
      <c r="R177">
        <f>IF(A177="","",IF(M177&lt;&gt;"",IF(COUNTIF($M$6:M177,M177)=1,1,0),0))</f>
        <v>0</v>
      </c>
      <c r="T177" t="str">
        <f>IF(AND($M177&lt;&gt;"",$M177='Mapa do Galpão'!$C$20),COUNTIF($M$6:$M177,'Mapa do Galpão'!$C$20),"")</f>
        <v/>
      </c>
    </row>
    <row r="178" spans="1:20" ht="14.25" hidden="1" customHeight="1" x14ac:dyDescent="0.3">
      <c r="A178" s="43" t="s">
        <v>899</v>
      </c>
      <c r="B178" s="44" t="s">
        <v>665</v>
      </c>
      <c r="C178" s="165" t="s">
        <v>208</v>
      </c>
      <c r="D178" s="45" t="str">
        <f t="shared" si="4"/>
        <v>Feminino</v>
      </c>
      <c r="E178" s="43" t="s">
        <v>684</v>
      </c>
      <c r="F178" s="43" t="s">
        <v>853</v>
      </c>
      <c r="G178" s="43" t="s">
        <v>694</v>
      </c>
      <c r="H178" s="43" t="s">
        <v>677</v>
      </c>
      <c r="I178" s="46">
        <f>SUMIFS(Movimentações!$F$6:$F$4998,Movimentações!$C$6:$C$4998,A178,Movimentações!$M$6:$M$4998,M178)</f>
        <v>0</v>
      </c>
      <c r="J178" s="43" t="s">
        <v>670</v>
      </c>
      <c r="K178" s="43" t="s">
        <v>671</v>
      </c>
      <c r="L178" s="47" t="s">
        <v>746</v>
      </c>
      <c r="M178" s="43" t="s">
        <v>747</v>
      </c>
      <c r="N178" s="43" t="str">
        <f t="shared" si="5"/>
        <v>Rua A · Prat 6 · C-37</v>
      </c>
      <c r="P178">
        <f>IF(A178="","",IF(AND(K178&lt;&gt;"",L178&lt;&gt;""),IF(COUNTIFS($K$6:K178,K178,$L$6:L178,L178)=1,1,0),0))</f>
        <v>0</v>
      </c>
      <c r="Q178">
        <f>IF(A178="","",IF(AND(K178&lt;&gt;"",M178&lt;&gt;""),IF(COUNTIFS($K$6:K178,K178,$M$6:M178,M178)=1,1,0),0))</f>
        <v>0</v>
      </c>
      <c r="R178">
        <f>IF(A178="","",IF(M178&lt;&gt;"",IF(COUNTIF($M$6:M178,M178)=1,1,0),0))</f>
        <v>0</v>
      </c>
      <c r="T178" t="str">
        <f>IF(AND($M178&lt;&gt;"",$M178='Mapa do Galpão'!$C$20),COUNTIF($M$6:$M178,'Mapa do Galpão'!$C$20),"")</f>
        <v/>
      </c>
    </row>
    <row r="179" spans="1:20" ht="14.25" hidden="1" customHeight="1" x14ac:dyDescent="0.3">
      <c r="A179" s="43" t="s">
        <v>900</v>
      </c>
      <c r="B179" s="44" t="s">
        <v>665</v>
      </c>
      <c r="C179" s="165" t="s">
        <v>209</v>
      </c>
      <c r="D179" s="45" t="str">
        <f t="shared" si="4"/>
        <v>Feminino</v>
      </c>
      <c r="E179" s="43" t="s">
        <v>684</v>
      </c>
      <c r="F179" s="43" t="s">
        <v>853</v>
      </c>
      <c r="G179" s="43" t="s">
        <v>719</v>
      </c>
      <c r="H179" s="43" t="s">
        <v>675</v>
      </c>
      <c r="I179" s="46">
        <f>SUMIFS(Movimentações!$F$6:$F$4998,Movimentações!$C$6:$C$4998,A179,Movimentações!$M$6:$M$4998,M179)</f>
        <v>0</v>
      </c>
      <c r="J179" s="43" t="s">
        <v>670</v>
      </c>
      <c r="K179" s="43" t="s">
        <v>671</v>
      </c>
      <c r="L179" s="47">
        <v>6</v>
      </c>
      <c r="M179" s="43" t="s">
        <v>747</v>
      </c>
      <c r="N179" s="43" t="str">
        <f t="shared" si="5"/>
        <v>Rua A · Prat 6 · C-37</v>
      </c>
      <c r="P179">
        <f>IF(A179="","",IF(AND(K179&lt;&gt;"",L179&lt;&gt;""),IF(COUNTIFS($K$6:K179,K179,$L$6:L179,L179)=1,1,0),0))</f>
        <v>0</v>
      </c>
      <c r="Q179">
        <f>IF(A179="","",IF(AND(K179&lt;&gt;"",M179&lt;&gt;""),IF(COUNTIFS($K$6:K179,K179,$M$6:M179,M179)=1,1,0),0))</f>
        <v>0</v>
      </c>
      <c r="R179">
        <f>IF(A179="","",IF(M179&lt;&gt;"",IF(COUNTIF($M$6:M179,M179)=1,1,0),0))</f>
        <v>0</v>
      </c>
      <c r="T179" t="str">
        <f>IF(AND($M179&lt;&gt;"",$M179='Mapa do Galpão'!$C$20),COUNTIF($M$6:$M179,'Mapa do Galpão'!$C$20),"")</f>
        <v/>
      </c>
    </row>
    <row r="180" spans="1:20" ht="14.25" hidden="1" customHeight="1" x14ac:dyDescent="0.3">
      <c r="A180" s="43" t="s">
        <v>901</v>
      </c>
      <c r="B180" s="44" t="s">
        <v>665</v>
      </c>
      <c r="C180" s="165" t="s">
        <v>210</v>
      </c>
      <c r="D180" s="45" t="str">
        <f t="shared" si="4"/>
        <v>Feminino</v>
      </c>
      <c r="E180" s="43" t="s">
        <v>684</v>
      </c>
      <c r="F180" s="43" t="s">
        <v>853</v>
      </c>
      <c r="G180" s="43" t="s">
        <v>719</v>
      </c>
      <c r="H180" s="43" t="s">
        <v>669</v>
      </c>
      <c r="I180" s="46">
        <f>SUMIFS(Movimentações!$F$6:$F$4998,Movimentações!$C$6:$C$4998,A180,Movimentações!$M$6:$M$4998,M180)</f>
        <v>0</v>
      </c>
      <c r="J180" s="43" t="s">
        <v>670</v>
      </c>
      <c r="K180" s="43" t="s">
        <v>671</v>
      </c>
      <c r="L180" s="47" t="s">
        <v>746</v>
      </c>
      <c r="M180" s="43" t="s">
        <v>747</v>
      </c>
      <c r="N180" s="43" t="str">
        <f t="shared" si="5"/>
        <v>Rua A · Prat 6 · C-37</v>
      </c>
      <c r="P180">
        <f>IF(A180="","",IF(AND(K180&lt;&gt;"",L180&lt;&gt;""),IF(COUNTIFS($K$6:K180,K180,$L$6:L180,L180)=1,1,0),0))</f>
        <v>0</v>
      </c>
      <c r="Q180">
        <f>IF(A180="","",IF(AND(K180&lt;&gt;"",M180&lt;&gt;""),IF(COUNTIFS($K$6:K180,K180,$M$6:M180,M180)=1,1,0),0))</f>
        <v>0</v>
      </c>
      <c r="R180">
        <f>IF(A180="","",IF(M180&lt;&gt;"",IF(COUNTIF($M$6:M180,M180)=1,1,0),0))</f>
        <v>0</v>
      </c>
      <c r="T180" t="str">
        <f>IF(AND($M180&lt;&gt;"",$M180='Mapa do Galpão'!$C$20),COUNTIF($M$6:$M180,'Mapa do Galpão'!$C$20),"")</f>
        <v/>
      </c>
    </row>
    <row r="181" spans="1:20" ht="14.25" hidden="1" customHeight="1" x14ac:dyDescent="0.3">
      <c r="A181" s="43" t="s">
        <v>902</v>
      </c>
      <c r="B181" s="44" t="s">
        <v>665</v>
      </c>
      <c r="C181" s="165" t="s">
        <v>211</v>
      </c>
      <c r="D181" s="45" t="str">
        <f t="shared" si="4"/>
        <v>Feminino</v>
      </c>
      <c r="E181" s="43" t="s">
        <v>684</v>
      </c>
      <c r="F181" s="43" t="s">
        <v>853</v>
      </c>
      <c r="G181" s="43" t="s">
        <v>719</v>
      </c>
      <c r="H181" s="43" t="s">
        <v>682</v>
      </c>
      <c r="I181" s="46">
        <f>SUMIFS(Movimentações!$F$6:$F$4998,Movimentações!$C$6:$C$4998,A181,Movimentações!$M$6:$M$4998,M181)</f>
        <v>0</v>
      </c>
      <c r="J181" s="43" t="s">
        <v>670</v>
      </c>
      <c r="K181" s="43" t="s">
        <v>671</v>
      </c>
      <c r="L181" s="47">
        <v>6</v>
      </c>
      <c r="M181" s="43" t="s">
        <v>747</v>
      </c>
      <c r="N181" s="43" t="str">
        <f t="shared" si="5"/>
        <v>Rua A · Prat 6 · C-37</v>
      </c>
      <c r="P181">
        <f>IF(A181="","",IF(AND(K181&lt;&gt;"",L181&lt;&gt;""),IF(COUNTIFS($K$6:K181,K181,$L$6:L181,L181)=1,1,0),0))</f>
        <v>0</v>
      </c>
      <c r="Q181">
        <f>IF(A181="","",IF(AND(K181&lt;&gt;"",M181&lt;&gt;""),IF(COUNTIFS($K$6:K181,K181,$M$6:M181,M181)=1,1,0),0))</f>
        <v>0</v>
      </c>
      <c r="R181">
        <f>IF(A181="","",IF(M181&lt;&gt;"",IF(COUNTIF($M$6:M181,M181)=1,1,0),0))</f>
        <v>0</v>
      </c>
      <c r="T181" t="str">
        <f>IF(AND($M181&lt;&gt;"",$M181='Mapa do Galpão'!$C$20),COUNTIF($M$6:$M181,'Mapa do Galpão'!$C$20),"")</f>
        <v/>
      </c>
    </row>
    <row r="182" spans="1:20" ht="14.25" hidden="1" customHeight="1" x14ac:dyDescent="0.3">
      <c r="A182" s="43" t="s">
        <v>903</v>
      </c>
      <c r="B182" s="44" t="s">
        <v>665</v>
      </c>
      <c r="C182" s="165" t="s">
        <v>212</v>
      </c>
      <c r="D182" s="45" t="str">
        <f t="shared" si="4"/>
        <v>Feminino</v>
      </c>
      <c r="E182" s="43" t="s">
        <v>684</v>
      </c>
      <c r="F182" s="43" t="s">
        <v>853</v>
      </c>
      <c r="G182" s="43" t="s">
        <v>719</v>
      </c>
      <c r="H182" s="43" t="s">
        <v>677</v>
      </c>
      <c r="I182" s="46">
        <f>SUMIFS(Movimentações!$F$6:$F$4998,Movimentações!$C$6:$C$4998,A182,Movimentações!$M$6:$M$4998,M182)</f>
        <v>0</v>
      </c>
      <c r="J182" s="43" t="s">
        <v>670</v>
      </c>
      <c r="K182" s="43" t="s">
        <v>671</v>
      </c>
      <c r="L182" s="47" t="s">
        <v>746</v>
      </c>
      <c r="M182" s="43" t="s">
        <v>747</v>
      </c>
      <c r="N182" s="43" t="str">
        <f t="shared" si="5"/>
        <v>Rua A · Prat 6 · C-37</v>
      </c>
      <c r="P182">
        <f>IF(A182="","",IF(AND(K182&lt;&gt;"",L182&lt;&gt;""),IF(COUNTIFS($K$6:K182,K182,$L$6:L182,L182)=1,1,0),0))</f>
        <v>0</v>
      </c>
      <c r="Q182">
        <f>IF(A182="","",IF(AND(K182&lt;&gt;"",M182&lt;&gt;""),IF(COUNTIFS($K$6:K182,K182,$M$6:M182,M182)=1,1,0),0))</f>
        <v>0</v>
      </c>
      <c r="R182">
        <f>IF(A182="","",IF(M182&lt;&gt;"",IF(COUNTIF($M$6:M182,M182)=1,1,0),0))</f>
        <v>0</v>
      </c>
      <c r="T182" t="str">
        <f>IF(AND($M182&lt;&gt;"",$M182='Mapa do Galpão'!$C$20),COUNTIF($M$6:$M182,'Mapa do Galpão'!$C$20),"")</f>
        <v/>
      </c>
    </row>
    <row r="183" spans="1:20" ht="14.25" hidden="1" customHeight="1" x14ac:dyDescent="0.3">
      <c r="A183" s="43" t="s">
        <v>904</v>
      </c>
      <c r="B183" s="44" t="s">
        <v>665</v>
      </c>
      <c r="C183" s="165" t="s">
        <v>213</v>
      </c>
      <c r="D183" s="45" t="str">
        <f t="shared" si="4"/>
        <v>Feminino</v>
      </c>
      <c r="E183" s="43" t="s">
        <v>666</v>
      </c>
      <c r="F183" s="43" t="s">
        <v>905</v>
      </c>
      <c r="G183" s="43" t="s">
        <v>798</v>
      </c>
      <c r="H183" s="43" t="s">
        <v>756</v>
      </c>
      <c r="I183" s="46">
        <f>SUMIFS(Movimentações!$F$6:$F$4998,Movimentações!$C$6:$C$4998,A183,Movimentações!$M$6:$M$4998,M183)</f>
        <v>0</v>
      </c>
      <c r="J183" s="43" t="s">
        <v>670</v>
      </c>
      <c r="K183" s="43" t="s">
        <v>671</v>
      </c>
      <c r="L183" s="47" t="s">
        <v>746</v>
      </c>
      <c r="M183" s="43" t="s">
        <v>906</v>
      </c>
      <c r="N183" s="43" t="str">
        <f t="shared" si="5"/>
        <v>Rua A · Prat 6 · C-38</v>
      </c>
      <c r="P183">
        <f>IF(A183="","",IF(AND(K183&lt;&gt;"",L183&lt;&gt;""),IF(COUNTIFS($K$6:K183,K183,$L$6:L183,L183)=1,1,0),0))</f>
        <v>0</v>
      </c>
      <c r="Q183">
        <f>IF(A183="","",IF(AND(K183&lt;&gt;"",M183&lt;&gt;""),IF(COUNTIFS($K$6:K183,K183,$M$6:M183,M183)=1,1,0),0))</f>
        <v>1</v>
      </c>
      <c r="R183">
        <f>IF(A183="","",IF(M183&lt;&gt;"",IF(COUNTIF($M$6:M183,M183)=1,1,0),0))</f>
        <v>1</v>
      </c>
      <c r="T183" t="str">
        <f>IF(AND($M183&lt;&gt;"",$M183='Mapa do Galpão'!$C$20),COUNTIF($M$6:$M183,'Mapa do Galpão'!$C$20),"")</f>
        <v/>
      </c>
    </row>
    <row r="184" spans="1:20" ht="14.25" hidden="1" customHeight="1" x14ac:dyDescent="0.3">
      <c r="A184" s="43" t="s">
        <v>907</v>
      </c>
      <c r="B184" s="44" t="s">
        <v>665</v>
      </c>
      <c r="C184" s="165" t="s">
        <v>214</v>
      </c>
      <c r="D184" s="45" t="str">
        <f t="shared" si="4"/>
        <v>Feminino</v>
      </c>
      <c r="E184" s="43" t="s">
        <v>666</v>
      </c>
      <c r="F184" s="43" t="s">
        <v>905</v>
      </c>
      <c r="G184" s="43" t="s">
        <v>798</v>
      </c>
      <c r="H184" s="43" t="s">
        <v>756</v>
      </c>
      <c r="I184" s="46">
        <f>SUMIFS(Movimentações!$F$6:$F$4998,Movimentações!$C$6:$C$4998,A184,Movimentações!$M$6:$M$4998,M184)</f>
        <v>0</v>
      </c>
      <c r="J184" s="43" t="s">
        <v>670</v>
      </c>
      <c r="K184" s="43" t="s">
        <v>671</v>
      </c>
      <c r="L184" s="47" t="s">
        <v>746</v>
      </c>
      <c r="M184" s="43" t="s">
        <v>906</v>
      </c>
      <c r="N184" s="43" t="str">
        <f t="shared" si="5"/>
        <v>Rua A · Prat 6 · C-38</v>
      </c>
      <c r="P184">
        <f>IF(A184="","",IF(AND(K184&lt;&gt;"",L184&lt;&gt;""),IF(COUNTIFS($K$6:K184,K184,$L$6:L184,L184)=1,1,0),0))</f>
        <v>0</v>
      </c>
      <c r="Q184">
        <f>IF(A184="","",IF(AND(K184&lt;&gt;"",M184&lt;&gt;""),IF(COUNTIFS($K$6:K184,K184,$M$6:M184,M184)=1,1,0),0))</f>
        <v>0</v>
      </c>
      <c r="R184">
        <f>IF(A184="","",IF(M184&lt;&gt;"",IF(COUNTIF($M$6:M184,M184)=1,1,0),0))</f>
        <v>0</v>
      </c>
      <c r="T184" t="str">
        <f>IF(AND($M184&lt;&gt;"",$M184='Mapa do Galpão'!$C$20),COUNTIF($M$6:$M184,'Mapa do Galpão'!$C$20),"")</f>
        <v/>
      </c>
    </row>
    <row r="185" spans="1:20" ht="14.25" hidden="1" customHeight="1" x14ac:dyDescent="0.3">
      <c r="A185" s="43" t="s">
        <v>908</v>
      </c>
      <c r="B185" s="44" t="s">
        <v>665</v>
      </c>
      <c r="C185" s="165" t="s">
        <v>215</v>
      </c>
      <c r="D185" s="45" t="str">
        <f t="shared" si="4"/>
        <v>Feminino</v>
      </c>
      <c r="E185" s="43" t="s">
        <v>666</v>
      </c>
      <c r="F185" s="43" t="s">
        <v>905</v>
      </c>
      <c r="G185" s="43" t="s">
        <v>798</v>
      </c>
      <c r="H185" s="43" t="s">
        <v>675</v>
      </c>
      <c r="I185" s="46">
        <f>SUMIFS(Movimentações!$F$6:$F$4998,Movimentações!$C$6:$C$4998,A185,Movimentações!$M$6:$M$4998,M185)</f>
        <v>0</v>
      </c>
      <c r="J185" s="43" t="s">
        <v>670</v>
      </c>
      <c r="K185" s="43" t="s">
        <v>671</v>
      </c>
      <c r="L185" s="47">
        <v>6</v>
      </c>
      <c r="M185" s="43" t="s">
        <v>906</v>
      </c>
      <c r="N185" s="43" t="str">
        <f t="shared" si="5"/>
        <v>Rua A · Prat 6 · C-38</v>
      </c>
      <c r="P185">
        <f>IF(A185="","",IF(AND(K185&lt;&gt;"",L185&lt;&gt;""),IF(COUNTIFS($K$6:K185,K185,$L$6:L185,L185)=1,1,0),0))</f>
        <v>0</v>
      </c>
      <c r="Q185">
        <f>IF(A185="","",IF(AND(K185&lt;&gt;"",M185&lt;&gt;""),IF(COUNTIFS($K$6:K185,K185,$M$6:M185,M185)=1,1,0),0))</f>
        <v>0</v>
      </c>
      <c r="R185">
        <f>IF(A185="","",IF(M185&lt;&gt;"",IF(COUNTIF($M$6:M185,M185)=1,1,0),0))</f>
        <v>0</v>
      </c>
      <c r="T185" t="str">
        <f>IF(AND($M185&lt;&gt;"",$M185='Mapa do Galpão'!$C$20),COUNTIF($M$6:$M185,'Mapa do Galpão'!$C$20),"")</f>
        <v/>
      </c>
    </row>
    <row r="186" spans="1:20" ht="14.25" hidden="1" customHeight="1" x14ac:dyDescent="0.3">
      <c r="A186" s="43" t="s">
        <v>909</v>
      </c>
      <c r="B186" s="44" t="s">
        <v>665</v>
      </c>
      <c r="C186" s="165" t="s">
        <v>216</v>
      </c>
      <c r="D186" s="45" t="str">
        <f t="shared" si="4"/>
        <v>Feminino</v>
      </c>
      <c r="E186" s="43" t="s">
        <v>666</v>
      </c>
      <c r="F186" s="43" t="s">
        <v>905</v>
      </c>
      <c r="G186" s="43" t="s">
        <v>798</v>
      </c>
      <c r="H186" s="43" t="s">
        <v>669</v>
      </c>
      <c r="I186" s="46">
        <f>SUMIFS(Movimentações!$F$6:$F$4998,Movimentações!$C$6:$C$4998,A186,Movimentações!$M$6:$M$4998,M186)</f>
        <v>0</v>
      </c>
      <c r="J186" s="43" t="s">
        <v>670</v>
      </c>
      <c r="K186" s="43" t="s">
        <v>671</v>
      </c>
      <c r="L186" s="47" t="s">
        <v>746</v>
      </c>
      <c r="M186" s="43" t="s">
        <v>906</v>
      </c>
      <c r="N186" s="43" t="str">
        <f t="shared" si="5"/>
        <v>Rua A · Prat 6 · C-38</v>
      </c>
      <c r="P186">
        <f>IF(A186="","",IF(AND(K186&lt;&gt;"",L186&lt;&gt;""),IF(COUNTIFS($K$6:K186,K186,$L$6:L186,L186)=1,1,0),0))</f>
        <v>0</v>
      </c>
      <c r="Q186">
        <f>IF(A186="","",IF(AND(K186&lt;&gt;"",M186&lt;&gt;""),IF(COUNTIFS($K$6:K186,K186,$M$6:M186,M186)=1,1,0),0))</f>
        <v>0</v>
      </c>
      <c r="R186">
        <f>IF(A186="","",IF(M186&lt;&gt;"",IF(COUNTIF($M$6:M186,M186)=1,1,0),0))</f>
        <v>0</v>
      </c>
      <c r="T186" t="str">
        <f>IF(AND($M186&lt;&gt;"",$M186='Mapa do Galpão'!$C$20),COUNTIF($M$6:$M186,'Mapa do Galpão'!$C$20),"")</f>
        <v/>
      </c>
    </row>
    <row r="187" spans="1:20" ht="14.25" hidden="1" customHeight="1" x14ac:dyDescent="0.3">
      <c r="A187" s="43" t="s">
        <v>910</v>
      </c>
      <c r="B187" s="44" t="s">
        <v>665</v>
      </c>
      <c r="C187" s="165" t="s">
        <v>217</v>
      </c>
      <c r="D187" s="45" t="str">
        <f t="shared" si="4"/>
        <v>Feminino</v>
      </c>
      <c r="E187" s="43" t="s">
        <v>666</v>
      </c>
      <c r="F187" s="43" t="s">
        <v>905</v>
      </c>
      <c r="G187" s="43" t="s">
        <v>798</v>
      </c>
      <c r="H187" s="43" t="s">
        <v>682</v>
      </c>
      <c r="I187" s="46">
        <f>SUMIFS(Movimentações!$F$6:$F$4998,Movimentações!$C$6:$C$4998,A187,Movimentações!$M$6:$M$4998,M187)</f>
        <v>0</v>
      </c>
      <c r="J187" s="43" t="s">
        <v>670</v>
      </c>
      <c r="K187" s="43" t="s">
        <v>671</v>
      </c>
      <c r="L187" s="47">
        <v>6</v>
      </c>
      <c r="M187" s="43" t="s">
        <v>906</v>
      </c>
      <c r="N187" s="43" t="str">
        <f t="shared" si="5"/>
        <v>Rua A · Prat 6 · C-38</v>
      </c>
      <c r="P187">
        <f>IF(A187="","",IF(AND(K187&lt;&gt;"",L187&lt;&gt;""),IF(COUNTIFS($K$6:K187,K187,$L$6:L187,L187)=1,1,0),0))</f>
        <v>0</v>
      </c>
      <c r="Q187">
        <f>IF(A187="","",IF(AND(K187&lt;&gt;"",M187&lt;&gt;""),IF(COUNTIFS($K$6:K187,K187,$M$6:M187,M187)=1,1,0),0))</f>
        <v>0</v>
      </c>
      <c r="R187">
        <f>IF(A187="","",IF(M187&lt;&gt;"",IF(COUNTIF($M$6:M187,M187)=1,1,0),0))</f>
        <v>0</v>
      </c>
      <c r="T187" t="str">
        <f>IF(AND($M187&lt;&gt;"",$M187='Mapa do Galpão'!$C$20),COUNTIF($M$6:$M187,'Mapa do Galpão'!$C$20),"")</f>
        <v/>
      </c>
    </row>
    <row r="188" spans="1:20" ht="14.25" hidden="1" customHeight="1" x14ac:dyDescent="0.3">
      <c r="A188" s="43" t="s">
        <v>911</v>
      </c>
      <c r="B188" s="44" t="s">
        <v>665</v>
      </c>
      <c r="C188" s="165" t="s">
        <v>218</v>
      </c>
      <c r="D188" s="45" t="str">
        <f t="shared" si="4"/>
        <v>Feminino</v>
      </c>
      <c r="E188" s="43" t="s">
        <v>666</v>
      </c>
      <c r="F188" s="43" t="s">
        <v>905</v>
      </c>
      <c r="G188" s="43" t="s">
        <v>798</v>
      </c>
      <c r="H188" s="43" t="s">
        <v>677</v>
      </c>
      <c r="I188" s="46">
        <f>SUMIFS(Movimentações!$F$6:$F$4998,Movimentações!$C$6:$C$4998,A188,Movimentações!$M$6:$M$4998,M188)</f>
        <v>3</v>
      </c>
      <c r="J188" s="43" t="s">
        <v>670</v>
      </c>
      <c r="K188" s="43" t="s">
        <v>671</v>
      </c>
      <c r="L188" s="47" t="s">
        <v>746</v>
      </c>
      <c r="M188" s="43" t="s">
        <v>906</v>
      </c>
      <c r="N188" s="43" t="str">
        <f t="shared" si="5"/>
        <v>Rua A · Prat 6 · C-38</v>
      </c>
      <c r="P188">
        <f>IF(A188="","",IF(AND(K188&lt;&gt;"",L188&lt;&gt;""),IF(COUNTIFS($K$6:K188,K188,$L$6:L188,L188)=1,1,0),0))</f>
        <v>0</v>
      </c>
      <c r="Q188">
        <f>IF(A188="","",IF(AND(K188&lt;&gt;"",M188&lt;&gt;""),IF(COUNTIFS($K$6:K188,K188,$M$6:M188,M188)=1,1,0),0))</f>
        <v>0</v>
      </c>
      <c r="R188">
        <f>IF(A188="","",IF(M188&lt;&gt;"",IF(COUNTIF($M$6:M188,M188)=1,1,0),0))</f>
        <v>0</v>
      </c>
      <c r="T188" t="str">
        <f>IF(AND($M188&lt;&gt;"",$M188='Mapa do Galpão'!$C$20),COUNTIF($M$6:$M188,'Mapa do Galpão'!$C$20),"")</f>
        <v/>
      </c>
    </row>
    <row r="189" spans="1:20" ht="14.25" hidden="1" customHeight="1" x14ac:dyDescent="0.3">
      <c r="A189" s="43" t="s">
        <v>912</v>
      </c>
      <c r="B189" s="44" t="s">
        <v>665</v>
      </c>
      <c r="C189" s="165" t="s">
        <v>219</v>
      </c>
      <c r="D189" s="45" t="str">
        <f t="shared" si="4"/>
        <v>Feminino</v>
      </c>
      <c r="E189" s="43" t="s">
        <v>666</v>
      </c>
      <c r="F189" s="43" t="s">
        <v>822</v>
      </c>
      <c r="G189" s="43" t="s">
        <v>780</v>
      </c>
      <c r="H189" s="43" t="s">
        <v>756</v>
      </c>
      <c r="I189" s="46">
        <f>SUMIFS(Movimentações!$F$6:$F$4998,Movimentações!$C$6:$C$4998,A189,Movimentações!$M$6:$M$4998,M189)</f>
        <v>0</v>
      </c>
      <c r="J189" s="43" t="s">
        <v>670</v>
      </c>
      <c r="K189" s="43" t="s">
        <v>671</v>
      </c>
      <c r="L189" s="47" t="s">
        <v>746</v>
      </c>
      <c r="M189" s="43" t="s">
        <v>913</v>
      </c>
      <c r="N189" s="43" t="str">
        <f t="shared" si="5"/>
        <v>Rua A · Prat 6 · C-39</v>
      </c>
      <c r="P189">
        <f>IF(A189="","",IF(AND(K189&lt;&gt;"",L189&lt;&gt;""),IF(COUNTIFS($K$6:K189,K189,$L$6:L189,L189)=1,1,0),0))</f>
        <v>0</v>
      </c>
      <c r="Q189">
        <f>IF(A189="","",IF(AND(K189&lt;&gt;"",M189&lt;&gt;""),IF(COUNTIFS($K$6:K189,K189,$M$6:M189,M189)=1,1,0),0))</f>
        <v>1</v>
      </c>
      <c r="R189">
        <f>IF(A189="","",IF(M189&lt;&gt;"",IF(COUNTIF($M$6:M189,M189)=1,1,0),0))</f>
        <v>1</v>
      </c>
      <c r="T189" t="str">
        <f>IF(AND($M189&lt;&gt;"",$M189='Mapa do Galpão'!$C$20),COUNTIF($M$6:$M189,'Mapa do Galpão'!$C$20),"")</f>
        <v/>
      </c>
    </row>
    <row r="190" spans="1:20" ht="14.25" hidden="1" customHeight="1" x14ac:dyDescent="0.3">
      <c r="A190" s="43" t="s">
        <v>914</v>
      </c>
      <c r="B190" s="44" t="s">
        <v>665</v>
      </c>
      <c r="C190" s="165" t="s">
        <v>220</v>
      </c>
      <c r="D190" s="45" t="str">
        <f t="shared" si="4"/>
        <v>Feminino</v>
      </c>
      <c r="E190" s="43" t="s">
        <v>666</v>
      </c>
      <c r="F190" s="43" t="s">
        <v>822</v>
      </c>
      <c r="G190" s="43" t="s">
        <v>780</v>
      </c>
      <c r="H190" s="43" t="s">
        <v>680</v>
      </c>
      <c r="I190" s="46">
        <f>SUMIFS(Movimentações!$F$6:$F$4998,Movimentações!$C$6:$C$4998,A190,Movimentações!$M$6:$M$4998,M190)</f>
        <v>0</v>
      </c>
      <c r="J190" s="43" t="s">
        <v>670</v>
      </c>
      <c r="K190" s="43" t="s">
        <v>671</v>
      </c>
      <c r="L190" s="47" t="s">
        <v>746</v>
      </c>
      <c r="M190" s="43" t="s">
        <v>913</v>
      </c>
      <c r="N190" s="43" t="str">
        <f t="shared" si="5"/>
        <v>Rua A · Prat 6 · C-39</v>
      </c>
      <c r="P190">
        <f>IF(A190="","",IF(AND(K190&lt;&gt;"",L190&lt;&gt;""),IF(COUNTIFS($K$6:K190,K190,$L$6:L190,L190)=1,1,0),0))</f>
        <v>0</v>
      </c>
      <c r="Q190">
        <f>IF(A190="","",IF(AND(K190&lt;&gt;"",M190&lt;&gt;""),IF(COUNTIFS($K$6:K190,K190,$M$6:M190,M190)=1,1,0),0))</f>
        <v>0</v>
      </c>
      <c r="R190">
        <f>IF(A190="","",IF(M190&lt;&gt;"",IF(COUNTIF($M$6:M190,M190)=1,1,0),0))</f>
        <v>0</v>
      </c>
      <c r="T190" t="str">
        <f>IF(AND($M190&lt;&gt;"",$M190='Mapa do Galpão'!$C$20),COUNTIF($M$6:$M190,'Mapa do Galpão'!$C$20),"")</f>
        <v/>
      </c>
    </row>
    <row r="191" spans="1:20" ht="14.25" hidden="1" customHeight="1" x14ac:dyDescent="0.3">
      <c r="A191" s="43" t="s">
        <v>915</v>
      </c>
      <c r="B191" s="44" t="s">
        <v>665</v>
      </c>
      <c r="C191" s="165" t="s">
        <v>221</v>
      </c>
      <c r="D191" s="45" t="str">
        <f t="shared" si="4"/>
        <v>Feminino</v>
      </c>
      <c r="E191" s="43" t="s">
        <v>666</v>
      </c>
      <c r="F191" s="43" t="s">
        <v>822</v>
      </c>
      <c r="G191" s="43" t="s">
        <v>780</v>
      </c>
      <c r="H191" s="43" t="s">
        <v>675</v>
      </c>
      <c r="I191" s="46">
        <f>SUMIFS(Movimentações!$F$6:$F$4998,Movimentações!$C$6:$C$4998,A191,Movimentações!$M$6:$M$4998,M191)</f>
        <v>0</v>
      </c>
      <c r="J191" s="43" t="s">
        <v>670</v>
      </c>
      <c r="K191" s="43" t="s">
        <v>671</v>
      </c>
      <c r="L191" s="47">
        <v>6</v>
      </c>
      <c r="M191" s="43" t="s">
        <v>913</v>
      </c>
      <c r="N191" s="43" t="str">
        <f t="shared" si="5"/>
        <v>Rua A · Prat 6 · C-39</v>
      </c>
      <c r="P191">
        <f>IF(A191="","",IF(AND(K191&lt;&gt;"",L191&lt;&gt;""),IF(COUNTIFS($K$6:K191,K191,$L$6:L191,L191)=1,1,0),0))</f>
        <v>0</v>
      </c>
      <c r="Q191">
        <f>IF(A191="","",IF(AND(K191&lt;&gt;"",M191&lt;&gt;""),IF(COUNTIFS($K$6:K191,K191,$M$6:M191,M191)=1,1,0),0))</f>
        <v>0</v>
      </c>
      <c r="R191">
        <f>IF(A191="","",IF(M191&lt;&gt;"",IF(COUNTIF($M$6:M191,M191)=1,1,0),0))</f>
        <v>0</v>
      </c>
      <c r="T191" t="str">
        <f>IF(AND($M191&lt;&gt;"",$M191='Mapa do Galpão'!$C$20),COUNTIF($M$6:$M191,'Mapa do Galpão'!$C$20),"")</f>
        <v/>
      </c>
    </row>
    <row r="192" spans="1:20" ht="14.25" hidden="1" customHeight="1" x14ac:dyDescent="0.3">
      <c r="A192" s="43" t="s">
        <v>916</v>
      </c>
      <c r="B192" s="44" t="s">
        <v>665</v>
      </c>
      <c r="C192" s="165" t="s">
        <v>222</v>
      </c>
      <c r="D192" s="45" t="str">
        <f t="shared" si="4"/>
        <v>Feminino</v>
      </c>
      <c r="E192" s="43" t="s">
        <v>666</v>
      </c>
      <c r="F192" s="43" t="s">
        <v>822</v>
      </c>
      <c r="G192" s="43" t="s">
        <v>780</v>
      </c>
      <c r="H192" s="43" t="s">
        <v>669</v>
      </c>
      <c r="I192" s="46">
        <f>SUMIFS(Movimentações!$F$6:$F$4998,Movimentações!$C$6:$C$4998,A192,Movimentações!$M$6:$M$4998,M192)</f>
        <v>0</v>
      </c>
      <c r="J192" s="43" t="s">
        <v>670</v>
      </c>
      <c r="K192" s="43" t="s">
        <v>671</v>
      </c>
      <c r="L192" s="47" t="s">
        <v>746</v>
      </c>
      <c r="M192" s="43" t="s">
        <v>913</v>
      </c>
      <c r="N192" s="43" t="str">
        <f t="shared" si="5"/>
        <v>Rua A · Prat 6 · C-39</v>
      </c>
      <c r="P192">
        <f>IF(A192="","",IF(AND(K192&lt;&gt;"",L192&lt;&gt;""),IF(COUNTIFS($K$6:K192,K192,$L$6:L192,L192)=1,1,0),0))</f>
        <v>0</v>
      </c>
      <c r="Q192">
        <f>IF(A192="","",IF(AND(K192&lt;&gt;"",M192&lt;&gt;""),IF(COUNTIFS($K$6:K192,K192,$M$6:M192,M192)=1,1,0),0))</f>
        <v>0</v>
      </c>
      <c r="R192">
        <f>IF(A192="","",IF(M192&lt;&gt;"",IF(COUNTIF($M$6:M192,M192)=1,1,0),0))</f>
        <v>0</v>
      </c>
      <c r="T192" t="str">
        <f>IF(AND($M192&lt;&gt;"",$M192='Mapa do Galpão'!$C$20),COUNTIF($M$6:$M192,'Mapa do Galpão'!$C$20),"")</f>
        <v/>
      </c>
    </row>
    <row r="193" spans="1:20" ht="14.25" hidden="1" customHeight="1" x14ac:dyDescent="0.3">
      <c r="A193" s="43" t="s">
        <v>917</v>
      </c>
      <c r="B193" s="44" t="s">
        <v>665</v>
      </c>
      <c r="C193" s="165" t="s">
        <v>223</v>
      </c>
      <c r="D193" s="45" t="str">
        <f t="shared" si="4"/>
        <v>Feminino</v>
      </c>
      <c r="E193" s="43" t="s">
        <v>666</v>
      </c>
      <c r="F193" s="43" t="s">
        <v>822</v>
      </c>
      <c r="G193" s="43" t="s">
        <v>780</v>
      </c>
      <c r="H193" s="43" t="s">
        <v>682</v>
      </c>
      <c r="I193" s="46">
        <f>SUMIFS(Movimentações!$F$6:$F$4998,Movimentações!$C$6:$C$4998,A193,Movimentações!$M$6:$M$4998,M193)</f>
        <v>0</v>
      </c>
      <c r="J193" s="43" t="s">
        <v>670</v>
      </c>
      <c r="K193" s="43" t="s">
        <v>671</v>
      </c>
      <c r="L193" s="47">
        <v>6</v>
      </c>
      <c r="M193" s="43" t="s">
        <v>913</v>
      </c>
      <c r="N193" s="43" t="str">
        <f t="shared" si="5"/>
        <v>Rua A · Prat 6 · C-39</v>
      </c>
      <c r="P193">
        <f>IF(A193="","",IF(AND(K193&lt;&gt;"",L193&lt;&gt;""),IF(COUNTIFS($K$6:K193,K193,$L$6:L193,L193)=1,1,0),0))</f>
        <v>0</v>
      </c>
      <c r="Q193">
        <f>IF(A193="","",IF(AND(K193&lt;&gt;"",M193&lt;&gt;""),IF(COUNTIFS($K$6:K193,K193,$M$6:M193,M193)=1,1,0),0))</f>
        <v>0</v>
      </c>
      <c r="R193">
        <f>IF(A193="","",IF(M193&lt;&gt;"",IF(COUNTIF($M$6:M193,M193)=1,1,0),0))</f>
        <v>0</v>
      </c>
      <c r="T193" t="str">
        <f>IF(AND($M193&lt;&gt;"",$M193='Mapa do Galpão'!$C$20),COUNTIF($M$6:$M193,'Mapa do Galpão'!$C$20),"")</f>
        <v/>
      </c>
    </row>
    <row r="194" spans="1:20" ht="14.25" hidden="1" customHeight="1" x14ac:dyDescent="0.3">
      <c r="A194" s="43" t="s">
        <v>918</v>
      </c>
      <c r="B194" s="44" t="s">
        <v>665</v>
      </c>
      <c r="C194" s="165" t="s">
        <v>224</v>
      </c>
      <c r="D194" s="45" t="str">
        <f t="shared" si="4"/>
        <v>Feminino</v>
      </c>
      <c r="E194" s="43" t="s">
        <v>666</v>
      </c>
      <c r="F194" s="43" t="s">
        <v>822</v>
      </c>
      <c r="G194" s="43" t="s">
        <v>780</v>
      </c>
      <c r="H194" s="43" t="s">
        <v>677</v>
      </c>
      <c r="I194" s="46">
        <f>SUMIFS(Movimentações!$F$6:$F$4998,Movimentações!$C$6:$C$4998,A194,Movimentações!$M$6:$M$4998,M194)</f>
        <v>0</v>
      </c>
      <c r="J194" s="43" t="s">
        <v>670</v>
      </c>
      <c r="K194" s="43" t="s">
        <v>671</v>
      </c>
      <c r="L194" s="47" t="s">
        <v>746</v>
      </c>
      <c r="M194" s="43" t="s">
        <v>913</v>
      </c>
      <c r="N194" s="43" t="str">
        <f t="shared" si="5"/>
        <v>Rua A · Prat 6 · C-39</v>
      </c>
      <c r="P194">
        <f>IF(A194="","",IF(AND(K194&lt;&gt;"",L194&lt;&gt;""),IF(COUNTIFS($K$6:K194,K194,$L$6:L194,L194)=1,1,0),0))</f>
        <v>0</v>
      </c>
      <c r="Q194">
        <f>IF(A194="","",IF(AND(K194&lt;&gt;"",M194&lt;&gt;""),IF(COUNTIFS($K$6:K194,K194,$M$6:M194,M194)=1,1,0),0))</f>
        <v>0</v>
      </c>
      <c r="R194">
        <f>IF(A194="","",IF(M194&lt;&gt;"",IF(COUNTIF($M$6:M194,M194)=1,1,0),0))</f>
        <v>0</v>
      </c>
      <c r="T194" t="str">
        <f>IF(AND($M194&lt;&gt;"",$M194='Mapa do Galpão'!$C$20),COUNTIF($M$6:$M194,'Mapa do Galpão'!$C$20),"")</f>
        <v/>
      </c>
    </row>
    <row r="195" spans="1:20" ht="14.25" hidden="1" customHeight="1" x14ac:dyDescent="0.3">
      <c r="A195" s="43" t="s">
        <v>919</v>
      </c>
      <c r="B195" s="44" t="s">
        <v>665</v>
      </c>
      <c r="C195" s="165" t="s">
        <v>225</v>
      </c>
      <c r="D195" s="45" t="str">
        <f t="shared" si="4"/>
        <v>Feminino</v>
      </c>
      <c r="E195" s="43" t="s">
        <v>666</v>
      </c>
      <c r="F195" s="43" t="s">
        <v>920</v>
      </c>
      <c r="G195" s="43" t="s">
        <v>738</v>
      </c>
      <c r="H195" s="43" t="s">
        <v>756</v>
      </c>
      <c r="I195" s="46">
        <f>SUMIFS(Movimentações!$F$6:$F$4998,Movimentações!$C$6:$C$4998,A195,Movimentações!$M$6:$M$4998,M195)</f>
        <v>5</v>
      </c>
      <c r="J195" s="43" t="s">
        <v>670</v>
      </c>
      <c r="K195" s="43" t="s">
        <v>671</v>
      </c>
      <c r="L195" s="47">
        <v>15</v>
      </c>
      <c r="M195" s="43" t="s">
        <v>921</v>
      </c>
      <c r="N195" s="43" t="str">
        <f t="shared" si="5"/>
        <v>Rua A · Prat 15 · C-40</v>
      </c>
      <c r="P195">
        <f>IF(A195="","",IF(AND(K195&lt;&gt;"",L195&lt;&gt;""),IF(COUNTIFS($K$6:K195,K195,$L$6:L195,L195)=1,1,0),0))</f>
        <v>0</v>
      </c>
      <c r="Q195">
        <f>IF(A195="","",IF(AND(K195&lt;&gt;"",M195&lt;&gt;""),IF(COUNTIFS($K$6:K195,K195,$M$6:M195,M195)=1,1,0),0))</f>
        <v>1</v>
      </c>
      <c r="R195">
        <f>IF(A195="","",IF(M195&lt;&gt;"",IF(COUNTIF($M$6:M195,M195)=1,1,0),0))</f>
        <v>1</v>
      </c>
      <c r="T195" t="str">
        <f>IF(AND($M195&lt;&gt;"",$M195='Mapa do Galpão'!$C$20),COUNTIF($M$6:$M195,'Mapa do Galpão'!$C$20),"")</f>
        <v/>
      </c>
    </row>
    <row r="196" spans="1:20" ht="14.25" hidden="1" customHeight="1" x14ac:dyDescent="0.3">
      <c r="A196" s="43" t="s">
        <v>922</v>
      </c>
      <c r="B196" s="44" t="s">
        <v>665</v>
      </c>
      <c r="C196" s="165" t="s">
        <v>226</v>
      </c>
      <c r="D196" s="45" t="str">
        <f t="shared" si="4"/>
        <v>Feminino</v>
      </c>
      <c r="E196" s="43" t="s">
        <v>666</v>
      </c>
      <c r="F196" s="43" t="s">
        <v>920</v>
      </c>
      <c r="G196" s="43" t="s">
        <v>738</v>
      </c>
      <c r="H196" s="43" t="s">
        <v>680</v>
      </c>
      <c r="I196" s="46">
        <f>SUMIFS(Movimentações!$F$6:$F$4998,Movimentações!$C$6:$C$4998,A196,Movimentações!$M$6:$M$4998,M196)</f>
        <v>10</v>
      </c>
      <c r="J196" s="43" t="s">
        <v>670</v>
      </c>
      <c r="K196" s="43" t="s">
        <v>671</v>
      </c>
      <c r="L196" s="47">
        <v>15</v>
      </c>
      <c r="M196" s="43" t="s">
        <v>921</v>
      </c>
      <c r="N196" s="43" t="str">
        <f t="shared" si="5"/>
        <v>Rua A · Prat 15 · C-40</v>
      </c>
      <c r="P196">
        <f>IF(A196="","",IF(AND(K196&lt;&gt;"",L196&lt;&gt;""),IF(COUNTIFS($K$6:K196,K196,$L$6:L196,L196)=1,1,0),0))</f>
        <v>0</v>
      </c>
      <c r="Q196">
        <f>IF(A196="","",IF(AND(K196&lt;&gt;"",M196&lt;&gt;""),IF(COUNTIFS($K$6:K196,K196,$M$6:M196,M196)=1,1,0),0))</f>
        <v>0</v>
      </c>
      <c r="R196">
        <f>IF(A196="","",IF(M196&lt;&gt;"",IF(COUNTIF($M$6:M196,M196)=1,1,0),0))</f>
        <v>0</v>
      </c>
      <c r="T196" t="str">
        <f>IF(AND($M196&lt;&gt;"",$M196='Mapa do Galpão'!$C$20),COUNTIF($M$6:$M196,'Mapa do Galpão'!$C$20),"")</f>
        <v/>
      </c>
    </row>
    <row r="197" spans="1:20" ht="14.25" hidden="1" customHeight="1" x14ac:dyDescent="0.3">
      <c r="A197" s="43" t="s">
        <v>923</v>
      </c>
      <c r="B197" s="44" t="s">
        <v>665</v>
      </c>
      <c r="C197" s="165" t="s">
        <v>227</v>
      </c>
      <c r="D197" s="45" t="str">
        <f t="shared" si="4"/>
        <v>Feminino</v>
      </c>
      <c r="E197" s="43" t="s">
        <v>666</v>
      </c>
      <c r="F197" s="43" t="s">
        <v>920</v>
      </c>
      <c r="G197" s="43" t="s">
        <v>738</v>
      </c>
      <c r="H197" s="43" t="s">
        <v>675</v>
      </c>
      <c r="I197" s="46">
        <f>SUMIFS(Movimentações!$F$6:$F$4998,Movimentações!$C$6:$C$4998,A197,Movimentações!$M$6:$M$4998,M197)</f>
        <v>9</v>
      </c>
      <c r="J197" s="43" t="s">
        <v>670</v>
      </c>
      <c r="K197" s="43" t="s">
        <v>671</v>
      </c>
      <c r="L197" s="47">
        <v>15</v>
      </c>
      <c r="M197" s="43" t="s">
        <v>921</v>
      </c>
      <c r="N197" s="43" t="str">
        <f t="shared" si="5"/>
        <v>Rua A · Prat 15 · C-40</v>
      </c>
      <c r="P197">
        <f>IF(A197="","",IF(AND(K197&lt;&gt;"",L197&lt;&gt;""),IF(COUNTIFS($K$6:K197,K197,$L$6:L197,L197)=1,1,0),0))</f>
        <v>0</v>
      </c>
      <c r="Q197">
        <f>IF(A197="","",IF(AND(K197&lt;&gt;"",M197&lt;&gt;""),IF(COUNTIFS($K$6:K197,K197,$M$6:M197,M197)=1,1,0),0))</f>
        <v>0</v>
      </c>
      <c r="R197">
        <f>IF(A197="","",IF(M197&lt;&gt;"",IF(COUNTIF($M$6:M197,M197)=1,1,0),0))</f>
        <v>0</v>
      </c>
      <c r="T197" t="str">
        <f>IF(AND($M197&lt;&gt;"",$M197='Mapa do Galpão'!$C$20),COUNTIF($M$6:$M197,'Mapa do Galpão'!$C$20),"")</f>
        <v/>
      </c>
    </row>
    <row r="198" spans="1:20" ht="14.25" hidden="1" customHeight="1" x14ac:dyDescent="0.3">
      <c r="A198" s="43" t="s">
        <v>924</v>
      </c>
      <c r="B198" s="44" t="s">
        <v>665</v>
      </c>
      <c r="C198" s="165" t="s">
        <v>228</v>
      </c>
      <c r="D198" s="45" t="str">
        <f t="shared" ref="D198:D261" si="6">IF(C198="","",IFERROR(IF(TRIM(MID(SUBSTITUTE(C198,".",REPT(" ",50)),51,50))="01","Masculino",IF(TRIM(MID(SUBSTITUTE(C198,".",REPT(" ",50)),51,50))="02","Feminino",IF(TRIM(MID(SUBSTITUTE(C198,".",REPT(" ",50)),51,50))="03","Outros","—"))),"—"))</f>
        <v>Feminino</v>
      </c>
      <c r="E198" s="43" t="s">
        <v>666</v>
      </c>
      <c r="F198" s="43" t="s">
        <v>920</v>
      </c>
      <c r="G198" s="43" t="s">
        <v>738</v>
      </c>
      <c r="H198" s="43" t="s">
        <v>669</v>
      </c>
      <c r="I198" s="46">
        <f>SUMIFS(Movimentações!$F$6:$F$4998,Movimentações!$C$6:$C$4998,A198,Movimentações!$M$6:$M$4998,M198)</f>
        <v>4</v>
      </c>
      <c r="J198" s="43" t="s">
        <v>670</v>
      </c>
      <c r="K198" s="43" t="s">
        <v>671</v>
      </c>
      <c r="L198" s="47">
        <v>15</v>
      </c>
      <c r="M198" s="43" t="s">
        <v>921</v>
      </c>
      <c r="N198" s="43" t="str">
        <f t="shared" ref="N198:N261" si="7">IF(AND(K198="",L198="",M198=""),"⚠ sem endereço","Rua "&amp;K198&amp;IF(L198="",""," · Prat "&amp;L198)&amp;IF(M198="",""," · "&amp;M198))</f>
        <v>Rua A · Prat 15 · C-40</v>
      </c>
      <c r="P198">
        <f>IF(A198="","",IF(AND(K198&lt;&gt;"",L198&lt;&gt;""),IF(COUNTIFS($K$6:K198,K198,$L$6:L198,L198)=1,1,0),0))</f>
        <v>0</v>
      </c>
      <c r="Q198">
        <f>IF(A198="","",IF(AND(K198&lt;&gt;"",M198&lt;&gt;""),IF(COUNTIFS($K$6:K198,K198,$M$6:M198,M198)=1,1,0),0))</f>
        <v>0</v>
      </c>
      <c r="R198">
        <f>IF(A198="","",IF(M198&lt;&gt;"",IF(COUNTIF($M$6:M198,M198)=1,1,0),0))</f>
        <v>0</v>
      </c>
      <c r="T198" t="str">
        <f>IF(AND($M198&lt;&gt;"",$M198='Mapa do Galpão'!$C$20),COUNTIF($M$6:$M198,'Mapa do Galpão'!$C$20),"")</f>
        <v/>
      </c>
    </row>
    <row r="199" spans="1:20" ht="14.25" hidden="1" customHeight="1" x14ac:dyDescent="0.3">
      <c r="A199" s="43" t="s">
        <v>925</v>
      </c>
      <c r="B199" s="44" t="s">
        <v>665</v>
      </c>
      <c r="C199" s="165" t="s">
        <v>229</v>
      </c>
      <c r="D199" s="45" t="str">
        <f t="shared" si="6"/>
        <v>Feminino</v>
      </c>
      <c r="E199" s="43" t="s">
        <v>666</v>
      </c>
      <c r="F199" s="43" t="s">
        <v>920</v>
      </c>
      <c r="G199" s="43" t="s">
        <v>738</v>
      </c>
      <c r="H199" s="43" t="s">
        <v>682</v>
      </c>
      <c r="I199" s="46">
        <f>SUMIFS(Movimentações!$F$6:$F$4998,Movimentações!$C$6:$C$4998,A199,Movimentações!$M$6:$M$4998,M199)</f>
        <v>5</v>
      </c>
      <c r="J199" s="43" t="s">
        <v>670</v>
      </c>
      <c r="K199" s="43" t="s">
        <v>671</v>
      </c>
      <c r="L199" s="47">
        <v>15</v>
      </c>
      <c r="M199" s="43" t="s">
        <v>921</v>
      </c>
      <c r="N199" s="43" t="str">
        <f t="shared" si="7"/>
        <v>Rua A · Prat 15 · C-40</v>
      </c>
      <c r="P199">
        <f>IF(A199="","",IF(AND(K199&lt;&gt;"",L199&lt;&gt;""),IF(COUNTIFS($K$6:K199,K199,$L$6:L199,L199)=1,1,0),0))</f>
        <v>0</v>
      </c>
      <c r="Q199">
        <f>IF(A199="","",IF(AND(K199&lt;&gt;"",M199&lt;&gt;""),IF(COUNTIFS($K$6:K199,K199,$M$6:M199,M199)=1,1,0),0))</f>
        <v>0</v>
      </c>
      <c r="R199">
        <f>IF(A199="","",IF(M199&lt;&gt;"",IF(COUNTIF($M$6:M199,M199)=1,1,0),0))</f>
        <v>0</v>
      </c>
      <c r="T199" t="str">
        <f>IF(AND($M199&lt;&gt;"",$M199='Mapa do Galpão'!$C$20),COUNTIF($M$6:$M199,'Mapa do Galpão'!$C$20),"")</f>
        <v/>
      </c>
    </row>
    <row r="200" spans="1:20" ht="14.25" hidden="1" customHeight="1" x14ac:dyDescent="0.3">
      <c r="A200" s="43" t="s">
        <v>926</v>
      </c>
      <c r="B200" s="44" t="s">
        <v>665</v>
      </c>
      <c r="C200" s="165" t="s">
        <v>230</v>
      </c>
      <c r="D200" s="45" t="str">
        <f t="shared" si="6"/>
        <v>Feminino</v>
      </c>
      <c r="E200" s="43" t="s">
        <v>666</v>
      </c>
      <c r="F200" s="43" t="s">
        <v>920</v>
      </c>
      <c r="G200" s="43" t="s">
        <v>738</v>
      </c>
      <c r="H200" s="43" t="s">
        <v>677</v>
      </c>
      <c r="I200" s="46">
        <f>SUMIFS(Movimentações!$F$6:$F$4998,Movimentações!$C$6:$C$4998,A200,Movimentações!$M$6:$M$4998,M200)</f>
        <v>4</v>
      </c>
      <c r="J200" s="43" t="s">
        <v>670</v>
      </c>
      <c r="K200" s="43" t="s">
        <v>671</v>
      </c>
      <c r="L200" s="47">
        <v>15</v>
      </c>
      <c r="M200" s="43" t="s">
        <v>921</v>
      </c>
      <c r="N200" s="43" t="str">
        <f t="shared" si="7"/>
        <v>Rua A · Prat 15 · C-40</v>
      </c>
      <c r="P200">
        <f>IF(A200="","",IF(AND(K200&lt;&gt;"",L200&lt;&gt;""),IF(COUNTIFS($K$6:K200,K200,$L$6:L200,L200)=1,1,0),0))</f>
        <v>0</v>
      </c>
      <c r="Q200">
        <f>IF(A200="","",IF(AND(K200&lt;&gt;"",M200&lt;&gt;""),IF(COUNTIFS($K$6:K200,K200,$M$6:M200,M200)=1,1,0),0))</f>
        <v>0</v>
      </c>
      <c r="R200">
        <f>IF(A200="","",IF(M200&lt;&gt;"",IF(COUNTIF($M$6:M200,M200)=1,1,0),0))</f>
        <v>0</v>
      </c>
      <c r="T200" t="str">
        <f>IF(AND($M200&lt;&gt;"",$M200='Mapa do Galpão'!$C$20),COUNTIF($M$6:$M200,'Mapa do Galpão'!$C$20),"")</f>
        <v/>
      </c>
    </row>
    <row r="201" spans="1:20" ht="14.25" hidden="1" customHeight="1" x14ac:dyDescent="0.3">
      <c r="A201" s="43" t="s">
        <v>927</v>
      </c>
      <c r="B201" s="44" t="s">
        <v>665</v>
      </c>
      <c r="C201" s="165" t="s">
        <v>231</v>
      </c>
      <c r="D201" s="45" t="str">
        <f t="shared" si="6"/>
        <v>Feminino</v>
      </c>
      <c r="E201" s="43" t="s">
        <v>709</v>
      </c>
      <c r="F201" s="43" t="s">
        <v>871</v>
      </c>
      <c r="G201" s="43" t="s">
        <v>694</v>
      </c>
      <c r="H201" s="43" t="s">
        <v>680</v>
      </c>
      <c r="I201" s="46">
        <f>SUMIFS(Movimentações!$F$6:$F$4998,Movimentações!$C$6:$C$4998,A201,Movimentações!$M$6:$M$4998,M201)</f>
        <v>8</v>
      </c>
      <c r="J201" s="43" t="s">
        <v>670</v>
      </c>
      <c r="K201" s="43" t="s">
        <v>671</v>
      </c>
      <c r="L201" s="47">
        <v>13</v>
      </c>
      <c r="M201" s="43" t="s">
        <v>928</v>
      </c>
      <c r="N201" s="43" t="str">
        <f t="shared" si="7"/>
        <v>Rua A · Prat 13 · C-41</v>
      </c>
      <c r="P201">
        <f>IF(A201="","",IF(AND(K201&lt;&gt;"",L201&lt;&gt;""),IF(COUNTIFS($K$6:K201,K201,$L$6:L201,L201)=1,1,0),0))</f>
        <v>0</v>
      </c>
      <c r="Q201">
        <f>IF(A201="","",IF(AND(K201&lt;&gt;"",M201&lt;&gt;""),IF(COUNTIFS($K$6:K201,K201,$M$6:M201,M201)=1,1,0),0))</f>
        <v>1</v>
      </c>
      <c r="R201">
        <f>IF(A201="","",IF(M201&lt;&gt;"",IF(COUNTIF($M$6:M201,M201)=1,1,0),0))</f>
        <v>1</v>
      </c>
      <c r="T201" t="str">
        <f>IF(AND($M201&lt;&gt;"",$M201='Mapa do Galpão'!$C$20),COUNTIF($M$6:$M201,'Mapa do Galpão'!$C$20),"")</f>
        <v/>
      </c>
    </row>
    <row r="202" spans="1:20" ht="14.25" hidden="1" customHeight="1" x14ac:dyDescent="0.3">
      <c r="A202" s="43" t="s">
        <v>929</v>
      </c>
      <c r="B202" s="44" t="s">
        <v>665</v>
      </c>
      <c r="C202" s="165" t="s">
        <v>232</v>
      </c>
      <c r="D202" s="45" t="str">
        <f t="shared" si="6"/>
        <v>Feminino</v>
      </c>
      <c r="E202" s="43" t="s">
        <v>709</v>
      </c>
      <c r="F202" s="43" t="s">
        <v>871</v>
      </c>
      <c r="G202" s="43" t="s">
        <v>694</v>
      </c>
      <c r="H202" s="43" t="s">
        <v>675</v>
      </c>
      <c r="I202" s="46">
        <f>SUMIFS(Movimentações!$F$6:$F$4998,Movimentações!$C$6:$C$4998,A202,Movimentações!$M$6:$M$4998,M202)</f>
        <v>7</v>
      </c>
      <c r="J202" s="43" t="s">
        <v>670</v>
      </c>
      <c r="K202" s="43" t="s">
        <v>671</v>
      </c>
      <c r="L202" s="47">
        <v>13</v>
      </c>
      <c r="M202" s="43" t="s">
        <v>928</v>
      </c>
      <c r="N202" s="43" t="str">
        <f t="shared" si="7"/>
        <v>Rua A · Prat 13 · C-41</v>
      </c>
      <c r="P202">
        <f>IF(A202="","",IF(AND(K202&lt;&gt;"",L202&lt;&gt;""),IF(COUNTIFS($K$6:K202,K202,$L$6:L202,L202)=1,1,0),0))</f>
        <v>0</v>
      </c>
      <c r="Q202">
        <f>IF(A202="","",IF(AND(K202&lt;&gt;"",M202&lt;&gt;""),IF(COUNTIFS($K$6:K202,K202,$M$6:M202,M202)=1,1,0),0))</f>
        <v>0</v>
      </c>
      <c r="R202">
        <f>IF(A202="","",IF(M202&lt;&gt;"",IF(COUNTIF($M$6:M202,M202)=1,1,0),0))</f>
        <v>0</v>
      </c>
      <c r="T202" t="str">
        <f>IF(AND($M202&lt;&gt;"",$M202='Mapa do Galpão'!$C$20),COUNTIF($M$6:$M202,'Mapa do Galpão'!$C$20),"")</f>
        <v/>
      </c>
    </row>
    <row r="203" spans="1:20" ht="14.25" hidden="1" customHeight="1" x14ac:dyDescent="0.3">
      <c r="A203" s="43" t="s">
        <v>930</v>
      </c>
      <c r="B203" s="44" t="s">
        <v>665</v>
      </c>
      <c r="C203" s="165" t="s">
        <v>233</v>
      </c>
      <c r="D203" s="45" t="str">
        <f t="shared" si="6"/>
        <v>Feminino</v>
      </c>
      <c r="E203" s="43" t="s">
        <v>709</v>
      </c>
      <c r="F203" s="43" t="s">
        <v>871</v>
      </c>
      <c r="G203" s="43" t="s">
        <v>694</v>
      </c>
      <c r="H203" s="43" t="s">
        <v>669</v>
      </c>
      <c r="I203" s="46">
        <f>SUMIFS(Movimentações!$F$6:$F$4998,Movimentações!$C$6:$C$4998,A203,Movimentações!$M$6:$M$4998,M203)</f>
        <v>7</v>
      </c>
      <c r="J203" s="43" t="s">
        <v>670</v>
      </c>
      <c r="K203" s="43" t="s">
        <v>671</v>
      </c>
      <c r="L203" s="47">
        <v>13</v>
      </c>
      <c r="M203" s="43" t="s">
        <v>928</v>
      </c>
      <c r="N203" s="43" t="str">
        <f t="shared" si="7"/>
        <v>Rua A · Prat 13 · C-41</v>
      </c>
      <c r="P203">
        <f>IF(A203="","",IF(AND(K203&lt;&gt;"",L203&lt;&gt;""),IF(COUNTIFS($K$6:K203,K203,$L$6:L203,L203)=1,1,0),0))</f>
        <v>0</v>
      </c>
      <c r="Q203">
        <f>IF(A203="","",IF(AND(K203&lt;&gt;"",M203&lt;&gt;""),IF(COUNTIFS($K$6:K203,K203,$M$6:M203,M203)=1,1,0),0))</f>
        <v>0</v>
      </c>
      <c r="R203">
        <f>IF(A203="","",IF(M203&lt;&gt;"",IF(COUNTIF($M$6:M203,M203)=1,1,0),0))</f>
        <v>0</v>
      </c>
      <c r="T203" t="str">
        <f>IF(AND($M203&lt;&gt;"",$M203='Mapa do Galpão'!$C$20),COUNTIF($M$6:$M203,'Mapa do Galpão'!$C$20),"")</f>
        <v/>
      </c>
    </row>
    <row r="204" spans="1:20" ht="14.25" hidden="1" customHeight="1" x14ac:dyDescent="0.3">
      <c r="A204" s="43" t="s">
        <v>931</v>
      </c>
      <c r="B204" s="44" t="s">
        <v>665</v>
      </c>
      <c r="C204" s="165" t="s">
        <v>234</v>
      </c>
      <c r="D204" s="45" t="str">
        <f t="shared" si="6"/>
        <v>Feminino</v>
      </c>
      <c r="E204" s="43" t="s">
        <v>709</v>
      </c>
      <c r="F204" s="43" t="s">
        <v>871</v>
      </c>
      <c r="G204" s="43" t="s">
        <v>694</v>
      </c>
      <c r="H204" s="43" t="s">
        <v>677</v>
      </c>
      <c r="I204" s="46">
        <f>SUMIFS(Movimentações!$F$6:$F$4998,Movimentações!$C$6:$C$4998,A204,Movimentações!$M$6:$M$4998,M204)</f>
        <v>0</v>
      </c>
      <c r="J204" s="43" t="s">
        <v>670</v>
      </c>
      <c r="K204" s="43" t="s">
        <v>671</v>
      </c>
      <c r="L204" s="47">
        <v>13</v>
      </c>
      <c r="M204" s="43" t="s">
        <v>928</v>
      </c>
      <c r="N204" s="43" t="str">
        <f t="shared" si="7"/>
        <v>Rua A · Prat 13 · C-41</v>
      </c>
      <c r="P204">
        <f>IF(A204="","",IF(AND(K204&lt;&gt;"",L204&lt;&gt;""),IF(COUNTIFS($K$6:K204,K204,$L$6:L204,L204)=1,1,0),0))</f>
        <v>0</v>
      </c>
      <c r="Q204">
        <f>IF(A204="","",IF(AND(K204&lt;&gt;"",M204&lt;&gt;""),IF(COUNTIFS($K$6:K204,K204,$M$6:M204,M204)=1,1,0),0))</f>
        <v>0</v>
      </c>
      <c r="R204">
        <f>IF(A204="","",IF(M204&lt;&gt;"",IF(COUNTIF($M$6:M204,M204)=1,1,0),0))</f>
        <v>0</v>
      </c>
      <c r="T204" t="str">
        <f>IF(AND($M204&lt;&gt;"",$M204='Mapa do Galpão'!$C$20),COUNTIF($M$6:$M204,'Mapa do Galpão'!$C$20),"")</f>
        <v/>
      </c>
    </row>
    <row r="205" spans="1:20" ht="14.25" hidden="1" customHeight="1" x14ac:dyDescent="0.3">
      <c r="A205" s="43" t="s">
        <v>932</v>
      </c>
      <c r="B205" s="44" t="s">
        <v>665</v>
      </c>
      <c r="C205" s="165" t="s">
        <v>235</v>
      </c>
      <c r="D205" s="45" t="str">
        <f t="shared" si="6"/>
        <v>Feminino</v>
      </c>
      <c r="E205" s="43" t="s">
        <v>709</v>
      </c>
      <c r="F205" s="43" t="s">
        <v>871</v>
      </c>
      <c r="G205" s="43" t="s">
        <v>738</v>
      </c>
      <c r="H205" s="43" t="s">
        <v>669</v>
      </c>
      <c r="I205" s="46">
        <f>SUMIFS(Movimentações!$F$6:$F$4998,Movimentações!$C$6:$C$4998,A205,Movimentações!$M$6:$M$4998,M205)</f>
        <v>9</v>
      </c>
      <c r="J205" s="43" t="s">
        <v>670</v>
      </c>
      <c r="K205" s="43" t="s">
        <v>671</v>
      </c>
      <c r="L205" s="47">
        <v>13</v>
      </c>
      <c r="M205" s="43" t="s">
        <v>933</v>
      </c>
      <c r="N205" s="43" t="str">
        <f t="shared" si="7"/>
        <v>Rua A · Prat 13 · C-42</v>
      </c>
      <c r="P205">
        <f>IF(A205="","",IF(AND(K205&lt;&gt;"",L205&lt;&gt;""),IF(COUNTIFS($K$6:K205,K205,$L$6:L205,L205)=1,1,0),0))</f>
        <v>0</v>
      </c>
      <c r="Q205">
        <f>IF(A205="","",IF(AND(K205&lt;&gt;"",M205&lt;&gt;""),IF(COUNTIFS($K$6:K205,K205,$M$6:M205,M205)=1,1,0),0))</f>
        <v>1</v>
      </c>
      <c r="R205">
        <f>IF(A205="","",IF(M205&lt;&gt;"",IF(COUNTIF($M$6:M205,M205)=1,1,0),0))</f>
        <v>1</v>
      </c>
      <c r="T205" t="str">
        <f>IF(AND($M205&lt;&gt;"",$M205='Mapa do Galpão'!$C$20),COUNTIF($M$6:$M205,'Mapa do Galpão'!$C$20),"")</f>
        <v/>
      </c>
    </row>
    <row r="206" spans="1:20" ht="14.25" hidden="1" customHeight="1" x14ac:dyDescent="0.3">
      <c r="A206" s="43" t="s">
        <v>934</v>
      </c>
      <c r="B206" s="44" t="s">
        <v>665</v>
      </c>
      <c r="C206" s="165" t="s">
        <v>236</v>
      </c>
      <c r="D206" s="45" t="str">
        <f t="shared" si="6"/>
        <v>Feminino</v>
      </c>
      <c r="E206" s="43" t="s">
        <v>709</v>
      </c>
      <c r="F206" s="43" t="s">
        <v>871</v>
      </c>
      <c r="G206" s="43" t="s">
        <v>738</v>
      </c>
      <c r="H206" s="43" t="s">
        <v>682</v>
      </c>
      <c r="I206" s="46">
        <f>SUMIFS(Movimentações!$F$6:$F$4998,Movimentações!$C$6:$C$4998,A206,Movimentações!$M$6:$M$4998,M206)</f>
        <v>7</v>
      </c>
      <c r="J206" s="43" t="s">
        <v>670</v>
      </c>
      <c r="K206" s="43" t="s">
        <v>671</v>
      </c>
      <c r="L206" s="47">
        <v>13</v>
      </c>
      <c r="M206" s="43" t="s">
        <v>933</v>
      </c>
      <c r="N206" s="43" t="str">
        <f t="shared" si="7"/>
        <v>Rua A · Prat 13 · C-42</v>
      </c>
      <c r="P206">
        <f>IF(A206="","",IF(AND(K206&lt;&gt;"",L206&lt;&gt;""),IF(COUNTIFS($K$6:K206,K206,$L$6:L206,L206)=1,1,0),0))</f>
        <v>0</v>
      </c>
      <c r="Q206">
        <f>IF(A206="","",IF(AND(K206&lt;&gt;"",M206&lt;&gt;""),IF(COUNTIFS($K$6:K206,K206,$M$6:M206,M206)=1,1,0),0))</f>
        <v>0</v>
      </c>
      <c r="R206">
        <f>IF(A206="","",IF(M206&lt;&gt;"",IF(COUNTIF($M$6:M206,M206)=1,1,0),0))</f>
        <v>0</v>
      </c>
      <c r="T206" t="str">
        <f>IF(AND($M206&lt;&gt;"",$M206='Mapa do Galpão'!$C$20),COUNTIF($M$6:$M206,'Mapa do Galpão'!$C$20),"")</f>
        <v/>
      </c>
    </row>
    <row r="207" spans="1:20" ht="14.25" hidden="1" customHeight="1" x14ac:dyDescent="0.3">
      <c r="A207" s="43" t="s">
        <v>935</v>
      </c>
      <c r="B207" s="44" t="s">
        <v>665</v>
      </c>
      <c r="C207" s="165" t="s">
        <v>237</v>
      </c>
      <c r="D207" s="45" t="str">
        <f t="shared" si="6"/>
        <v>Feminino</v>
      </c>
      <c r="E207" s="43" t="s">
        <v>709</v>
      </c>
      <c r="F207" s="43" t="s">
        <v>871</v>
      </c>
      <c r="G207" s="43" t="s">
        <v>738</v>
      </c>
      <c r="H207" s="43" t="s">
        <v>677</v>
      </c>
      <c r="I207" s="46">
        <f>SUMIFS(Movimentações!$F$6:$F$4998,Movimentações!$C$6:$C$4998,A207,Movimentações!$M$6:$M$4998,M207)</f>
        <v>7</v>
      </c>
      <c r="J207" s="43" t="s">
        <v>670</v>
      </c>
      <c r="K207" s="43" t="s">
        <v>671</v>
      </c>
      <c r="L207" s="47">
        <v>13</v>
      </c>
      <c r="M207" s="43" t="s">
        <v>933</v>
      </c>
      <c r="N207" s="43" t="str">
        <f t="shared" si="7"/>
        <v>Rua A · Prat 13 · C-42</v>
      </c>
      <c r="P207">
        <f>IF(A207="","",IF(AND(K207&lt;&gt;"",L207&lt;&gt;""),IF(COUNTIFS($K$6:K207,K207,$L$6:L207,L207)=1,1,0),0))</f>
        <v>0</v>
      </c>
      <c r="Q207">
        <f>IF(A207="","",IF(AND(K207&lt;&gt;"",M207&lt;&gt;""),IF(COUNTIFS($K$6:K207,K207,$M$6:M207,M207)=1,1,0),0))</f>
        <v>0</v>
      </c>
      <c r="R207">
        <f>IF(A207="","",IF(M207&lt;&gt;"",IF(COUNTIF($M$6:M207,M207)=1,1,0),0))</f>
        <v>0</v>
      </c>
      <c r="T207" t="str">
        <f>IF(AND($M207&lt;&gt;"",$M207='Mapa do Galpão'!$C$20),COUNTIF($M$6:$M207,'Mapa do Galpão'!$C$20),"")</f>
        <v/>
      </c>
    </row>
    <row r="208" spans="1:20" ht="14.25" hidden="1" customHeight="1" x14ac:dyDescent="0.3">
      <c r="A208" s="43" t="s">
        <v>936</v>
      </c>
      <c r="B208" s="44" t="s">
        <v>665</v>
      </c>
      <c r="C208" s="165" t="s">
        <v>238</v>
      </c>
      <c r="D208" s="45" t="str">
        <f t="shared" si="6"/>
        <v>Feminino</v>
      </c>
      <c r="E208" s="43" t="s">
        <v>709</v>
      </c>
      <c r="F208" s="43" t="s">
        <v>871</v>
      </c>
      <c r="G208" s="43" t="s">
        <v>738</v>
      </c>
      <c r="H208" s="43" t="s">
        <v>680</v>
      </c>
      <c r="I208" s="46">
        <f>SUMIFS(Movimentações!$F$6:$F$4998,Movimentações!$C$6:$C$4998,A208,Movimentações!$M$6:$M$4998,M208)</f>
        <v>4</v>
      </c>
      <c r="J208" s="43" t="s">
        <v>670</v>
      </c>
      <c r="K208" s="43" t="s">
        <v>671</v>
      </c>
      <c r="L208" s="47">
        <v>13</v>
      </c>
      <c r="M208" s="48" t="s">
        <v>879</v>
      </c>
      <c r="N208" s="43" t="str">
        <f t="shared" si="7"/>
        <v>Rua A · Prat 13 · C-44</v>
      </c>
      <c r="P208">
        <f>IF(A208="","",IF(AND(K208&lt;&gt;"",L208&lt;&gt;""),IF(COUNTIFS($K$6:K208,K208,$L$6:L208,L208)=1,1,0),0))</f>
        <v>0</v>
      </c>
      <c r="Q208">
        <f>IF(A208="","",IF(AND(K208&lt;&gt;"",M208&lt;&gt;""),IF(COUNTIFS($K$6:K208,K208,$M$6:M208,M208)=1,1,0),0))</f>
        <v>0</v>
      </c>
      <c r="R208">
        <f>IF(A208="","",IF(M208&lt;&gt;"",IF(COUNTIF($M$6:M208,M208)=1,1,0),0))</f>
        <v>0</v>
      </c>
      <c r="T208" t="str">
        <f>IF(AND($M208&lt;&gt;"",$M208='Mapa do Galpão'!$C$20),COUNTIF($M$6:$M208,'Mapa do Galpão'!$C$20),"")</f>
        <v/>
      </c>
    </row>
    <row r="209" spans="1:20" ht="14.25" hidden="1" customHeight="1" x14ac:dyDescent="0.3">
      <c r="A209" s="43" t="s">
        <v>937</v>
      </c>
      <c r="B209" s="44" t="s">
        <v>665</v>
      </c>
      <c r="C209" s="165" t="s">
        <v>239</v>
      </c>
      <c r="D209" s="45" t="str">
        <f t="shared" si="6"/>
        <v>Feminino</v>
      </c>
      <c r="E209" s="43" t="s">
        <v>709</v>
      </c>
      <c r="F209" s="43" t="s">
        <v>871</v>
      </c>
      <c r="G209" s="43" t="s">
        <v>738</v>
      </c>
      <c r="H209" s="43" t="s">
        <v>675</v>
      </c>
      <c r="I209" s="46">
        <f>SUMIFS(Movimentações!$F$6:$F$4998,Movimentações!$C$6:$C$4998,A209,Movimentações!$M$6:$M$4998,M209)</f>
        <v>0</v>
      </c>
      <c r="J209" s="43" t="s">
        <v>670</v>
      </c>
      <c r="K209" s="43" t="s">
        <v>671</v>
      </c>
      <c r="L209" s="47" t="s">
        <v>746</v>
      </c>
      <c r="M209" s="43" t="s">
        <v>938</v>
      </c>
      <c r="N209" s="43" t="str">
        <f t="shared" si="7"/>
        <v>Rua A · Prat 6 · C-43</v>
      </c>
      <c r="P209">
        <f>IF(A209="","",IF(AND(K209&lt;&gt;"",L209&lt;&gt;""),IF(COUNTIFS($K$6:K209,K209,$L$6:L209,L209)=1,1,0),0))</f>
        <v>0</v>
      </c>
      <c r="Q209">
        <f>IF(A209="","",IF(AND(K209&lt;&gt;"",M209&lt;&gt;""),IF(COUNTIFS($K$6:K209,K209,$M$6:M209,M209)=1,1,0),0))</f>
        <v>1</v>
      </c>
      <c r="R209">
        <f>IF(A209="","",IF(M209&lt;&gt;"",IF(COUNTIF($M$6:M209,M209)=1,1,0),0))</f>
        <v>1</v>
      </c>
      <c r="T209" t="str">
        <f>IF(AND($M209&lt;&gt;"",$M209='Mapa do Galpão'!$C$20),COUNTIF($M$6:$M209,'Mapa do Galpão'!$C$20),"")</f>
        <v/>
      </c>
    </row>
    <row r="210" spans="1:20" ht="14.25" hidden="1" customHeight="1" x14ac:dyDescent="0.3">
      <c r="A210" s="43" t="s">
        <v>939</v>
      </c>
      <c r="B210" s="44" t="s">
        <v>665</v>
      </c>
      <c r="C210" s="165" t="s">
        <v>240</v>
      </c>
      <c r="D210" s="45" t="str">
        <f t="shared" si="6"/>
        <v>Feminino</v>
      </c>
      <c r="E210" s="43" t="s">
        <v>709</v>
      </c>
      <c r="F210" s="43" t="s">
        <v>871</v>
      </c>
      <c r="G210" s="43" t="s">
        <v>719</v>
      </c>
      <c r="H210" s="43" t="s">
        <v>680</v>
      </c>
      <c r="I210" s="46">
        <f>SUMIFS(Movimentações!$F$6:$F$4998,Movimentações!$C$6:$C$4998,A210,Movimentações!$M$6:$M$4998,M210)</f>
        <v>5</v>
      </c>
      <c r="J210" s="43" t="s">
        <v>670</v>
      </c>
      <c r="K210" s="43" t="s">
        <v>671</v>
      </c>
      <c r="L210" s="47">
        <v>13</v>
      </c>
      <c r="M210" s="43" t="s">
        <v>879</v>
      </c>
      <c r="N210" s="43" t="str">
        <f t="shared" si="7"/>
        <v>Rua A · Prat 13 · C-44</v>
      </c>
      <c r="P210">
        <f>IF(A210="","",IF(AND(K210&lt;&gt;"",L210&lt;&gt;""),IF(COUNTIFS($K$6:K210,K210,$L$6:L210,L210)=1,1,0),0))</f>
        <v>0</v>
      </c>
      <c r="Q210">
        <f>IF(A210="","",IF(AND(K210&lt;&gt;"",M210&lt;&gt;""),IF(COUNTIFS($K$6:K210,K210,$M$6:M210,M210)=1,1,0),0))</f>
        <v>0</v>
      </c>
      <c r="R210">
        <f>IF(A210="","",IF(M210&lt;&gt;"",IF(COUNTIF($M$6:M210,M210)=1,1,0),0))</f>
        <v>0</v>
      </c>
      <c r="T210" t="str">
        <f>IF(AND($M210&lt;&gt;"",$M210='Mapa do Galpão'!$C$20),COUNTIF($M$6:$M210,'Mapa do Galpão'!$C$20),"")</f>
        <v/>
      </c>
    </row>
    <row r="211" spans="1:20" ht="14.25" hidden="1" customHeight="1" x14ac:dyDescent="0.3">
      <c r="A211" s="43" t="s">
        <v>940</v>
      </c>
      <c r="B211" s="44" t="s">
        <v>665</v>
      </c>
      <c r="C211" s="165" t="s">
        <v>241</v>
      </c>
      <c r="D211" s="45" t="str">
        <f t="shared" si="6"/>
        <v>Feminino</v>
      </c>
      <c r="E211" s="43" t="s">
        <v>709</v>
      </c>
      <c r="F211" s="43" t="s">
        <v>871</v>
      </c>
      <c r="G211" s="43" t="s">
        <v>719</v>
      </c>
      <c r="H211" s="43" t="s">
        <v>675</v>
      </c>
      <c r="I211" s="46">
        <f>SUMIFS(Movimentações!$F$6:$F$4998,Movimentações!$C$6:$C$4998,A211,Movimentações!$M$6:$M$4998,M211)</f>
        <v>0</v>
      </c>
      <c r="J211" s="43" t="s">
        <v>670</v>
      </c>
      <c r="K211" s="43" t="s">
        <v>671</v>
      </c>
      <c r="L211" s="47">
        <v>13</v>
      </c>
      <c r="M211" s="43" t="s">
        <v>879</v>
      </c>
      <c r="N211" s="43" t="str">
        <f t="shared" si="7"/>
        <v>Rua A · Prat 13 · C-44</v>
      </c>
      <c r="P211">
        <f>IF(A211="","",IF(AND(K211&lt;&gt;"",L211&lt;&gt;""),IF(COUNTIFS($K$6:K211,K211,$L$6:L211,L211)=1,1,0),0))</f>
        <v>0</v>
      </c>
      <c r="Q211">
        <f>IF(A211="","",IF(AND(K211&lt;&gt;"",M211&lt;&gt;""),IF(COUNTIFS($K$6:K211,K211,$M$6:M211,M211)=1,1,0),0))</f>
        <v>0</v>
      </c>
      <c r="R211">
        <f>IF(A211="","",IF(M211&lt;&gt;"",IF(COUNTIF($M$6:M211,M211)=1,1,0),0))</f>
        <v>0</v>
      </c>
      <c r="T211" t="str">
        <f>IF(AND($M211&lt;&gt;"",$M211='Mapa do Galpão'!$C$20),COUNTIF($M$6:$M211,'Mapa do Galpão'!$C$20),"")</f>
        <v/>
      </c>
    </row>
    <row r="212" spans="1:20" ht="14.25" hidden="1" customHeight="1" x14ac:dyDescent="0.3">
      <c r="A212" s="43" t="s">
        <v>941</v>
      </c>
      <c r="B212" s="44" t="s">
        <v>665</v>
      </c>
      <c r="C212" s="165" t="s">
        <v>242</v>
      </c>
      <c r="D212" s="45" t="str">
        <f t="shared" si="6"/>
        <v>Feminino</v>
      </c>
      <c r="E212" s="43" t="s">
        <v>709</v>
      </c>
      <c r="F212" s="43" t="s">
        <v>871</v>
      </c>
      <c r="G212" s="43" t="s">
        <v>719</v>
      </c>
      <c r="H212" s="43" t="s">
        <v>669</v>
      </c>
      <c r="I212" s="46">
        <f>SUMIFS(Movimentações!$F$6:$F$4998,Movimentações!$C$6:$C$4998,A212,Movimentações!$M$6:$M$4998,M212)</f>
        <v>8</v>
      </c>
      <c r="J212" s="43" t="s">
        <v>670</v>
      </c>
      <c r="K212" s="43" t="s">
        <v>671</v>
      </c>
      <c r="L212" s="47">
        <v>13</v>
      </c>
      <c r="M212" s="43" t="s">
        <v>879</v>
      </c>
      <c r="N212" s="43" t="str">
        <f t="shared" si="7"/>
        <v>Rua A · Prat 13 · C-44</v>
      </c>
      <c r="P212">
        <f>IF(A212="","",IF(AND(K212&lt;&gt;"",L212&lt;&gt;""),IF(COUNTIFS($K$6:K212,K212,$L$6:L212,L212)=1,1,0),0))</f>
        <v>0</v>
      </c>
      <c r="Q212">
        <f>IF(A212="","",IF(AND(K212&lt;&gt;"",M212&lt;&gt;""),IF(COUNTIFS($K$6:K212,K212,$M$6:M212,M212)=1,1,0),0))</f>
        <v>0</v>
      </c>
      <c r="R212">
        <f>IF(A212="","",IF(M212&lt;&gt;"",IF(COUNTIF($M$6:M212,M212)=1,1,0),0))</f>
        <v>0</v>
      </c>
      <c r="T212" t="str">
        <f>IF(AND($M212&lt;&gt;"",$M212='Mapa do Galpão'!$C$20),COUNTIF($M$6:$M212,'Mapa do Galpão'!$C$20),"")</f>
        <v/>
      </c>
    </row>
    <row r="213" spans="1:20" ht="14.25" hidden="1" customHeight="1" x14ac:dyDescent="0.3">
      <c r="A213" s="43" t="s">
        <v>942</v>
      </c>
      <c r="B213" s="44" t="s">
        <v>665</v>
      </c>
      <c r="C213" s="166" t="s">
        <v>536</v>
      </c>
      <c r="D213" s="45" t="str">
        <f t="shared" si="6"/>
        <v>Feminino</v>
      </c>
      <c r="E213" s="43" t="s">
        <v>684</v>
      </c>
      <c r="F213" s="43" t="s">
        <v>853</v>
      </c>
      <c r="G213" s="43" t="s">
        <v>668</v>
      </c>
      <c r="H213" s="43" t="s">
        <v>680</v>
      </c>
      <c r="I213" s="46">
        <f>SUMIFS(Movimentações!$F$6:$F$4998,Movimentações!$C$6:$C$4998,A213,Movimentações!$M$6:$M$4998,M213)</f>
        <v>0</v>
      </c>
      <c r="J213" s="43" t="s">
        <v>670</v>
      </c>
      <c r="K213" s="43" t="s">
        <v>671</v>
      </c>
      <c r="L213" s="47" t="s">
        <v>746</v>
      </c>
      <c r="M213" s="43" t="s">
        <v>943</v>
      </c>
      <c r="N213" s="43" t="str">
        <f t="shared" si="7"/>
        <v>Rua A · Prat 6 · C-45</v>
      </c>
      <c r="P213">
        <f>IF(A213="","",IF(AND(K213&lt;&gt;"",L213&lt;&gt;""),IF(COUNTIFS($K$6:K213,K213,$L$6:L213,L213)=1,1,0),0))</f>
        <v>0</v>
      </c>
      <c r="Q213">
        <f>IF(A213="","",IF(AND(K213&lt;&gt;"",M213&lt;&gt;""),IF(COUNTIFS($K$6:K213,K213,$M$6:M213,M213)=1,1,0),0))</f>
        <v>1</v>
      </c>
      <c r="R213">
        <f>IF(A213="","",IF(M213&lt;&gt;"",IF(COUNTIF($M$6:M213,M213)=1,1,0),0))</f>
        <v>1</v>
      </c>
      <c r="T213" t="str">
        <f>IF(AND($M213&lt;&gt;"",$M213='Mapa do Galpão'!$C$20),COUNTIF($M$6:$M213,'Mapa do Galpão'!$C$20),"")</f>
        <v/>
      </c>
    </row>
    <row r="214" spans="1:20" ht="14.25" hidden="1" customHeight="1" x14ac:dyDescent="0.3">
      <c r="A214" s="43" t="s">
        <v>944</v>
      </c>
      <c r="B214" s="44" t="s">
        <v>665</v>
      </c>
      <c r="C214" s="166" t="s">
        <v>537</v>
      </c>
      <c r="D214" s="45" t="str">
        <f t="shared" si="6"/>
        <v>Feminino</v>
      </c>
      <c r="E214" s="43" t="s">
        <v>684</v>
      </c>
      <c r="F214" s="43" t="s">
        <v>853</v>
      </c>
      <c r="G214" s="43" t="s">
        <v>668</v>
      </c>
      <c r="H214" s="43" t="s">
        <v>675</v>
      </c>
      <c r="I214" s="46">
        <f>SUMIFS(Movimentações!$F$6:$F$4998,Movimentações!$C$6:$C$4998,A214,Movimentações!$M$6:$M$4998,M214)</f>
        <v>0</v>
      </c>
      <c r="J214" s="43" t="s">
        <v>670</v>
      </c>
      <c r="K214" s="43" t="s">
        <v>671</v>
      </c>
      <c r="L214" s="47" t="s">
        <v>746</v>
      </c>
      <c r="M214" s="43" t="s">
        <v>943</v>
      </c>
      <c r="N214" s="43" t="str">
        <f t="shared" si="7"/>
        <v>Rua A · Prat 6 · C-45</v>
      </c>
      <c r="P214">
        <f>IF(A214="","",IF(AND(K214&lt;&gt;"",L214&lt;&gt;""),IF(COUNTIFS($K$6:K214,K214,$L$6:L214,L214)=1,1,0),0))</f>
        <v>0</v>
      </c>
      <c r="Q214">
        <f>IF(A214="","",IF(AND(K214&lt;&gt;"",M214&lt;&gt;""),IF(COUNTIFS($K$6:K214,K214,$M$6:M214,M214)=1,1,0),0))</f>
        <v>0</v>
      </c>
      <c r="R214">
        <f>IF(A214="","",IF(M214&lt;&gt;"",IF(COUNTIF($M$6:M214,M214)=1,1,0),0))</f>
        <v>0</v>
      </c>
      <c r="T214" t="str">
        <f>IF(AND($M214&lt;&gt;"",$M214='Mapa do Galpão'!$C$20),COUNTIF($M$6:$M214,'Mapa do Galpão'!$C$20),"")</f>
        <v/>
      </c>
    </row>
    <row r="215" spans="1:20" ht="14.25" hidden="1" customHeight="1" x14ac:dyDescent="0.3">
      <c r="A215" s="43" t="s">
        <v>945</v>
      </c>
      <c r="B215" s="44" t="s">
        <v>665</v>
      </c>
      <c r="C215" s="165" t="s">
        <v>243</v>
      </c>
      <c r="D215" s="45" t="str">
        <f t="shared" si="6"/>
        <v>Feminino</v>
      </c>
      <c r="E215" s="43" t="s">
        <v>684</v>
      </c>
      <c r="F215" s="43" t="s">
        <v>853</v>
      </c>
      <c r="G215" s="43" t="s">
        <v>668</v>
      </c>
      <c r="H215" s="43" t="s">
        <v>669</v>
      </c>
      <c r="I215" s="46">
        <f>SUMIFS(Movimentações!$F$6:$F$4998,Movimentações!$C$6:$C$4998,A215,Movimentações!$M$6:$M$4998,M215)</f>
        <v>0</v>
      </c>
      <c r="J215" s="43" t="s">
        <v>670</v>
      </c>
      <c r="K215" s="43" t="s">
        <v>671</v>
      </c>
      <c r="L215" s="47">
        <v>6</v>
      </c>
      <c r="M215" s="43" t="s">
        <v>943</v>
      </c>
      <c r="N215" s="43" t="str">
        <f t="shared" si="7"/>
        <v>Rua A · Prat 6 · C-45</v>
      </c>
      <c r="P215">
        <f>IF(A215="","",IF(AND(K215&lt;&gt;"",L215&lt;&gt;""),IF(COUNTIFS($K$6:K215,K215,$L$6:L215,L215)=1,1,0),0))</f>
        <v>0</v>
      </c>
      <c r="Q215">
        <f>IF(A215="","",IF(AND(K215&lt;&gt;"",M215&lt;&gt;""),IF(COUNTIFS($K$6:K215,K215,$M$6:M215,M215)=1,1,0),0))</f>
        <v>0</v>
      </c>
      <c r="R215">
        <f>IF(A215="","",IF(M215&lt;&gt;"",IF(COUNTIF($M$6:M215,M215)=1,1,0),0))</f>
        <v>0</v>
      </c>
      <c r="T215" t="str">
        <f>IF(AND($M215&lt;&gt;"",$M215='Mapa do Galpão'!$C$20),COUNTIF($M$6:$M215,'Mapa do Galpão'!$C$20),"")</f>
        <v/>
      </c>
    </row>
    <row r="216" spans="1:20" ht="14.25" hidden="1" customHeight="1" x14ac:dyDescent="0.3">
      <c r="A216" s="43" t="s">
        <v>946</v>
      </c>
      <c r="B216" s="44" t="s">
        <v>665</v>
      </c>
      <c r="C216" s="165" t="s">
        <v>244</v>
      </c>
      <c r="D216" s="45" t="str">
        <f t="shared" si="6"/>
        <v>Feminino</v>
      </c>
      <c r="E216" s="43" t="s">
        <v>684</v>
      </c>
      <c r="F216" s="43" t="s">
        <v>853</v>
      </c>
      <c r="G216" s="43" t="s">
        <v>668</v>
      </c>
      <c r="H216" s="43" t="s">
        <v>682</v>
      </c>
      <c r="I216" s="46">
        <f>SUMIFS(Movimentações!$F$6:$F$4998,Movimentações!$C$6:$C$4998,A216,Movimentações!$M$6:$M$4998,M216)</f>
        <v>0</v>
      </c>
      <c r="J216" s="43" t="s">
        <v>670</v>
      </c>
      <c r="K216" s="43" t="s">
        <v>671</v>
      </c>
      <c r="L216" s="47" t="s">
        <v>746</v>
      </c>
      <c r="M216" s="43" t="s">
        <v>943</v>
      </c>
      <c r="N216" s="43" t="str">
        <f t="shared" si="7"/>
        <v>Rua A · Prat 6 · C-45</v>
      </c>
      <c r="P216">
        <f>IF(A216="","",IF(AND(K216&lt;&gt;"",L216&lt;&gt;""),IF(COUNTIFS($K$6:K216,K216,$L$6:L216,L216)=1,1,0),0))</f>
        <v>0</v>
      </c>
      <c r="Q216">
        <f>IF(A216="","",IF(AND(K216&lt;&gt;"",M216&lt;&gt;""),IF(COUNTIFS($K$6:K216,K216,$M$6:M216,M216)=1,1,0),0))</f>
        <v>0</v>
      </c>
      <c r="R216">
        <f>IF(A216="","",IF(M216&lt;&gt;"",IF(COUNTIF($M$6:M216,M216)=1,1,0),0))</f>
        <v>0</v>
      </c>
      <c r="T216" t="str">
        <f>IF(AND($M216&lt;&gt;"",$M216='Mapa do Galpão'!$C$20),COUNTIF($M$6:$M216,'Mapa do Galpão'!$C$20),"")</f>
        <v/>
      </c>
    </row>
    <row r="217" spans="1:20" ht="14.25" hidden="1" customHeight="1" x14ac:dyDescent="0.3">
      <c r="A217" s="43" t="s">
        <v>947</v>
      </c>
      <c r="B217" s="44" t="s">
        <v>665</v>
      </c>
      <c r="C217" s="165" t="s">
        <v>245</v>
      </c>
      <c r="D217" s="45" t="str">
        <f t="shared" si="6"/>
        <v>Feminino</v>
      </c>
      <c r="E217" s="43" t="s">
        <v>684</v>
      </c>
      <c r="F217" s="43" t="s">
        <v>853</v>
      </c>
      <c r="G217" s="43" t="s">
        <v>668</v>
      </c>
      <c r="H217" s="43" t="s">
        <v>677</v>
      </c>
      <c r="I217" s="46">
        <f>SUMIFS(Movimentações!$F$6:$F$4998,Movimentações!$C$6:$C$4998,A217,Movimentações!$M$6:$M$4998,M217)</f>
        <v>0</v>
      </c>
      <c r="J217" s="43" t="s">
        <v>670</v>
      </c>
      <c r="K217" s="43" t="s">
        <v>671</v>
      </c>
      <c r="L217" s="47">
        <v>6</v>
      </c>
      <c r="M217" s="43" t="s">
        <v>943</v>
      </c>
      <c r="N217" s="43" t="str">
        <f t="shared" si="7"/>
        <v>Rua A · Prat 6 · C-45</v>
      </c>
      <c r="P217">
        <f>IF(A217="","",IF(AND(K217&lt;&gt;"",L217&lt;&gt;""),IF(COUNTIFS($K$6:K217,K217,$L$6:L217,L217)=1,1,0),0))</f>
        <v>0</v>
      </c>
      <c r="Q217">
        <f>IF(A217="","",IF(AND(K217&lt;&gt;"",M217&lt;&gt;""),IF(COUNTIFS($K$6:K217,K217,$M$6:M217,M217)=1,1,0),0))</f>
        <v>0</v>
      </c>
      <c r="R217">
        <f>IF(A217="","",IF(M217&lt;&gt;"",IF(COUNTIF($M$6:M217,M217)=1,1,0),0))</f>
        <v>0</v>
      </c>
      <c r="T217" t="str">
        <f>IF(AND($M217&lt;&gt;"",$M217='Mapa do Galpão'!$C$20),COUNTIF($M$6:$M217,'Mapa do Galpão'!$C$20),"")</f>
        <v/>
      </c>
    </row>
    <row r="218" spans="1:20" ht="14.25" hidden="1" customHeight="1" x14ac:dyDescent="0.3">
      <c r="A218" s="43" t="s">
        <v>948</v>
      </c>
      <c r="B218" s="44" t="s">
        <v>665</v>
      </c>
      <c r="C218" s="165" t="s">
        <v>246</v>
      </c>
      <c r="D218" s="45" t="str">
        <f t="shared" si="6"/>
        <v>Feminino</v>
      </c>
      <c r="E218" s="43" t="s">
        <v>684</v>
      </c>
      <c r="F218" s="43" t="s">
        <v>949</v>
      </c>
      <c r="G218" s="43" t="s">
        <v>950</v>
      </c>
      <c r="H218" s="43" t="s">
        <v>680</v>
      </c>
      <c r="I218" s="46">
        <f>SUMIFS(Movimentações!$F$6:$F$4998,Movimentações!$C$6:$C$4998,A218,Movimentações!$M$6:$M$4998,M218)</f>
        <v>0</v>
      </c>
      <c r="J218" s="43" t="s">
        <v>670</v>
      </c>
      <c r="K218" s="43" t="s">
        <v>671</v>
      </c>
      <c r="L218" s="47" t="s">
        <v>746</v>
      </c>
      <c r="M218" s="43" t="s">
        <v>943</v>
      </c>
      <c r="N218" s="43" t="str">
        <f t="shared" si="7"/>
        <v>Rua A · Prat 6 · C-45</v>
      </c>
      <c r="P218">
        <f>IF(A218="","",IF(AND(K218&lt;&gt;"",L218&lt;&gt;""),IF(COUNTIFS($K$6:K218,K218,$L$6:L218,L218)=1,1,0),0))</f>
        <v>0</v>
      </c>
      <c r="Q218">
        <f>IF(A218="","",IF(AND(K218&lt;&gt;"",M218&lt;&gt;""),IF(COUNTIFS($K$6:K218,K218,$M$6:M218,M218)=1,1,0),0))</f>
        <v>0</v>
      </c>
      <c r="R218">
        <f>IF(A218="","",IF(M218&lt;&gt;"",IF(COUNTIF($M$6:M218,M218)=1,1,0),0))</f>
        <v>0</v>
      </c>
      <c r="T218" t="str">
        <f>IF(AND($M218&lt;&gt;"",$M218='Mapa do Galpão'!$C$20),COUNTIF($M$6:$M218,'Mapa do Galpão'!$C$20),"")</f>
        <v/>
      </c>
    </row>
    <row r="219" spans="1:20" ht="14.25" hidden="1" customHeight="1" x14ac:dyDescent="0.3">
      <c r="A219" s="43" t="s">
        <v>951</v>
      </c>
      <c r="B219" s="44" t="s">
        <v>665</v>
      </c>
      <c r="C219" s="165" t="s">
        <v>247</v>
      </c>
      <c r="D219" s="45" t="str">
        <f t="shared" si="6"/>
        <v>Feminino</v>
      </c>
      <c r="E219" s="43" t="s">
        <v>684</v>
      </c>
      <c r="F219" s="43" t="s">
        <v>949</v>
      </c>
      <c r="G219" s="43" t="s">
        <v>950</v>
      </c>
      <c r="H219" s="43" t="s">
        <v>675</v>
      </c>
      <c r="I219" s="46">
        <f>SUMIFS(Movimentações!$F$6:$F$4998,Movimentações!$C$6:$C$4998,A219,Movimentações!$M$6:$M$4998,M219)</f>
        <v>0</v>
      </c>
      <c r="J219" s="43" t="s">
        <v>670</v>
      </c>
      <c r="K219" s="43" t="s">
        <v>671</v>
      </c>
      <c r="L219" s="47">
        <v>6</v>
      </c>
      <c r="M219" s="43" t="s">
        <v>943</v>
      </c>
      <c r="N219" s="43" t="str">
        <f t="shared" si="7"/>
        <v>Rua A · Prat 6 · C-45</v>
      </c>
      <c r="P219">
        <f>IF(A219="","",IF(AND(K219&lt;&gt;"",L219&lt;&gt;""),IF(COUNTIFS($K$6:K219,K219,$L$6:L219,L219)=1,1,0),0))</f>
        <v>0</v>
      </c>
      <c r="Q219">
        <f>IF(A219="","",IF(AND(K219&lt;&gt;"",M219&lt;&gt;""),IF(COUNTIFS($K$6:K219,K219,$M$6:M219,M219)=1,1,0),0))</f>
        <v>0</v>
      </c>
      <c r="R219">
        <f>IF(A219="","",IF(M219&lt;&gt;"",IF(COUNTIF($M$6:M219,M219)=1,1,0),0))</f>
        <v>0</v>
      </c>
      <c r="T219" t="str">
        <f>IF(AND($M219&lt;&gt;"",$M219='Mapa do Galpão'!$C$20),COUNTIF($M$6:$M219,'Mapa do Galpão'!$C$20),"")</f>
        <v/>
      </c>
    </row>
    <row r="220" spans="1:20" ht="14.25" hidden="1" customHeight="1" x14ac:dyDescent="0.3">
      <c r="A220" s="43" t="s">
        <v>952</v>
      </c>
      <c r="B220" s="44" t="s">
        <v>665</v>
      </c>
      <c r="C220" s="165" t="s">
        <v>248</v>
      </c>
      <c r="D220" s="45" t="str">
        <f t="shared" si="6"/>
        <v>Feminino</v>
      </c>
      <c r="E220" s="43" t="s">
        <v>684</v>
      </c>
      <c r="F220" s="43" t="s">
        <v>949</v>
      </c>
      <c r="G220" s="43" t="s">
        <v>950</v>
      </c>
      <c r="H220" s="43" t="s">
        <v>669</v>
      </c>
      <c r="I220" s="46">
        <f>SUMIFS(Movimentações!$F$6:$F$4998,Movimentações!$C$6:$C$4998,A220,Movimentações!$M$6:$M$4998,M220)</f>
        <v>0</v>
      </c>
      <c r="J220" s="43" t="s">
        <v>670</v>
      </c>
      <c r="K220" s="43" t="s">
        <v>671</v>
      </c>
      <c r="L220" s="47" t="s">
        <v>746</v>
      </c>
      <c r="M220" s="43" t="s">
        <v>943</v>
      </c>
      <c r="N220" s="43" t="str">
        <f t="shared" si="7"/>
        <v>Rua A · Prat 6 · C-45</v>
      </c>
      <c r="P220">
        <f>IF(A220="","",IF(AND(K220&lt;&gt;"",L220&lt;&gt;""),IF(COUNTIFS($K$6:K220,K220,$L$6:L220,L220)=1,1,0),0))</f>
        <v>0</v>
      </c>
      <c r="Q220">
        <f>IF(A220="","",IF(AND(K220&lt;&gt;"",M220&lt;&gt;""),IF(COUNTIFS($K$6:K220,K220,$M$6:M220,M220)=1,1,0),0))</f>
        <v>0</v>
      </c>
      <c r="R220">
        <f>IF(A220="","",IF(M220&lt;&gt;"",IF(COUNTIF($M$6:M220,M220)=1,1,0),0))</f>
        <v>0</v>
      </c>
      <c r="T220" t="str">
        <f>IF(AND($M220&lt;&gt;"",$M220='Mapa do Galpão'!$C$20),COUNTIF($M$6:$M220,'Mapa do Galpão'!$C$20),"")</f>
        <v/>
      </c>
    </row>
    <row r="221" spans="1:20" ht="14.25" hidden="1" customHeight="1" x14ac:dyDescent="0.3">
      <c r="A221" s="43" t="s">
        <v>953</v>
      </c>
      <c r="B221" s="44" t="s">
        <v>665</v>
      </c>
      <c r="C221" s="165" t="s">
        <v>249</v>
      </c>
      <c r="D221" s="45" t="str">
        <f t="shared" si="6"/>
        <v>Feminino</v>
      </c>
      <c r="E221" s="43" t="s">
        <v>684</v>
      </c>
      <c r="F221" s="43" t="s">
        <v>949</v>
      </c>
      <c r="G221" s="43" t="s">
        <v>950</v>
      </c>
      <c r="H221" s="43" t="s">
        <v>682</v>
      </c>
      <c r="I221" s="46">
        <f>SUMIFS(Movimentações!$F$6:$F$4998,Movimentações!$C$6:$C$4998,A221,Movimentações!$M$6:$M$4998,M221)</f>
        <v>0</v>
      </c>
      <c r="J221" s="43" t="s">
        <v>670</v>
      </c>
      <c r="K221" s="43" t="s">
        <v>671</v>
      </c>
      <c r="L221" s="47">
        <v>6</v>
      </c>
      <c r="M221" s="43" t="s">
        <v>943</v>
      </c>
      <c r="N221" s="43" t="str">
        <f t="shared" si="7"/>
        <v>Rua A · Prat 6 · C-45</v>
      </c>
      <c r="P221">
        <f>IF(A221="","",IF(AND(K221&lt;&gt;"",L221&lt;&gt;""),IF(COUNTIFS($K$6:K221,K221,$L$6:L221,L221)=1,1,0),0))</f>
        <v>0</v>
      </c>
      <c r="Q221">
        <f>IF(A221="","",IF(AND(K221&lt;&gt;"",M221&lt;&gt;""),IF(COUNTIFS($K$6:K221,K221,$M$6:M221,M221)=1,1,0),0))</f>
        <v>0</v>
      </c>
      <c r="R221">
        <f>IF(A221="","",IF(M221&lt;&gt;"",IF(COUNTIF($M$6:M221,M221)=1,1,0),0))</f>
        <v>0</v>
      </c>
      <c r="T221" t="str">
        <f>IF(AND($M221&lt;&gt;"",$M221='Mapa do Galpão'!$C$20),COUNTIF($M$6:$M221,'Mapa do Galpão'!$C$20),"")</f>
        <v/>
      </c>
    </row>
    <row r="222" spans="1:20" ht="14.25" hidden="1" customHeight="1" x14ac:dyDescent="0.3">
      <c r="A222" s="43" t="s">
        <v>954</v>
      </c>
      <c r="B222" s="44" t="s">
        <v>665</v>
      </c>
      <c r="C222" s="165" t="s">
        <v>250</v>
      </c>
      <c r="D222" s="45" t="str">
        <f t="shared" si="6"/>
        <v>Outros</v>
      </c>
      <c r="E222" s="43" t="s">
        <v>666</v>
      </c>
      <c r="F222" s="43" t="s">
        <v>955</v>
      </c>
      <c r="G222" s="43" t="s">
        <v>956</v>
      </c>
      <c r="H222" s="43">
        <v>2</v>
      </c>
      <c r="I222" s="46">
        <f>SUMIFS(Movimentações!$F$6:$F$4998,Movimentações!$C$6:$C$4998,A222,Movimentações!$M$6:$M$4998,M222)</f>
        <v>8</v>
      </c>
      <c r="J222" s="43" t="s">
        <v>670</v>
      </c>
      <c r="K222" s="43" t="s">
        <v>671</v>
      </c>
      <c r="L222" s="47">
        <v>9</v>
      </c>
      <c r="M222" s="48" t="s">
        <v>957</v>
      </c>
      <c r="N222" s="43" t="str">
        <f t="shared" si="7"/>
        <v>Rua A · Prat 9 · C-209</v>
      </c>
      <c r="P222">
        <f>IF(A222="","",IF(AND(K222&lt;&gt;"",L222&lt;&gt;""),IF(COUNTIFS($K$6:K222,K222,$L$6:L222,L222)=1,1,0),0))</f>
        <v>0</v>
      </c>
      <c r="Q222">
        <f>IF(A222="","",IF(AND(K222&lt;&gt;"",M222&lt;&gt;""),IF(COUNTIFS($K$6:K222,K222,$M$6:M222,M222)=1,1,0),0))</f>
        <v>1</v>
      </c>
      <c r="R222">
        <f>IF(A222="","",IF(M222&lt;&gt;"",IF(COUNTIF($M$6:M222,M222)=1,1,0),0))</f>
        <v>1</v>
      </c>
      <c r="T222" t="str">
        <f>IF(AND($M222&lt;&gt;"",$M222='Mapa do Galpão'!$C$20),COUNTIF($M$6:$M222,'Mapa do Galpão'!$C$20),"")</f>
        <v/>
      </c>
    </row>
    <row r="223" spans="1:20" ht="14.25" hidden="1" customHeight="1" x14ac:dyDescent="0.3">
      <c r="A223" s="43" t="s">
        <v>958</v>
      </c>
      <c r="B223" s="44" t="s">
        <v>665</v>
      </c>
      <c r="C223" s="165" t="s">
        <v>251</v>
      </c>
      <c r="D223" s="45" t="str">
        <f t="shared" si="6"/>
        <v>Outros</v>
      </c>
      <c r="E223" s="43" t="s">
        <v>666</v>
      </c>
      <c r="F223" s="43" t="s">
        <v>955</v>
      </c>
      <c r="G223" s="43" t="s">
        <v>956</v>
      </c>
      <c r="H223" s="43">
        <v>4</v>
      </c>
      <c r="I223" s="46">
        <f>SUMIFS(Movimentações!$F$6:$F$4998,Movimentações!$C$6:$C$4998,A223,Movimentações!$M$6:$M$4998,M223)</f>
        <v>0</v>
      </c>
      <c r="J223" s="43" t="s">
        <v>670</v>
      </c>
      <c r="K223" s="43" t="s">
        <v>671</v>
      </c>
      <c r="L223" s="47">
        <v>6</v>
      </c>
      <c r="M223" s="43" t="s">
        <v>959</v>
      </c>
      <c r="N223" s="43" t="str">
        <f t="shared" si="7"/>
        <v>Rua A · Prat 6 · C-46</v>
      </c>
      <c r="P223">
        <f>IF(A223="","",IF(AND(K223&lt;&gt;"",L223&lt;&gt;""),IF(COUNTIFS($K$6:K223,K223,$L$6:L223,L223)=1,1,0),0))</f>
        <v>0</v>
      </c>
      <c r="Q223">
        <f>IF(A223="","",IF(AND(K223&lt;&gt;"",M223&lt;&gt;""),IF(COUNTIFS($K$6:K223,K223,$M$6:M223,M223)=1,1,0),0))</f>
        <v>1</v>
      </c>
      <c r="R223">
        <f>IF(A223="","",IF(M223&lt;&gt;"",IF(COUNTIF($M$6:M223,M223)=1,1,0),0))</f>
        <v>1</v>
      </c>
      <c r="T223" t="str">
        <f>IF(AND($M223&lt;&gt;"",$M223='Mapa do Galpão'!$C$20),COUNTIF($M$6:$M223,'Mapa do Galpão'!$C$20),"")</f>
        <v/>
      </c>
    </row>
    <row r="224" spans="1:20" ht="14.25" hidden="1" customHeight="1" x14ac:dyDescent="0.3">
      <c r="A224" s="43" t="s">
        <v>960</v>
      </c>
      <c r="B224" s="44" t="s">
        <v>665</v>
      </c>
      <c r="C224" s="165" t="s">
        <v>252</v>
      </c>
      <c r="D224" s="45" t="str">
        <f t="shared" si="6"/>
        <v>Outros</v>
      </c>
      <c r="E224" s="43" t="s">
        <v>666</v>
      </c>
      <c r="F224" s="43" t="s">
        <v>955</v>
      </c>
      <c r="G224" s="43" t="s">
        <v>956</v>
      </c>
      <c r="H224" s="43">
        <v>6</v>
      </c>
      <c r="I224" s="46">
        <f>SUMIFS(Movimentações!$F$6:$F$4998,Movimentações!$C$6:$C$4998,A224,Movimentações!$M$6:$M$4998,M224)</f>
        <v>0</v>
      </c>
      <c r="J224" s="43" t="s">
        <v>670</v>
      </c>
      <c r="K224" s="43" t="s">
        <v>671</v>
      </c>
      <c r="L224" s="47" t="s">
        <v>746</v>
      </c>
      <c r="M224" s="43" t="s">
        <v>959</v>
      </c>
      <c r="N224" s="43" t="str">
        <f t="shared" si="7"/>
        <v>Rua A · Prat 6 · C-46</v>
      </c>
      <c r="P224">
        <f>IF(A224="","",IF(AND(K224&lt;&gt;"",L224&lt;&gt;""),IF(COUNTIFS($K$6:K224,K224,$L$6:L224,L224)=1,1,0),0))</f>
        <v>0</v>
      </c>
      <c r="Q224">
        <f>IF(A224="","",IF(AND(K224&lt;&gt;"",M224&lt;&gt;""),IF(COUNTIFS($K$6:K224,K224,$M$6:M224,M224)=1,1,0),0))</f>
        <v>0</v>
      </c>
      <c r="R224">
        <f>IF(A224="","",IF(M224&lt;&gt;"",IF(COUNTIF($M$6:M224,M224)=1,1,0),0))</f>
        <v>0</v>
      </c>
      <c r="T224" t="str">
        <f>IF(AND($M224&lt;&gt;"",$M224='Mapa do Galpão'!$C$20),COUNTIF($M$6:$M224,'Mapa do Galpão'!$C$20),"")</f>
        <v/>
      </c>
    </row>
    <row r="225" spans="1:20" ht="14.25" hidden="1" customHeight="1" x14ac:dyDescent="0.3">
      <c r="A225" s="43" t="s">
        <v>961</v>
      </c>
      <c r="B225" s="44" t="s">
        <v>665</v>
      </c>
      <c r="C225" s="165" t="s">
        <v>253</v>
      </c>
      <c r="D225" s="45" t="str">
        <f t="shared" si="6"/>
        <v>Outros</v>
      </c>
      <c r="E225" s="43" t="s">
        <v>666</v>
      </c>
      <c r="F225" s="43" t="s">
        <v>955</v>
      </c>
      <c r="G225" s="43" t="s">
        <v>956</v>
      </c>
      <c r="H225" s="43">
        <v>8</v>
      </c>
      <c r="I225" s="46">
        <f>SUMIFS(Movimentações!$F$6:$F$4998,Movimentações!$C$6:$C$4998,A225,Movimentações!$M$6:$M$4998,M225)</f>
        <v>0</v>
      </c>
      <c r="J225" s="43" t="s">
        <v>670</v>
      </c>
      <c r="K225" s="43" t="s">
        <v>671</v>
      </c>
      <c r="L225" s="47">
        <v>6</v>
      </c>
      <c r="M225" s="43" t="s">
        <v>959</v>
      </c>
      <c r="N225" s="43" t="str">
        <f t="shared" si="7"/>
        <v>Rua A · Prat 6 · C-46</v>
      </c>
      <c r="P225">
        <f>IF(A225="","",IF(AND(K225&lt;&gt;"",L225&lt;&gt;""),IF(COUNTIFS($K$6:K225,K225,$L$6:L225,L225)=1,1,0),0))</f>
        <v>0</v>
      </c>
      <c r="Q225">
        <f>IF(A225="","",IF(AND(K225&lt;&gt;"",M225&lt;&gt;""),IF(COUNTIFS($K$6:K225,K225,$M$6:M225,M225)=1,1,0),0))</f>
        <v>0</v>
      </c>
      <c r="R225">
        <f>IF(A225="","",IF(M225&lt;&gt;"",IF(COUNTIF($M$6:M225,M225)=1,1,0),0))</f>
        <v>0</v>
      </c>
      <c r="T225" t="str">
        <f>IF(AND($M225&lt;&gt;"",$M225='Mapa do Galpão'!$C$20),COUNTIF($M$6:$M225,'Mapa do Galpão'!$C$20),"")</f>
        <v/>
      </c>
    </row>
    <row r="226" spans="1:20" ht="14.25" hidden="1" customHeight="1" x14ac:dyDescent="0.3">
      <c r="A226" s="43" t="s">
        <v>962</v>
      </c>
      <c r="B226" s="44" t="s">
        <v>665</v>
      </c>
      <c r="C226" s="165" t="s">
        <v>254</v>
      </c>
      <c r="D226" s="45" t="str">
        <f t="shared" si="6"/>
        <v>Outros</v>
      </c>
      <c r="E226" s="43" t="s">
        <v>666</v>
      </c>
      <c r="F226" s="43" t="s">
        <v>955</v>
      </c>
      <c r="G226" s="43" t="s">
        <v>956</v>
      </c>
      <c r="H226" s="43">
        <v>10</v>
      </c>
      <c r="I226" s="46">
        <f>SUMIFS(Movimentações!$F$6:$F$4998,Movimentações!$C$6:$C$4998,A226,Movimentações!$M$6:$M$4998,M226)</f>
        <v>0</v>
      </c>
      <c r="J226" s="43" t="s">
        <v>670</v>
      </c>
      <c r="K226" s="43" t="s">
        <v>671</v>
      </c>
      <c r="L226" s="47" t="s">
        <v>746</v>
      </c>
      <c r="M226" s="43" t="s">
        <v>959</v>
      </c>
      <c r="N226" s="43" t="str">
        <f t="shared" si="7"/>
        <v>Rua A · Prat 6 · C-46</v>
      </c>
      <c r="P226">
        <f>IF(A226="","",IF(AND(K226&lt;&gt;"",L226&lt;&gt;""),IF(COUNTIFS($K$6:K226,K226,$L$6:L226,L226)=1,1,0),0))</f>
        <v>0</v>
      </c>
      <c r="Q226">
        <f>IF(A226="","",IF(AND(K226&lt;&gt;"",M226&lt;&gt;""),IF(COUNTIFS($K$6:K226,K226,$M$6:M226,M226)=1,1,0),0))</f>
        <v>0</v>
      </c>
      <c r="R226">
        <f>IF(A226="","",IF(M226&lt;&gt;"",IF(COUNTIF($M$6:M226,M226)=1,1,0),0))</f>
        <v>0</v>
      </c>
      <c r="T226" t="str">
        <f>IF(AND($M226&lt;&gt;"",$M226='Mapa do Galpão'!$C$20),COUNTIF($M$6:$M226,'Mapa do Galpão'!$C$20),"")</f>
        <v/>
      </c>
    </row>
    <row r="227" spans="1:20" ht="14.25" hidden="1" customHeight="1" x14ac:dyDescent="0.3">
      <c r="A227" s="43" t="s">
        <v>963</v>
      </c>
      <c r="B227" s="44" t="s">
        <v>665</v>
      </c>
      <c r="C227" s="165" t="s">
        <v>255</v>
      </c>
      <c r="D227" s="45" t="str">
        <f t="shared" si="6"/>
        <v>Outros</v>
      </c>
      <c r="E227" s="43" t="s">
        <v>666</v>
      </c>
      <c r="F227" s="43" t="s">
        <v>955</v>
      </c>
      <c r="G227" s="43" t="s">
        <v>956</v>
      </c>
      <c r="H227" s="43">
        <v>12</v>
      </c>
      <c r="I227" s="46">
        <f>SUMIFS(Movimentações!$F$6:$F$4998,Movimentações!$C$6:$C$4998,A227,Movimentações!$M$6:$M$4998,M227)</f>
        <v>0</v>
      </c>
      <c r="J227" s="43" t="s">
        <v>670</v>
      </c>
      <c r="K227" s="43" t="s">
        <v>671</v>
      </c>
      <c r="L227" s="47">
        <v>6</v>
      </c>
      <c r="M227" s="43" t="s">
        <v>959</v>
      </c>
      <c r="N227" s="43" t="str">
        <f t="shared" si="7"/>
        <v>Rua A · Prat 6 · C-46</v>
      </c>
      <c r="P227">
        <f>IF(A227="","",IF(AND(K227&lt;&gt;"",L227&lt;&gt;""),IF(COUNTIFS($K$6:K227,K227,$L$6:L227,L227)=1,1,0),0))</f>
        <v>0</v>
      </c>
      <c r="Q227">
        <f>IF(A227="","",IF(AND(K227&lt;&gt;"",M227&lt;&gt;""),IF(COUNTIFS($K$6:K227,K227,$M$6:M227,M227)=1,1,0),0))</f>
        <v>0</v>
      </c>
      <c r="R227">
        <f>IF(A227="","",IF(M227&lt;&gt;"",IF(COUNTIF($M$6:M227,M227)=1,1,0),0))</f>
        <v>0</v>
      </c>
      <c r="T227" t="str">
        <f>IF(AND($M227&lt;&gt;"",$M227='Mapa do Galpão'!$C$20),COUNTIF($M$6:$M227,'Mapa do Galpão'!$C$20),"")</f>
        <v/>
      </c>
    </row>
    <row r="228" spans="1:20" ht="14.25" hidden="1" customHeight="1" x14ac:dyDescent="0.3">
      <c r="A228" s="43" t="s">
        <v>964</v>
      </c>
      <c r="B228" s="44" t="s">
        <v>665</v>
      </c>
      <c r="C228" s="165" t="s">
        <v>256</v>
      </c>
      <c r="D228" s="45" t="str">
        <f t="shared" si="6"/>
        <v>Outros</v>
      </c>
      <c r="E228" s="43" t="s">
        <v>666</v>
      </c>
      <c r="F228" s="43" t="s">
        <v>955</v>
      </c>
      <c r="G228" s="43" t="s">
        <v>956</v>
      </c>
      <c r="H228" s="43">
        <v>14</v>
      </c>
      <c r="I228" s="46">
        <f>SUMIFS(Movimentações!$F$6:$F$4998,Movimentações!$C$6:$C$4998,A228,Movimentações!$M$6:$M$4998,M228)</f>
        <v>0</v>
      </c>
      <c r="J228" s="43" t="s">
        <v>670</v>
      </c>
      <c r="K228" s="43" t="s">
        <v>671</v>
      </c>
      <c r="L228" s="47" t="s">
        <v>746</v>
      </c>
      <c r="M228" s="43" t="s">
        <v>959</v>
      </c>
      <c r="N228" s="43" t="str">
        <f t="shared" si="7"/>
        <v>Rua A · Prat 6 · C-46</v>
      </c>
      <c r="P228">
        <f>IF(A228="","",IF(AND(K228&lt;&gt;"",L228&lt;&gt;""),IF(COUNTIFS($K$6:K228,K228,$L$6:L228,L228)=1,1,0),0))</f>
        <v>0</v>
      </c>
      <c r="Q228">
        <f>IF(A228="","",IF(AND(K228&lt;&gt;"",M228&lt;&gt;""),IF(COUNTIFS($K$6:K228,K228,$M$6:M228,M228)=1,1,0),0))</f>
        <v>0</v>
      </c>
      <c r="R228">
        <f>IF(A228="","",IF(M228&lt;&gt;"",IF(COUNTIF($M$6:M228,M228)=1,1,0),0))</f>
        <v>0</v>
      </c>
      <c r="T228" t="str">
        <f>IF(AND($M228&lt;&gt;"",$M228='Mapa do Galpão'!$C$20),COUNTIF($M$6:$M228,'Mapa do Galpão'!$C$20),"")</f>
        <v/>
      </c>
    </row>
    <row r="229" spans="1:20" ht="14.25" hidden="1" customHeight="1" x14ac:dyDescent="0.3">
      <c r="A229" s="43" t="s">
        <v>965</v>
      </c>
      <c r="B229" s="44" t="s">
        <v>665</v>
      </c>
      <c r="C229" s="165" t="s">
        <v>257</v>
      </c>
      <c r="D229" s="45" t="str">
        <f t="shared" si="6"/>
        <v>Outros</v>
      </c>
      <c r="E229" s="43" t="s">
        <v>666</v>
      </c>
      <c r="F229" s="43" t="s">
        <v>966</v>
      </c>
      <c r="G229" s="43" t="s">
        <v>668</v>
      </c>
      <c r="H229" s="43">
        <v>2</v>
      </c>
      <c r="I229" s="46">
        <f>SUMIFS(Movimentações!$F$6:$F$4998,Movimentações!$C$6:$C$4998,A229,Movimentações!$M$6:$M$4998,M229)</f>
        <v>0</v>
      </c>
      <c r="J229" s="43" t="s">
        <v>670</v>
      </c>
      <c r="K229" s="43" t="s">
        <v>671</v>
      </c>
      <c r="L229" s="47">
        <v>6</v>
      </c>
      <c r="M229" s="43" t="s">
        <v>967</v>
      </c>
      <c r="N229" s="43" t="str">
        <f t="shared" si="7"/>
        <v>Rua A · Prat 6 · C-47</v>
      </c>
      <c r="P229">
        <f>IF(A229="","",IF(AND(K229&lt;&gt;"",L229&lt;&gt;""),IF(COUNTIFS($K$6:K229,K229,$L$6:L229,L229)=1,1,0),0))</f>
        <v>0</v>
      </c>
      <c r="Q229">
        <f>IF(A229="","",IF(AND(K229&lt;&gt;"",M229&lt;&gt;""),IF(COUNTIFS($K$6:K229,K229,$M$6:M229,M229)=1,1,0),0))</f>
        <v>1</v>
      </c>
      <c r="R229">
        <f>IF(A229="","",IF(M229&lt;&gt;"",IF(COUNTIF($M$6:M229,M229)=1,1,0),0))</f>
        <v>1</v>
      </c>
      <c r="T229" t="str">
        <f>IF(AND($M229&lt;&gt;"",$M229='Mapa do Galpão'!$C$20),COUNTIF($M$6:$M229,'Mapa do Galpão'!$C$20),"")</f>
        <v/>
      </c>
    </row>
    <row r="230" spans="1:20" ht="14.25" hidden="1" customHeight="1" x14ac:dyDescent="0.3">
      <c r="A230" s="43" t="s">
        <v>968</v>
      </c>
      <c r="B230" s="44" t="s">
        <v>665</v>
      </c>
      <c r="C230" s="165" t="s">
        <v>258</v>
      </c>
      <c r="D230" s="45" t="str">
        <f t="shared" si="6"/>
        <v>Outros</v>
      </c>
      <c r="E230" s="43" t="s">
        <v>666</v>
      </c>
      <c r="F230" s="43" t="s">
        <v>966</v>
      </c>
      <c r="G230" s="43" t="s">
        <v>668</v>
      </c>
      <c r="H230" s="43">
        <v>4</v>
      </c>
      <c r="I230" s="46">
        <f>SUMIFS(Movimentações!$F$6:$F$4998,Movimentações!$C$6:$C$4998,A230,Movimentações!$M$6:$M$4998,M230)</f>
        <v>0</v>
      </c>
      <c r="J230" s="43" t="s">
        <v>670</v>
      </c>
      <c r="K230" s="43" t="s">
        <v>671</v>
      </c>
      <c r="L230" s="47" t="s">
        <v>746</v>
      </c>
      <c r="M230" s="43" t="s">
        <v>967</v>
      </c>
      <c r="N230" s="43" t="str">
        <f t="shared" si="7"/>
        <v>Rua A · Prat 6 · C-47</v>
      </c>
      <c r="P230">
        <f>IF(A230="","",IF(AND(K230&lt;&gt;"",L230&lt;&gt;""),IF(COUNTIFS($K$6:K230,K230,$L$6:L230,L230)=1,1,0),0))</f>
        <v>0</v>
      </c>
      <c r="Q230">
        <f>IF(A230="","",IF(AND(K230&lt;&gt;"",M230&lt;&gt;""),IF(COUNTIFS($K$6:K230,K230,$M$6:M230,M230)=1,1,0),0))</f>
        <v>0</v>
      </c>
      <c r="R230">
        <f>IF(A230="","",IF(M230&lt;&gt;"",IF(COUNTIF($M$6:M230,M230)=1,1,0),0))</f>
        <v>0</v>
      </c>
      <c r="T230" t="str">
        <f>IF(AND($M230&lt;&gt;"",$M230='Mapa do Galpão'!$C$20),COUNTIF($M$6:$M230,'Mapa do Galpão'!$C$20),"")</f>
        <v/>
      </c>
    </row>
    <row r="231" spans="1:20" ht="14.25" hidden="1" customHeight="1" x14ac:dyDescent="0.3">
      <c r="A231" s="43" t="s">
        <v>969</v>
      </c>
      <c r="B231" s="44" t="s">
        <v>665</v>
      </c>
      <c r="C231" s="165" t="s">
        <v>259</v>
      </c>
      <c r="D231" s="45" t="str">
        <f t="shared" si="6"/>
        <v>Outros</v>
      </c>
      <c r="E231" s="43" t="s">
        <v>666</v>
      </c>
      <c r="F231" s="43" t="s">
        <v>966</v>
      </c>
      <c r="G231" s="43" t="s">
        <v>668</v>
      </c>
      <c r="H231" s="43">
        <v>6</v>
      </c>
      <c r="I231" s="46">
        <f>SUMIFS(Movimentações!$F$6:$F$4998,Movimentações!$C$6:$C$4998,A231,Movimentações!$M$6:$M$4998,M231)</f>
        <v>0</v>
      </c>
      <c r="J231" s="43" t="s">
        <v>670</v>
      </c>
      <c r="K231" s="43" t="s">
        <v>671</v>
      </c>
      <c r="L231" s="47">
        <v>6</v>
      </c>
      <c r="M231" s="43" t="s">
        <v>967</v>
      </c>
      <c r="N231" s="43" t="str">
        <f t="shared" si="7"/>
        <v>Rua A · Prat 6 · C-47</v>
      </c>
      <c r="P231">
        <f>IF(A231="","",IF(AND(K231&lt;&gt;"",L231&lt;&gt;""),IF(COUNTIFS($K$6:K231,K231,$L$6:L231,L231)=1,1,0),0))</f>
        <v>0</v>
      </c>
      <c r="Q231">
        <f>IF(A231="","",IF(AND(K231&lt;&gt;"",M231&lt;&gt;""),IF(COUNTIFS($K$6:K231,K231,$M$6:M231,M231)=1,1,0),0))</f>
        <v>0</v>
      </c>
      <c r="R231">
        <f>IF(A231="","",IF(M231&lt;&gt;"",IF(COUNTIF($M$6:M231,M231)=1,1,0),0))</f>
        <v>0</v>
      </c>
      <c r="T231" t="str">
        <f>IF(AND($M231&lt;&gt;"",$M231='Mapa do Galpão'!$C$20),COUNTIF($M$6:$M231,'Mapa do Galpão'!$C$20),"")</f>
        <v/>
      </c>
    </row>
    <row r="232" spans="1:20" ht="14.25" hidden="1" customHeight="1" x14ac:dyDescent="0.3">
      <c r="A232" s="43" t="s">
        <v>970</v>
      </c>
      <c r="B232" s="44" t="s">
        <v>665</v>
      </c>
      <c r="C232" s="165" t="s">
        <v>260</v>
      </c>
      <c r="D232" s="45" t="str">
        <f t="shared" si="6"/>
        <v>Outros</v>
      </c>
      <c r="E232" s="43" t="s">
        <v>666</v>
      </c>
      <c r="F232" s="43" t="s">
        <v>966</v>
      </c>
      <c r="G232" s="43" t="s">
        <v>668</v>
      </c>
      <c r="H232" s="43">
        <v>8</v>
      </c>
      <c r="I232" s="46">
        <f>SUMIFS(Movimentações!$F$6:$F$4998,Movimentações!$C$6:$C$4998,A232,Movimentações!$M$6:$M$4998,M232)</f>
        <v>0</v>
      </c>
      <c r="J232" s="43" t="s">
        <v>670</v>
      </c>
      <c r="K232" s="43" t="s">
        <v>671</v>
      </c>
      <c r="L232" s="47" t="s">
        <v>746</v>
      </c>
      <c r="M232" s="43" t="s">
        <v>967</v>
      </c>
      <c r="N232" s="43" t="str">
        <f t="shared" si="7"/>
        <v>Rua A · Prat 6 · C-47</v>
      </c>
      <c r="P232">
        <f>IF(A232="","",IF(AND(K232&lt;&gt;"",L232&lt;&gt;""),IF(COUNTIFS($K$6:K232,K232,$L$6:L232,L232)=1,1,0),0))</f>
        <v>0</v>
      </c>
      <c r="Q232">
        <f>IF(A232="","",IF(AND(K232&lt;&gt;"",M232&lt;&gt;""),IF(COUNTIFS($K$6:K232,K232,$M$6:M232,M232)=1,1,0),0))</f>
        <v>0</v>
      </c>
      <c r="R232">
        <f>IF(A232="","",IF(M232&lt;&gt;"",IF(COUNTIF($M$6:M232,M232)=1,1,0),0))</f>
        <v>0</v>
      </c>
      <c r="T232" t="str">
        <f>IF(AND($M232&lt;&gt;"",$M232='Mapa do Galpão'!$C$20),COUNTIF($M$6:$M232,'Mapa do Galpão'!$C$20),"")</f>
        <v/>
      </c>
    </row>
    <row r="233" spans="1:20" ht="14.25" hidden="1" customHeight="1" x14ac:dyDescent="0.3">
      <c r="A233" s="43" t="s">
        <v>971</v>
      </c>
      <c r="B233" s="44" t="s">
        <v>665</v>
      </c>
      <c r="C233" s="165" t="s">
        <v>261</v>
      </c>
      <c r="D233" s="45" t="str">
        <f t="shared" si="6"/>
        <v>Outros</v>
      </c>
      <c r="E233" s="43" t="s">
        <v>666</v>
      </c>
      <c r="F233" s="43" t="s">
        <v>966</v>
      </c>
      <c r="G233" s="43" t="s">
        <v>668</v>
      </c>
      <c r="H233" s="43">
        <v>10</v>
      </c>
      <c r="I233" s="46">
        <f>SUMIFS(Movimentações!$F$6:$F$4998,Movimentações!$C$6:$C$4998,A233,Movimentações!$M$6:$M$4998,M233)</f>
        <v>0</v>
      </c>
      <c r="J233" s="43" t="s">
        <v>670</v>
      </c>
      <c r="K233" s="43" t="s">
        <v>671</v>
      </c>
      <c r="L233" s="47">
        <v>6</v>
      </c>
      <c r="M233" s="43" t="s">
        <v>967</v>
      </c>
      <c r="N233" s="43" t="str">
        <f t="shared" si="7"/>
        <v>Rua A · Prat 6 · C-47</v>
      </c>
      <c r="P233">
        <f>IF(A233="","",IF(AND(K233&lt;&gt;"",L233&lt;&gt;""),IF(COUNTIFS($K$6:K233,K233,$L$6:L233,L233)=1,1,0),0))</f>
        <v>0</v>
      </c>
      <c r="Q233">
        <f>IF(A233="","",IF(AND(K233&lt;&gt;"",M233&lt;&gt;""),IF(COUNTIFS($K$6:K233,K233,$M$6:M233,M233)=1,1,0),0))</f>
        <v>0</v>
      </c>
      <c r="R233">
        <f>IF(A233="","",IF(M233&lt;&gt;"",IF(COUNTIF($M$6:M233,M233)=1,1,0),0))</f>
        <v>0</v>
      </c>
      <c r="T233" t="str">
        <f>IF(AND($M233&lt;&gt;"",$M233='Mapa do Galpão'!$C$20),COUNTIF($M$6:$M233,'Mapa do Galpão'!$C$20),"")</f>
        <v/>
      </c>
    </row>
    <row r="234" spans="1:20" ht="14.25" hidden="1" customHeight="1" x14ac:dyDescent="0.3">
      <c r="A234" s="43" t="s">
        <v>972</v>
      </c>
      <c r="B234" s="44" t="s">
        <v>665</v>
      </c>
      <c r="C234" s="165" t="s">
        <v>262</v>
      </c>
      <c r="D234" s="45" t="str">
        <f t="shared" si="6"/>
        <v>Outros</v>
      </c>
      <c r="E234" s="43" t="s">
        <v>666</v>
      </c>
      <c r="F234" s="43" t="s">
        <v>966</v>
      </c>
      <c r="G234" s="43" t="s">
        <v>668</v>
      </c>
      <c r="H234" s="43">
        <v>12</v>
      </c>
      <c r="I234" s="46">
        <f>SUMIFS(Movimentações!$F$6:$F$4998,Movimentações!$C$6:$C$4998,A234,Movimentações!$M$6:$M$4998,M234)</f>
        <v>0</v>
      </c>
      <c r="J234" s="43" t="s">
        <v>670</v>
      </c>
      <c r="K234" s="43" t="s">
        <v>671</v>
      </c>
      <c r="L234" s="47" t="s">
        <v>746</v>
      </c>
      <c r="M234" s="43" t="s">
        <v>967</v>
      </c>
      <c r="N234" s="43" t="str">
        <f t="shared" si="7"/>
        <v>Rua A · Prat 6 · C-47</v>
      </c>
      <c r="P234">
        <f>IF(A234="","",IF(AND(K234&lt;&gt;"",L234&lt;&gt;""),IF(COUNTIFS($K$6:K234,K234,$L$6:L234,L234)=1,1,0),0))</f>
        <v>0</v>
      </c>
      <c r="Q234">
        <f>IF(A234="","",IF(AND(K234&lt;&gt;"",M234&lt;&gt;""),IF(COUNTIFS($K$6:K234,K234,$M$6:M234,M234)=1,1,0),0))</f>
        <v>0</v>
      </c>
      <c r="R234">
        <f>IF(A234="","",IF(M234&lt;&gt;"",IF(COUNTIF($M$6:M234,M234)=1,1,0),0))</f>
        <v>0</v>
      </c>
      <c r="T234" t="str">
        <f>IF(AND($M234&lt;&gt;"",$M234='Mapa do Galpão'!$C$20),COUNTIF($M$6:$M234,'Mapa do Galpão'!$C$20),"")</f>
        <v/>
      </c>
    </row>
    <row r="235" spans="1:20" ht="14.25" hidden="1" customHeight="1" x14ac:dyDescent="0.3">
      <c r="A235" s="43" t="s">
        <v>973</v>
      </c>
      <c r="B235" s="44" t="s">
        <v>665</v>
      </c>
      <c r="C235" s="165" t="s">
        <v>263</v>
      </c>
      <c r="D235" s="45" t="str">
        <f t="shared" si="6"/>
        <v>Outros</v>
      </c>
      <c r="E235" s="43" t="s">
        <v>666</v>
      </c>
      <c r="F235" s="43" t="s">
        <v>966</v>
      </c>
      <c r="G235" s="43" t="s">
        <v>668</v>
      </c>
      <c r="H235" s="43">
        <v>14</v>
      </c>
      <c r="I235" s="46">
        <f>SUMIFS(Movimentações!$F$6:$F$4998,Movimentações!$C$6:$C$4998,A235,Movimentações!$M$6:$M$4998,M235)</f>
        <v>0</v>
      </c>
      <c r="J235" s="43" t="s">
        <v>670</v>
      </c>
      <c r="K235" s="43" t="s">
        <v>671</v>
      </c>
      <c r="L235" s="47">
        <v>6</v>
      </c>
      <c r="M235" s="43" t="s">
        <v>967</v>
      </c>
      <c r="N235" s="43" t="str">
        <f t="shared" si="7"/>
        <v>Rua A · Prat 6 · C-47</v>
      </c>
      <c r="P235">
        <f>IF(A235="","",IF(AND(K235&lt;&gt;"",L235&lt;&gt;""),IF(COUNTIFS($K$6:K235,K235,$L$6:L235,L235)=1,1,0),0))</f>
        <v>0</v>
      </c>
      <c r="Q235">
        <f>IF(A235="","",IF(AND(K235&lt;&gt;"",M235&lt;&gt;""),IF(COUNTIFS($K$6:K235,K235,$M$6:M235,M235)=1,1,0),0))</f>
        <v>0</v>
      </c>
      <c r="R235">
        <f>IF(A235="","",IF(M235&lt;&gt;"",IF(COUNTIF($M$6:M235,M235)=1,1,0),0))</f>
        <v>0</v>
      </c>
      <c r="T235" t="str">
        <f>IF(AND($M235&lt;&gt;"",$M235='Mapa do Galpão'!$C$20),COUNTIF($M$6:$M235,'Mapa do Galpão'!$C$20),"")</f>
        <v/>
      </c>
    </row>
    <row r="236" spans="1:20" ht="14.25" hidden="1" customHeight="1" x14ac:dyDescent="0.3">
      <c r="A236" s="43" t="s">
        <v>974</v>
      </c>
      <c r="B236" s="44" t="s">
        <v>665</v>
      </c>
      <c r="C236" s="165" t="s">
        <v>264</v>
      </c>
      <c r="D236" s="45" t="str">
        <f t="shared" si="6"/>
        <v>Feminino</v>
      </c>
      <c r="E236" s="43" t="s">
        <v>666</v>
      </c>
      <c r="F236" s="43" t="s">
        <v>975</v>
      </c>
      <c r="G236" s="43" t="s">
        <v>755</v>
      </c>
      <c r="H236" s="43" t="s">
        <v>677</v>
      </c>
      <c r="I236" s="46">
        <f>SUMIFS(Movimentações!$F$6:$F$4998,Movimentações!$C$6:$C$4998,A236,Movimentações!$M$6:$M$4998,M236)</f>
        <v>0</v>
      </c>
      <c r="J236" s="43" t="s">
        <v>670</v>
      </c>
      <c r="K236" s="43" t="s">
        <v>671</v>
      </c>
      <c r="L236" s="47" t="s">
        <v>746</v>
      </c>
      <c r="M236" s="43" t="s">
        <v>959</v>
      </c>
      <c r="N236" s="43" t="str">
        <f t="shared" si="7"/>
        <v>Rua A · Prat 6 · C-46</v>
      </c>
      <c r="P236">
        <f>IF(A236="","",IF(AND(K236&lt;&gt;"",L236&lt;&gt;""),IF(COUNTIFS($K$6:K236,K236,$L$6:L236,L236)=1,1,0),0))</f>
        <v>0</v>
      </c>
      <c r="Q236">
        <f>IF(A236="","",IF(AND(K236&lt;&gt;"",M236&lt;&gt;""),IF(COUNTIFS($K$6:K236,K236,$M$6:M236,M236)=1,1,0),0))</f>
        <v>0</v>
      </c>
      <c r="R236">
        <f>IF(A236="","",IF(M236&lt;&gt;"",IF(COUNTIF($M$6:M236,M236)=1,1,0),0))</f>
        <v>0</v>
      </c>
      <c r="T236" t="str">
        <f>IF(AND($M236&lt;&gt;"",$M236='Mapa do Galpão'!$C$20),COUNTIF($M$6:$M236,'Mapa do Galpão'!$C$20),"")</f>
        <v/>
      </c>
    </row>
    <row r="237" spans="1:20" ht="14.25" hidden="1" customHeight="1" x14ac:dyDescent="0.3">
      <c r="A237" s="43" t="s">
        <v>976</v>
      </c>
      <c r="B237" s="44" t="s">
        <v>665</v>
      </c>
      <c r="C237" s="165" t="s">
        <v>265</v>
      </c>
      <c r="D237" s="45" t="str">
        <f t="shared" si="6"/>
        <v>Feminino</v>
      </c>
      <c r="E237" s="43" t="s">
        <v>666</v>
      </c>
      <c r="F237" s="43" t="s">
        <v>975</v>
      </c>
      <c r="G237" s="43" t="s">
        <v>755</v>
      </c>
      <c r="H237" s="43" t="s">
        <v>756</v>
      </c>
      <c r="I237" s="46">
        <f>SUMIFS(Movimentações!$F$6:$F$4998,Movimentações!$C$6:$C$4998,A237,Movimentações!$M$6:$M$4998,M237)</f>
        <v>0</v>
      </c>
      <c r="J237" s="43" t="s">
        <v>670</v>
      </c>
      <c r="K237" s="43" t="s">
        <v>671</v>
      </c>
      <c r="L237" s="47">
        <v>6</v>
      </c>
      <c r="M237" s="43" t="s">
        <v>959</v>
      </c>
      <c r="N237" s="43" t="str">
        <f t="shared" si="7"/>
        <v>Rua A · Prat 6 · C-46</v>
      </c>
      <c r="P237">
        <f>IF(A237="","",IF(AND(K237&lt;&gt;"",L237&lt;&gt;""),IF(COUNTIFS($K$6:K237,K237,$L$6:L237,L237)=1,1,0),0))</f>
        <v>0</v>
      </c>
      <c r="Q237">
        <f>IF(A237="","",IF(AND(K237&lt;&gt;"",M237&lt;&gt;""),IF(COUNTIFS($K$6:K237,K237,$M$6:M237,M237)=1,1,0),0))</f>
        <v>0</v>
      </c>
      <c r="R237">
        <f>IF(A237="","",IF(M237&lt;&gt;"",IF(COUNTIF($M$6:M237,M237)=1,1,0),0))</f>
        <v>0</v>
      </c>
      <c r="T237" t="str">
        <f>IF(AND($M237&lt;&gt;"",$M237='Mapa do Galpão'!$C$20),COUNTIF($M$6:$M237,'Mapa do Galpão'!$C$20),"")</f>
        <v/>
      </c>
    </row>
    <row r="238" spans="1:20" ht="14.25" hidden="1" customHeight="1" x14ac:dyDescent="0.3">
      <c r="A238" s="43" t="s">
        <v>977</v>
      </c>
      <c r="B238" s="44" t="s">
        <v>665</v>
      </c>
      <c r="C238" s="165" t="s">
        <v>266</v>
      </c>
      <c r="D238" s="45" t="str">
        <f t="shared" si="6"/>
        <v>Feminino</v>
      </c>
      <c r="E238" s="43" t="s">
        <v>666</v>
      </c>
      <c r="F238" s="43" t="s">
        <v>975</v>
      </c>
      <c r="G238" s="43" t="s">
        <v>755</v>
      </c>
      <c r="H238" s="43" t="s">
        <v>682</v>
      </c>
      <c r="I238" s="46">
        <f>SUMIFS(Movimentações!$F$6:$F$4998,Movimentações!$C$6:$C$4998,A238,Movimentações!$M$6:$M$4998,M238)</f>
        <v>0</v>
      </c>
      <c r="J238" s="43" t="s">
        <v>670</v>
      </c>
      <c r="K238" s="43" t="s">
        <v>671</v>
      </c>
      <c r="L238" s="47" t="s">
        <v>746</v>
      </c>
      <c r="M238" s="43" t="s">
        <v>959</v>
      </c>
      <c r="N238" s="43" t="str">
        <f t="shared" si="7"/>
        <v>Rua A · Prat 6 · C-46</v>
      </c>
      <c r="P238">
        <f>IF(A238="","",IF(AND(K238&lt;&gt;"",L238&lt;&gt;""),IF(COUNTIFS($K$6:K238,K238,$L$6:L238,L238)=1,1,0),0))</f>
        <v>0</v>
      </c>
      <c r="Q238">
        <f>IF(A238="","",IF(AND(K238&lt;&gt;"",M238&lt;&gt;""),IF(COUNTIFS($K$6:K238,K238,$M$6:M238,M238)=1,1,0),0))</f>
        <v>0</v>
      </c>
      <c r="R238">
        <f>IF(A238="","",IF(M238&lt;&gt;"",IF(COUNTIF($M$6:M238,M238)=1,1,0),0))</f>
        <v>0</v>
      </c>
      <c r="T238" t="str">
        <f>IF(AND($M238&lt;&gt;"",$M238='Mapa do Galpão'!$C$20),COUNTIF($M$6:$M238,'Mapa do Galpão'!$C$20),"")</f>
        <v/>
      </c>
    </row>
    <row r="239" spans="1:20" ht="14.25" hidden="1" customHeight="1" x14ac:dyDescent="0.3">
      <c r="A239" s="43" t="s">
        <v>978</v>
      </c>
      <c r="B239" s="44" t="s">
        <v>665</v>
      </c>
      <c r="C239" s="165" t="s">
        <v>267</v>
      </c>
      <c r="D239" s="45" t="str">
        <f t="shared" si="6"/>
        <v>Feminino</v>
      </c>
      <c r="E239" s="43" t="s">
        <v>666</v>
      </c>
      <c r="F239" s="43" t="s">
        <v>975</v>
      </c>
      <c r="G239" s="43" t="s">
        <v>755</v>
      </c>
      <c r="H239" s="43" t="s">
        <v>669</v>
      </c>
      <c r="I239" s="46">
        <f>SUMIFS(Movimentações!$F$6:$F$4998,Movimentações!$C$6:$C$4998,A239,Movimentações!$M$6:$M$4998,M239)</f>
        <v>0</v>
      </c>
      <c r="J239" s="43" t="s">
        <v>670</v>
      </c>
      <c r="K239" s="43" t="s">
        <v>671</v>
      </c>
      <c r="L239" s="47">
        <v>6</v>
      </c>
      <c r="M239" s="43" t="s">
        <v>959</v>
      </c>
      <c r="N239" s="43" t="str">
        <f t="shared" si="7"/>
        <v>Rua A · Prat 6 · C-46</v>
      </c>
      <c r="P239">
        <f>IF(A239="","",IF(AND(K239&lt;&gt;"",L239&lt;&gt;""),IF(COUNTIFS($K$6:K239,K239,$L$6:L239,L239)=1,1,0),0))</f>
        <v>0</v>
      </c>
      <c r="Q239">
        <f>IF(A239="","",IF(AND(K239&lt;&gt;"",M239&lt;&gt;""),IF(COUNTIFS($K$6:K239,K239,$M$6:M239,M239)=1,1,0),0))</f>
        <v>0</v>
      </c>
      <c r="R239">
        <f>IF(A239="","",IF(M239&lt;&gt;"",IF(COUNTIF($M$6:M239,M239)=1,1,0),0))</f>
        <v>0</v>
      </c>
      <c r="T239" t="str">
        <f>IF(AND($M239&lt;&gt;"",$M239='Mapa do Galpão'!$C$20),COUNTIF($M$6:$M239,'Mapa do Galpão'!$C$20),"")</f>
        <v/>
      </c>
    </row>
    <row r="240" spans="1:20" ht="14.25" hidden="1" customHeight="1" x14ac:dyDescent="0.3">
      <c r="A240" s="43" t="s">
        <v>978</v>
      </c>
      <c r="B240" s="44" t="s">
        <v>665</v>
      </c>
      <c r="C240" s="165" t="s">
        <v>267</v>
      </c>
      <c r="D240" s="45" t="str">
        <f t="shared" si="6"/>
        <v>Feminino</v>
      </c>
      <c r="E240" s="43" t="s">
        <v>666</v>
      </c>
      <c r="F240" s="43" t="s">
        <v>975</v>
      </c>
      <c r="G240" s="43" t="s">
        <v>755</v>
      </c>
      <c r="H240" s="43" t="s">
        <v>669</v>
      </c>
      <c r="I240" s="46">
        <f>SUMIFS(Movimentações!$F$6:$F$4998,Movimentações!$C$6:$C$4998,A240,Movimentações!$M$6:$M$4998,M240)</f>
        <v>0</v>
      </c>
      <c r="J240" s="43" t="s">
        <v>670</v>
      </c>
      <c r="K240" s="43" t="s">
        <v>671</v>
      </c>
      <c r="L240" s="47" t="s">
        <v>746</v>
      </c>
      <c r="M240" s="43" t="s">
        <v>979</v>
      </c>
      <c r="N240" s="43" t="str">
        <f t="shared" si="7"/>
        <v>Rua A · Prat 6 · C-50</v>
      </c>
      <c r="P240">
        <f>IF(A240="","",IF(AND(K240&lt;&gt;"",L240&lt;&gt;""),IF(COUNTIFS($K$6:K240,K240,$L$6:L240,L240)=1,1,0),0))</f>
        <v>0</v>
      </c>
      <c r="Q240">
        <f>IF(A240="","",IF(AND(K240&lt;&gt;"",M240&lt;&gt;""),IF(COUNTIFS($K$6:K240,K240,$M$6:M240,M240)=1,1,0),0))</f>
        <v>1</v>
      </c>
      <c r="R240">
        <f>IF(A240="","",IF(M240&lt;&gt;"",IF(COUNTIF($M$6:M240,M240)=1,1,0),0))</f>
        <v>1</v>
      </c>
      <c r="T240" t="str">
        <f>IF(AND($M240&lt;&gt;"",$M240='Mapa do Galpão'!$C$20),COUNTIF($M$6:$M240,'Mapa do Galpão'!$C$20),"")</f>
        <v/>
      </c>
    </row>
    <row r="241" spans="1:20" ht="14.25" hidden="1" customHeight="1" x14ac:dyDescent="0.3">
      <c r="A241" s="43" t="s">
        <v>980</v>
      </c>
      <c r="B241" s="44" t="s">
        <v>665</v>
      </c>
      <c r="C241" s="165" t="s">
        <v>268</v>
      </c>
      <c r="D241" s="45" t="str">
        <f t="shared" si="6"/>
        <v>Feminino</v>
      </c>
      <c r="E241" s="43" t="s">
        <v>666</v>
      </c>
      <c r="F241" s="43" t="s">
        <v>975</v>
      </c>
      <c r="G241" s="43" t="s">
        <v>755</v>
      </c>
      <c r="H241" s="43" t="s">
        <v>680</v>
      </c>
      <c r="I241" s="46">
        <f>SUMIFS(Movimentações!$F$6:$F$4998,Movimentações!$C$6:$C$4998,A241,Movimentações!$M$6:$M$4998,M241)</f>
        <v>0</v>
      </c>
      <c r="J241" s="43" t="s">
        <v>670</v>
      </c>
      <c r="K241" s="43" t="s">
        <v>671</v>
      </c>
      <c r="L241" s="47" t="s">
        <v>746</v>
      </c>
      <c r="M241" s="43" t="s">
        <v>959</v>
      </c>
      <c r="N241" s="43" t="str">
        <f t="shared" si="7"/>
        <v>Rua A · Prat 6 · C-46</v>
      </c>
      <c r="P241">
        <f>IF(A241="","",IF(AND(K241&lt;&gt;"",L241&lt;&gt;""),IF(COUNTIFS($K$6:K241,K241,$L$6:L241,L241)=1,1,0),0))</f>
        <v>0</v>
      </c>
      <c r="Q241">
        <f>IF(A241="","",IF(AND(K241&lt;&gt;"",M241&lt;&gt;""),IF(COUNTIFS($K$6:K241,K241,$M$6:M241,M241)=1,1,0),0))</f>
        <v>0</v>
      </c>
      <c r="R241">
        <f>IF(A241="","",IF(M241&lt;&gt;"",IF(COUNTIF($M$6:M241,M241)=1,1,0),0))</f>
        <v>0</v>
      </c>
      <c r="T241" t="str">
        <f>IF(AND($M241&lt;&gt;"",$M241='Mapa do Galpão'!$C$20),COUNTIF($M$6:$M241,'Mapa do Galpão'!$C$20),"")</f>
        <v/>
      </c>
    </row>
    <row r="242" spans="1:20" ht="14.25" hidden="1" customHeight="1" x14ac:dyDescent="0.3">
      <c r="A242" s="43" t="s">
        <v>981</v>
      </c>
      <c r="B242" s="44" t="s">
        <v>665</v>
      </c>
      <c r="C242" s="165" t="s">
        <v>269</v>
      </c>
      <c r="D242" s="45" t="str">
        <f t="shared" si="6"/>
        <v>Masculino</v>
      </c>
      <c r="E242" s="43" t="s">
        <v>982</v>
      </c>
      <c r="F242" s="43" t="s">
        <v>983</v>
      </c>
      <c r="G242" s="43" t="s">
        <v>798</v>
      </c>
      <c r="H242" s="43" t="s">
        <v>669</v>
      </c>
      <c r="I242" s="46">
        <f>SUMIFS(Movimentações!$F$6:$F$4998,Movimentações!$C$6:$C$4998,A242,Movimentações!$M$6:$M$4998,M242)</f>
        <v>17</v>
      </c>
      <c r="J242" s="43" t="s">
        <v>670</v>
      </c>
      <c r="K242" s="43" t="s">
        <v>671</v>
      </c>
      <c r="L242" s="47">
        <v>13</v>
      </c>
      <c r="M242" s="43" t="s">
        <v>984</v>
      </c>
      <c r="N242" s="43" t="str">
        <f t="shared" si="7"/>
        <v>Rua A · Prat 13 · C-48</v>
      </c>
      <c r="P242">
        <f>IF(A242="","",IF(AND(K242&lt;&gt;"",L242&lt;&gt;""),IF(COUNTIFS($K$6:K242,K242,$L$6:L242,L242)=1,1,0),0))</f>
        <v>0</v>
      </c>
      <c r="Q242">
        <f>IF(A242="","",IF(AND(K242&lt;&gt;"",M242&lt;&gt;""),IF(COUNTIFS($K$6:K242,K242,$M$6:M242,M242)=1,1,0),0))</f>
        <v>1</v>
      </c>
      <c r="R242">
        <f>IF(A242="","",IF(M242&lt;&gt;"",IF(COUNTIF($M$6:M242,M242)=1,1,0),0))</f>
        <v>1</v>
      </c>
      <c r="T242" t="str">
        <f>IF(AND($M242&lt;&gt;"",$M242='Mapa do Galpão'!$C$20),COUNTIF($M$6:$M242,'Mapa do Galpão'!$C$20),"")</f>
        <v/>
      </c>
    </row>
    <row r="243" spans="1:20" ht="14.25" hidden="1" customHeight="1" x14ac:dyDescent="0.3">
      <c r="A243" s="43" t="s">
        <v>985</v>
      </c>
      <c r="B243" s="44" t="s">
        <v>665</v>
      </c>
      <c r="C243" s="165" t="s">
        <v>270</v>
      </c>
      <c r="D243" s="45" t="str">
        <f t="shared" si="6"/>
        <v>Masculino</v>
      </c>
      <c r="E243" s="43" t="s">
        <v>982</v>
      </c>
      <c r="F243" s="43" t="s">
        <v>983</v>
      </c>
      <c r="G243" s="43" t="s">
        <v>755</v>
      </c>
      <c r="H243" s="43" t="s">
        <v>682</v>
      </c>
      <c r="I243" s="46">
        <f>SUMIFS(Movimentações!$F$6:$F$4998,Movimentações!$C$6:$C$4998,A243,Movimentações!$M$6:$M$4998,M243)</f>
        <v>3</v>
      </c>
      <c r="J243" s="43" t="s">
        <v>670</v>
      </c>
      <c r="K243" s="43" t="s">
        <v>671</v>
      </c>
      <c r="L243" s="47">
        <v>13</v>
      </c>
      <c r="M243" s="43" t="s">
        <v>984</v>
      </c>
      <c r="N243" s="43" t="str">
        <f t="shared" si="7"/>
        <v>Rua A · Prat 13 · C-48</v>
      </c>
      <c r="P243">
        <f>IF(A243="","",IF(AND(K243&lt;&gt;"",L243&lt;&gt;""),IF(COUNTIFS($K$6:K243,K243,$L$6:L243,L243)=1,1,0),0))</f>
        <v>0</v>
      </c>
      <c r="Q243">
        <f>IF(A243="","",IF(AND(K243&lt;&gt;"",M243&lt;&gt;""),IF(COUNTIFS($K$6:K243,K243,$M$6:M243,M243)=1,1,0),0))</f>
        <v>0</v>
      </c>
      <c r="R243">
        <f>IF(A243="","",IF(M243&lt;&gt;"",IF(COUNTIF($M$6:M243,M243)=1,1,0),0))</f>
        <v>0</v>
      </c>
      <c r="T243" t="str">
        <f>IF(AND($M243&lt;&gt;"",$M243='Mapa do Galpão'!$C$20),COUNTIF($M$6:$M243,'Mapa do Galpão'!$C$20),"")</f>
        <v/>
      </c>
    </row>
    <row r="244" spans="1:20" ht="14.25" hidden="1" customHeight="1" x14ac:dyDescent="0.3">
      <c r="A244" s="43" t="s">
        <v>986</v>
      </c>
      <c r="B244" s="44" t="s">
        <v>665</v>
      </c>
      <c r="C244" s="165" t="s">
        <v>271</v>
      </c>
      <c r="D244" s="45" t="str">
        <f t="shared" si="6"/>
        <v>Masculino</v>
      </c>
      <c r="E244" s="43" t="s">
        <v>982</v>
      </c>
      <c r="F244" s="43" t="s">
        <v>983</v>
      </c>
      <c r="G244" s="43" t="s">
        <v>755</v>
      </c>
      <c r="H244" s="43" t="s">
        <v>669</v>
      </c>
      <c r="I244" s="46">
        <f>SUMIFS(Movimentações!$F$6:$F$4998,Movimentações!$C$6:$C$4998,A244,Movimentações!$M$6:$M$4998,M244)</f>
        <v>1</v>
      </c>
      <c r="J244" s="43" t="s">
        <v>670</v>
      </c>
      <c r="K244" s="43" t="s">
        <v>671</v>
      </c>
      <c r="L244" s="47">
        <v>13</v>
      </c>
      <c r="M244" s="43" t="s">
        <v>984</v>
      </c>
      <c r="N244" s="43" t="str">
        <f t="shared" si="7"/>
        <v>Rua A · Prat 13 · C-48</v>
      </c>
      <c r="P244">
        <f>IF(A244="","",IF(AND(K244&lt;&gt;"",L244&lt;&gt;""),IF(COUNTIFS($K$6:K244,K244,$L$6:L244,L244)=1,1,0),0))</f>
        <v>0</v>
      </c>
      <c r="Q244">
        <f>IF(A244="","",IF(AND(K244&lt;&gt;"",M244&lt;&gt;""),IF(COUNTIFS($K$6:K244,K244,$M$6:M244,M244)=1,1,0),0))</f>
        <v>0</v>
      </c>
      <c r="R244">
        <f>IF(A244="","",IF(M244&lt;&gt;"",IF(COUNTIF($M$6:M244,M244)=1,1,0),0))</f>
        <v>0</v>
      </c>
      <c r="T244" t="str">
        <f>IF(AND($M244&lt;&gt;"",$M244='Mapa do Galpão'!$C$20),COUNTIF($M$6:$M244,'Mapa do Galpão'!$C$20),"")</f>
        <v/>
      </c>
    </row>
    <row r="245" spans="1:20" ht="14.25" hidden="1" customHeight="1" x14ac:dyDescent="0.3">
      <c r="A245" s="43" t="s">
        <v>987</v>
      </c>
      <c r="B245" s="44" t="s">
        <v>665</v>
      </c>
      <c r="C245" s="165" t="s">
        <v>272</v>
      </c>
      <c r="D245" s="45" t="str">
        <f t="shared" si="6"/>
        <v>Feminino</v>
      </c>
      <c r="E245" s="43" t="s">
        <v>982</v>
      </c>
      <c r="F245" s="43" t="s">
        <v>988</v>
      </c>
      <c r="G245" s="43" t="s">
        <v>798</v>
      </c>
      <c r="H245" s="43" t="s">
        <v>682</v>
      </c>
      <c r="I245" s="46">
        <f>SUMIFS(Movimentações!$F$6:$F$4998,Movimentações!$C$6:$C$4998,A245,Movimentações!$M$6:$M$4998,M245)</f>
        <v>2</v>
      </c>
      <c r="J245" s="43" t="s">
        <v>670</v>
      </c>
      <c r="K245" s="43" t="s">
        <v>671</v>
      </c>
      <c r="L245" s="47">
        <v>13</v>
      </c>
      <c r="M245" s="43" t="s">
        <v>984</v>
      </c>
      <c r="N245" s="43" t="str">
        <f t="shared" si="7"/>
        <v>Rua A · Prat 13 · C-48</v>
      </c>
      <c r="P245">
        <f>IF(A245="","",IF(AND(K245&lt;&gt;"",L245&lt;&gt;""),IF(COUNTIFS($K$6:K245,K245,$L$6:L245,L245)=1,1,0),0))</f>
        <v>0</v>
      </c>
      <c r="Q245">
        <f>IF(A245="","",IF(AND(K245&lt;&gt;"",M245&lt;&gt;""),IF(COUNTIFS($K$6:K245,K245,$M$6:M245,M245)=1,1,0),0))</f>
        <v>0</v>
      </c>
      <c r="R245">
        <f>IF(A245="","",IF(M245&lt;&gt;"",IF(COUNTIF($M$6:M245,M245)=1,1,0),0))</f>
        <v>0</v>
      </c>
      <c r="T245" t="str">
        <f>IF(AND($M245&lt;&gt;"",$M245='Mapa do Galpão'!$C$20),COUNTIF($M$6:$M245,'Mapa do Galpão'!$C$20),"")</f>
        <v/>
      </c>
    </row>
    <row r="246" spans="1:20" ht="14.25" hidden="1" customHeight="1" x14ac:dyDescent="0.3">
      <c r="A246" s="43" t="s">
        <v>989</v>
      </c>
      <c r="B246" s="44" t="s">
        <v>665</v>
      </c>
      <c r="C246" s="165" t="s">
        <v>273</v>
      </c>
      <c r="D246" s="45" t="str">
        <f t="shared" si="6"/>
        <v>Feminino</v>
      </c>
      <c r="E246" s="43" t="s">
        <v>666</v>
      </c>
      <c r="F246" s="43" t="s">
        <v>920</v>
      </c>
      <c r="G246" s="43" t="s">
        <v>798</v>
      </c>
      <c r="H246" s="43" t="s">
        <v>756</v>
      </c>
      <c r="I246" s="46">
        <f>SUMIFS(Movimentações!$F$6:$F$4998,Movimentações!$C$6:$C$4998,A246,Movimentações!$M$6:$M$4998,M246)</f>
        <v>2</v>
      </c>
      <c r="J246" s="43" t="s">
        <v>670</v>
      </c>
      <c r="K246" s="43" t="s">
        <v>671</v>
      </c>
      <c r="L246" s="47">
        <v>13</v>
      </c>
      <c r="M246" s="43" t="s">
        <v>984</v>
      </c>
      <c r="N246" s="43" t="str">
        <f t="shared" si="7"/>
        <v>Rua A · Prat 13 · C-48</v>
      </c>
      <c r="P246">
        <f>IF(A246="","",IF(AND(K246&lt;&gt;"",L246&lt;&gt;""),IF(COUNTIFS($K$6:K246,K246,$L$6:L246,L246)=1,1,0),0))</f>
        <v>0</v>
      </c>
      <c r="Q246">
        <f>IF(A246="","",IF(AND(K246&lt;&gt;"",M246&lt;&gt;""),IF(COUNTIFS($K$6:K246,K246,$M$6:M246,M246)=1,1,0),0))</f>
        <v>0</v>
      </c>
      <c r="R246">
        <f>IF(A246="","",IF(M246&lt;&gt;"",IF(COUNTIF($M$6:M246,M246)=1,1,0),0))</f>
        <v>0</v>
      </c>
      <c r="T246" t="str">
        <f>IF(AND($M246&lt;&gt;"",$M246='Mapa do Galpão'!$C$20),COUNTIF($M$6:$M246,'Mapa do Galpão'!$C$20),"")</f>
        <v/>
      </c>
    </row>
    <row r="247" spans="1:20" ht="14.25" hidden="1" customHeight="1" x14ac:dyDescent="0.3">
      <c r="A247" s="43" t="s">
        <v>990</v>
      </c>
      <c r="B247" s="44" t="s">
        <v>665</v>
      </c>
      <c r="C247" s="165" t="s">
        <v>274</v>
      </c>
      <c r="D247" s="45" t="str">
        <f t="shared" si="6"/>
        <v>Feminino</v>
      </c>
      <c r="E247" s="43" t="s">
        <v>666</v>
      </c>
      <c r="F247" s="43" t="s">
        <v>920</v>
      </c>
      <c r="G247" s="43" t="s">
        <v>798</v>
      </c>
      <c r="H247" s="43" t="s">
        <v>680</v>
      </c>
      <c r="I247" s="46">
        <f>SUMIFS(Movimentações!$F$6:$F$4998,Movimentações!$C$6:$C$4998,A247,Movimentações!$M$6:$M$4998,M247)</f>
        <v>2</v>
      </c>
      <c r="J247" s="43" t="s">
        <v>670</v>
      </c>
      <c r="K247" s="43" t="s">
        <v>671</v>
      </c>
      <c r="L247" s="47">
        <v>13</v>
      </c>
      <c r="M247" s="43" t="s">
        <v>984</v>
      </c>
      <c r="N247" s="43" t="str">
        <f t="shared" si="7"/>
        <v>Rua A · Prat 13 · C-48</v>
      </c>
      <c r="P247">
        <f>IF(A247="","",IF(AND(K247&lt;&gt;"",L247&lt;&gt;""),IF(COUNTIFS($K$6:K247,K247,$L$6:L247,L247)=1,1,0),0))</f>
        <v>0</v>
      </c>
      <c r="Q247">
        <f>IF(A247="","",IF(AND(K247&lt;&gt;"",M247&lt;&gt;""),IF(COUNTIFS($K$6:K247,K247,$M$6:M247,M247)=1,1,0),0))</f>
        <v>0</v>
      </c>
      <c r="R247">
        <f>IF(A247="","",IF(M247&lt;&gt;"",IF(COUNTIF($M$6:M247,M247)=1,1,0),0))</f>
        <v>0</v>
      </c>
      <c r="T247" t="str">
        <f>IF(AND($M247&lt;&gt;"",$M247='Mapa do Galpão'!$C$20),COUNTIF($M$6:$M247,'Mapa do Galpão'!$C$20),"")</f>
        <v/>
      </c>
    </row>
    <row r="248" spans="1:20" ht="14.25" hidden="1" customHeight="1" x14ac:dyDescent="0.3">
      <c r="A248" s="43" t="s">
        <v>991</v>
      </c>
      <c r="B248" s="44" t="s">
        <v>665</v>
      </c>
      <c r="C248" s="165" t="s">
        <v>275</v>
      </c>
      <c r="D248" s="45" t="str">
        <f t="shared" si="6"/>
        <v>Feminino</v>
      </c>
      <c r="E248" s="43" t="s">
        <v>666</v>
      </c>
      <c r="F248" s="43" t="s">
        <v>920</v>
      </c>
      <c r="G248" s="43" t="s">
        <v>798</v>
      </c>
      <c r="H248" s="43" t="s">
        <v>675</v>
      </c>
      <c r="I248" s="46">
        <f>SUMIFS(Movimentações!$F$6:$F$4998,Movimentações!$C$6:$C$4998,A248,Movimentações!$M$6:$M$4998,M248)</f>
        <v>2</v>
      </c>
      <c r="J248" s="43" t="s">
        <v>670</v>
      </c>
      <c r="K248" s="43" t="s">
        <v>671</v>
      </c>
      <c r="L248" s="47">
        <v>13</v>
      </c>
      <c r="M248" s="43" t="s">
        <v>984</v>
      </c>
      <c r="N248" s="43" t="str">
        <f t="shared" si="7"/>
        <v>Rua A · Prat 13 · C-48</v>
      </c>
      <c r="P248">
        <f>IF(A248="","",IF(AND(K248&lt;&gt;"",L248&lt;&gt;""),IF(COUNTIFS($K$6:K248,K248,$L$6:L248,L248)=1,1,0),0))</f>
        <v>0</v>
      </c>
      <c r="Q248">
        <f>IF(A248="","",IF(AND(K248&lt;&gt;"",M248&lt;&gt;""),IF(COUNTIFS($K$6:K248,K248,$M$6:M248,M248)=1,1,0),0))</f>
        <v>0</v>
      </c>
      <c r="R248">
        <f>IF(A248="","",IF(M248&lt;&gt;"",IF(COUNTIF($M$6:M248,M248)=1,1,0),0))</f>
        <v>0</v>
      </c>
      <c r="T248" t="str">
        <f>IF(AND($M248&lt;&gt;"",$M248='Mapa do Galpão'!$C$20),COUNTIF($M$6:$M248,'Mapa do Galpão'!$C$20),"")</f>
        <v/>
      </c>
    </row>
    <row r="249" spans="1:20" ht="14.25" hidden="1" customHeight="1" x14ac:dyDescent="0.3">
      <c r="A249" s="43" t="s">
        <v>992</v>
      </c>
      <c r="B249" s="44" t="s">
        <v>665</v>
      </c>
      <c r="C249" s="165" t="s">
        <v>276</v>
      </c>
      <c r="D249" s="45" t="str">
        <f t="shared" si="6"/>
        <v>Feminino</v>
      </c>
      <c r="E249" s="43" t="s">
        <v>666</v>
      </c>
      <c r="F249" s="43" t="s">
        <v>920</v>
      </c>
      <c r="G249" s="43" t="s">
        <v>798</v>
      </c>
      <c r="H249" s="43" t="s">
        <v>669</v>
      </c>
      <c r="I249" s="46">
        <f>SUMIFS(Movimentações!$F$6:$F$4998,Movimentações!$C$6:$C$4998,A249,Movimentações!$M$6:$M$4998,M249)</f>
        <v>3</v>
      </c>
      <c r="J249" s="43" t="s">
        <v>670</v>
      </c>
      <c r="K249" s="43" t="s">
        <v>671</v>
      </c>
      <c r="L249" s="47">
        <v>13</v>
      </c>
      <c r="M249" s="43" t="s">
        <v>984</v>
      </c>
      <c r="N249" s="43" t="str">
        <f t="shared" si="7"/>
        <v>Rua A · Prat 13 · C-48</v>
      </c>
      <c r="P249">
        <f>IF(A249="","",IF(AND(K249&lt;&gt;"",L249&lt;&gt;""),IF(COUNTIFS($K$6:K249,K249,$L$6:L249,L249)=1,1,0),0))</f>
        <v>0</v>
      </c>
      <c r="Q249">
        <f>IF(A249="","",IF(AND(K249&lt;&gt;"",M249&lt;&gt;""),IF(COUNTIFS($K$6:K249,K249,$M$6:M249,M249)=1,1,0),0))</f>
        <v>0</v>
      </c>
      <c r="R249">
        <f>IF(A249="","",IF(M249&lt;&gt;"",IF(COUNTIF($M$6:M249,M249)=1,1,0),0))</f>
        <v>0</v>
      </c>
      <c r="T249" t="str">
        <f>IF(AND($M249&lt;&gt;"",$M249='Mapa do Galpão'!$C$20),COUNTIF($M$6:$M249,'Mapa do Galpão'!$C$20),"")</f>
        <v/>
      </c>
    </row>
    <row r="250" spans="1:20" ht="14.25" hidden="1" customHeight="1" x14ac:dyDescent="0.3">
      <c r="A250" s="43" t="s">
        <v>993</v>
      </c>
      <c r="B250" s="44" t="s">
        <v>665</v>
      </c>
      <c r="C250" s="165" t="s">
        <v>277</v>
      </c>
      <c r="D250" s="45" t="str">
        <f t="shared" si="6"/>
        <v>Feminino</v>
      </c>
      <c r="E250" s="43" t="s">
        <v>666</v>
      </c>
      <c r="F250" s="43" t="s">
        <v>920</v>
      </c>
      <c r="G250" s="43" t="s">
        <v>798</v>
      </c>
      <c r="H250" s="43" t="s">
        <v>682</v>
      </c>
      <c r="I250" s="46">
        <f>SUMIFS(Movimentações!$F$6:$F$4998,Movimentações!$C$6:$C$4998,A250,Movimentações!$M$6:$M$4998,M250)</f>
        <v>2</v>
      </c>
      <c r="J250" s="43" t="s">
        <v>670</v>
      </c>
      <c r="K250" s="43" t="s">
        <v>671</v>
      </c>
      <c r="L250" s="47">
        <v>13</v>
      </c>
      <c r="M250" s="43" t="s">
        <v>984</v>
      </c>
      <c r="N250" s="43" t="str">
        <f t="shared" si="7"/>
        <v>Rua A · Prat 13 · C-48</v>
      </c>
      <c r="P250">
        <f>IF(A250="","",IF(AND(K250&lt;&gt;"",L250&lt;&gt;""),IF(COUNTIFS($K$6:K250,K250,$L$6:L250,L250)=1,1,0),0))</f>
        <v>0</v>
      </c>
      <c r="Q250">
        <f>IF(A250="","",IF(AND(K250&lt;&gt;"",M250&lt;&gt;""),IF(COUNTIFS($K$6:K250,K250,$M$6:M250,M250)=1,1,0),0))</f>
        <v>0</v>
      </c>
      <c r="R250">
        <f>IF(A250="","",IF(M250&lt;&gt;"",IF(COUNTIF($M$6:M250,M250)=1,1,0),0))</f>
        <v>0</v>
      </c>
      <c r="T250" t="str">
        <f>IF(AND($M250&lt;&gt;"",$M250='Mapa do Galpão'!$C$20),COUNTIF($M$6:$M250,'Mapa do Galpão'!$C$20),"")</f>
        <v/>
      </c>
    </row>
    <row r="251" spans="1:20" ht="14.25" hidden="1" customHeight="1" x14ac:dyDescent="0.3">
      <c r="A251" s="43" t="s">
        <v>994</v>
      </c>
      <c r="B251" s="44" t="s">
        <v>665</v>
      </c>
      <c r="C251" s="165" t="s">
        <v>278</v>
      </c>
      <c r="D251" s="45" t="str">
        <f t="shared" si="6"/>
        <v>Feminino</v>
      </c>
      <c r="E251" s="43" t="s">
        <v>666</v>
      </c>
      <c r="F251" s="43" t="s">
        <v>920</v>
      </c>
      <c r="G251" s="43" t="s">
        <v>798</v>
      </c>
      <c r="H251" s="43" t="s">
        <v>677</v>
      </c>
      <c r="I251" s="46">
        <f>SUMIFS(Movimentações!$F$6:$F$4998,Movimentações!$C$6:$C$4998,A251,Movimentações!$M$6:$M$4998,M251)</f>
        <v>2</v>
      </c>
      <c r="J251" s="43" t="s">
        <v>670</v>
      </c>
      <c r="K251" s="43" t="s">
        <v>671</v>
      </c>
      <c r="L251" s="47">
        <v>13</v>
      </c>
      <c r="M251" s="43" t="s">
        <v>984</v>
      </c>
      <c r="N251" s="43" t="str">
        <f t="shared" si="7"/>
        <v>Rua A · Prat 13 · C-48</v>
      </c>
      <c r="P251">
        <f>IF(A251="","",IF(AND(K251&lt;&gt;"",L251&lt;&gt;""),IF(COUNTIFS($K$6:K251,K251,$L$6:L251,L251)=1,1,0),0))</f>
        <v>0</v>
      </c>
      <c r="Q251">
        <f>IF(A251="","",IF(AND(K251&lt;&gt;"",M251&lt;&gt;""),IF(COUNTIFS($K$6:K251,K251,$M$6:M251,M251)=1,1,0),0))</f>
        <v>0</v>
      </c>
      <c r="R251">
        <f>IF(A251="","",IF(M251&lt;&gt;"",IF(COUNTIF($M$6:M251,M251)=1,1,0),0))</f>
        <v>0</v>
      </c>
      <c r="T251" t="str">
        <f>IF(AND($M251&lt;&gt;"",$M251='Mapa do Galpão'!$C$20),COUNTIF($M$6:$M251,'Mapa do Galpão'!$C$20),"")</f>
        <v/>
      </c>
    </row>
    <row r="252" spans="1:20" ht="14.25" hidden="1" customHeight="1" x14ac:dyDescent="0.3">
      <c r="A252" s="43" t="s">
        <v>995</v>
      </c>
      <c r="B252" s="44" t="s">
        <v>665</v>
      </c>
      <c r="C252" s="165" t="s">
        <v>279</v>
      </c>
      <c r="D252" s="45" t="str">
        <f t="shared" si="6"/>
        <v>Feminino</v>
      </c>
      <c r="E252" s="43" t="s">
        <v>666</v>
      </c>
      <c r="F252" s="43" t="s">
        <v>822</v>
      </c>
      <c r="G252" s="43" t="s">
        <v>996</v>
      </c>
      <c r="H252" s="43" t="s">
        <v>756</v>
      </c>
      <c r="I252" s="46">
        <f>SUMIFS(Movimentações!$F$6:$F$4998,Movimentações!$C$6:$C$4998,A252,Movimentações!$M$6:$M$4998,M252)</f>
        <v>1</v>
      </c>
      <c r="J252" s="43" t="s">
        <v>670</v>
      </c>
      <c r="K252" s="43" t="s">
        <v>671</v>
      </c>
      <c r="L252" s="47">
        <v>13</v>
      </c>
      <c r="M252" s="43" t="s">
        <v>984</v>
      </c>
      <c r="N252" s="43" t="str">
        <f t="shared" si="7"/>
        <v>Rua A · Prat 13 · C-48</v>
      </c>
      <c r="P252">
        <f>IF(A252="","",IF(AND(K252&lt;&gt;"",L252&lt;&gt;""),IF(COUNTIFS($K$6:K252,K252,$L$6:L252,L252)=1,1,0),0))</f>
        <v>0</v>
      </c>
      <c r="Q252">
        <f>IF(A252="","",IF(AND(K252&lt;&gt;"",M252&lt;&gt;""),IF(COUNTIFS($K$6:K252,K252,$M$6:M252,M252)=1,1,0),0))</f>
        <v>0</v>
      </c>
      <c r="R252">
        <f>IF(A252="","",IF(M252&lt;&gt;"",IF(COUNTIF($M$6:M252,M252)=1,1,0),0))</f>
        <v>0</v>
      </c>
      <c r="T252" t="str">
        <f>IF(AND($M252&lt;&gt;"",$M252='Mapa do Galpão'!$C$20),COUNTIF($M$6:$M252,'Mapa do Galpão'!$C$20),"")</f>
        <v/>
      </c>
    </row>
    <row r="253" spans="1:20" ht="14.25" hidden="1" customHeight="1" x14ac:dyDescent="0.3">
      <c r="A253" s="43" t="s">
        <v>995</v>
      </c>
      <c r="B253" s="44" t="s">
        <v>665</v>
      </c>
      <c r="C253" s="165" t="s">
        <v>279</v>
      </c>
      <c r="D253" s="45" t="str">
        <f t="shared" si="6"/>
        <v>Feminino</v>
      </c>
      <c r="E253" s="43" t="s">
        <v>666</v>
      </c>
      <c r="F253" s="43" t="s">
        <v>822</v>
      </c>
      <c r="G253" s="43" t="s">
        <v>996</v>
      </c>
      <c r="H253" s="43" t="s">
        <v>756</v>
      </c>
      <c r="I253" s="46">
        <f>SUMIFS(Movimentações!$F$6:$F$4998,Movimentações!$C$6:$C$4998,A253,Movimentações!$M$6:$M$4998,M253)</f>
        <v>3</v>
      </c>
      <c r="J253" s="43" t="s">
        <v>670</v>
      </c>
      <c r="K253" s="43" t="s">
        <v>671</v>
      </c>
      <c r="L253" s="47">
        <v>10</v>
      </c>
      <c r="M253" s="43" t="s">
        <v>997</v>
      </c>
      <c r="N253" s="43" t="str">
        <f t="shared" si="7"/>
        <v>Rua A · Prat 10 · C-58</v>
      </c>
      <c r="P253">
        <f>IF(A253="","",IF(AND(K253&lt;&gt;"",L253&lt;&gt;""),IF(COUNTIFS($K$6:K253,K253,$L$6:L253,L253)=1,1,0),0))</f>
        <v>1</v>
      </c>
      <c r="Q253">
        <f>IF(A253="","",IF(AND(K253&lt;&gt;"",M253&lt;&gt;""),IF(COUNTIFS($K$6:K253,K253,$M$6:M253,M253)=1,1,0),0))</f>
        <v>1</v>
      </c>
      <c r="R253">
        <f>IF(A253="","",IF(M253&lt;&gt;"",IF(COUNTIF($M$6:M253,M253)=1,1,0),0))</f>
        <v>1</v>
      </c>
      <c r="T253" t="str">
        <f>IF(AND($M253&lt;&gt;"",$M253='Mapa do Galpão'!$C$20),COUNTIF($M$6:$M253,'Mapa do Galpão'!$C$20),"")</f>
        <v/>
      </c>
    </row>
    <row r="254" spans="1:20" ht="14.25" hidden="1" customHeight="1" x14ac:dyDescent="0.3">
      <c r="A254" s="43" t="s">
        <v>998</v>
      </c>
      <c r="B254" s="44" t="s">
        <v>665</v>
      </c>
      <c r="C254" s="165" t="s">
        <v>280</v>
      </c>
      <c r="D254" s="45" t="str">
        <f t="shared" si="6"/>
        <v>Feminino</v>
      </c>
      <c r="E254" s="43" t="s">
        <v>666</v>
      </c>
      <c r="F254" s="43" t="s">
        <v>822</v>
      </c>
      <c r="G254" s="43" t="s">
        <v>996</v>
      </c>
      <c r="H254" s="43" t="s">
        <v>680</v>
      </c>
      <c r="I254" s="46">
        <f>SUMIFS(Movimentações!$F$6:$F$4998,Movimentações!$C$6:$C$4998,A254,Movimentações!$M$6:$M$4998,M254)</f>
        <v>1</v>
      </c>
      <c r="J254" s="43" t="s">
        <v>670</v>
      </c>
      <c r="K254" s="43" t="s">
        <v>671</v>
      </c>
      <c r="L254" s="47">
        <v>13</v>
      </c>
      <c r="M254" s="43" t="s">
        <v>984</v>
      </c>
      <c r="N254" s="43" t="str">
        <f t="shared" si="7"/>
        <v>Rua A · Prat 13 · C-48</v>
      </c>
      <c r="P254">
        <f>IF(A254="","",IF(AND(K254&lt;&gt;"",L254&lt;&gt;""),IF(COUNTIFS($K$6:K254,K254,$L$6:L254,L254)=1,1,0),0))</f>
        <v>0</v>
      </c>
      <c r="Q254">
        <f>IF(A254="","",IF(AND(K254&lt;&gt;"",M254&lt;&gt;""),IF(COUNTIFS($K$6:K254,K254,$M$6:M254,M254)=1,1,0),0))</f>
        <v>0</v>
      </c>
      <c r="R254">
        <f>IF(A254="","",IF(M254&lt;&gt;"",IF(COUNTIF($M$6:M254,M254)=1,1,0),0))</f>
        <v>0</v>
      </c>
      <c r="T254" t="str">
        <f>IF(AND($M254&lt;&gt;"",$M254='Mapa do Galpão'!$C$20),COUNTIF($M$6:$M254,'Mapa do Galpão'!$C$20),"")</f>
        <v/>
      </c>
    </row>
    <row r="255" spans="1:20" ht="14.25" hidden="1" customHeight="1" x14ac:dyDescent="0.3">
      <c r="A255" s="43" t="s">
        <v>998</v>
      </c>
      <c r="B255" s="44" t="s">
        <v>665</v>
      </c>
      <c r="C255" s="165" t="s">
        <v>280</v>
      </c>
      <c r="D255" s="45" t="str">
        <f t="shared" si="6"/>
        <v>Feminino</v>
      </c>
      <c r="E255" s="43" t="s">
        <v>666</v>
      </c>
      <c r="F255" s="43" t="s">
        <v>822</v>
      </c>
      <c r="G255" s="43" t="s">
        <v>996</v>
      </c>
      <c r="H255" s="43" t="s">
        <v>680</v>
      </c>
      <c r="I255" s="46">
        <f>SUMIFS(Movimentações!$F$6:$F$4998,Movimentações!$C$6:$C$4998,A255,Movimentações!$M$6:$M$4998,M255)</f>
        <v>7</v>
      </c>
      <c r="J255" s="43" t="s">
        <v>670</v>
      </c>
      <c r="K255" s="43" t="s">
        <v>671</v>
      </c>
      <c r="L255" s="47">
        <v>10</v>
      </c>
      <c r="M255" s="43" t="s">
        <v>997</v>
      </c>
      <c r="N255" s="43" t="str">
        <f t="shared" si="7"/>
        <v>Rua A · Prat 10 · C-58</v>
      </c>
      <c r="P255">
        <f>IF(A255="","",IF(AND(K255&lt;&gt;"",L255&lt;&gt;""),IF(COUNTIFS($K$6:K255,K255,$L$6:L255,L255)=1,1,0),0))</f>
        <v>0</v>
      </c>
      <c r="Q255">
        <f>IF(A255="","",IF(AND(K255&lt;&gt;"",M255&lt;&gt;""),IF(COUNTIFS($K$6:K255,K255,$M$6:M255,M255)=1,1,0),0))</f>
        <v>0</v>
      </c>
      <c r="R255">
        <f>IF(A255="","",IF(M255&lt;&gt;"",IF(COUNTIF($M$6:M255,M255)=1,1,0),0))</f>
        <v>0</v>
      </c>
      <c r="T255" t="str">
        <f>IF(AND($M255&lt;&gt;"",$M255='Mapa do Galpão'!$C$20),COUNTIF($M$6:$M255,'Mapa do Galpão'!$C$20),"")</f>
        <v/>
      </c>
    </row>
    <row r="256" spans="1:20" ht="14.25" hidden="1" customHeight="1" x14ac:dyDescent="0.3">
      <c r="A256" s="43" t="s">
        <v>999</v>
      </c>
      <c r="B256" s="44" t="s">
        <v>665</v>
      </c>
      <c r="C256" s="165" t="s">
        <v>281</v>
      </c>
      <c r="D256" s="45" t="str">
        <f t="shared" si="6"/>
        <v>Feminino</v>
      </c>
      <c r="E256" s="43" t="s">
        <v>666</v>
      </c>
      <c r="F256" s="43" t="s">
        <v>822</v>
      </c>
      <c r="G256" s="43" t="s">
        <v>996</v>
      </c>
      <c r="H256" s="43" t="s">
        <v>675</v>
      </c>
      <c r="I256" s="46">
        <f>SUMIFS(Movimentações!$F$6:$F$4998,Movimentações!$C$6:$C$4998,A256,Movimentações!$M$6:$M$4998,M256)</f>
        <v>1</v>
      </c>
      <c r="J256" s="43" t="s">
        <v>670</v>
      </c>
      <c r="K256" s="43" t="s">
        <v>671</v>
      </c>
      <c r="L256" s="47">
        <v>13</v>
      </c>
      <c r="M256" s="43" t="s">
        <v>984</v>
      </c>
      <c r="N256" s="43" t="str">
        <f t="shared" si="7"/>
        <v>Rua A · Prat 13 · C-48</v>
      </c>
      <c r="P256">
        <f>IF(A256="","",IF(AND(K256&lt;&gt;"",L256&lt;&gt;""),IF(COUNTIFS($K$6:K256,K256,$L$6:L256,L256)=1,1,0),0))</f>
        <v>0</v>
      </c>
      <c r="Q256">
        <f>IF(A256="","",IF(AND(K256&lt;&gt;"",M256&lt;&gt;""),IF(COUNTIFS($K$6:K256,K256,$M$6:M256,M256)=1,1,0),0))</f>
        <v>0</v>
      </c>
      <c r="R256">
        <f>IF(A256="","",IF(M256&lt;&gt;"",IF(COUNTIF($M$6:M256,M256)=1,1,0),0))</f>
        <v>0</v>
      </c>
      <c r="T256" t="str">
        <f>IF(AND($M256&lt;&gt;"",$M256='Mapa do Galpão'!$C$20),COUNTIF($M$6:$M256,'Mapa do Galpão'!$C$20),"")</f>
        <v/>
      </c>
    </row>
    <row r="257" spans="1:20" ht="14.25" hidden="1" customHeight="1" x14ac:dyDescent="0.3">
      <c r="A257" s="43" t="s">
        <v>999</v>
      </c>
      <c r="B257" s="44" t="s">
        <v>665</v>
      </c>
      <c r="C257" s="165" t="s">
        <v>281</v>
      </c>
      <c r="D257" s="45" t="str">
        <f t="shared" si="6"/>
        <v>Feminino</v>
      </c>
      <c r="E257" s="43" t="s">
        <v>666</v>
      </c>
      <c r="F257" s="43" t="s">
        <v>822</v>
      </c>
      <c r="G257" s="43" t="s">
        <v>996</v>
      </c>
      <c r="H257" s="43" t="s">
        <v>675</v>
      </c>
      <c r="I257" s="46">
        <f>SUMIFS(Movimentações!$F$6:$F$4998,Movimentações!$C$6:$C$4998,A257,Movimentações!$M$6:$M$4998,M257)</f>
        <v>8</v>
      </c>
      <c r="J257" s="43" t="s">
        <v>670</v>
      </c>
      <c r="K257" s="43" t="s">
        <v>671</v>
      </c>
      <c r="L257" s="47">
        <v>10</v>
      </c>
      <c r="M257" s="43" t="s">
        <v>997</v>
      </c>
      <c r="N257" s="43" t="str">
        <f t="shared" si="7"/>
        <v>Rua A · Prat 10 · C-58</v>
      </c>
      <c r="P257">
        <f>IF(A257="","",IF(AND(K257&lt;&gt;"",L257&lt;&gt;""),IF(COUNTIFS($K$6:K257,K257,$L$6:L257,L257)=1,1,0),0))</f>
        <v>0</v>
      </c>
      <c r="Q257">
        <f>IF(A257="","",IF(AND(K257&lt;&gt;"",M257&lt;&gt;""),IF(COUNTIFS($K$6:K257,K257,$M$6:M257,M257)=1,1,0),0))</f>
        <v>0</v>
      </c>
      <c r="R257">
        <f>IF(A257="","",IF(M257&lt;&gt;"",IF(COUNTIF($M$6:M257,M257)=1,1,0),0))</f>
        <v>0</v>
      </c>
      <c r="T257" t="str">
        <f>IF(AND($M257&lt;&gt;"",$M257='Mapa do Galpão'!$C$20),COUNTIF($M$6:$M257,'Mapa do Galpão'!$C$20),"")</f>
        <v/>
      </c>
    </row>
    <row r="258" spans="1:20" ht="14.25" hidden="1" customHeight="1" x14ac:dyDescent="0.3">
      <c r="A258" s="43" t="s">
        <v>1000</v>
      </c>
      <c r="B258" s="44" t="s">
        <v>665</v>
      </c>
      <c r="C258" s="165" t="s">
        <v>282</v>
      </c>
      <c r="D258" s="45" t="str">
        <f t="shared" si="6"/>
        <v>Feminino</v>
      </c>
      <c r="E258" s="43" t="s">
        <v>666</v>
      </c>
      <c r="F258" s="43" t="s">
        <v>822</v>
      </c>
      <c r="G258" s="43" t="s">
        <v>996</v>
      </c>
      <c r="H258" s="43" t="s">
        <v>669</v>
      </c>
      <c r="I258" s="46">
        <f>SUMIFS(Movimentações!$F$6:$F$4998,Movimentações!$C$6:$C$4998,A258,Movimentações!$M$6:$M$4998,M258)</f>
        <v>1</v>
      </c>
      <c r="J258" s="43" t="s">
        <v>670</v>
      </c>
      <c r="K258" s="43" t="s">
        <v>671</v>
      </c>
      <c r="L258" s="47">
        <v>13</v>
      </c>
      <c r="M258" s="43" t="s">
        <v>984</v>
      </c>
      <c r="N258" s="43" t="str">
        <f t="shared" si="7"/>
        <v>Rua A · Prat 13 · C-48</v>
      </c>
      <c r="P258">
        <f>IF(A258="","",IF(AND(K258&lt;&gt;"",L258&lt;&gt;""),IF(COUNTIFS($K$6:K258,K258,$L$6:L258,L258)=1,1,0),0))</f>
        <v>0</v>
      </c>
      <c r="Q258">
        <f>IF(A258="","",IF(AND(K258&lt;&gt;"",M258&lt;&gt;""),IF(COUNTIFS($K$6:K258,K258,$M$6:M258,M258)=1,1,0),0))</f>
        <v>0</v>
      </c>
      <c r="R258">
        <f>IF(A258="","",IF(M258&lt;&gt;"",IF(COUNTIF($M$6:M258,M258)=1,1,0),0))</f>
        <v>0</v>
      </c>
      <c r="T258" t="str">
        <f>IF(AND($M258&lt;&gt;"",$M258='Mapa do Galpão'!$C$20),COUNTIF($M$6:$M258,'Mapa do Galpão'!$C$20),"")</f>
        <v/>
      </c>
    </row>
    <row r="259" spans="1:20" ht="14.25" hidden="1" customHeight="1" x14ac:dyDescent="0.3">
      <c r="A259" s="43" t="s">
        <v>1000</v>
      </c>
      <c r="B259" s="44" t="s">
        <v>665</v>
      </c>
      <c r="C259" s="165" t="s">
        <v>282</v>
      </c>
      <c r="D259" s="45" t="str">
        <f t="shared" si="6"/>
        <v>Feminino</v>
      </c>
      <c r="E259" s="43" t="s">
        <v>666</v>
      </c>
      <c r="F259" s="43" t="s">
        <v>822</v>
      </c>
      <c r="G259" s="43" t="s">
        <v>996</v>
      </c>
      <c r="H259" s="43" t="s">
        <v>669</v>
      </c>
      <c r="I259" s="46">
        <f>SUMIFS(Movimentações!$F$6:$F$4998,Movimentações!$C$6:$C$4998,A259,Movimentações!$M$6:$M$4998,M259)</f>
        <v>9</v>
      </c>
      <c r="J259" s="43" t="s">
        <v>670</v>
      </c>
      <c r="K259" s="43" t="s">
        <v>671</v>
      </c>
      <c r="L259" s="47">
        <v>10</v>
      </c>
      <c r="M259" s="43" t="s">
        <v>997</v>
      </c>
      <c r="N259" s="43" t="str">
        <f t="shared" si="7"/>
        <v>Rua A · Prat 10 · C-58</v>
      </c>
      <c r="P259">
        <f>IF(A259="","",IF(AND(K259&lt;&gt;"",L259&lt;&gt;""),IF(COUNTIFS($K$6:K259,K259,$L$6:L259,L259)=1,1,0),0))</f>
        <v>0</v>
      </c>
      <c r="Q259">
        <f>IF(A259="","",IF(AND(K259&lt;&gt;"",M259&lt;&gt;""),IF(COUNTIFS($K$6:K259,K259,$M$6:M259,M259)=1,1,0),0))</f>
        <v>0</v>
      </c>
      <c r="R259">
        <f>IF(A259="","",IF(M259&lt;&gt;"",IF(COUNTIF($M$6:M259,M259)=1,1,0),0))</f>
        <v>0</v>
      </c>
      <c r="T259" t="str">
        <f>IF(AND($M259&lt;&gt;"",$M259='Mapa do Galpão'!$C$20),COUNTIF($M$6:$M259,'Mapa do Galpão'!$C$20),"")</f>
        <v/>
      </c>
    </row>
    <row r="260" spans="1:20" ht="14.25" hidden="1" customHeight="1" x14ac:dyDescent="0.3">
      <c r="A260" s="43" t="s">
        <v>1001</v>
      </c>
      <c r="B260" s="44" t="s">
        <v>665</v>
      </c>
      <c r="C260" s="165" t="s">
        <v>283</v>
      </c>
      <c r="D260" s="45" t="str">
        <f t="shared" si="6"/>
        <v>Feminino</v>
      </c>
      <c r="E260" s="43" t="s">
        <v>666</v>
      </c>
      <c r="F260" s="43" t="s">
        <v>822</v>
      </c>
      <c r="G260" s="43" t="s">
        <v>996</v>
      </c>
      <c r="H260" s="43" t="s">
        <v>682</v>
      </c>
      <c r="I260" s="46">
        <f>SUMIFS(Movimentações!$F$6:$F$4998,Movimentações!$C$6:$C$4998,A260,Movimentações!$M$6:$M$4998,M260)</f>
        <v>1</v>
      </c>
      <c r="J260" s="43" t="s">
        <v>670</v>
      </c>
      <c r="K260" s="43" t="s">
        <v>671</v>
      </c>
      <c r="L260" s="47">
        <v>13</v>
      </c>
      <c r="M260" s="43" t="s">
        <v>984</v>
      </c>
      <c r="N260" s="43" t="str">
        <f t="shared" si="7"/>
        <v>Rua A · Prat 13 · C-48</v>
      </c>
      <c r="P260">
        <f>IF(A260="","",IF(AND(K260&lt;&gt;"",L260&lt;&gt;""),IF(COUNTIFS($K$6:K260,K260,$L$6:L260,L260)=1,1,0),0))</f>
        <v>0</v>
      </c>
      <c r="Q260">
        <f>IF(A260="","",IF(AND(K260&lt;&gt;"",M260&lt;&gt;""),IF(COUNTIFS($K$6:K260,K260,$M$6:M260,M260)=1,1,0),0))</f>
        <v>0</v>
      </c>
      <c r="R260">
        <f>IF(A260="","",IF(M260&lt;&gt;"",IF(COUNTIF($M$6:M260,M260)=1,1,0),0))</f>
        <v>0</v>
      </c>
      <c r="T260" t="str">
        <f>IF(AND($M260&lt;&gt;"",$M260='Mapa do Galpão'!$C$20),COUNTIF($M$6:$M260,'Mapa do Galpão'!$C$20),"")</f>
        <v/>
      </c>
    </row>
    <row r="261" spans="1:20" ht="14.25" hidden="1" customHeight="1" x14ac:dyDescent="0.3">
      <c r="A261" s="43" t="s">
        <v>1001</v>
      </c>
      <c r="B261" s="44" t="s">
        <v>665</v>
      </c>
      <c r="C261" s="165" t="s">
        <v>283</v>
      </c>
      <c r="D261" s="45" t="str">
        <f t="shared" si="6"/>
        <v>Feminino</v>
      </c>
      <c r="E261" s="43" t="s">
        <v>666</v>
      </c>
      <c r="F261" s="43" t="s">
        <v>822</v>
      </c>
      <c r="G261" s="43" t="s">
        <v>996</v>
      </c>
      <c r="H261" s="43" t="s">
        <v>682</v>
      </c>
      <c r="I261" s="46">
        <f>SUMIFS(Movimentações!$F$6:$F$4998,Movimentações!$C$6:$C$4998,A261,Movimentações!$M$6:$M$4998,M261)</f>
        <v>5</v>
      </c>
      <c r="J261" s="43" t="s">
        <v>670</v>
      </c>
      <c r="K261" s="43" t="s">
        <v>671</v>
      </c>
      <c r="L261" s="47">
        <v>10</v>
      </c>
      <c r="M261" s="43" t="s">
        <v>997</v>
      </c>
      <c r="N261" s="43" t="str">
        <f t="shared" si="7"/>
        <v>Rua A · Prat 10 · C-58</v>
      </c>
      <c r="P261">
        <f>IF(A261="","",IF(AND(K261&lt;&gt;"",L261&lt;&gt;""),IF(COUNTIFS($K$6:K261,K261,$L$6:L261,L261)=1,1,0),0))</f>
        <v>0</v>
      </c>
      <c r="Q261">
        <f>IF(A261="","",IF(AND(K261&lt;&gt;"",M261&lt;&gt;""),IF(COUNTIFS($K$6:K261,K261,$M$6:M261,M261)=1,1,0),0))</f>
        <v>0</v>
      </c>
      <c r="R261">
        <f>IF(A261="","",IF(M261&lt;&gt;"",IF(COUNTIF($M$6:M261,M261)=1,1,0),0))</f>
        <v>0</v>
      </c>
      <c r="T261" t="str">
        <f>IF(AND($M261&lt;&gt;"",$M261='Mapa do Galpão'!$C$20),COUNTIF($M$6:$M261,'Mapa do Galpão'!$C$20),"")</f>
        <v/>
      </c>
    </row>
    <row r="262" spans="1:20" ht="14.25" hidden="1" customHeight="1" x14ac:dyDescent="0.3">
      <c r="A262" s="43" t="s">
        <v>1002</v>
      </c>
      <c r="B262" s="44" t="s">
        <v>665</v>
      </c>
      <c r="C262" s="165" t="s">
        <v>284</v>
      </c>
      <c r="D262" s="45" t="str">
        <f t="shared" ref="D262:D325" si="8">IF(C262="","",IFERROR(IF(TRIM(MID(SUBSTITUTE(C262,".",REPT(" ",50)),51,50))="01","Masculino",IF(TRIM(MID(SUBSTITUTE(C262,".",REPT(" ",50)),51,50))="02","Feminino",IF(TRIM(MID(SUBSTITUTE(C262,".",REPT(" ",50)),51,50))="03","Outros","—"))),"—"))</f>
        <v>Feminino</v>
      </c>
      <c r="E262" s="43" t="s">
        <v>666</v>
      </c>
      <c r="F262" s="43" t="s">
        <v>822</v>
      </c>
      <c r="G262" s="43" t="s">
        <v>996</v>
      </c>
      <c r="H262" s="43" t="s">
        <v>677</v>
      </c>
      <c r="I262" s="46">
        <f>SUMIFS(Movimentações!$F$6:$F$4998,Movimentações!$C$6:$C$4998,A262,Movimentações!$M$6:$M$4998,M262)</f>
        <v>1</v>
      </c>
      <c r="J262" s="43" t="s">
        <v>670</v>
      </c>
      <c r="K262" s="43" t="s">
        <v>671</v>
      </c>
      <c r="L262" s="47">
        <v>13</v>
      </c>
      <c r="M262" s="43" t="s">
        <v>984</v>
      </c>
      <c r="N262" s="43" t="str">
        <f t="shared" ref="N262:N325" si="9">IF(AND(K262="",L262="",M262=""),"⚠ sem endereço","Rua "&amp;K262&amp;IF(L262="",""," · Prat "&amp;L262)&amp;IF(M262="",""," · "&amp;M262))</f>
        <v>Rua A · Prat 13 · C-48</v>
      </c>
      <c r="P262">
        <f>IF(A262="","",IF(AND(K262&lt;&gt;"",L262&lt;&gt;""),IF(COUNTIFS($K$6:K262,K262,$L$6:L262,L262)=1,1,0),0))</f>
        <v>0</v>
      </c>
      <c r="Q262">
        <f>IF(A262="","",IF(AND(K262&lt;&gt;"",M262&lt;&gt;""),IF(COUNTIFS($K$6:K262,K262,$M$6:M262,M262)=1,1,0),0))</f>
        <v>0</v>
      </c>
      <c r="R262">
        <f>IF(A262="","",IF(M262&lt;&gt;"",IF(COUNTIF($M$6:M262,M262)=1,1,0),0))</f>
        <v>0</v>
      </c>
      <c r="T262" t="str">
        <f>IF(AND($M262&lt;&gt;"",$M262='Mapa do Galpão'!$C$20),COUNTIF($M$6:$M262,'Mapa do Galpão'!$C$20),"")</f>
        <v/>
      </c>
    </row>
    <row r="263" spans="1:20" ht="14.25" hidden="1" customHeight="1" x14ac:dyDescent="0.3">
      <c r="A263" s="43" t="s">
        <v>1002</v>
      </c>
      <c r="B263" s="44" t="s">
        <v>665</v>
      </c>
      <c r="C263" s="165" t="s">
        <v>284</v>
      </c>
      <c r="D263" s="45" t="str">
        <f t="shared" si="8"/>
        <v>Feminino</v>
      </c>
      <c r="E263" s="43" t="s">
        <v>666</v>
      </c>
      <c r="F263" s="43" t="s">
        <v>822</v>
      </c>
      <c r="G263" s="43" t="s">
        <v>996</v>
      </c>
      <c r="H263" s="43" t="s">
        <v>677</v>
      </c>
      <c r="I263" s="46">
        <f>SUMIFS(Movimentações!$F$6:$F$4998,Movimentações!$C$6:$C$4998,A263,Movimentações!$M$6:$M$4998,M263)</f>
        <v>6</v>
      </c>
      <c r="J263" s="43" t="s">
        <v>670</v>
      </c>
      <c r="K263" s="43" t="s">
        <v>671</v>
      </c>
      <c r="L263" s="47">
        <v>10</v>
      </c>
      <c r="M263" s="43" t="s">
        <v>997</v>
      </c>
      <c r="N263" s="43" t="str">
        <f t="shared" si="9"/>
        <v>Rua A · Prat 10 · C-58</v>
      </c>
      <c r="P263">
        <f>IF(A263="","",IF(AND(K263&lt;&gt;"",L263&lt;&gt;""),IF(COUNTIFS($K$6:K263,K263,$L$6:L263,L263)=1,1,0),0))</f>
        <v>0</v>
      </c>
      <c r="Q263">
        <f>IF(A263="","",IF(AND(K263&lt;&gt;"",M263&lt;&gt;""),IF(COUNTIFS($K$6:K263,K263,$M$6:M263,M263)=1,1,0),0))</f>
        <v>0</v>
      </c>
      <c r="R263">
        <f>IF(A263="","",IF(M263&lt;&gt;"",IF(COUNTIF($M$6:M263,M263)=1,1,0),0))</f>
        <v>0</v>
      </c>
      <c r="T263" t="str">
        <f>IF(AND($M263&lt;&gt;"",$M263='Mapa do Galpão'!$C$20),COUNTIF($M$6:$M263,'Mapa do Galpão'!$C$20),"")</f>
        <v/>
      </c>
    </row>
    <row r="264" spans="1:20" ht="14.25" hidden="1" customHeight="1" x14ac:dyDescent="0.3">
      <c r="A264" s="43" t="s">
        <v>1003</v>
      </c>
      <c r="B264" s="44" t="s">
        <v>665</v>
      </c>
      <c r="C264" s="165" t="s">
        <v>285</v>
      </c>
      <c r="D264" s="45" t="str">
        <f t="shared" si="8"/>
        <v>Feminino</v>
      </c>
      <c r="E264" s="43" t="s">
        <v>666</v>
      </c>
      <c r="F264" s="43" t="s">
        <v>1004</v>
      </c>
      <c r="G264" s="43" t="s">
        <v>956</v>
      </c>
      <c r="H264" s="43" t="s">
        <v>680</v>
      </c>
      <c r="I264" s="46">
        <f>SUMIFS(Movimentações!$F$6:$F$4998,Movimentações!$C$6:$C$4998,A264,Movimentações!$M$6:$M$4998,M264)</f>
        <v>1</v>
      </c>
      <c r="J264" s="43" t="s">
        <v>670</v>
      </c>
      <c r="K264" s="43" t="s">
        <v>671</v>
      </c>
      <c r="L264" s="47">
        <v>13</v>
      </c>
      <c r="M264" s="43" t="s">
        <v>984</v>
      </c>
      <c r="N264" s="43" t="str">
        <f t="shared" si="9"/>
        <v>Rua A · Prat 13 · C-48</v>
      </c>
      <c r="P264">
        <f>IF(A264="","",IF(AND(K264&lt;&gt;"",L264&lt;&gt;""),IF(COUNTIFS($K$6:K264,K264,$L$6:L264,L264)=1,1,0),0))</f>
        <v>0</v>
      </c>
      <c r="Q264">
        <f>IF(A264="","",IF(AND(K264&lt;&gt;"",M264&lt;&gt;""),IF(COUNTIFS($K$6:K264,K264,$M$6:M264,M264)=1,1,0),0))</f>
        <v>0</v>
      </c>
      <c r="R264">
        <f>IF(A264="","",IF(M264&lt;&gt;"",IF(COUNTIF($M$6:M264,M264)=1,1,0),0))</f>
        <v>0</v>
      </c>
      <c r="T264" t="str">
        <f>IF(AND($M264&lt;&gt;"",$M264='Mapa do Galpão'!$C$20),COUNTIF($M$6:$M264,'Mapa do Galpão'!$C$20),"")</f>
        <v/>
      </c>
    </row>
    <row r="265" spans="1:20" ht="14.25" hidden="1" customHeight="1" x14ac:dyDescent="0.3">
      <c r="A265" s="43" t="s">
        <v>1003</v>
      </c>
      <c r="B265" s="44" t="s">
        <v>665</v>
      </c>
      <c r="C265" s="165" t="s">
        <v>285</v>
      </c>
      <c r="D265" s="45" t="str">
        <f t="shared" si="8"/>
        <v>Feminino</v>
      </c>
      <c r="E265" s="43" t="s">
        <v>666</v>
      </c>
      <c r="F265" s="43" t="s">
        <v>1004</v>
      </c>
      <c r="G265" s="43" t="s">
        <v>956</v>
      </c>
      <c r="H265" s="43" t="s">
        <v>680</v>
      </c>
      <c r="I265" s="46">
        <f>SUMIFS(Movimentações!$F$6:$F$4998,Movimentações!$C$6:$C$4998,A265,Movimentações!$M$6:$M$4998,M265)</f>
        <v>11</v>
      </c>
      <c r="J265" s="43" t="s">
        <v>670</v>
      </c>
      <c r="K265" s="43" t="s">
        <v>671</v>
      </c>
      <c r="L265" s="47">
        <v>10</v>
      </c>
      <c r="M265" s="43" t="s">
        <v>1005</v>
      </c>
      <c r="N265" s="43" t="str">
        <f t="shared" si="9"/>
        <v>Rua A · Prat 10 · PALLET</v>
      </c>
      <c r="P265">
        <f>IF(A265="","",IF(AND(K265&lt;&gt;"",L265&lt;&gt;""),IF(COUNTIFS($K$6:K265,K265,$L$6:L265,L265)=1,1,0),0))</f>
        <v>0</v>
      </c>
      <c r="Q265">
        <f>IF(A265="","",IF(AND(K265&lt;&gt;"",M265&lt;&gt;""),IF(COUNTIFS($K$6:K265,K265,$M$6:M265,M265)=1,1,0),0))</f>
        <v>1</v>
      </c>
      <c r="R265">
        <f>IF(A265="","",IF(M265&lt;&gt;"",IF(COUNTIF($M$6:M265,M265)=1,1,0),0))</f>
        <v>1</v>
      </c>
      <c r="T265" t="str">
        <f>IF(AND($M265&lt;&gt;"",$M265='Mapa do Galpão'!$C$20),COUNTIF($M$6:$M265,'Mapa do Galpão'!$C$20),"")</f>
        <v/>
      </c>
    </row>
    <row r="266" spans="1:20" ht="14.25" hidden="1" customHeight="1" x14ac:dyDescent="0.3">
      <c r="A266" s="43" t="s">
        <v>1006</v>
      </c>
      <c r="B266" s="44" t="s">
        <v>665</v>
      </c>
      <c r="C266" s="165" t="s">
        <v>286</v>
      </c>
      <c r="D266" s="45" t="str">
        <f t="shared" si="8"/>
        <v>Feminino</v>
      </c>
      <c r="E266" s="43" t="s">
        <v>666</v>
      </c>
      <c r="F266" s="43" t="s">
        <v>1004</v>
      </c>
      <c r="G266" s="43" t="s">
        <v>956</v>
      </c>
      <c r="H266" s="43" t="s">
        <v>669</v>
      </c>
      <c r="I266" s="46">
        <f>SUMIFS(Movimentações!$F$6:$F$4998,Movimentações!$C$6:$C$4998,A266,Movimentações!$M$6:$M$4998,M266)</f>
        <v>1</v>
      </c>
      <c r="J266" s="43" t="s">
        <v>670</v>
      </c>
      <c r="K266" s="43" t="s">
        <v>671</v>
      </c>
      <c r="L266" s="47">
        <v>13</v>
      </c>
      <c r="M266" s="43" t="s">
        <v>984</v>
      </c>
      <c r="N266" s="43" t="str">
        <f t="shared" si="9"/>
        <v>Rua A · Prat 13 · C-48</v>
      </c>
      <c r="P266">
        <f>IF(A266="","",IF(AND(K266&lt;&gt;"",L266&lt;&gt;""),IF(COUNTIFS($K$6:K266,K266,$L$6:L266,L266)=1,1,0),0))</f>
        <v>0</v>
      </c>
      <c r="Q266">
        <f>IF(A266="","",IF(AND(K266&lt;&gt;"",M266&lt;&gt;""),IF(COUNTIFS($K$6:K266,K266,$M$6:M266,M266)=1,1,0),0))</f>
        <v>0</v>
      </c>
      <c r="R266">
        <f>IF(A266="","",IF(M266&lt;&gt;"",IF(COUNTIF($M$6:M266,M266)=1,1,0),0))</f>
        <v>0</v>
      </c>
      <c r="T266" t="str">
        <f>IF(AND($M266&lt;&gt;"",$M266='Mapa do Galpão'!$C$20),COUNTIF($M$6:$M266,'Mapa do Galpão'!$C$20),"")</f>
        <v/>
      </c>
    </row>
    <row r="267" spans="1:20" ht="14.25" hidden="1" customHeight="1" x14ac:dyDescent="0.3">
      <c r="A267" s="43" t="s">
        <v>1006</v>
      </c>
      <c r="B267" s="44" t="s">
        <v>665</v>
      </c>
      <c r="C267" s="165" t="s">
        <v>286</v>
      </c>
      <c r="D267" s="45" t="str">
        <f t="shared" si="8"/>
        <v>Feminino</v>
      </c>
      <c r="E267" s="43" t="s">
        <v>666</v>
      </c>
      <c r="F267" s="43" t="s">
        <v>1004</v>
      </c>
      <c r="G267" s="43" t="s">
        <v>956</v>
      </c>
      <c r="H267" s="43" t="s">
        <v>669</v>
      </c>
      <c r="I267" s="46">
        <f>SUMIFS(Movimentações!$F$6:$F$4998,Movimentações!$C$6:$C$4998,A267,Movimentações!$M$6:$M$4998,M267)</f>
        <v>8</v>
      </c>
      <c r="J267" s="43" t="s">
        <v>670</v>
      </c>
      <c r="K267" s="43" t="s">
        <v>671</v>
      </c>
      <c r="L267" s="47">
        <v>10</v>
      </c>
      <c r="M267" s="43" t="s">
        <v>1007</v>
      </c>
      <c r="N267" s="43" t="str">
        <f t="shared" si="9"/>
        <v>Rua A · Prat 10 · C-53</v>
      </c>
      <c r="P267">
        <f>IF(A267="","",IF(AND(K267&lt;&gt;"",L267&lt;&gt;""),IF(COUNTIFS($K$6:K267,K267,$L$6:L267,L267)=1,1,0),0))</f>
        <v>0</v>
      </c>
      <c r="Q267">
        <f>IF(A267="","",IF(AND(K267&lt;&gt;"",M267&lt;&gt;""),IF(COUNTIFS($K$6:K267,K267,$M$6:M267,M267)=1,1,0),0))</f>
        <v>1</v>
      </c>
      <c r="R267">
        <f>IF(A267="","",IF(M267&lt;&gt;"",IF(COUNTIF($M$6:M267,M267)=1,1,0),0))</f>
        <v>1</v>
      </c>
      <c r="T267" t="str">
        <f>IF(AND($M267&lt;&gt;"",$M267='Mapa do Galpão'!$C$20),COUNTIF($M$6:$M267,'Mapa do Galpão'!$C$20),"")</f>
        <v/>
      </c>
    </row>
    <row r="268" spans="1:20" ht="14.25" hidden="1" customHeight="1" x14ac:dyDescent="0.3">
      <c r="A268" s="43" t="s">
        <v>1006</v>
      </c>
      <c r="B268" s="44" t="s">
        <v>665</v>
      </c>
      <c r="C268" s="165" t="s">
        <v>286</v>
      </c>
      <c r="D268" s="45" t="str">
        <f t="shared" si="8"/>
        <v>Feminino</v>
      </c>
      <c r="E268" s="43" t="s">
        <v>666</v>
      </c>
      <c r="F268" s="43" t="s">
        <v>1004</v>
      </c>
      <c r="G268" s="43" t="s">
        <v>956</v>
      </c>
      <c r="H268" s="43" t="s">
        <v>669</v>
      </c>
      <c r="I268" s="46">
        <f>SUMIFS(Movimentações!$F$6:$F$4998,Movimentações!$C$6:$C$4998,A268,Movimentações!$M$6:$M$4998,M268)</f>
        <v>7</v>
      </c>
      <c r="J268" s="43" t="s">
        <v>670</v>
      </c>
      <c r="K268" s="43" t="s">
        <v>671</v>
      </c>
      <c r="L268" s="47" t="s">
        <v>807</v>
      </c>
      <c r="M268" s="43" t="s">
        <v>1005</v>
      </c>
      <c r="N268" s="43" t="str">
        <f t="shared" si="9"/>
        <v>Rua A · Prat 9 · PALLET</v>
      </c>
      <c r="P268">
        <f>IF(A268="","",IF(AND(K268&lt;&gt;"",L268&lt;&gt;""),IF(COUNTIFS($K$6:K268,K268,$L$6:L268,L268)=1,1,0),0))</f>
        <v>0</v>
      </c>
      <c r="Q268">
        <f>IF(A268="","",IF(AND(K268&lt;&gt;"",M268&lt;&gt;""),IF(COUNTIFS($K$6:K268,K268,$M$6:M268,M268)=1,1,0),0))</f>
        <v>0</v>
      </c>
      <c r="R268">
        <f>IF(A268="","",IF(M268&lt;&gt;"",IF(COUNTIF($M$6:M268,M268)=1,1,0),0))</f>
        <v>0</v>
      </c>
      <c r="T268" t="str">
        <f>IF(AND($M268&lt;&gt;"",$M268='Mapa do Galpão'!$C$20),COUNTIF($M$6:$M268,'Mapa do Galpão'!$C$20),"")</f>
        <v/>
      </c>
    </row>
    <row r="269" spans="1:20" ht="14.25" hidden="1" customHeight="1" x14ac:dyDescent="0.3">
      <c r="A269" s="43" t="s">
        <v>1008</v>
      </c>
      <c r="B269" s="44" t="s">
        <v>665</v>
      </c>
      <c r="C269" s="165" t="s">
        <v>287</v>
      </c>
      <c r="D269" s="45" t="str">
        <f t="shared" si="8"/>
        <v>Feminino</v>
      </c>
      <c r="E269" s="43" t="s">
        <v>666</v>
      </c>
      <c r="F269" s="43" t="s">
        <v>1004</v>
      </c>
      <c r="G269" s="43" t="s">
        <v>956</v>
      </c>
      <c r="H269" s="43" t="s">
        <v>682</v>
      </c>
      <c r="I269" s="46">
        <f>SUMIFS(Movimentações!$F$6:$F$4998,Movimentações!$C$6:$C$4998,A269,Movimentações!$M$6:$M$4998,M269)</f>
        <v>1</v>
      </c>
      <c r="J269" s="43" t="s">
        <v>670</v>
      </c>
      <c r="K269" s="43" t="s">
        <v>671</v>
      </c>
      <c r="L269" s="47">
        <v>13</v>
      </c>
      <c r="M269" s="43" t="s">
        <v>984</v>
      </c>
      <c r="N269" s="43" t="str">
        <f t="shared" si="9"/>
        <v>Rua A · Prat 13 · C-48</v>
      </c>
      <c r="P269">
        <f>IF(A269="","",IF(AND(K269&lt;&gt;"",L269&lt;&gt;""),IF(COUNTIFS($K$6:K269,K269,$L$6:L269,L269)=1,1,0),0))</f>
        <v>0</v>
      </c>
      <c r="Q269">
        <f>IF(A269="","",IF(AND(K269&lt;&gt;"",M269&lt;&gt;""),IF(COUNTIFS($K$6:K269,K269,$M$6:M269,M269)=1,1,0),0))</f>
        <v>0</v>
      </c>
      <c r="R269">
        <f>IF(A269="","",IF(M269&lt;&gt;"",IF(COUNTIF($M$6:M269,M269)=1,1,0),0))</f>
        <v>0</v>
      </c>
      <c r="T269" t="str">
        <f>IF(AND($M269&lt;&gt;"",$M269='Mapa do Galpão'!$C$20),COUNTIF($M$6:$M269,'Mapa do Galpão'!$C$20),"")</f>
        <v/>
      </c>
    </row>
    <row r="270" spans="1:20" ht="14.25" hidden="1" customHeight="1" x14ac:dyDescent="0.3">
      <c r="A270" s="43" t="s">
        <v>1008</v>
      </c>
      <c r="B270" s="44" t="s">
        <v>665</v>
      </c>
      <c r="C270" s="165" t="s">
        <v>287</v>
      </c>
      <c r="D270" s="45" t="str">
        <f t="shared" si="8"/>
        <v>Feminino</v>
      </c>
      <c r="E270" s="43" t="s">
        <v>666</v>
      </c>
      <c r="F270" s="43" t="s">
        <v>1004</v>
      </c>
      <c r="G270" s="43" t="s">
        <v>956</v>
      </c>
      <c r="H270" s="43" t="s">
        <v>682</v>
      </c>
      <c r="I270" s="46">
        <f>SUMIFS(Movimentações!$F$6:$F$4998,Movimentações!$C$6:$C$4998,A270,Movimentações!$M$6:$M$4998,M270)</f>
        <v>5</v>
      </c>
      <c r="J270" s="43" t="s">
        <v>670</v>
      </c>
      <c r="K270" s="43" t="s">
        <v>671</v>
      </c>
      <c r="L270" s="47">
        <v>10</v>
      </c>
      <c r="M270" s="43" t="s">
        <v>1007</v>
      </c>
      <c r="N270" s="43" t="str">
        <f t="shared" si="9"/>
        <v>Rua A · Prat 10 · C-53</v>
      </c>
      <c r="P270">
        <f>IF(A270="","",IF(AND(K270&lt;&gt;"",L270&lt;&gt;""),IF(COUNTIFS($K$6:K270,K270,$L$6:L270,L270)=1,1,0),0))</f>
        <v>0</v>
      </c>
      <c r="Q270">
        <f>IF(A270="","",IF(AND(K270&lt;&gt;"",M270&lt;&gt;""),IF(COUNTIFS($K$6:K270,K270,$M$6:M270,M270)=1,1,0),0))</f>
        <v>0</v>
      </c>
      <c r="R270">
        <f>IF(A270="","",IF(M270&lt;&gt;"",IF(COUNTIF($M$6:M270,M270)=1,1,0),0))</f>
        <v>0</v>
      </c>
      <c r="T270" t="str">
        <f>IF(AND($M270&lt;&gt;"",$M270='Mapa do Galpão'!$C$20),COUNTIF($M$6:$M270,'Mapa do Galpão'!$C$20),"")</f>
        <v/>
      </c>
    </row>
    <row r="271" spans="1:20" ht="14.25" hidden="1" customHeight="1" x14ac:dyDescent="0.3">
      <c r="A271" s="43" t="s">
        <v>1008</v>
      </c>
      <c r="B271" s="44" t="s">
        <v>665</v>
      </c>
      <c r="C271" s="165" t="s">
        <v>287</v>
      </c>
      <c r="D271" s="45" t="str">
        <f t="shared" si="8"/>
        <v>Feminino</v>
      </c>
      <c r="E271" s="43" t="s">
        <v>666</v>
      </c>
      <c r="F271" s="43" t="s">
        <v>1004</v>
      </c>
      <c r="G271" s="43" t="s">
        <v>956</v>
      </c>
      <c r="H271" s="43" t="s">
        <v>682</v>
      </c>
      <c r="I271" s="46">
        <f>SUMIFS(Movimentações!$F$6:$F$4998,Movimentações!$C$6:$C$4998,A271,Movimentações!$M$6:$M$4998,M271)</f>
        <v>2</v>
      </c>
      <c r="J271" s="43" t="s">
        <v>670</v>
      </c>
      <c r="K271" s="43" t="s">
        <v>671</v>
      </c>
      <c r="L271" s="47" t="s">
        <v>807</v>
      </c>
      <c r="M271" s="43" t="s">
        <v>1009</v>
      </c>
      <c r="N271" s="43" t="str">
        <f t="shared" si="9"/>
        <v>Rua A · Prat 9 · C-56</v>
      </c>
      <c r="P271">
        <f>IF(A271="","",IF(AND(K271&lt;&gt;"",L271&lt;&gt;""),IF(COUNTIFS($K$6:K271,K271,$L$6:L271,L271)=1,1,0),0))</f>
        <v>0</v>
      </c>
      <c r="Q271">
        <f>IF(A271="","",IF(AND(K271&lt;&gt;"",M271&lt;&gt;""),IF(COUNTIFS($K$6:K271,K271,$M$6:M271,M271)=1,1,0),0))</f>
        <v>1</v>
      </c>
      <c r="R271">
        <f>IF(A271="","",IF(M271&lt;&gt;"",IF(COUNTIF($M$6:M271,M271)=1,1,0),0))</f>
        <v>1</v>
      </c>
      <c r="T271" t="str">
        <f>IF(AND($M271&lt;&gt;"",$M271='Mapa do Galpão'!$C$20),COUNTIF($M$6:$M271,'Mapa do Galpão'!$C$20),"")</f>
        <v/>
      </c>
    </row>
    <row r="272" spans="1:20" ht="14.25" hidden="1" customHeight="1" x14ac:dyDescent="0.3">
      <c r="A272" s="43" t="s">
        <v>1010</v>
      </c>
      <c r="B272" s="44" t="s">
        <v>665</v>
      </c>
      <c r="C272" s="165" t="s">
        <v>288</v>
      </c>
      <c r="D272" s="45" t="str">
        <f t="shared" si="8"/>
        <v>Feminino</v>
      </c>
      <c r="E272" s="43" t="s">
        <v>666</v>
      </c>
      <c r="F272" s="43" t="s">
        <v>1004</v>
      </c>
      <c r="G272" s="43" t="s">
        <v>956</v>
      </c>
      <c r="H272" s="43" t="s">
        <v>677</v>
      </c>
      <c r="I272" s="46">
        <f>SUMIFS(Movimentações!$F$6:$F$4998,Movimentações!$C$6:$C$4998,A272,Movimentações!$M$6:$M$4998,M272)</f>
        <v>1</v>
      </c>
      <c r="J272" s="43" t="s">
        <v>670</v>
      </c>
      <c r="K272" s="43" t="s">
        <v>671</v>
      </c>
      <c r="L272" s="47">
        <v>13</v>
      </c>
      <c r="M272" s="48" t="s">
        <v>979</v>
      </c>
      <c r="N272" s="43" t="str">
        <f t="shared" si="9"/>
        <v>Rua A · Prat 13 · C-50</v>
      </c>
      <c r="P272">
        <f>IF(A272="","",IF(AND(K272&lt;&gt;"",L272&lt;&gt;""),IF(COUNTIFS($K$6:K272,K272,$L$6:L272,L272)=1,1,0),0))</f>
        <v>0</v>
      </c>
      <c r="Q272">
        <f>IF(A272="","",IF(AND(K272&lt;&gt;"",M272&lt;&gt;""),IF(COUNTIFS($K$6:K272,K272,$M$6:M272,M272)=1,1,0),0))</f>
        <v>0</v>
      </c>
      <c r="R272">
        <f>IF(A272="","",IF(M272&lt;&gt;"",IF(COUNTIF($M$6:M272,M272)=1,1,0),0))</f>
        <v>0</v>
      </c>
      <c r="T272" t="str">
        <f>IF(AND($M272&lt;&gt;"",$M272='Mapa do Galpão'!$C$20),COUNTIF($M$6:$M272,'Mapa do Galpão'!$C$20),"")</f>
        <v/>
      </c>
    </row>
    <row r="273" spans="1:20" ht="14.25" hidden="1" customHeight="1" x14ac:dyDescent="0.3">
      <c r="A273" s="43" t="s">
        <v>1010</v>
      </c>
      <c r="B273" s="44" t="s">
        <v>665</v>
      </c>
      <c r="C273" s="165" t="s">
        <v>288</v>
      </c>
      <c r="D273" s="45" t="str">
        <f t="shared" si="8"/>
        <v>Feminino</v>
      </c>
      <c r="E273" s="43" t="s">
        <v>666</v>
      </c>
      <c r="F273" s="43" t="s">
        <v>1004</v>
      </c>
      <c r="G273" s="43" t="s">
        <v>956</v>
      </c>
      <c r="H273" s="43" t="s">
        <v>677</v>
      </c>
      <c r="I273" s="46">
        <f>SUMIFS(Movimentações!$F$6:$F$4998,Movimentações!$C$6:$C$4998,A273,Movimentações!$M$6:$M$4998,M273)</f>
        <v>5</v>
      </c>
      <c r="J273" s="43" t="s">
        <v>670</v>
      </c>
      <c r="K273" s="43" t="s">
        <v>671</v>
      </c>
      <c r="L273" s="47">
        <v>10</v>
      </c>
      <c r="M273" s="43" t="s">
        <v>1007</v>
      </c>
      <c r="N273" s="43" t="str">
        <f t="shared" si="9"/>
        <v>Rua A · Prat 10 · C-53</v>
      </c>
      <c r="P273">
        <f>IF(A273="","",IF(AND(K273&lt;&gt;"",L273&lt;&gt;""),IF(COUNTIFS($K$6:K273,K273,$L$6:L273,L273)=1,1,0),0))</f>
        <v>0</v>
      </c>
      <c r="Q273">
        <f>IF(A273="","",IF(AND(K273&lt;&gt;"",M273&lt;&gt;""),IF(COUNTIFS($K$6:K273,K273,$M$6:M273,M273)=1,1,0),0))</f>
        <v>0</v>
      </c>
      <c r="R273">
        <f>IF(A273="","",IF(M273&lt;&gt;"",IF(COUNTIF($M$6:M273,M273)=1,1,0),0))</f>
        <v>0</v>
      </c>
      <c r="T273" t="str">
        <f>IF(AND($M273&lt;&gt;"",$M273='Mapa do Galpão'!$C$20),COUNTIF($M$6:$M273,'Mapa do Galpão'!$C$20),"")</f>
        <v/>
      </c>
    </row>
    <row r="274" spans="1:20" ht="14.25" hidden="1" customHeight="1" x14ac:dyDescent="0.3">
      <c r="A274" s="43" t="s">
        <v>1010</v>
      </c>
      <c r="B274" s="44" t="s">
        <v>665</v>
      </c>
      <c r="C274" s="165" t="s">
        <v>288</v>
      </c>
      <c r="D274" s="45" t="str">
        <f t="shared" si="8"/>
        <v>Feminino</v>
      </c>
      <c r="E274" s="43" t="s">
        <v>666</v>
      </c>
      <c r="F274" s="43" t="s">
        <v>1004</v>
      </c>
      <c r="G274" s="43" t="s">
        <v>956</v>
      </c>
      <c r="H274" s="43" t="s">
        <v>677</v>
      </c>
      <c r="I274" s="46">
        <f>SUMIFS(Movimentações!$F$6:$F$4998,Movimentações!$C$6:$C$4998,A274,Movimentações!$M$6:$M$4998,M274)</f>
        <v>5</v>
      </c>
      <c r="J274" s="43" t="s">
        <v>670</v>
      </c>
      <c r="K274" s="43" t="s">
        <v>671</v>
      </c>
      <c r="L274" s="47" t="s">
        <v>807</v>
      </c>
      <c r="M274" s="43" t="s">
        <v>1009</v>
      </c>
      <c r="N274" s="43" t="str">
        <f t="shared" si="9"/>
        <v>Rua A · Prat 9 · C-56</v>
      </c>
      <c r="P274">
        <f>IF(A274="","",IF(AND(K274&lt;&gt;"",L274&lt;&gt;""),IF(COUNTIFS($K$6:K274,K274,$L$6:L274,L274)=1,1,0),0))</f>
        <v>0</v>
      </c>
      <c r="Q274">
        <f>IF(A274="","",IF(AND(K274&lt;&gt;"",M274&lt;&gt;""),IF(COUNTIFS($K$6:K274,K274,$M$6:M274,M274)=1,1,0),0))</f>
        <v>0</v>
      </c>
      <c r="R274">
        <f>IF(A274="","",IF(M274&lt;&gt;"",IF(COUNTIF($M$6:M274,M274)=1,1,0),0))</f>
        <v>0</v>
      </c>
      <c r="T274" t="str">
        <f>IF(AND($M274&lt;&gt;"",$M274='Mapa do Galpão'!$C$20),COUNTIF($M$6:$M274,'Mapa do Galpão'!$C$20),"")</f>
        <v/>
      </c>
    </row>
    <row r="275" spans="1:20" ht="14.25" hidden="1" customHeight="1" x14ac:dyDescent="0.3">
      <c r="A275" s="43" t="s">
        <v>1011</v>
      </c>
      <c r="B275" s="44" t="s">
        <v>665</v>
      </c>
      <c r="C275" s="165" t="s">
        <v>289</v>
      </c>
      <c r="D275" s="45" t="str">
        <f t="shared" si="8"/>
        <v>Feminino</v>
      </c>
      <c r="E275" s="43" t="s">
        <v>666</v>
      </c>
      <c r="F275" s="43" t="s">
        <v>1012</v>
      </c>
      <c r="G275" s="43" t="s">
        <v>798</v>
      </c>
      <c r="H275" s="43" t="s">
        <v>669</v>
      </c>
      <c r="I275" s="46">
        <f>SUMIFS(Movimentações!$F$6:$F$4998,Movimentações!$C$6:$C$4998,A275,Movimentações!$M$6:$M$4998,M275)</f>
        <v>42</v>
      </c>
      <c r="J275" s="43" t="s">
        <v>670</v>
      </c>
      <c r="K275" s="43" t="s">
        <v>671</v>
      </c>
      <c r="L275" s="47">
        <v>13</v>
      </c>
      <c r="M275" s="43" t="s">
        <v>1013</v>
      </c>
      <c r="N275" s="43" t="str">
        <f t="shared" si="9"/>
        <v>Rua A · Prat 13 · C-49</v>
      </c>
      <c r="P275">
        <f>IF(A275="","",IF(AND(K275&lt;&gt;"",L275&lt;&gt;""),IF(COUNTIFS($K$6:K275,K275,$L$6:L275,L275)=1,1,0),0))</f>
        <v>0</v>
      </c>
      <c r="Q275">
        <f>IF(A275="","",IF(AND(K275&lt;&gt;"",M275&lt;&gt;""),IF(COUNTIFS($K$6:K275,K275,$M$6:M275,M275)=1,1,0),0))</f>
        <v>1</v>
      </c>
      <c r="R275">
        <f>IF(A275="","",IF(M275&lt;&gt;"",IF(COUNTIF($M$6:M275,M275)=1,1,0),0))</f>
        <v>1</v>
      </c>
      <c r="T275" t="str">
        <f>IF(AND($M275&lt;&gt;"",$M275='Mapa do Galpão'!$C$20),COUNTIF($M$6:$M275,'Mapa do Galpão'!$C$20),"")</f>
        <v/>
      </c>
    </row>
    <row r="276" spans="1:20" ht="14.25" hidden="1" customHeight="1" x14ac:dyDescent="0.3">
      <c r="A276" s="43" t="s">
        <v>1014</v>
      </c>
      <c r="B276" s="44" t="s">
        <v>665</v>
      </c>
      <c r="C276" s="165" t="s">
        <v>538</v>
      </c>
      <c r="D276" s="45" t="str">
        <f t="shared" si="8"/>
        <v>Feminino</v>
      </c>
      <c r="E276" s="43" t="s">
        <v>666</v>
      </c>
      <c r="F276" s="43" t="s">
        <v>1012</v>
      </c>
      <c r="G276" s="43" t="s">
        <v>798</v>
      </c>
      <c r="H276" s="43" t="s">
        <v>682</v>
      </c>
      <c r="I276" s="46">
        <f>SUMIFS(Movimentações!$F$6:$F$4998,Movimentações!$C$6:$C$4998,A276,Movimentações!$M$6:$M$4998,M276)</f>
        <v>24</v>
      </c>
      <c r="J276" s="43" t="s">
        <v>670</v>
      </c>
      <c r="K276" s="43" t="s">
        <v>671</v>
      </c>
      <c r="L276" s="47">
        <v>13</v>
      </c>
      <c r="M276" s="48" t="s">
        <v>979</v>
      </c>
      <c r="N276" s="43" t="str">
        <f t="shared" si="9"/>
        <v>Rua A · Prat 13 · C-50</v>
      </c>
      <c r="P276">
        <f>IF(A276="","",IF(AND(K276&lt;&gt;"",L276&lt;&gt;""),IF(COUNTIFS($K$6:K276,K276,$L$6:L276,L276)=1,1,0),0))</f>
        <v>0</v>
      </c>
      <c r="Q276">
        <f>IF(A276="","",IF(AND(K276&lt;&gt;"",M276&lt;&gt;""),IF(COUNTIFS($K$6:K276,K276,$M$6:M276,M276)=1,1,0),0))</f>
        <v>0</v>
      </c>
      <c r="R276">
        <f>IF(A276="","",IF(M276&lt;&gt;"",IF(COUNTIF($M$6:M276,M276)=1,1,0),0))</f>
        <v>0</v>
      </c>
      <c r="T276" t="str">
        <f>IF(AND($M276&lt;&gt;"",$M276='Mapa do Galpão'!$C$20),COUNTIF($M$6:$M276,'Mapa do Galpão'!$C$20),"")</f>
        <v/>
      </c>
    </row>
    <row r="277" spans="1:20" ht="14.25" hidden="1" customHeight="1" x14ac:dyDescent="0.3">
      <c r="A277" s="43" t="s">
        <v>1015</v>
      </c>
      <c r="B277" s="44" t="s">
        <v>665</v>
      </c>
      <c r="C277" s="165" t="s">
        <v>291</v>
      </c>
      <c r="D277" s="45" t="str">
        <f t="shared" si="8"/>
        <v>Masculino</v>
      </c>
      <c r="E277" s="43" t="s">
        <v>666</v>
      </c>
      <c r="F277" s="43" t="s">
        <v>754</v>
      </c>
      <c r="G277" s="43" t="s">
        <v>996</v>
      </c>
      <c r="H277" s="43" t="s">
        <v>756</v>
      </c>
      <c r="I277" s="46">
        <f>SUMIFS(Movimentações!$F$6:$F$4998,Movimentações!$C$6:$C$4998,A277,Movimentações!$M$6:$M$4998,M277)</f>
        <v>4</v>
      </c>
      <c r="J277" s="43" t="s">
        <v>670</v>
      </c>
      <c r="K277" s="43" t="s">
        <v>671</v>
      </c>
      <c r="L277" s="47">
        <v>13</v>
      </c>
      <c r="M277" s="43" t="s">
        <v>1016</v>
      </c>
      <c r="N277" s="43" t="str">
        <f t="shared" si="9"/>
        <v>Rua A · Prat 13 · C-51</v>
      </c>
      <c r="P277">
        <f>IF(A277="","",IF(AND(K277&lt;&gt;"",L277&lt;&gt;""),IF(COUNTIFS($K$6:K277,K277,$L$6:L277,L277)=1,1,0),0))</f>
        <v>0</v>
      </c>
      <c r="Q277">
        <f>IF(A277="","",IF(AND(K277&lt;&gt;"",M277&lt;&gt;""),IF(COUNTIFS($K$6:K277,K277,$M$6:M277,M277)=1,1,0),0))</f>
        <v>1</v>
      </c>
      <c r="R277">
        <f>IF(A277="","",IF(M277&lt;&gt;"",IF(COUNTIF($M$6:M277,M277)=1,1,0),0))</f>
        <v>1</v>
      </c>
      <c r="T277" t="str">
        <f>IF(AND($M277&lt;&gt;"",$M277='Mapa do Galpão'!$C$20),COUNTIF($M$6:$M277,'Mapa do Galpão'!$C$20),"")</f>
        <v/>
      </c>
    </row>
    <row r="278" spans="1:20" ht="14.25" hidden="1" customHeight="1" x14ac:dyDescent="0.3">
      <c r="A278" s="43" t="s">
        <v>1017</v>
      </c>
      <c r="B278" s="44" t="s">
        <v>665</v>
      </c>
      <c r="C278" s="165" t="s">
        <v>292</v>
      </c>
      <c r="D278" s="45" t="str">
        <f t="shared" si="8"/>
        <v>Masculino</v>
      </c>
      <c r="E278" s="43" t="s">
        <v>666</v>
      </c>
      <c r="F278" s="43" t="s">
        <v>754</v>
      </c>
      <c r="G278" s="43" t="s">
        <v>996</v>
      </c>
      <c r="H278" s="43" t="s">
        <v>680</v>
      </c>
      <c r="I278" s="46">
        <f>SUMIFS(Movimentações!$F$6:$F$4998,Movimentações!$C$6:$C$4998,A278,Movimentações!$M$6:$M$4998,M278)</f>
        <v>1</v>
      </c>
      <c r="J278" s="43" t="s">
        <v>670</v>
      </c>
      <c r="K278" s="43" t="s">
        <v>671</v>
      </c>
      <c r="L278" s="47">
        <v>13</v>
      </c>
      <c r="M278" s="43" t="s">
        <v>1016</v>
      </c>
      <c r="N278" s="43" t="str">
        <f t="shared" si="9"/>
        <v>Rua A · Prat 13 · C-51</v>
      </c>
      <c r="P278">
        <f>IF(A278="","",IF(AND(K278&lt;&gt;"",L278&lt;&gt;""),IF(COUNTIFS($K$6:K278,K278,$L$6:L278,L278)=1,1,0),0))</f>
        <v>0</v>
      </c>
      <c r="Q278">
        <f>IF(A278="","",IF(AND(K278&lt;&gt;"",M278&lt;&gt;""),IF(COUNTIFS($K$6:K278,K278,$M$6:M278,M278)=1,1,0),0))</f>
        <v>0</v>
      </c>
      <c r="R278">
        <f>IF(A278="","",IF(M278&lt;&gt;"",IF(COUNTIF($M$6:M278,M278)=1,1,0),0))</f>
        <v>0</v>
      </c>
      <c r="T278" t="str">
        <f>IF(AND($M278&lt;&gt;"",$M278='Mapa do Galpão'!$C$20),COUNTIF($M$6:$M278,'Mapa do Galpão'!$C$20),"")</f>
        <v/>
      </c>
    </row>
    <row r="279" spans="1:20" ht="14.25" hidden="1" customHeight="1" x14ac:dyDescent="0.3">
      <c r="A279" s="43" t="s">
        <v>1018</v>
      </c>
      <c r="B279" s="44" t="s">
        <v>665</v>
      </c>
      <c r="C279" s="165" t="s">
        <v>293</v>
      </c>
      <c r="D279" s="45" t="str">
        <f t="shared" si="8"/>
        <v>Masculino</v>
      </c>
      <c r="E279" s="43" t="s">
        <v>666</v>
      </c>
      <c r="F279" s="43" t="s">
        <v>754</v>
      </c>
      <c r="G279" s="43" t="s">
        <v>996</v>
      </c>
      <c r="H279" s="43" t="s">
        <v>677</v>
      </c>
      <c r="I279" s="46">
        <f>SUMIFS(Movimentações!$F$6:$F$4998,Movimentações!$C$6:$C$4998,A279,Movimentações!$M$6:$M$4998,M279)</f>
        <v>0</v>
      </c>
      <c r="J279" s="43" t="s">
        <v>670</v>
      </c>
      <c r="K279" s="43" t="s">
        <v>671</v>
      </c>
      <c r="L279" s="47">
        <v>13</v>
      </c>
      <c r="M279" s="43" t="s">
        <v>1016</v>
      </c>
      <c r="N279" s="43" t="str">
        <f t="shared" si="9"/>
        <v>Rua A · Prat 13 · C-51</v>
      </c>
      <c r="P279">
        <f>IF(A279="","",IF(AND(K279&lt;&gt;"",L279&lt;&gt;""),IF(COUNTIFS($K$6:K279,K279,$L$6:L279,L279)=1,1,0),0))</f>
        <v>0</v>
      </c>
      <c r="Q279">
        <f>IF(A279="","",IF(AND(K279&lt;&gt;"",M279&lt;&gt;""),IF(COUNTIFS($K$6:K279,K279,$M$6:M279,M279)=1,1,0),0))</f>
        <v>0</v>
      </c>
      <c r="R279">
        <f>IF(A279="","",IF(M279&lt;&gt;"",IF(COUNTIF($M$6:M279,M279)=1,1,0),0))</f>
        <v>0</v>
      </c>
      <c r="T279" t="str">
        <f>IF(AND($M279&lt;&gt;"",$M279='Mapa do Galpão'!$C$20),COUNTIF($M$6:$M279,'Mapa do Galpão'!$C$20),"")</f>
        <v/>
      </c>
    </row>
    <row r="280" spans="1:20" ht="14.25" hidden="1" customHeight="1" x14ac:dyDescent="0.3">
      <c r="A280" s="43" t="s">
        <v>1019</v>
      </c>
      <c r="B280" s="44" t="s">
        <v>665</v>
      </c>
      <c r="C280" s="165" t="s">
        <v>294</v>
      </c>
      <c r="D280" s="45" t="str">
        <f t="shared" si="8"/>
        <v>Masculino</v>
      </c>
      <c r="E280" s="43" t="s">
        <v>666</v>
      </c>
      <c r="F280" s="43" t="s">
        <v>754</v>
      </c>
      <c r="G280" s="43" t="s">
        <v>996</v>
      </c>
      <c r="H280" s="43" t="s">
        <v>675</v>
      </c>
      <c r="I280" s="46">
        <f>SUMIFS(Movimentações!$F$6:$F$4998,Movimentações!$C$6:$C$4998,A280,Movimentações!$M$6:$M$4998,M280)</f>
        <v>13</v>
      </c>
      <c r="J280" s="43" t="s">
        <v>670</v>
      </c>
      <c r="K280" s="43" t="s">
        <v>671</v>
      </c>
      <c r="L280" s="47">
        <v>13</v>
      </c>
      <c r="M280" s="43" t="s">
        <v>1016</v>
      </c>
      <c r="N280" s="43" t="str">
        <f t="shared" si="9"/>
        <v>Rua A · Prat 13 · C-51</v>
      </c>
      <c r="P280">
        <f>IF(A280="","",IF(AND(K280&lt;&gt;"",L280&lt;&gt;""),IF(COUNTIFS($K$6:K280,K280,$L$6:L280,L280)=1,1,0),0))</f>
        <v>0</v>
      </c>
      <c r="Q280">
        <f>IF(A280="","",IF(AND(K280&lt;&gt;"",M280&lt;&gt;""),IF(COUNTIFS($K$6:K280,K280,$M$6:M280,M280)=1,1,0),0))</f>
        <v>0</v>
      </c>
      <c r="R280">
        <f>IF(A280="","",IF(M280&lt;&gt;"",IF(COUNTIF($M$6:M280,M280)=1,1,0),0))</f>
        <v>0</v>
      </c>
      <c r="T280" t="str">
        <f>IF(AND($M280&lt;&gt;"",$M280='Mapa do Galpão'!$C$20),COUNTIF($M$6:$M280,'Mapa do Galpão'!$C$20),"")</f>
        <v/>
      </c>
    </row>
    <row r="281" spans="1:20" ht="14.25" hidden="1" customHeight="1" x14ac:dyDescent="0.3">
      <c r="A281" s="43" t="s">
        <v>1020</v>
      </c>
      <c r="B281" s="44" t="s">
        <v>665</v>
      </c>
      <c r="C281" s="165" t="s">
        <v>295</v>
      </c>
      <c r="D281" s="45" t="str">
        <f t="shared" si="8"/>
        <v>Feminino</v>
      </c>
      <c r="E281" s="43" t="s">
        <v>982</v>
      </c>
      <c r="F281" s="43" t="s">
        <v>1021</v>
      </c>
      <c r="G281" s="43" t="s">
        <v>738</v>
      </c>
      <c r="H281" s="43" t="s">
        <v>669</v>
      </c>
      <c r="I281" s="46">
        <f>SUMIFS(Movimentações!$F$6:$F$4998,Movimentações!$C$6:$C$4998,A281,Movimentações!$M$6:$M$4998,M281)</f>
        <v>0</v>
      </c>
      <c r="J281" s="43" t="s">
        <v>670</v>
      </c>
      <c r="K281" s="43" t="s">
        <v>671</v>
      </c>
      <c r="L281" s="47" t="s">
        <v>807</v>
      </c>
      <c r="M281" s="43" t="s">
        <v>1022</v>
      </c>
      <c r="N281" s="43" t="str">
        <f t="shared" si="9"/>
        <v>Rua A · Prat 9 · C-52</v>
      </c>
      <c r="P281">
        <f>IF(A281="","",IF(AND(K281&lt;&gt;"",L281&lt;&gt;""),IF(COUNTIFS($K$6:K281,K281,$L$6:L281,L281)=1,1,0),0))</f>
        <v>0</v>
      </c>
      <c r="Q281">
        <f>IF(A281="","",IF(AND(K281&lt;&gt;"",M281&lt;&gt;""),IF(COUNTIFS($K$6:K281,K281,$M$6:M281,M281)=1,1,0),0))</f>
        <v>1</v>
      </c>
      <c r="R281">
        <f>IF(A281="","",IF(M281&lt;&gt;"",IF(COUNTIF($M$6:M281,M281)=1,1,0),0))</f>
        <v>1</v>
      </c>
      <c r="T281" t="str">
        <f>IF(AND($M281&lt;&gt;"",$M281='Mapa do Galpão'!$C$20),COUNTIF($M$6:$M281,'Mapa do Galpão'!$C$20),"")</f>
        <v/>
      </c>
    </row>
    <row r="282" spans="1:20" ht="14.25" hidden="1" customHeight="1" x14ac:dyDescent="0.3">
      <c r="A282" s="43" t="s">
        <v>1023</v>
      </c>
      <c r="B282" s="44" t="s">
        <v>665</v>
      </c>
      <c r="C282" s="165" t="s">
        <v>296</v>
      </c>
      <c r="D282" s="45" t="str">
        <f t="shared" si="8"/>
        <v>Feminino</v>
      </c>
      <c r="E282" s="43" t="s">
        <v>982</v>
      </c>
      <c r="F282" s="43" t="s">
        <v>1021</v>
      </c>
      <c r="G282" s="43" t="s">
        <v>738</v>
      </c>
      <c r="H282" s="43" t="s">
        <v>682</v>
      </c>
      <c r="I282" s="46">
        <f>SUMIFS(Movimentações!$F$6:$F$4998,Movimentações!$C$6:$C$4998,A282,Movimentações!$M$6:$M$4998,M282)</f>
        <v>1</v>
      </c>
      <c r="J282" s="43" t="s">
        <v>670</v>
      </c>
      <c r="K282" s="43" t="s">
        <v>671</v>
      </c>
      <c r="L282" s="47" t="s">
        <v>807</v>
      </c>
      <c r="M282" s="43" t="s">
        <v>1022</v>
      </c>
      <c r="N282" s="43" t="str">
        <f t="shared" si="9"/>
        <v>Rua A · Prat 9 · C-52</v>
      </c>
      <c r="P282">
        <f>IF(A282="","",IF(AND(K282&lt;&gt;"",L282&lt;&gt;""),IF(COUNTIFS($K$6:K282,K282,$L$6:L282,L282)=1,1,0),0))</f>
        <v>0</v>
      </c>
      <c r="Q282">
        <f>IF(A282="","",IF(AND(K282&lt;&gt;"",M282&lt;&gt;""),IF(COUNTIFS($K$6:K282,K282,$M$6:M282,M282)=1,1,0),0))</f>
        <v>0</v>
      </c>
      <c r="R282">
        <f>IF(A282="","",IF(M282&lt;&gt;"",IF(COUNTIF($M$6:M282,M282)=1,1,0),0))</f>
        <v>0</v>
      </c>
      <c r="T282" t="str">
        <f>IF(AND($M282&lt;&gt;"",$M282='Mapa do Galpão'!$C$20),COUNTIF($M$6:$M282,'Mapa do Galpão'!$C$20),"")</f>
        <v/>
      </c>
    </row>
    <row r="283" spans="1:20" ht="14.25" hidden="1" customHeight="1" x14ac:dyDescent="0.3">
      <c r="A283" s="43" t="s">
        <v>1024</v>
      </c>
      <c r="B283" s="44" t="s">
        <v>665</v>
      </c>
      <c r="C283" s="165" t="s">
        <v>297</v>
      </c>
      <c r="D283" s="45" t="str">
        <f t="shared" si="8"/>
        <v>Feminino</v>
      </c>
      <c r="E283" s="43" t="s">
        <v>982</v>
      </c>
      <c r="F283" s="43" t="s">
        <v>1021</v>
      </c>
      <c r="G283" s="43" t="s">
        <v>798</v>
      </c>
      <c r="H283" s="43" t="s">
        <v>669</v>
      </c>
      <c r="I283" s="46">
        <f>SUMIFS(Movimentações!$F$6:$F$4998,Movimentações!$C$6:$C$4998,A283,Movimentações!$M$6:$M$4998,M283)</f>
        <v>5</v>
      </c>
      <c r="J283" s="43" t="s">
        <v>670</v>
      </c>
      <c r="K283" s="43" t="s">
        <v>671</v>
      </c>
      <c r="L283" s="47" t="s">
        <v>807</v>
      </c>
      <c r="M283" s="43" t="s">
        <v>1022</v>
      </c>
      <c r="N283" s="43" t="str">
        <f t="shared" si="9"/>
        <v>Rua A · Prat 9 · C-52</v>
      </c>
      <c r="P283">
        <f>IF(A283="","",IF(AND(K283&lt;&gt;"",L283&lt;&gt;""),IF(COUNTIFS($K$6:K283,K283,$L$6:L283,L283)=1,1,0),0))</f>
        <v>0</v>
      </c>
      <c r="Q283">
        <f>IF(A283="","",IF(AND(K283&lt;&gt;"",M283&lt;&gt;""),IF(COUNTIFS($K$6:K283,K283,$M$6:M283,M283)=1,1,0),0))</f>
        <v>0</v>
      </c>
      <c r="R283">
        <f>IF(A283="","",IF(M283&lt;&gt;"",IF(COUNTIF($M$6:M283,M283)=1,1,0),0))</f>
        <v>0</v>
      </c>
      <c r="T283" t="str">
        <f>IF(AND($M283&lt;&gt;"",$M283='Mapa do Galpão'!$C$20),COUNTIF($M$6:$M283,'Mapa do Galpão'!$C$20),"")</f>
        <v/>
      </c>
    </row>
    <row r="284" spans="1:20" ht="14.25" hidden="1" customHeight="1" x14ac:dyDescent="0.3">
      <c r="A284" s="43" t="s">
        <v>1025</v>
      </c>
      <c r="B284" s="44" t="s">
        <v>665</v>
      </c>
      <c r="C284" s="165" t="s">
        <v>298</v>
      </c>
      <c r="D284" s="45" t="str">
        <f t="shared" si="8"/>
        <v>Feminino</v>
      </c>
      <c r="E284" s="43" t="s">
        <v>982</v>
      </c>
      <c r="F284" s="43" t="s">
        <v>1021</v>
      </c>
      <c r="G284" s="43" t="s">
        <v>798</v>
      </c>
      <c r="H284" s="43" t="s">
        <v>682</v>
      </c>
      <c r="I284" s="46">
        <f>SUMIFS(Movimentações!$F$6:$F$4998,Movimentações!$C$6:$C$4998,A284,Movimentações!$M$6:$M$4998,M284)</f>
        <v>4</v>
      </c>
      <c r="J284" s="43" t="s">
        <v>670</v>
      </c>
      <c r="K284" s="43" t="s">
        <v>671</v>
      </c>
      <c r="L284" s="47" t="s">
        <v>807</v>
      </c>
      <c r="M284" s="43" t="s">
        <v>1022</v>
      </c>
      <c r="N284" s="43" t="str">
        <f t="shared" si="9"/>
        <v>Rua A · Prat 9 · C-52</v>
      </c>
      <c r="P284">
        <f>IF(A284="","",IF(AND(K284&lt;&gt;"",L284&lt;&gt;""),IF(COUNTIFS($K$6:K284,K284,$L$6:L284,L284)=1,1,0),0))</f>
        <v>0</v>
      </c>
      <c r="Q284">
        <f>IF(A284="","",IF(AND(K284&lt;&gt;"",M284&lt;&gt;""),IF(COUNTIFS($K$6:K284,K284,$M$6:M284,M284)=1,1,0),0))</f>
        <v>0</v>
      </c>
      <c r="R284">
        <f>IF(A284="","",IF(M284&lt;&gt;"",IF(COUNTIF($M$6:M284,M284)=1,1,0),0))</f>
        <v>0</v>
      </c>
      <c r="T284" t="str">
        <f>IF(AND($M284&lt;&gt;"",$M284='Mapa do Galpão'!$C$20),COUNTIF($M$6:$M284,'Mapa do Galpão'!$C$20),"")</f>
        <v/>
      </c>
    </row>
    <row r="285" spans="1:20" ht="14.25" hidden="1" customHeight="1" x14ac:dyDescent="0.3">
      <c r="A285" s="43" t="s">
        <v>1026</v>
      </c>
      <c r="B285" s="44" t="s">
        <v>665</v>
      </c>
      <c r="C285" s="165" t="s">
        <v>299</v>
      </c>
      <c r="D285" s="45" t="str">
        <f t="shared" si="8"/>
        <v>Feminino</v>
      </c>
      <c r="E285" s="43" t="s">
        <v>666</v>
      </c>
      <c r="F285" s="43" t="s">
        <v>1004</v>
      </c>
      <c r="G285" s="43" t="s">
        <v>956</v>
      </c>
      <c r="H285" s="43" t="s">
        <v>756</v>
      </c>
      <c r="I285" s="46">
        <f>SUMIFS(Movimentações!$F$6:$F$4998,Movimentações!$C$6:$C$4998,A285,Movimentações!$M$6:$M$4998,M285)</f>
        <v>4</v>
      </c>
      <c r="J285" s="43" t="s">
        <v>670</v>
      </c>
      <c r="K285" s="43" t="s">
        <v>671</v>
      </c>
      <c r="L285" s="47" t="s">
        <v>807</v>
      </c>
      <c r="M285" s="43" t="s">
        <v>1007</v>
      </c>
      <c r="N285" s="43" t="str">
        <f t="shared" si="9"/>
        <v>Rua A · Prat 9 · C-53</v>
      </c>
      <c r="P285">
        <f>IF(A285="","",IF(AND(K285&lt;&gt;"",L285&lt;&gt;""),IF(COUNTIFS($K$6:K285,K285,$L$6:L285,L285)=1,1,0),0))</f>
        <v>0</v>
      </c>
      <c r="Q285">
        <f>IF(A285="","",IF(AND(K285&lt;&gt;"",M285&lt;&gt;""),IF(COUNTIFS($K$6:K285,K285,$M$6:M285,M285)=1,1,0),0))</f>
        <v>0</v>
      </c>
      <c r="R285">
        <f>IF(A285="","",IF(M285&lt;&gt;"",IF(COUNTIF($M$6:M285,M285)=1,1,0),0))</f>
        <v>0</v>
      </c>
      <c r="T285" t="str">
        <f>IF(AND($M285&lt;&gt;"",$M285='Mapa do Galpão'!$C$20),COUNTIF($M$6:$M285,'Mapa do Galpão'!$C$20),"")</f>
        <v/>
      </c>
    </row>
    <row r="286" spans="1:20" ht="14.25" hidden="1" customHeight="1" x14ac:dyDescent="0.3">
      <c r="A286" s="43" t="s">
        <v>1027</v>
      </c>
      <c r="B286" s="44" t="s">
        <v>665</v>
      </c>
      <c r="C286" s="165" t="s">
        <v>300</v>
      </c>
      <c r="D286" s="45" t="str">
        <f t="shared" si="8"/>
        <v>Feminino</v>
      </c>
      <c r="E286" s="43" t="s">
        <v>666</v>
      </c>
      <c r="F286" s="43" t="s">
        <v>1004</v>
      </c>
      <c r="G286" s="43" t="s">
        <v>956</v>
      </c>
      <c r="H286" s="43" t="s">
        <v>675</v>
      </c>
      <c r="I286" s="46">
        <f>SUMIFS(Movimentações!$F$6:$F$4998,Movimentações!$C$6:$C$4998,A286,Movimentações!$M$6:$M$4998,M286)</f>
        <v>11</v>
      </c>
      <c r="J286" s="43" t="s">
        <v>670</v>
      </c>
      <c r="K286" s="43" t="s">
        <v>671</v>
      </c>
      <c r="L286" s="47" t="s">
        <v>807</v>
      </c>
      <c r="M286" s="43" t="s">
        <v>1007</v>
      </c>
      <c r="N286" s="43" t="str">
        <f t="shared" si="9"/>
        <v>Rua A · Prat 9 · C-53</v>
      </c>
      <c r="P286">
        <f>IF(A286="","",IF(AND(K286&lt;&gt;"",L286&lt;&gt;""),IF(COUNTIFS($K$6:K286,K286,$L$6:L286,L286)=1,1,0),0))</f>
        <v>0</v>
      </c>
      <c r="Q286">
        <f>IF(A286="","",IF(AND(K286&lt;&gt;"",M286&lt;&gt;""),IF(COUNTIFS($K$6:K286,K286,$M$6:M286,M286)=1,1,0),0))</f>
        <v>0</v>
      </c>
      <c r="R286">
        <f>IF(A286="","",IF(M286&lt;&gt;"",IF(COUNTIF($M$6:M286,M286)=1,1,0),0))</f>
        <v>0</v>
      </c>
      <c r="T286" t="str">
        <f>IF(AND($M286&lt;&gt;"",$M286='Mapa do Galpão'!$C$20),COUNTIF($M$6:$M286,'Mapa do Galpão'!$C$20),"")</f>
        <v/>
      </c>
    </row>
    <row r="287" spans="1:20" ht="14.25" hidden="1" customHeight="1" x14ac:dyDescent="0.3">
      <c r="A287" s="43" t="s">
        <v>1027</v>
      </c>
      <c r="B287" s="44" t="s">
        <v>665</v>
      </c>
      <c r="C287" s="165" t="s">
        <v>300</v>
      </c>
      <c r="D287" s="45" t="str">
        <f t="shared" si="8"/>
        <v>Feminino</v>
      </c>
      <c r="E287" s="43" t="s">
        <v>666</v>
      </c>
      <c r="F287" s="43" t="s">
        <v>1004</v>
      </c>
      <c r="G287" s="43" t="s">
        <v>956</v>
      </c>
      <c r="H287" s="43" t="s">
        <v>675</v>
      </c>
      <c r="I287" s="46">
        <f>SUMIFS(Movimentações!$F$6:$F$4998,Movimentações!$C$6:$C$4998,A287,Movimentações!$M$6:$M$4998,M287)</f>
        <v>28</v>
      </c>
      <c r="J287" s="43" t="s">
        <v>670</v>
      </c>
      <c r="K287" s="43" t="s">
        <v>671</v>
      </c>
      <c r="L287" s="47" t="s">
        <v>807</v>
      </c>
      <c r="M287" s="43" t="s">
        <v>1009</v>
      </c>
      <c r="N287" s="43" t="str">
        <f t="shared" si="9"/>
        <v>Rua A · Prat 9 · C-56</v>
      </c>
      <c r="P287">
        <f>IF(A287="","",IF(AND(K287&lt;&gt;"",L287&lt;&gt;""),IF(COUNTIFS($K$6:K287,K287,$L$6:L287,L287)=1,1,0),0))</f>
        <v>0</v>
      </c>
      <c r="Q287">
        <f>IF(A287="","",IF(AND(K287&lt;&gt;"",M287&lt;&gt;""),IF(COUNTIFS($K$6:K287,K287,$M$6:M287,M287)=1,1,0),0))</f>
        <v>0</v>
      </c>
      <c r="R287">
        <f>IF(A287="","",IF(M287&lt;&gt;"",IF(COUNTIF($M$6:M287,M287)=1,1,0),0))</f>
        <v>0</v>
      </c>
      <c r="T287" t="str">
        <f>IF(AND($M287&lt;&gt;"",$M287='Mapa do Galpão'!$C$20),COUNTIF($M$6:$M287,'Mapa do Galpão'!$C$20),"")</f>
        <v/>
      </c>
    </row>
    <row r="288" spans="1:20" ht="14.25" hidden="1" customHeight="1" x14ac:dyDescent="0.3">
      <c r="A288" s="43" t="s">
        <v>1028</v>
      </c>
      <c r="B288" s="44" t="s">
        <v>665</v>
      </c>
      <c r="C288" s="165" t="s">
        <v>301</v>
      </c>
      <c r="D288" s="45" t="str">
        <f t="shared" si="8"/>
        <v>Masculino</v>
      </c>
      <c r="E288" s="43" t="s">
        <v>666</v>
      </c>
      <c r="F288" s="43" t="s">
        <v>1029</v>
      </c>
      <c r="G288" s="43" t="s">
        <v>798</v>
      </c>
      <c r="H288" s="43" t="s">
        <v>756</v>
      </c>
      <c r="I288" s="46">
        <f>SUMIFS(Movimentações!$F$6:$F$4998,Movimentações!$C$6:$C$4998,A288,Movimentações!$M$6:$M$4998,M288)</f>
        <v>4</v>
      </c>
      <c r="J288" s="43" t="s">
        <v>670</v>
      </c>
      <c r="K288" s="43" t="s">
        <v>671</v>
      </c>
      <c r="L288" s="47" t="s">
        <v>807</v>
      </c>
      <c r="M288" s="43" t="s">
        <v>1030</v>
      </c>
      <c r="N288" s="43" t="str">
        <f t="shared" si="9"/>
        <v>Rua A · Prat 9 · C-54</v>
      </c>
      <c r="P288">
        <f>IF(A288="","",IF(AND(K288&lt;&gt;"",L288&lt;&gt;""),IF(COUNTIFS($K$6:K288,K288,$L$6:L288,L288)=1,1,0),0))</f>
        <v>0</v>
      </c>
      <c r="Q288">
        <f>IF(A288="","",IF(AND(K288&lt;&gt;"",M288&lt;&gt;""),IF(COUNTIFS($K$6:K288,K288,$M$6:M288,M288)=1,1,0),0))</f>
        <v>1</v>
      </c>
      <c r="R288">
        <f>IF(A288="","",IF(M288&lt;&gt;"",IF(COUNTIF($M$6:M288,M288)=1,1,0),0))</f>
        <v>1</v>
      </c>
      <c r="T288" t="str">
        <f>IF(AND($M288&lt;&gt;"",$M288='Mapa do Galpão'!$C$20),COUNTIF($M$6:$M288,'Mapa do Galpão'!$C$20),"")</f>
        <v/>
      </c>
    </row>
    <row r="289" spans="1:20" ht="14.25" hidden="1" customHeight="1" x14ac:dyDescent="0.3">
      <c r="A289" s="43" t="s">
        <v>1031</v>
      </c>
      <c r="B289" s="44" t="s">
        <v>665</v>
      </c>
      <c r="C289" s="165" t="s">
        <v>302</v>
      </c>
      <c r="D289" s="45" t="str">
        <f t="shared" si="8"/>
        <v>Masculino</v>
      </c>
      <c r="E289" s="43" t="s">
        <v>666</v>
      </c>
      <c r="F289" s="43" t="s">
        <v>1029</v>
      </c>
      <c r="G289" s="43" t="s">
        <v>798</v>
      </c>
      <c r="H289" s="43" t="s">
        <v>680</v>
      </c>
      <c r="I289" s="46">
        <f>SUMIFS(Movimentações!$F$6:$F$4998,Movimentações!$C$6:$C$4998,A289,Movimentações!$M$6:$M$4998,M289)</f>
        <v>3</v>
      </c>
      <c r="J289" s="43" t="s">
        <v>670</v>
      </c>
      <c r="K289" s="43" t="s">
        <v>671</v>
      </c>
      <c r="L289" s="47" t="s">
        <v>807</v>
      </c>
      <c r="M289" s="43" t="s">
        <v>1030</v>
      </c>
      <c r="N289" s="43" t="str">
        <f t="shared" si="9"/>
        <v>Rua A · Prat 9 · C-54</v>
      </c>
      <c r="P289">
        <f>IF(A289="","",IF(AND(K289&lt;&gt;"",L289&lt;&gt;""),IF(COUNTIFS($K$6:K289,K289,$L$6:L289,L289)=1,1,0),0))</f>
        <v>0</v>
      </c>
      <c r="Q289">
        <f>IF(A289="","",IF(AND(K289&lt;&gt;"",M289&lt;&gt;""),IF(COUNTIFS($K$6:K289,K289,$M$6:M289,M289)=1,1,0),0))</f>
        <v>0</v>
      </c>
      <c r="R289">
        <f>IF(A289="","",IF(M289&lt;&gt;"",IF(COUNTIF($M$6:M289,M289)=1,1,0),0))</f>
        <v>0</v>
      </c>
      <c r="T289" t="str">
        <f>IF(AND($M289&lt;&gt;"",$M289='Mapa do Galpão'!$C$20),COUNTIF($M$6:$M289,'Mapa do Galpão'!$C$20),"")</f>
        <v/>
      </c>
    </row>
    <row r="290" spans="1:20" ht="14.25" hidden="1" customHeight="1" x14ac:dyDescent="0.3">
      <c r="A290" s="43" t="s">
        <v>1032</v>
      </c>
      <c r="B290" s="44" t="s">
        <v>665</v>
      </c>
      <c r="C290" s="165" t="s">
        <v>303</v>
      </c>
      <c r="D290" s="45" t="str">
        <f t="shared" si="8"/>
        <v>Masculino</v>
      </c>
      <c r="E290" s="43" t="s">
        <v>666</v>
      </c>
      <c r="F290" s="43" t="s">
        <v>1029</v>
      </c>
      <c r="G290" s="43" t="s">
        <v>798</v>
      </c>
      <c r="H290" s="43" t="s">
        <v>675</v>
      </c>
      <c r="I290" s="46">
        <f>SUMIFS(Movimentações!$F$6:$F$4998,Movimentações!$C$6:$C$4998,A290,Movimentações!$M$6:$M$4998,M290)</f>
        <v>5</v>
      </c>
      <c r="J290" s="43" t="s">
        <v>670</v>
      </c>
      <c r="K290" s="43" t="s">
        <v>671</v>
      </c>
      <c r="L290" s="47" t="s">
        <v>807</v>
      </c>
      <c r="M290" s="43" t="s">
        <v>1030</v>
      </c>
      <c r="N290" s="43" t="str">
        <f t="shared" si="9"/>
        <v>Rua A · Prat 9 · C-54</v>
      </c>
      <c r="P290">
        <f>IF(A290="","",IF(AND(K290&lt;&gt;"",L290&lt;&gt;""),IF(COUNTIFS($K$6:K290,K290,$L$6:L290,L290)=1,1,0),0))</f>
        <v>0</v>
      </c>
      <c r="Q290">
        <f>IF(A290="","",IF(AND(K290&lt;&gt;"",M290&lt;&gt;""),IF(COUNTIFS($K$6:K290,K290,$M$6:M290,M290)=1,1,0),0))</f>
        <v>0</v>
      </c>
      <c r="R290">
        <f>IF(A290="","",IF(M290&lt;&gt;"",IF(COUNTIF($M$6:M290,M290)=1,1,0),0))</f>
        <v>0</v>
      </c>
      <c r="T290" t="str">
        <f>IF(AND($M290&lt;&gt;"",$M290='Mapa do Galpão'!$C$20),COUNTIF($M$6:$M290,'Mapa do Galpão'!$C$20),"")</f>
        <v/>
      </c>
    </row>
    <row r="291" spans="1:20" ht="14.25" hidden="1" customHeight="1" x14ac:dyDescent="0.3">
      <c r="A291" s="43" t="s">
        <v>1033</v>
      </c>
      <c r="B291" s="44" t="s">
        <v>665</v>
      </c>
      <c r="C291" s="165" t="s">
        <v>304</v>
      </c>
      <c r="D291" s="45" t="str">
        <f t="shared" si="8"/>
        <v>Masculino</v>
      </c>
      <c r="E291" s="43" t="s">
        <v>666</v>
      </c>
      <c r="F291" s="43" t="s">
        <v>1029</v>
      </c>
      <c r="G291" s="43" t="s">
        <v>798</v>
      </c>
      <c r="H291" s="43" t="s">
        <v>669</v>
      </c>
      <c r="I291" s="46">
        <f>SUMIFS(Movimentações!$F$6:$F$4998,Movimentações!$C$6:$C$4998,A291,Movimentações!$M$6:$M$4998,M291)</f>
        <v>6</v>
      </c>
      <c r="J291" s="43" t="s">
        <v>670</v>
      </c>
      <c r="K291" s="43" t="s">
        <v>671</v>
      </c>
      <c r="L291" s="47" t="s">
        <v>807</v>
      </c>
      <c r="M291" s="43" t="s">
        <v>1030</v>
      </c>
      <c r="N291" s="43" t="str">
        <f t="shared" si="9"/>
        <v>Rua A · Prat 9 · C-54</v>
      </c>
      <c r="P291">
        <f>IF(A291="","",IF(AND(K291&lt;&gt;"",L291&lt;&gt;""),IF(COUNTIFS($K$6:K291,K291,$L$6:L291,L291)=1,1,0),0))</f>
        <v>0</v>
      </c>
      <c r="Q291">
        <f>IF(A291="","",IF(AND(K291&lt;&gt;"",M291&lt;&gt;""),IF(COUNTIFS($K$6:K291,K291,$M$6:M291,M291)=1,1,0),0))</f>
        <v>0</v>
      </c>
      <c r="R291">
        <f>IF(A291="","",IF(M291&lt;&gt;"",IF(COUNTIF($M$6:M291,M291)=1,1,0),0))</f>
        <v>0</v>
      </c>
      <c r="T291" t="str">
        <f>IF(AND($M291&lt;&gt;"",$M291='Mapa do Galpão'!$C$20),COUNTIF($M$6:$M291,'Mapa do Galpão'!$C$20),"")</f>
        <v/>
      </c>
    </row>
    <row r="292" spans="1:20" ht="14.25" hidden="1" customHeight="1" x14ac:dyDescent="0.3">
      <c r="A292" s="43" t="s">
        <v>1034</v>
      </c>
      <c r="B292" s="44" t="s">
        <v>665</v>
      </c>
      <c r="C292" s="165" t="s">
        <v>305</v>
      </c>
      <c r="D292" s="45" t="str">
        <f t="shared" si="8"/>
        <v>Masculino</v>
      </c>
      <c r="E292" s="43" t="s">
        <v>666</v>
      </c>
      <c r="F292" s="43" t="s">
        <v>1029</v>
      </c>
      <c r="G292" s="43" t="s">
        <v>798</v>
      </c>
      <c r="H292" s="43" t="s">
        <v>682</v>
      </c>
      <c r="I292" s="46">
        <f>SUMIFS(Movimentações!$F$6:$F$4998,Movimentações!$C$6:$C$4998,A292,Movimentações!$M$6:$M$4998,M292)</f>
        <v>4</v>
      </c>
      <c r="J292" s="43" t="s">
        <v>670</v>
      </c>
      <c r="K292" s="43" t="s">
        <v>671</v>
      </c>
      <c r="L292" s="47" t="s">
        <v>807</v>
      </c>
      <c r="M292" s="43" t="s">
        <v>1030</v>
      </c>
      <c r="N292" s="43" t="str">
        <f t="shared" si="9"/>
        <v>Rua A · Prat 9 · C-54</v>
      </c>
      <c r="P292">
        <f>IF(A292="","",IF(AND(K292&lt;&gt;"",L292&lt;&gt;""),IF(COUNTIFS($K$6:K292,K292,$L$6:L292,L292)=1,1,0),0))</f>
        <v>0</v>
      </c>
      <c r="Q292">
        <f>IF(A292="","",IF(AND(K292&lt;&gt;"",M292&lt;&gt;""),IF(COUNTIFS($K$6:K292,K292,$M$6:M292,M292)=1,1,0),0))</f>
        <v>0</v>
      </c>
      <c r="R292">
        <f>IF(A292="","",IF(M292&lt;&gt;"",IF(COUNTIF($M$6:M292,M292)=1,1,0),0))</f>
        <v>0</v>
      </c>
      <c r="T292" t="str">
        <f>IF(AND($M292&lt;&gt;"",$M292='Mapa do Galpão'!$C$20),COUNTIF($M$6:$M292,'Mapa do Galpão'!$C$20),"")</f>
        <v/>
      </c>
    </row>
    <row r="293" spans="1:20" ht="14.25" hidden="1" customHeight="1" x14ac:dyDescent="0.3">
      <c r="A293" s="43" t="s">
        <v>1035</v>
      </c>
      <c r="B293" s="44" t="s">
        <v>665</v>
      </c>
      <c r="C293" s="165" t="s">
        <v>306</v>
      </c>
      <c r="D293" s="45" t="str">
        <f t="shared" si="8"/>
        <v>Masculino</v>
      </c>
      <c r="E293" s="43" t="s">
        <v>666</v>
      </c>
      <c r="F293" s="43" t="s">
        <v>1029</v>
      </c>
      <c r="G293" s="43" t="s">
        <v>798</v>
      </c>
      <c r="H293" s="43" t="s">
        <v>677</v>
      </c>
      <c r="I293" s="46">
        <f>SUMIFS(Movimentações!$F$6:$F$4998,Movimentações!$C$6:$C$4998,A293,Movimentações!$M$6:$M$4998,M293)</f>
        <v>4</v>
      </c>
      <c r="J293" s="43" t="s">
        <v>670</v>
      </c>
      <c r="K293" s="43" t="s">
        <v>671</v>
      </c>
      <c r="L293" s="47" t="s">
        <v>807</v>
      </c>
      <c r="M293" s="43" t="s">
        <v>1030</v>
      </c>
      <c r="N293" s="43" t="str">
        <f t="shared" si="9"/>
        <v>Rua A · Prat 9 · C-54</v>
      </c>
      <c r="P293">
        <f>IF(A293="","",IF(AND(K293&lt;&gt;"",L293&lt;&gt;""),IF(COUNTIFS($K$6:K293,K293,$L$6:L293,L293)=1,1,0),0))</f>
        <v>0</v>
      </c>
      <c r="Q293">
        <f>IF(A293="","",IF(AND(K293&lt;&gt;"",M293&lt;&gt;""),IF(COUNTIFS($K$6:K293,K293,$M$6:M293,M293)=1,1,0),0))</f>
        <v>0</v>
      </c>
      <c r="R293">
        <f>IF(A293="","",IF(M293&lt;&gt;"",IF(COUNTIF($M$6:M293,M293)=1,1,0),0))</f>
        <v>0</v>
      </c>
      <c r="T293" t="str">
        <f>IF(AND($M293&lt;&gt;"",$M293='Mapa do Galpão'!$C$20),COUNTIF($M$6:$M293,'Mapa do Galpão'!$C$20),"")</f>
        <v/>
      </c>
    </row>
    <row r="294" spans="1:20" ht="14.25" hidden="1" customHeight="1" x14ac:dyDescent="0.3">
      <c r="A294" s="43" t="s">
        <v>1036</v>
      </c>
      <c r="B294" s="44" t="s">
        <v>665</v>
      </c>
      <c r="C294" s="165" t="s">
        <v>307</v>
      </c>
      <c r="D294" s="45" t="str">
        <f t="shared" si="8"/>
        <v>Feminino</v>
      </c>
      <c r="E294" s="43" t="s">
        <v>709</v>
      </c>
      <c r="F294" s="43" t="s">
        <v>1037</v>
      </c>
      <c r="G294" s="43" t="s">
        <v>956</v>
      </c>
      <c r="H294" s="43" t="s">
        <v>680</v>
      </c>
      <c r="I294" s="46">
        <f>SUMIFS(Movimentações!$F$6:$F$4998,Movimentações!$C$6:$C$4998,A294,Movimentações!$M$6:$M$4998,M294)</f>
        <v>1</v>
      </c>
      <c r="J294" s="43" t="s">
        <v>670</v>
      </c>
      <c r="K294" s="43" t="s">
        <v>671</v>
      </c>
      <c r="L294" s="47">
        <v>10</v>
      </c>
      <c r="M294" s="43" t="s">
        <v>1038</v>
      </c>
      <c r="N294" s="43" t="str">
        <f t="shared" si="9"/>
        <v>Rua A · Prat 10 · C-55</v>
      </c>
      <c r="P294">
        <f>IF(A294="","",IF(AND(K294&lt;&gt;"",L294&lt;&gt;""),IF(COUNTIFS($K$6:K294,K294,$L$6:L294,L294)=1,1,0),0))</f>
        <v>0</v>
      </c>
      <c r="Q294">
        <f>IF(A294="","",IF(AND(K294&lt;&gt;"",M294&lt;&gt;""),IF(COUNTIFS($K$6:K294,K294,$M$6:M294,M294)=1,1,0),0))</f>
        <v>1</v>
      </c>
      <c r="R294">
        <f>IF(A294="","",IF(M294&lt;&gt;"",IF(COUNTIF($M$6:M294,M294)=1,1,0),0))</f>
        <v>1</v>
      </c>
      <c r="T294" t="str">
        <f>IF(AND($M294&lt;&gt;"",$M294='Mapa do Galpão'!$C$20),COUNTIF($M$6:$M294,'Mapa do Galpão'!$C$20),"")</f>
        <v/>
      </c>
    </row>
    <row r="295" spans="1:20" ht="14.25" hidden="1" customHeight="1" x14ac:dyDescent="0.3">
      <c r="A295" s="43" t="s">
        <v>1039</v>
      </c>
      <c r="B295" s="44" t="s">
        <v>665</v>
      </c>
      <c r="C295" s="165" t="s">
        <v>308</v>
      </c>
      <c r="D295" s="45" t="str">
        <f t="shared" si="8"/>
        <v>Feminino</v>
      </c>
      <c r="E295" s="43" t="s">
        <v>709</v>
      </c>
      <c r="F295" s="43" t="s">
        <v>1037</v>
      </c>
      <c r="G295" s="43" t="s">
        <v>956</v>
      </c>
      <c r="H295" s="43" t="s">
        <v>675</v>
      </c>
      <c r="I295" s="46">
        <f>SUMIFS(Movimentações!$F$6:$F$4998,Movimentações!$C$6:$C$4998,A295,Movimentações!$M$6:$M$4998,M295)</f>
        <v>1</v>
      </c>
      <c r="J295" s="43" t="s">
        <v>670</v>
      </c>
      <c r="K295" s="43" t="s">
        <v>671</v>
      </c>
      <c r="L295" s="47">
        <v>10</v>
      </c>
      <c r="M295" s="43" t="s">
        <v>1038</v>
      </c>
      <c r="N295" s="43" t="str">
        <f t="shared" si="9"/>
        <v>Rua A · Prat 10 · C-55</v>
      </c>
      <c r="P295">
        <f>IF(A295="","",IF(AND(K295&lt;&gt;"",L295&lt;&gt;""),IF(COUNTIFS($K$6:K295,K295,$L$6:L295,L295)=1,1,0),0))</f>
        <v>0</v>
      </c>
      <c r="Q295">
        <f>IF(A295="","",IF(AND(K295&lt;&gt;"",M295&lt;&gt;""),IF(COUNTIFS($K$6:K295,K295,$M$6:M295,M295)=1,1,0),0))</f>
        <v>0</v>
      </c>
      <c r="R295">
        <f>IF(A295="","",IF(M295&lt;&gt;"",IF(COUNTIF($M$6:M295,M295)=1,1,0),0))</f>
        <v>0</v>
      </c>
      <c r="T295" t="str">
        <f>IF(AND($M295&lt;&gt;"",$M295='Mapa do Galpão'!$C$20),COUNTIF($M$6:$M295,'Mapa do Galpão'!$C$20),"")</f>
        <v/>
      </c>
    </row>
    <row r="296" spans="1:20" ht="14.25" hidden="1" customHeight="1" x14ac:dyDescent="0.3">
      <c r="A296" s="43" t="s">
        <v>1040</v>
      </c>
      <c r="B296" s="44" t="s">
        <v>665</v>
      </c>
      <c r="C296" s="165" t="s">
        <v>309</v>
      </c>
      <c r="D296" s="45" t="str">
        <f t="shared" si="8"/>
        <v>Feminino</v>
      </c>
      <c r="E296" s="43" t="s">
        <v>709</v>
      </c>
      <c r="F296" s="43" t="s">
        <v>1037</v>
      </c>
      <c r="G296" s="43" t="s">
        <v>956</v>
      </c>
      <c r="H296" s="43" t="s">
        <v>669</v>
      </c>
      <c r="I296" s="46">
        <f>SUMIFS(Movimentações!$F$6:$F$4998,Movimentações!$C$6:$C$4998,A296,Movimentações!$M$6:$M$4998,M296)</f>
        <v>4</v>
      </c>
      <c r="J296" s="43" t="s">
        <v>670</v>
      </c>
      <c r="K296" s="43" t="s">
        <v>671</v>
      </c>
      <c r="L296" s="47">
        <v>10</v>
      </c>
      <c r="M296" s="43" t="s">
        <v>1038</v>
      </c>
      <c r="N296" s="43" t="str">
        <f t="shared" si="9"/>
        <v>Rua A · Prat 10 · C-55</v>
      </c>
      <c r="P296">
        <f>IF(A296="","",IF(AND(K296&lt;&gt;"",L296&lt;&gt;""),IF(COUNTIFS($K$6:K296,K296,$L$6:L296,L296)=1,1,0),0))</f>
        <v>0</v>
      </c>
      <c r="Q296">
        <f>IF(A296="","",IF(AND(K296&lt;&gt;"",M296&lt;&gt;""),IF(COUNTIFS($K$6:K296,K296,$M$6:M296,M296)=1,1,0),0))</f>
        <v>0</v>
      </c>
      <c r="R296">
        <f>IF(A296="","",IF(M296&lt;&gt;"",IF(COUNTIF($M$6:M296,M296)=1,1,0),0))</f>
        <v>0</v>
      </c>
      <c r="T296" t="str">
        <f>IF(AND($M296&lt;&gt;"",$M296='Mapa do Galpão'!$C$20),COUNTIF($M$6:$M296,'Mapa do Galpão'!$C$20),"")</f>
        <v/>
      </c>
    </row>
    <row r="297" spans="1:20" ht="14.25" hidden="1" customHeight="1" x14ac:dyDescent="0.3">
      <c r="A297" s="43" t="s">
        <v>1041</v>
      </c>
      <c r="B297" s="44" t="s">
        <v>665</v>
      </c>
      <c r="C297" s="165" t="s">
        <v>310</v>
      </c>
      <c r="D297" s="45" t="str">
        <f t="shared" si="8"/>
        <v>Feminino</v>
      </c>
      <c r="E297" s="43" t="s">
        <v>709</v>
      </c>
      <c r="F297" s="43" t="s">
        <v>1037</v>
      </c>
      <c r="G297" s="43" t="s">
        <v>956</v>
      </c>
      <c r="H297" s="43" t="s">
        <v>682</v>
      </c>
      <c r="I297" s="46">
        <f>SUMIFS(Movimentações!$F$6:$F$4998,Movimentações!$C$6:$C$4998,A297,Movimentações!$M$6:$M$4998,M297)</f>
        <v>1</v>
      </c>
      <c r="J297" s="43" t="s">
        <v>670</v>
      </c>
      <c r="K297" s="43" t="s">
        <v>671</v>
      </c>
      <c r="L297" s="47">
        <v>10</v>
      </c>
      <c r="M297" s="43" t="s">
        <v>1038</v>
      </c>
      <c r="N297" s="43" t="str">
        <f t="shared" si="9"/>
        <v>Rua A · Prat 10 · C-55</v>
      </c>
      <c r="P297">
        <f>IF(A297="","",IF(AND(K297&lt;&gt;"",L297&lt;&gt;""),IF(COUNTIFS($K$6:K297,K297,$L$6:L297,L297)=1,1,0),0))</f>
        <v>0</v>
      </c>
      <c r="Q297">
        <f>IF(A297="","",IF(AND(K297&lt;&gt;"",M297&lt;&gt;""),IF(COUNTIFS($K$6:K297,K297,$M$6:M297,M297)=1,1,0),0))</f>
        <v>0</v>
      </c>
      <c r="R297">
        <f>IF(A297="","",IF(M297&lt;&gt;"",IF(COUNTIF($M$6:M297,M297)=1,1,0),0))</f>
        <v>0</v>
      </c>
      <c r="T297" t="str">
        <f>IF(AND($M297&lt;&gt;"",$M297='Mapa do Galpão'!$C$20),COUNTIF($M$6:$M297,'Mapa do Galpão'!$C$20),"")</f>
        <v/>
      </c>
    </row>
    <row r="298" spans="1:20" ht="14.25" hidden="1" customHeight="1" x14ac:dyDescent="0.3">
      <c r="A298" s="43" t="s">
        <v>1042</v>
      </c>
      <c r="B298" s="44" t="s">
        <v>665</v>
      </c>
      <c r="C298" s="165" t="s">
        <v>311</v>
      </c>
      <c r="D298" s="45" t="str">
        <f t="shared" si="8"/>
        <v>Masculino</v>
      </c>
      <c r="E298" s="43" t="s">
        <v>666</v>
      </c>
      <c r="F298" s="43" t="s">
        <v>1043</v>
      </c>
      <c r="G298" s="43" t="s">
        <v>956</v>
      </c>
      <c r="H298" s="43" t="s">
        <v>756</v>
      </c>
      <c r="I298" s="46">
        <f>SUMIFS(Movimentações!$F$6:$F$4998,Movimentações!$C$6:$C$4998,A298,Movimentações!$M$6:$M$4998,M298)</f>
        <v>3</v>
      </c>
      <c r="J298" s="43" t="s">
        <v>670</v>
      </c>
      <c r="K298" s="43" t="s">
        <v>671</v>
      </c>
      <c r="L298" s="47" t="s">
        <v>807</v>
      </c>
      <c r="M298" s="43" t="s">
        <v>1044</v>
      </c>
      <c r="N298" s="43" t="str">
        <f t="shared" si="9"/>
        <v>Rua A · Prat 9 · C-57</v>
      </c>
      <c r="P298">
        <f>IF(A298="","",IF(AND(K298&lt;&gt;"",L298&lt;&gt;""),IF(COUNTIFS($K$6:K298,K298,$L$6:L298,L298)=1,1,0),0))</f>
        <v>0</v>
      </c>
      <c r="Q298">
        <f>IF(A298="","",IF(AND(K298&lt;&gt;"",M298&lt;&gt;""),IF(COUNTIFS($K$6:K298,K298,$M$6:M298,M298)=1,1,0),0))</f>
        <v>1</v>
      </c>
      <c r="R298">
        <f>IF(A298="","",IF(M298&lt;&gt;"",IF(COUNTIF($M$6:M298,M298)=1,1,0),0))</f>
        <v>1</v>
      </c>
      <c r="T298" t="str">
        <f>IF(AND($M298&lt;&gt;"",$M298='Mapa do Galpão'!$C$20),COUNTIF($M$6:$M298,'Mapa do Galpão'!$C$20),"")</f>
        <v/>
      </c>
    </row>
    <row r="299" spans="1:20" ht="14.25" hidden="1" customHeight="1" x14ac:dyDescent="0.3">
      <c r="A299" s="43" t="s">
        <v>1045</v>
      </c>
      <c r="B299" s="44" t="s">
        <v>665</v>
      </c>
      <c r="C299" s="165" t="s">
        <v>312</v>
      </c>
      <c r="D299" s="45" t="str">
        <f t="shared" si="8"/>
        <v>Masculino</v>
      </c>
      <c r="E299" s="43" t="s">
        <v>666</v>
      </c>
      <c r="F299" s="43" t="s">
        <v>1043</v>
      </c>
      <c r="G299" s="43" t="s">
        <v>956</v>
      </c>
      <c r="H299" s="43" t="s">
        <v>680</v>
      </c>
      <c r="I299" s="46">
        <f>SUMIFS(Movimentações!$F$6:$F$4998,Movimentações!$C$6:$C$4998,A299,Movimentações!$M$6:$M$4998,M299)</f>
        <v>5</v>
      </c>
      <c r="J299" s="43" t="s">
        <v>670</v>
      </c>
      <c r="K299" s="43" t="s">
        <v>671</v>
      </c>
      <c r="L299" s="47" t="s">
        <v>807</v>
      </c>
      <c r="M299" s="43" t="s">
        <v>1044</v>
      </c>
      <c r="N299" s="43" t="str">
        <f t="shared" si="9"/>
        <v>Rua A · Prat 9 · C-57</v>
      </c>
      <c r="P299">
        <f>IF(A299="","",IF(AND(K299&lt;&gt;"",L299&lt;&gt;""),IF(COUNTIFS($K$6:K299,K299,$L$6:L299,L299)=1,1,0),0))</f>
        <v>0</v>
      </c>
      <c r="Q299">
        <f>IF(A299="","",IF(AND(K299&lt;&gt;"",M299&lt;&gt;""),IF(COUNTIFS($K$6:K299,K299,$M$6:M299,M299)=1,1,0),0))</f>
        <v>0</v>
      </c>
      <c r="R299">
        <f>IF(A299="","",IF(M299&lt;&gt;"",IF(COUNTIF($M$6:M299,M299)=1,1,0),0))</f>
        <v>0</v>
      </c>
      <c r="T299" t="str">
        <f>IF(AND($M299&lt;&gt;"",$M299='Mapa do Galpão'!$C$20),COUNTIF($M$6:$M299,'Mapa do Galpão'!$C$20),"")</f>
        <v/>
      </c>
    </row>
    <row r="300" spans="1:20" ht="14.25" hidden="1" customHeight="1" x14ac:dyDescent="0.3">
      <c r="A300" s="43" t="s">
        <v>1046</v>
      </c>
      <c r="B300" s="44" t="s">
        <v>665</v>
      </c>
      <c r="C300" s="165" t="s">
        <v>313</v>
      </c>
      <c r="D300" s="45" t="str">
        <f t="shared" si="8"/>
        <v>Masculino</v>
      </c>
      <c r="E300" s="43" t="s">
        <v>666</v>
      </c>
      <c r="F300" s="43" t="s">
        <v>1043</v>
      </c>
      <c r="G300" s="43" t="s">
        <v>956</v>
      </c>
      <c r="H300" s="43" t="s">
        <v>675</v>
      </c>
      <c r="I300" s="46">
        <f>SUMIFS(Movimentações!$F$6:$F$4998,Movimentações!$C$6:$C$4998,A300,Movimentações!$M$6:$M$4998,M300)</f>
        <v>9</v>
      </c>
      <c r="J300" s="43" t="s">
        <v>670</v>
      </c>
      <c r="K300" s="43" t="s">
        <v>671</v>
      </c>
      <c r="L300" s="47" t="s">
        <v>807</v>
      </c>
      <c r="M300" s="43" t="s">
        <v>1044</v>
      </c>
      <c r="N300" s="43" t="str">
        <f t="shared" si="9"/>
        <v>Rua A · Prat 9 · C-57</v>
      </c>
      <c r="P300">
        <f>IF(A300="","",IF(AND(K300&lt;&gt;"",L300&lt;&gt;""),IF(COUNTIFS($K$6:K300,K300,$L$6:L300,L300)=1,1,0),0))</f>
        <v>0</v>
      </c>
      <c r="Q300">
        <f>IF(A300="","",IF(AND(K300&lt;&gt;"",M300&lt;&gt;""),IF(COUNTIFS($K$6:K300,K300,$M$6:M300,M300)=1,1,0),0))</f>
        <v>0</v>
      </c>
      <c r="R300">
        <f>IF(A300="","",IF(M300&lt;&gt;"",IF(COUNTIF($M$6:M300,M300)=1,1,0),0))</f>
        <v>0</v>
      </c>
      <c r="T300" t="str">
        <f>IF(AND($M300&lt;&gt;"",$M300='Mapa do Galpão'!$C$20),COUNTIF($M$6:$M300,'Mapa do Galpão'!$C$20),"")</f>
        <v/>
      </c>
    </row>
    <row r="301" spans="1:20" ht="14.25" hidden="1" customHeight="1" x14ac:dyDescent="0.3">
      <c r="A301" s="43" t="s">
        <v>1047</v>
      </c>
      <c r="B301" s="44" t="s">
        <v>665</v>
      </c>
      <c r="C301" s="165" t="s">
        <v>314</v>
      </c>
      <c r="D301" s="45" t="str">
        <f t="shared" si="8"/>
        <v>Masculino</v>
      </c>
      <c r="E301" s="43" t="s">
        <v>666</v>
      </c>
      <c r="F301" s="43" t="s">
        <v>1043</v>
      </c>
      <c r="G301" s="43" t="s">
        <v>956</v>
      </c>
      <c r="H301" s="43" t="s">
        <v>682</v>
      </c>
      <c r="I301" s="46">
        <f>SUMIFS(Movimentações!$F$6:$F$4998,Movimentações!$C$6:$C$4998,A301,Movimentações!$M$6:$M$4998,M301)</f>
        <v>11</v>
      </c>
      <c r="J301" s="43" t="s">
        <v>670</v>
      </c>
      <c r="K301" s="43" t="s">
        <v>671</v>
      </c>
      <c r="L301" s="47" t="s">
        <v>807</v>
      </c>
      <c r="M301" s="43" t="s">
        <v>1044</v>
      </c>
      <c r="N301" s="43" t="str">
        <f t="shared" si="9"/>
        <v>Rua A · Prat 9 · C-57</v>
      </c>
      <c r="P301">
        <f>IF(A301="","",IF(AND(K301&lt;&gt;"",L301&lt;&gt;""),IF(COUNTIFS($K$6:K301,K301,$L$6:L301,L301)=1,1,0),0))</f>
        <v>0</v>
      </c>
      <c r="Q301">
        <f>IF(A301="","",IF(AND(K301&lt;&gt;"",M301&lt;&gt;""),IF(COUNTIFS($K$6:K301,K301,$M$6:M301,M301)=1,1,0),0))</f>
        <v>0</v>
      </c>
      <c r="R301">
        <f>IF(A301="","",IF(M301&lt;&gt;"",IF(COUNTIF($M$6:M301,M301)=1,1,0),0))</f>
        <v>0</v>
      </c>
      <c r="T301" t="str">
        <f>IF(AND($M301&lt;&gt;"",$M301='Mapa do Galpão'!$C$20),COUNTIF($M$6:$M301,'Mapa do Galpão'!$C$20),"")</f>
        <v/>
      </c>
    </row>
    <row r="302" spans="1:20" ht="14.25" hidden="1" customHeight="1" x14ac:dyDescent="0.3">
      <c r="A302" s="43" t="s">
        <v>1048</v>
      </c>
      <c r="B302" s="44" t="s">
        <v>665</v>
      </c>
      <c r="C302" s="165" t="s">
        <v>315</v>
      </c>
      <c r="D302" s="45" t="str">
        <f t="shared" si="8"/>
        <v>Masculino</v>
      </c>
      <c r="E302" s="43" t="s">
        <v>666</v>
      </c>
      <c r="F302" s="43" t="s">
        <v>1043</v>
      </c>
      <c r="G302" s="43" t="s">
        <v>956</v>
      </c>
      <c r="H302" s="43" t="s">
        <v>677</v>
      </c>
      <c r="I302" s="46">
        <f>SUMIFS(Movimentações!$F$6:$F$4998,Movimentações!$C$6:$C$4998,A302,Movimentações!$M$6:$M$4998,M302)</f>
        <v>5</v>
      </c>
      <c r="J302" s="43" t="s">
        <v>670</v>
      </c>
      <c r="K302" s="43" t="s">
        <v>671</v>
      </c>
      <c r="L302" s="47" t="s">
        <v>807</v>
      </c>
      <c r="M302" s="43" t="s">
        <v>1044</v>
      </c>
      <c r="N302" s="43" t="str">
        <f t="shared" si="9"/>
        <v>Rua A · Prat 9 · C-57</v>
      </c>
      <c r="P302">
        <f>IF(A302="","",IF(AND(K302&lt;&gt;"",L302&lt;&gt;""),IF(COUNTIFS($K$6:K302,K302,$L$6:L302,L302)=1,1,0),0))</f>
        <v>0</v>
      </c>
      <c r="Q302">
        <f>IF(A302="","",IF(AND(K302&lt;&gt;"",M302&lt;&gt;""),IF(COUNTIFS($K$6:K302,K302,$M$6:M302,M302)=1,1,0),0))</f>
        <v>0</v>
      </c>
      <c r="R302">
        <f>IF(A302="","",IF(M302&lt;&gt;"",IF(COUNTIF($M$6:M302,M302)=1,1,0),0))</f>
        <v>0</v>
      </c>
      <c r="T302" t="str">
        <f>IF(AND($M302&lt;&gt;"",$M302='Mapa do Galpão'!$C$20),COUNTIF($M$6:$M302,'Mapa do Galpão'!$C$20),"")</f>
        <v/>
      </c>
    </row>
    <row r="303" spans="1:20" ht="14.25" hidden="1" customHeight="1" x14ac:dyDescent="0.3">
      <c r="A303" s="43" t="s">
        <v>1049</v>
      </c>
      <c r="B303" s="44" t="s">
        <v>665</v>
      </c>
      <c r="C303" s="165" t="s">
        <v>316</v>
      </c>
      <c r="D303" s="45" t="str">
        <f t="shared" si="8"/>
        <v>Masculino</v>
      </c>
      <c r="E303" s="43" t="s">
        <v>709</v>
      </c>
      <c r="F303" s="43" t="s">
        <v>867</v>
      </c>
      <c r="G303" s="43" t="s">
        <v>798</v>
      </c>
      <c r="H303" s="43" t="s">
        <v>680</v>
      </c>
      <c r="I303" s="46">
        <f>SUMIFS(Movimentações!$F$6:$F$4998,Movimentações!$C$6:$C$4998,A303,Movimentações!$M$6:$M$4998,M303)</f>
        <v>4</v>
      </c>
      <c r="J303" s="43" t="s">
        <v>670</v>
      </c>
      <c r="K303" s="43" t="s">
        <v>671</v>
      </c>
      <c r="L303" s="47">
        <v>10</v>
      </c>
      <c r="M303" s="43" t="s">
        <v>1050</v>
      </c>
      <c r="N303" s="43" t="str">
        <f t="shared" si="9"/>
        <v>Rua A · Prat 10 · C-59</v>
      </c>
      <c r="P303">
        <f>IF(A303="","",IF(AND(K303&lt;&gt;"",L303&lt;&gt;""),IF(COUNTIFS($K$6:K303,K303,$L$6:L303,L303)=1,1,0),0))</f>
        <v>0</v>
      </c>
      <c r="Q303">
        <f>IF(A303="","",IF(AND(K303&lt;&gt;"",M303&lt;&gt;""),IF(COUNTIFS($K$6:K303,K303,$M$6:M303,M303)=1,1,0),0))</f>
        <v>1</v>
      </c>
      <c r="R303">
        <f>IF(A303="","",IF(M303&lt;&gt;"",IF(COUNTIF($M$6:M303,M303)=1,1,0),0))</f>
        <v>1</v>
      </c>
      <c r="T303" t="str">
        <f>IF(AND($M303&lt;&gt;"",$M303='Mapa do Galpão'!$C$20),COUNTIF($M$6:$M303,'Mapa do Galpão'!$C$20),"")</f>
        <v/>
      </c>
    </row>
    <row r="304" spans="1:20" ht="14.25" hidden="1" customHeight="1" x14ac:dyDescent="0.3">
      <c r="A304" s="43" t="s">
        <v>1051</v>
      </c>
      <c r="B304" s="44" t="s">
        <v>665</v>
      </c>
      <c r="C304" s="165" t="s">
        <v>317</v>
      </c>
      <c r="D304" s="45" t="str">
        <f t="shared" si="8"/>
        <v>Masculino</v>
      </c>
      <c r="E304" s="43" t="s">
        <v>709</v>
      </c>
      <c r="F304" s="43" t="s">
        <v>867</v>
      </c>
      <c r="G304" s="43" t="s">
        <v>798</v>
      </c>
      <c r="H304" s="43" t="s">
        <v>675</v>
      </c>
      <c r="I304" s="46">
        <f>SUMIFS(Movimentações!$F$6:$F$4998,Movimentações!$C$6:$C$4998,A304,Movimentações!$M$6:$M$4998,M304)</f>
        <v>2</v>
      </c>
      <c r="J304" s="43" t="s">
        <v>670</v>
      </c>
      <c r="K304" s="43" t="s">
        <v>671</v>
      </c>
      <c r="L304" s="47">
        <v>10</v>
      </c>
      <c r="M304" s="43" t="s">
        <v>1050</v>
      </c>
      <c r="N304" s="43" t="str">
        <f t="shared" si="9"/>
        <v>Rua A · Prat 10 · C-59</v>
      </c>
      <c r="P304">
        <f>IF(A304="","",IF(AND(K304&lt;&gt;"",L304&lt;&gt;""),IF(COUNTIFS($K$6:K304,K304,$L$6:L304,L304)=1,1,0),0))</f>
        <v>0</v>
      </c>
      <c r="Q304">
        <f>IF(A304="","",IF(AND(K304&lt;&gt;"",M304&lt;&gt;""),IF(COUNTIFS($K$6:K304,K304,$M$6:M304,M304)=1,1,0),0))</f>
        <v>0</v>
      </c>
      <c r="R304">
        <f>IF(A304="","",IF(M304&lt;&gt;"",IF(COUNTIF($M$6:M304,M304)=1,1,0),0))</f>
        <v>0</v>
      </c>
      <c r="T304" t="str">
        <f>IF(AND($M304&lt;&gt;"",$M304='Mapa do Galpão'!$C$20),COUNTIF($M$6:$M304,'Mapa do Galpão'!$C$20),"")</f>
        <v/>
      </c>
    </row>
    <row r="305" spans="1:20" ht="14.25" hidden="1" customHeight="1" x14ac:dyDescent="0.3">
      <c r="A305" s="43" t="s">
        <v>1052</v>
      </c>
      <c r="B305" s="44" t="s">
        <v>665</v>
      </c>
      <c r="C305" s="165" t="s">
        <v>318</v>
      </c>
      <c r="D305" s="45" t="str">
        <f t="shared" si="8"/>
        <v>Masculino</v>
      </c>
      <c r="E305" s="43" t="s">
        <v>709</v>
      </c>
      <c r="F305" s="43" t="s">
        <v>867</v>
      </c>
      <c r="G305" s="43" t="s">
        <v>798</v>
      </c>
      <c r="H305" s="43" t="s">
        <v>669</v>
      </c>
      <c r="I305" s="46">
        <f>SUMIFS(Movimentações!$F$6:$F$4998,Movimentações!$C$6:$C$4998,A305,Movimentações!$M$6:$M$4998,M305)</f>
        <v>3</v>
      </c>
      <c r="J305" s="43" t="s">
        <v>670</v>
      </c>
      <c r="K305" s="43" t="s">
        <v>671</v>
      </c>
      <c r="L305" s="47">
        <v>10</v>
      </c>
      <c r="M305" s="43" t="s">
        <v>1050</v>
      </c>
      <c r="N305" s="43" t="str">
        <f t="shared" si="9"/>
        <v>Rua A · Prat 10 · C-59</v>
      </c>
      <c r="P305">
        <f>IF(A305="","",IF(AND(K305&lt;&gt;"",L305&lt;&gt;""),IF(COUNTIFS($K$6:K305,K305,$L$6:L305,L305)=1,1,0),0))</f>
        <v>0</v>
      </c>
      <c r="Q305">
        <f>IF(A305="","",IF(AND(K305&lt;&gt;"",M305&lt;&gt;""),IF(COUNTIFS($K$6:K305,K305,$M$6:M305,M305)=1,1,0),0))</f>
        <v>0</v>
      </c>
      <c r="R305">
        <f>IF(A305="","",IF(M305&lt;&gt;"",IF(COUNTIF($M$6:M305,M305)=1,1,0),0))</f>
        <v>0</v>
      </c>
      <c r="T305" t="str">
        <f>IF(AND($M305&lt;&gt;"",$M305='Mapa do Galpão'!$C$20),COUNTIF($M$6:$M305,'Mapa do Galpão'!$C$20),"")</f>
        <v/>
      </c>
    </row>
    <row r="306" spans="1:20" ht="14.25" hidden="1" customHeight="1" x14ac:dyDescent="0.3">
      <c r="A306" s="43" t="s">
        <v>1053</v>
      </c>
      <c r="B306" s="44" t="s">
        <v>665</v>
      </c>
      <c r="C306" s="165" t="s">
        <v>319</v>
      </c>
      <c r="D306" s="45" t="str">
        <f t="shared" si="8"/>
        <v>Masculino</v>
      </c>
      <c r="E306" s="43" t="s">
        <v>709</v>
      </c>
      <c r="F306" s="43" t="s">
        <v>867</v>
      </c>
      <c r="G306" s="43" t="s">
        <v>798</v>
      </c>
      <c r="H306" s="43" t="s">
        <v>682</v>
      </c>
      <c r="I306" s="46">
        <f>SUMIFS(Movimentações!$F$6:$F$4998,Movimentações!$C$6:$C$4998,A306,Movimentações!$M$6:$M$4998,M306)</f>
        <v>2</v>
      </c>
      <c r="J306" s="43" t="s">
        <v>670</v>
      </c>
      <c r="K306" s="43" t="s">
        <v>671</v>
      </c>
      <c r="L306" s="47">
        <v>10</v>
      </c>
      <c r="M306" s="43" t="s">
        <v>1050</v>
      </c>
      <c r="N306" s="43" t="str">
        <f t="shared" si="9"/>
        <v>Rua A · Prat 10 · C-59</v>
      </c>
      <c r="P306">
        <f>IF(A306="","",IF(AND(K306&lt;&gt;"",L306&lt;&gt;""),IF(COUNTIFS($K$6:K306,K306,$L$6:L306,L306)=1,1,0),0))</f>
        <v>0</v>
      </c>
      <c r="Q306">
        <f>IF(A306="","",IF(AND(K306&lt;&gt;"",M306&lt;&gt;""),IF(COUNTIFS($K$6:K306,K306,$M$6:M306,M306)=1,1,0),0))</f>
        <v>0</v>
      </c>
      <c r="R306">
        <f>IF(A306="","",IF(M306&lt;&gt;"",IF(COUNTIF($M$6:M306,M306)=1,1,0),0))</f>
        <v>0</v>
      </c>
      <c r="T306" t="str">
        <f>IF(AND($M306&lt;&gt;"",$M306='Mapa do Galpão'!$C$20),COUNTIF($M$6:$M306,'Mapa do Galpão'!$C$20),"")</f>
        <v/>
      </c>
    </row>
    <row r="307" spans="1:20" ht="14.25" hidden="1" customHeight="1" x14ac:dyDescent="0.3">
      <c r="A307" s="43" t="s">
        <v>1054</v>
      </c>
      <c r="B307" s="44" t="s">
        <v>665</v>
      </c>
      <c r="C307" s="165" t="s">
        <v>320</v>
      </c>
      <c r="D307" s="45" t="str">
        <f t="shared" si="8"/>
        <v>Masculino</v>
      </c>
      <c r="E307" s="43" t="s">
        <v>709</v>
      </c>
      <c r="F307" s="43" t="s">
        <v>1055</v>
      </c>
      <c r="G307" s="43" t="s">
        <v>798</v>
      </c>
      <c r="H307" s="43" t="s">
        <v>680</v>
      </c>
      <c r="I307" s="46">
        <f>SUMIFS(Movimentações!$F$6:$F$4998,Movimentações!$C$6:$C$4998,A307,Movimentações!$M$6:$M$4998,M307)</f>
        <v>1</v>
      </c>
      <c r="J307" s="43" t="s">
        <v>670</v>
      </c>
      <c r="K307" s="43" t="s">
        <v>671</v>
      </c>
      <c r="L307" s="47">
        <v>10</v>
      </c>
      <c r="M307" s="43" t="s">
        <v>1056</v>
      </c>
      <c r="N307" s="43" t="str">
        <f t="shared" si="9"/>
        <v>Rua A · Prat 10 · C-60</v>
      </c>
      <c r="P307">
        <f>IF(A307="","",IF(AND(K307&lt;&gt;"",L307&lt;&gt;""),IF(COUNTIFS($K$6:K307,K307,$L$6:L307,L307)=1,1,0),0))</f>
        <v>0</v>
      </c>
      <c r="Q307">
        <f>IF(A307="","",IF(AND(K307&lt;&gt;"",M307&lt;&gt;""),IF(COUNTIFS($K$6:K307,K307,$M$6:M307,M307)=1,1,0),0))</f>
        <v>1</v>
      </c>
      <c r="R307">
        <f>IF(A307="","",IF(M307&lt;&gt;"",IF(COUNTIF($M$6:M307,M307)=1,1,0),0))</f>
        <v>1</v>
      </c>
      <c r="T307" t="str">
        <f>IF(AND($M307&lt;&gt;"",$M307='Mapa do Galpão'!$C$20),COUNTIF($M$6:$M307,'Mapa do Galpão'!$C$20),"")</f>
        <v/>
      </c>
    </row>
    <row r="308" spans="1:20" ht="14.25" hidden="1" customHeight="1" x14ac:dyDescent="0.3">
      <c r="A308" s="43" t="s">
        <v>1057</v>
      </c>
      <c r="B308" s="44" t="s">
        <v>665</v>
      </c>
      <c r="C308" s="165" t="s">
        <v>321</v>
      </c>
      <c r="D308" s="45" t="str">
        <f t="shared" si="8"/>
        <v>Masculino</v>
      </c>
      <c r="E308" s="43" t="s">
        <v>709</v>
      </c>
      <c r="F308" s="43" t="s">
        <v>1055</v>
      </c>
      <c r="G308" s="43" t="s">
        <v>798</v>
      </c>
      <c r="H308" s="43" t="s">
        <v>682</v>
      </c>
      <c r="I308" s="46">
        <f>SUMIFS(Movimentações!$F$6:$F$4998,Movimentações!$C$6:$C$4998,A308,Movimentações!$M$6:$M$4998,M308)</f>
        <v>7</v>
      </c>
      <c r="J308" s="43" t="s">
        <v>670</v>
      </c>
      <c r="K308" s="43" t="s">
        <v>671</v>
      </c>
      <c r="L308" s="47">
        <v>10</v>
      </c>
      <c r="M308" s="43" t="s">
        <v>1056</v>
      </c>
      <c r="N308" s="43" t="str">
        <f t="shared" si="9"/>
        <v>Rua A · Prat 10 · C-60</v>
      </c>
      <c r="P308">
        <f>IF(A308="","",IF(AND(K308&lt;&gt;"",L308&lt;&gt;""),IF(COUNTIFS($K$6:K308,K308,$L$6:L308,L308)=1,1,0),0))</f>
        <v>0</v>
      </c>
      <c r="Q308">
        <f>IF(A308="","",IF(AND(K308&lt;&gt;"",M308&lt;&gt;""),IF(COUNTIFS($K$6:K308,K308,$M$6:M308,M308)=1,1,0),0))</f>
        <v>0</v>
      </c>
      <c r="R308">
        <f>IF(A308="","",IF(M308&lt;&gt;"",IF(COUNTIF($M$6:M308,M308)=1,1,0),0))</f>
        <v>0</v>
      </c>
      <c r="T308" t="str">
        <f>IF(AND($M308&lt;&gt;"",$M308='Mapa do Galpão'!$C$20),COUNTIF($M$6:$M308,'Mapa do Galpão'!$C$20),"")</f>
        <v/>
      </c>
    </row>
    <row r="309" spans="1:20" ht="14.25" hidden="1" customHeight="1" x14ac:dyDescent="0.3">
      <c r="A309" s="43" t="s">
        <v>1058</v>
      </c>
      <c r="B309" s="44" t="s">
        <v>665</v>
      </c>
      <c r="C309" s="165" t="s">
        <v>322</v>
      </c>
      <c r="D309" s="45" t="str">
        <f t="shared" si="8"/>
        <v>Masculino</v>
      </c>
      <c r="E309" s="43" t="s">
        <v>709</v>
      </c>
      <c r="F309" s="43" t="s">
        <v>1059</v>
      </c>
      <c r="G309" s="43" t="s">
        <v>798</v>
      </c>
      <c r="H309" s="43" t="s">
        <v>675</v>
      </c>
      <c r="I309" s="46">
        <f>SUMIFS(Movimentações!$F$6:$F$4998,Movimentações!$C$6:$C$4998,A309,Movimentações!$M$6:$M$4998,M309)</f>
        <v>4</v>
      </c>
      <c r="J309" s="43" t="s">
        <v>670</v>
      </c>
      <c r="K309" s="43" t="s">
        <v>671</v>
      </c>
      <c r="L309" s="47">
        <v>10</v>
      </c>
      <c r="M309" s="43" t="s">
        <v>1060</v>
      </c>
      <c r="N309" s="43" t="str">
        <f t="shared" si="9"/>
        <v>Rua A · Prat 10 · C-61</v>
      </c>
      <c r="P309">
        <f>IF(A309="","",IF(AND(K309&lt;&gt;"",L309&lt;&gt;""),IF(COUNTIFS($K$6:K309,K309,$L$6:L309,L309)=1,1,0),0))</f>
        <v>0</v>
      </c>
      <c r="Q309">
        <f>IF(A309="","",IF(AND(K309&lt;&gt;"",M309&lt;&gt;""),IF(COUNTIFS($K$6:K309,K309,$M$6:M309,M309)=1,1,0),0))</f>
        <v>1</v>
      </c>
      <c r="R309">
        <f>IF(A309="","",IF(M309&lt;&gt;"",IF(COUNTIF($M$6:M309,M309)=1,1,0),0))</f>
        <v>1</v>
      </c>
      <c r="T309" t="str">
        <f>IF(AND($M309&lt;&gt;"",$M309='Mapa do Galpão'!$C$20),COUNTIF($M$6:$M309,'Mapa do Galpão'!$C$20),"")</f>
        <v/>
      </c>
    </row>
    <row r="310" spans="1:20" ht="14.25" hidden="1" customHeight="1" x14ac:dyDescent="0.3">
      <c r="A310" s="43" t="s">
        <v>1061</v>
      </c>
      <c r="B310" s="44" t="s">
        <v>665</v>
      </c>
      <c r="C310" s="165" t="s">
        <v>323</v>
      </c>
      <c r="D310" s="45" t="str">
        <f t="shared" si="8"/>
        <v>Masculino</v>
      </c>
      <c r="E310" s="43" t="s">
        <v>709</v>
      </c>
      <c r="F310" s="43" t="s">
        <v>1059</v>
      </c>
      <c r="G310" s="43" t="s">
        <v>798</v>
      </c>
      <c r="H310" s="43" t="s">
        <v>669</v>
      </c>
      <c r="I310" s="46">
        <f>SUMIFS(Movimentações!$F$6:$F$4998,Movimentações!$C$6:$C$4998,A310,Movimentações!$M$6:$M$4998,M310)</f>
        <v>3</v>
      </c>
      <c r="J310" s="43" t="s">
        <v>670</v>
      </c>
      <c r="K310" s="43" t="s">
        <v>671</v>
      </c>
      <c r="L310" s="47">
        <v>10</v>
      </c>
      <c r="M310" s="43" t="s">
        <v>1060</v>
      </c>
      <c r="N310" s="43" t="str">
        <f t="shared" si="9"/>
        <v>Rua A · Prat 10 · C-61</v>
      </c>
      <c r="P310">
        <f>IF(A310="","",IF(AND(K310&lt;&gt;"",L310&lt;&gt;""),IF(COUNTIFS($K$6:K310,K310,$L$6:L310,L310)=1,1,0),0))</f>
        <v>0</v>
      </c>
      <c r="Q310">
        <f>IF(A310="","",IF(AND(K310&lt;&gt;"",M310&lt;&gt;""),IF(COUNTIFS($K$6:K310,K310,$M$6:M310,M310)=1,1,0),0))</f>
        <v>0</v>
      </c>
      <c r="R310">
        <f>IF(A310="","",IF(M310&lt;&gt;"",IF(COUNTIF($M$6:M310,M310)=1,1,0),0))</f>
        <v>0</v>
      </c>
      <c r="T310" t="str">
        <f>IF(AND($M310&lt;&gt;"",$M310='Mapa do Galpão'!$C$20),COUNTIF($M$6:$M310,'Mapa do Galpão'!$C$20),"")</f>
        <v/>
      </c>
    </row>
    <row r="311" spans="1:20" ht="14.25" hidden="1" customHeight="1" x14ac:dyDescent="0.3">
      <c r="A311" s="43" t="s">
        <v>1062</v>
      </c>
      <c r="B311" s="44" t="s">
        <v>665</v>
      </c>
      <c r="C311" s="165" t="s">
        <v>324</v>
      </c>
      <c r="D311" s="45" t="str">
        <f t="shared" si="8"/>
        <v>Masculino</v>
      </c>
      <c r="E311" s="43" t="s">
        <v>709</v>
      </c>
      <c r="F311" s="43" t="s">
        <v>1059</v>
      </c>
      <c r="G311" s="43" t="s">
        <v>755</v>
      </c>
      <c r="H311" s="43" t="s">
        <v>675</v>
      </c>
      <c r="I311" s="46">
        <f>SUMIFS(Movimentações!$F$6:$F$4998,Movimentações!$C$6:$C$4998,A311,Movimentações!$M$6:$M$4998,M311)</f>
        <v>8</v>
      </c>
      <c r="J311" s="43" t="s">
        <v>670</v>
      </c>
      <c r="K311" s="43" t="s">
        <v>671</v>
      </c>
      <c r="L311" s="47">
        <v>10</v>
      </c>
      <c r="M311" s="43" t="s">
        <v>1060</v>
      </c>
      <c r="N311" s="43" t="str">
        <f t="shared" si="9"/>
        <v>Rua A · Prat 10 · C-61</v>
      </c>
      <c r="P311">
        <f>IF(A311="","",IF(AND(K311&lt;&gt;"",L311&lt;&gt;""),IF(COUNTIFS($K$6:K311,K311,$L$6:L311,L311)=1,1,0),0))</f>
        <v>0</v>
      </c>
      <c r="Q311">
        <f>IF(A311="","",IF(AND(K311&lt;&gt;"",M311&lt;&gt;""),IF(COUNTIFS($K$6:K311,K311,$M$6:M311,M311)=1,1,0),0))</f>
        <v>0</v>
      </c>
      <c r="R311">
        <f>IF(A311="","",IF(M311&lt;&gt;"",IF(COUNTIF($M$6:M311,M311)=1,1,0),0))</f>
        <v>0</v>
      </c>
      <c r="T311" t="str">
        <f>IF(AND($M311&lt;&gt;"",$M311='Mapa do Galpão'!$C$20),COUNTIF($M$6:$M311,'Mapa do Galpão'!$C$20),"")</f>
        <v/>
      </c>
    </row>
    <row r="312" spans="1:20" ht="14.25" hidden="1" customHeight="1" x14ac:dyDescent="0.3">
      <c r="A312" s="43" t="s">
        <v>1063</v>
      </c>
      <c r="B312" s="44" t="s">
        <v>665</v>
      </c>
      <c r="C312" s="165" t="s">
        <v>325</v>
      </c>
      <c r="D312" s="45" t="str">
        <f t="shared" si="8"/>
        <v>Masculino</v>
      </c>
      <c r="E312" s="43" t="s">
        <v>709</v>
      </c>
      <c r="F312" s="43" t="s">
        <v>1059</v>
      </c>
      <c r="G312" s="43" t="s">
        <v>755</v>
      </c>
      <c r="H312" s="43" t="s">
        <v>669</v>
      </c>
      <c r="I312" s="46">
        <f>SUMIFS(Movimentações!$F$6:$F$4998,Movimentações!$C$6:$C$4998,A312,Movimentações!$M$6:$M$4998,M312)</f>
        <v>8</v>
      </c>
      <c r="J312" s="43" t="s">
        <v>670</v>
      </c>
      <c r="K312" s="43" t="s">
        <v>671</v>
      </c>
      <c r="L312" s="47">
        <v>10</v>
      </c>
      <c r="M312" s="43" t="s">
        <v>1060</v>
      </c>
      <c r="N312" s="43" t="str">
        <f t="shared" si="9"/>
        <v>Rua A · Prat 10 · C-61</v>
      </c>
      <c r="P312">
        <f>IF(A312="","",IF(AND(K312&lt;&gt;"",L312&lt;&gt;""),IF(COUNTIFS($K$6:K312,K312,$L$6:L312,L312)=1,1,0),0))</f>
        <v>0</v>
      </c>
      <c r="Q312">
        <f>IF(A312="","",IF(AND(K312&lt;&gt;"",M312&lt;&gt;""),IF(COUNTIFS($K$6:K312,K312,$M$6:M312,M312)=1,1,0),0))</f>
        <v>0</v>
      </c>
      <c r="R312">
        <f>IF(A312="","",IF(M312&lt;&gt;"",IF(COUNTIF($M$6:M312,M312)=1,1,0),0))</f>
        <v>0</v>
      </c>
      <c r="T312" t="str">
        <f>IF(AND($M312&lt;&gt;"",$M312='Mapa do Galpão'!$C$20),COUNTIF($M$6:$M312,'Mapa do Galpão'!$C$20),"")</f>
        <v/>
      </c>
    </row>
    <row r="313" spans="1:20" ht="14.25" hidden="1" customHeight="1" x14ac:dyDescent="0.3">
      <c r="A313" s="43" t="s">
        <v>1064</v>
      </c>
      <c r="B313" s="44" t="s">
        <v>665</v>
      </c>
      <c r="C313" s="165" t="s">
        <v>326</v>
      </c>
      <c r="D313" s="45" t="str">
        <f t="shared" si="8"/>
        <v>Masculino</v>
      </c>
      <c r="E313" s="43" t="s">
        <v>709</v>
      </c>
      <c r="F313" s="43" t="s">
        <v>867</v>
      </c>
      <c r="G313" s="43" t="s">
        <v>668</v>
      </c>
      <c r="H313" s="43" t="s">
        <v>680</v>
      </c>
      <c r="I313" s="46">
        <f>SUMIFS(Movimentações!$F$6:$F$4998,Movimentações!$C$6:$C$4998,A313,Movimentações!$M$6:$M$4998,M313)</f>
        <v>7</v>
      </c>
      <c r="J313" s="43" t="s">
        <v>670</v>
      </c>
      <c r="K313" s="43" t="s">
        <v>671</v>
      </c>
      <c r="L313" s="47">
        <v>10</v>
      </c>
      <c r="M313" s="43" t="s">
        <v>1065</v>
      </c>
      <c r="N313" s="43" t="str">
        <f t="shared" si="9"/>
        <v>Rua A · Prat 10 · C-62</v>
      </c>
      <c r="P313">
        <f>IF(A313="","",IF(AND(K313&lt;&gt;"",L313&lt;&gt;""),IF(COUNTIFS($K$6:K313,K313,$L$6:L313,L313)=1,1,0),0))</f>
        <v>0</v>
      </c>
      <c r="Q313">
        <f>IF(A313="","",IF(AND(K313&lt;&gt;"",M313&lt;&gt;""),IF(COUNTIFS($K$6:K313,K313,$M$6:M313,M313)=1,1,0),0))</f>
        <v>1</v>
      </c>
      <c r="R313">
        <f>IF(A313="","",IF(M313&lt;&gt;"",IF(COUNTIF($M$6:M313,M313)=1,1,0),0))</f>
        <v>1</v>
      </c>
      <c r="T313" t="str">
        <f>IF(AND($M313&lt;&gt;"",$M313='Mapa do Galpão'!$C$20),COUNTIF($M$6:$M313,'Mapa do Galpão'!$C$20),"")</f>
        <v/>
      </c>
    </row>
    <row r="314" spans="1:20" ht="14.25" hidden="1" customHeight="1" x14ac:dyDescent="0.3">
      <c r="A314" s="43" t="s">
        <v>1064</v>
      </c>
      <c r="B314" s="44" t="s">
        <v>665</v>
      </c>
      <c r="C314" s="165" t="s">
        <v>326</v>
      </c>
      <c r="D314" s="45" t="str">
        <f t="shared" si="8"/>
        <v>Masculino</v>
      </c>
      <c r="E314" s="43" t="s">
        <v>709</v>
      </c>
      <c r="F314" s="43" t="s">
        <v>867</v>
      </c>
      <c r="G314" s="43" t="s">
        <v>668</v>
      </c>
      <c r="H314" s="43" t="s">
        <v>680</v>
      </c>
      <c r="I314" s="46">
        <f>SUMIFS(Movimentações!$F$6:$F$4998,Movimentações!$C$6:$C$4998,A314,Movimentações!$M$6:$M$4998,M314)</f>
        <v>1</v>
      </c>
      <c r="J314" s="43" t="s">
        <v>670</v>
      </c>
      <c r="K314" s="43" t="s">
        <v>671</v>
      </c>
      <c r="L314" s="47">
        <v>10</v>
      </c>
      <c r="M314" s="43" t="s">
        <v>1066</v>
      </c>
      <c r="N314" s="43" t="str">
        <f t="shared" si="9"/>
        <v>Rua A · Prat 10 · C-64</v>
      </c>
      <c r="P314">
        <f>IF(A314="","",IF(AND(K314&lt;&gt;"",L314&lt;&gt;""),IF(COUNTIFS($K$6:K314,K314,$L$6:L314,L314)=1,1,0),0))</f>
        <v>0</v>
      </c>
      <c r="Q314">
        <f>IF(A314="","",IF(AND(K314&lt;&gt;"",M314&lt;&gt;""),IF(COUNTIFS($K$6:K314,K314,$M$6:M314,M314)=1,1,0),0))</f>
        <v>1</v>
      </c>
      <c r="R314">
        <f>IF(A314="","",IF(M314&lt;&gt;"",IF(COUNTIF($M$6:M314,M314)=1,1,0),0))</f>
        <v>1</v>
      </c>
      <c r="T314" t="str">
        <f>IF(AND($M314&lt;&gt;"",$M314='Mapa do Galpão'!$C$20),COUNTIF($M$6:$M314,'Mapa do Galpão'!$C$20),"")</f>
        <v/>
      </c>
    </row>
    <row r="315" spans="1:20" ht="14.25" hidden="1" customHeight="1" x14ac:dyDescent="0.3">
      <c r="A315" s="43" t="s">
        <v>1067</v>
      </c>
      <c r="B315" s="44" t="s">
        <v>665</v>
      </c>
      <c r="C315" s="165" t="s">
        <v>327</v>
      </c>
      <c r="D315" s="45" t="str">
        <f t="shared" si="8"/>
        <v>Masculino</v>
      </c>
      <c r="E315" s="43" t="s">
        <v>709</v>
      </c>
      <c r="F315" s="43" t="s">
        <v>867</v>
      </c>
      <c r="G315" s="43" t="s">
        <v>668</v>
      </c>
      <c r="H315" s="43" t="s">
        <v>675</v>
      </c>
      <c r="I315" s="46">
        <f>SUMIFS(Movimentações!$F$6:$F$4998,Movimentações!$C$6:$C$4998,A315,Movimentações!$M$6:$M$4998,M315)</f>
        <v>2</v>
      </c>
      <c r="J315" s="43" t="s">
        <v>670</v>
      </c>
      <c r="K315" s="43" t="s">
        <v>671</v>
      </c>
      <c r="L315" s="47">
        <v>10</v>
      </c>
      <c r="M315" s="43" t="s">
        <v>1065</v>
      </c>
      <c r="N315" s="43" t="str">
        <f t="shared" si="9"/>
        <v>Rua A · Prat 10 · C-62</v>
      </c>
      <c r="P315">
        <f>IF(A315="","",IF(AND(K315&lt;&gt;"",L315&lt;&gt;""),IF(COUNTIFS($K$6:K315,K315,$L$6:L315,L315)=1,1,0),0))</f>
        <v>0</v>
      </c>
      <c r="Q315">
        <f>IF(A315="","",IF(AND(K315&lt;&gt;"",M315&lt;&gt;""),IF(COUNTIFS($K$6:K315,K315,$M$6:M315,M315)=1,1,0),0))</f>
        <v>0</v>
      </c>
      <c r="R315">
        <f>IF(A315="","",IF(M315&lt;&gt;"",IF(COUNTIF($M$6:M315,M315)=1,1,0),0))</f>
        <v>0</v>
      </c>
      <c r="T315" t="str">
        <f>IF(AND($M315&lt;&gt;"",$M315='Mapa do Galpão'!$C$20),COUNTIF($M$6:$M315,'Mapa do Galpão'!$C$20),"")</f>
        <v/>
      </c>
    </row>
    <row r="316" spans="1:20" ht="14.25" hidden="1" customHeight="1" x14ac:dyDescent="0.3">
      <c r="A316" s="43" t="s">
        <v>1067</v>
      </c>
      <c r="B316" s="44" t="s">
        <v>665</v>
      </c>
      <c r="C316" s="165" t="s">
        <v>327</v>
      </c>
      <c r="D316" s="45" t="str">
        <f t="shared" si="8"/>
        <v>Masculino</v>
      </c>
      <c r="E316" s="43" t="s">
        <v>709</v>
      </c>
      <c r="F316" s="43" t="s">
        <v>867</v>
      </c>
      <c r="G316" s="43" t="s">
        <v>668</v>
      </c>
      <c r="H316" s="43" t="s">
        <v>675</v>
      </c>
      <c r="I316" s="46">
        <f>SUMIFS(Movimentações!$F$6:$F$4998,Movimentações!$C$6:$C$4998,A316,Movimentações!$M$6:$M$4998,M316)</f>
        <v>8</v>
      </c>
      <c r="J316" s="43" t="s">
        <v>670</v>
      </c>
      <c r="K316" s="43" t="s">
        <v>671</v>
      </c>
      <c r="L316" s="47">
        <v>10</v>
      </c>
      <c r="M316" s="43" t="s">
        <v>1066</v>
      </c>
      <c r="N316" s="43" t="str">
        <f t="shared" si="9"/>
        <v>Rua A · Prat 10 · C-64</v>
      </c>
      <c r="P316">
        <f>IF(A316="","",IF(AND(K316&lt;&gt;"",L316&lt;&gt;""),IF(COUNTIFS($K$6:K316,K316,$L$6:L316,L316)=1,1,0),0))</f>
        <v>0</v>
      </c>
      <c r="Q316">
        <f>IF(A316="","",IF(AND(K316&lt;&gt;"",M316&lt;&gt;""),IF(COUNTIFS($K$6:K316,K316,$M$6:M316,M316)=1,1,0),0))</f>
        <v>0</v>
      </c>
      <c r="R316">
        <f>IF(A316="","",IF(M316&lt;&gt;"",IF(COUNTIF($M$6:M316,M316)=1,1,0),0))</f>
        <v>0</v>
      </c>
      <c r="T316" t="str">
        <f>IF(AND($M316&lt;&gt;"",$M316='Mapa do Galpão'!$C$20),COUNTIF($M$6:$M316,'Mapa do Galpão'!$C$20),"")</f>
        <v/>
      </c>
    </row>
    <row r="317" spans="1:20" ht="14.25" hidden="1" customHeight="1" x14ac:dyDescent="0.3">
      <c r="A317" s="43" t="s">
        <v>1067</v>
      </c>
      <c r="B317" s="44" t="s">
        <v>665</v>
      </c>
      <c r="C317" s="165" t="s">
        <v>327</v>
      </c>
      <c r="D317" s="45" t="str">
        <f t="shared" si="8"/>
        <v>Masculino</v>
      </c>
      <c r="E317" s="43" t="s">
        <v>709</v>
      </c>
      <c r="F317" s="43" t="s">
        <v>867</v>
      </c>
      <c r="G317" s="43" t="s">
        <v>668</v>
      </c>
      <c r="H317" s="43" t="s">
        <v>675</v>
      </c>
      <c r="I317" s="46">
        <f>SUMIFS(Movimentações!$F$6:$F$4998,Movimentações!$C$6:$C$4998,A317,Movimentações!$M$6:$M$4998,M317)</f>
        <v>5</v>
      </c>
      <c r="J317" s="43" t="s">
        <v>670</v>
      </c>
      <c r="K317" s="43" t="s">
        <v>671</v>
      </c>
      <c r="L317" s="47">
        <v>11</v>
      </c>
      <c r="M317" s="43" t="s">
        <v>1068</v>
      </c>
      <c r="N317" s="43" t="str">
        <f t="shared" si="9"/>
        <v>Rua A · Prat 11 · C-87</v>
      </c>
      <c r="P317">
        <f>IF(A317="","",IF(AND(K317&lt;&gt;"",L317&lt;&gt;""),IF(COUNTIFS($K$6:K317,K317,$L$6:L317,L317)=1,1,0),0))</f>
        <v>0</v>
      </c>
      <c r="Q317">
        <f>IF(A317="","",IF(AND(K317&lt;&gt;"",M317&lt;&gt;""),IF(COUNTIFS($K$6:K317,K317,$M$6:M317,M317)=1,1,0),0))</f>
        <v>1</v>
      </c>
      <c r="R317">
        <f>IF(A317="","",IF(M317&lt;&gt;"",IF(COUNTIF($M$6:M317,M317)=1,1,0),0))</f>
        <v>1</v>
      </c>
      <c r="T317" t="str">
        <f>IF(AND($M317&lt;&gt;"",$M317='Mapa do Galpão'!$C$20),COUNTIF($M$6:$M317,'Mapa do Galpão'!$C$20),"")</f>
        <v/>
      </c>
    </row>
    <row r="318" spans="1:20" ht="14.25" hidden="1" customHeight="1" x14ac:dyDescent="0.3">
      <c r="A318" s="43" t="s">
        <v>1069</v>
      </c>
      <c r="B318" s="44" t="s">
        <v>665</v>
      </c>
      <c r="C318" s="165" t="s">
        <v>183</v>
      </c>
      <c r="D318" s="45" t="str">
        <f t="shared" si="8"/>
        <v>Masculino</v>
      </c>
      <c r="E318" s="43" t="s">
        <v>709</v>
      </c>
      <c r="F318" s="43" t="s">
        <v>867</v>
      </c>
      <c r="G318" s="43" t="s">
        <v>668</v>
      </c>
      <c r="H318" s="43" t="s">
        <v>669</v>
      </c>
      <c r="I318" s="46">
        <f>SUMIFS(Movimentações!$F$6:$F$4998,Movimentações!$C$6:$C$4998,A318,Movimentações!$M$6:$M$4998,M318)</f>
        <v>2</v>
      </c>
      <c r="J318" s="43" t="s">
        <v>670</v>
      </c>
      <c r="K318" s="43" t="s">
        <v>671</v>
      </c>
      <c r="L318" s="47">
        <v>10</v>
      </c>
      <c r="M318" s="43" t="s">
        <v>1065</v>
      </c>
      <c r="N318" s="43" t="str">
        <f t="shared" si="9"/>
        <v>Rua A · Prat 10 · C-62</v>
      </c>
      <c r="P318">
        <f>IF(A318="","",IF(AND(K318&lt;&gt;"",L318&lt;&gt;""),IF(COUNTIFS($K$6:K318,K318,$L$6:L318,L318)=1,1,0),0))</f>
        <v>0</v>
      </c>
      <c r="Q318">
        <f>IF(A318="","",IF(AND(K318&lt;&gt;"",M318&lt;&gt;""),IF(COUNTIFS($K$6:K318,K318,$M$6:M318,M318)=1,1,0),0))</f>
        <v>0</v>
      </c>
      <c r="R318">
        <f>IF(A318="","",IF(M318&lt;&gt;"",IF(COUNTIF($M$6:M318,M318)=1,1,0),0))</f>
        <v>0</v>
      </c>
      <c r="T318" t="str">
        <f>IF(AND($M318&lt;&gt;"",$M318='Mapa do Galpão'!$C$20),COUNTIF($M$6:$M318,'Mapa do Galpão'!$C$20),"")</f>
        <v/>
      </c>
    </row>
    <row r="319" spans="1:20" ht="14.25" hidden="1" customHeight="1" x14ac:dyDescent="0.3">
      <c r="A319" s="43" t="s">
        <v>1069</v>
      </c>
      <c r="B319" s="44" t="s">
        <v>665</v>
      </c>
      <c r="C319" s="165" t="s">
        <v>183</v>
      </c>
      <c r="D319" s="45" t="str">
        <f t="shared" si="8"/>
        <v>Masculino</v>
      </c>
      <c r="E319" s="43" t="s">
        <v>709</v>
      </c>
      <c r="F319" s="43" t="s">
        <v>867</v>
      </c>
      <c r="G319" s="43" t="s">
        <v>668</v>
      </c>
      <c r="H319" s="43" t="s">
        <v>669</v>
      </c>
      <c r="I319" s="46">
        <f>SUMIFS(Movimentações!$F$6:$F$4998,Movimentações!$C$6:$C$4998,A319,Movimentações!$M$6:$M$4998,M319)</f>
        <v>1</v>
      </c>
      <c r="J319" s="43" t="s">
        <v>670</v>
      </c>
      <c r="K319" s="43" t="s">
        <v>671</v>
      </c>
      <c r="L319" s="47">
        <v>11</v>
      </c>
      <c r="M319" s="43" t="s">
        <v>1068</v>
      </c>
      <c r="N319" s="43" t="str">
        <f t="shared" si="9"/>
        <v>Rua A · Prat 11 · C-87</v>
      </c>
      <c r="P319">
        <f>IF(A319="","",IF(AND(K319&lt;&gt;"",L319&lt;&gt;""),IF(COUNTIFS($K$6:K319,K319,$L$6:L319,L319)=1,1,0),0))</f>
        <v>0</v>
      </c>
      <c r="Q319">
        <f>IF(A319="","",IF(AND(K319&lt;&gt;"",M319&lt;&gt;""),IF(COUNTIFS($K$6:K319,K319,$M$6:M319,M319)=1,1,0),0))</f>
        <v>0</v>
      </c>
      <c r="R319">
        <f>IF(A319="","",IF(M319&lt;&gt;"",IF(COUNTIF($M$6:M319,M319)=1,1,0),0))</f>
        <v>0</v>
      </c>
      <c r="T319" t="str">
        <f>IF(AND($M319&lt;&gt;"",$M319='Mapa do Galpão'!$C$20),COUNTIF($M$6:$M319,'Mapa do Galpão'!$C$20),"")</f>
        <v/>
      </c>
    </row>
    <row r="320" spans="1:20" ht="14.25" hidden="1" customHeight="1" x14ac:dyDescent="0.3">
      <c r="A320" s="43" t="s">
        <v>1070</v>
      </c>
      <c r="B320" s="44" t="s">
        <v>665</v>
      </c>
      <c r="C320" s="165" t="s">
        <v>184</v>
      </c>
      <c r="D320" s="45" t="str">
        <f t="shared" si="8"/>
        <v>Masculino</v>
      </c>
      <c r="E320" s="43" t="s">
        <v>709</v>
      </c>
      <c r="F320" s="43" t="s">
        <v>867</v>
      </c>
      <c r="G320" s="43" t="s">
        <v>668</v>
      </c>
      <c r="H320" s="43" t="s">
        <v>682</v>
      </c>
      <c r="I320" s="46">
        <f>SUMIFS(Movimentações!$F$6:$F$4998,Movimentações!$C$6:$C$4998,A320,Movimentações!$M$6:$M$4998,M320)</f>
        <v>1</v>
      </c>
      <c r="J320" s="43" t="s">
        <v>670</v>
      </c>
      <c r="K320" s="43" t="s">
        <v>671</v>
      </c>
      <c r="L320" s="47">
        <v>10</v>
      </c>
      <c r="M320" s="43" t="s">
        <v>1065</v>
      </c>
      <c r="N320" s="43" t="str">
        <f t="shared" si="9"/>
        <v>Rua A · Prat 10 · C-62</v>
      </c>
      <c r="P320">
        <f>IF(A320="","",IF(AND(K320&lt;&gt;"",L320&lt;&gt;""),IF(COUNTIFS($K$6:K320,K320,$L$6:L320,L320)=1,1,0),0))</f>
        <v>0</v>
      </c>
      <c r="Q320">
        <f>IF(A320="","",IF(AND(K320&lt;&gt;"",M320&lt;&gt;""),IF(COUNTIFS($K$6:K320,K320,$M$6:M320,M320)=1,1,0),0))</f>
        <v>0</v>
      </c>
      <c r="R320">
        <f>IF(A320="","",IF(M320&lt;&gt;"",IF(COUNTIF($M$6:M320,M320)=1,1,0),0))</f>
        <v>0</v>
      </c>
      <c r="T320" t="str">
        <f>IF(AND($M320&lt;&gt;"",$M320='Mapa do Galpão'!$C$20),COUNTIF($M$6:$M320,'Mapa do Galpão'!$C$20),"")</f>
        <v/>
      </c>
    </row>
    <row r="321" spans="1:20" ht="14.25" hidden="1" customHeight="1" x14ac:dyDescent="0.3">
      <c r="A321" s="43" t="s">
        <v>1070</v>
      </c>
      <c r="B321" s="44" t="s">
        <v>665</v>
      </c>
      <c r="C321" s="165" t="s">
        <v>184</v>
      </c>
      <c r="D321" s="45" t="str">
        <f t="shared" si="8"/>
        <v>Masculino</v>
      </c>
      <c r="E321" s="43" t="s">
        <v>709</v>
      </c>
      <c r="F321" s="43" t="s">
        <v>867</v>
      </c>
      <c r="G321" s="43" t="s">
        <v>668</v>
      </c>
      <c r="H321" s="43" t="s">
        <v>682</v>
      </c>
      <c r="I321" s="46">
        <f>SUMIFS(Movimentações!$F$6:$F$4998,Movimentações!$C$6:$C$4998,A321,Movimentações!$M$6:$M$4998,M321)</f>
        <v>1</v>
      </c>
      <c r="J321" s="43" t="s">
        <v>670</v>
      </c>
      <c r="K321" s="43" t="s">
        <v>671</v>
      </c>
      <c r="L321" s="47">
        <v>11</v>
      </c>
      <c r="M321" s="43" t="s">
        <v>1068</v>
      </c>
      <c r="N321" s="43" t="str">
        <f t="shared" si="9"/>
        <v>Rua A · Prat 11 · C-87</v>
      </c>
      <c r="P321">
        <f>IF(A321="","",IF(AND(K321&lt;&gt;"",L321&lt;&gt;""),IF(COUNTIFS($K$6:K321,K321,$L$6:L321,L321)=1,1,0),0))</f>
        <v>0</v>
      </c>
      <c r="Q321">
        <f>IF(A321="","",IF(AND(K321&lt;&gt;"",M321&lt;&gt;""),IF(COUNTIFS($K$6:K321,K321,$M$6:M321,M321)=1,1,0),0))</f>
        <v>0</v>
      </c>
      <c r="R321">
        <f>IF(A321="","",IF(M321&lt;&gt;"",IF(COUNTIF($M$6:M321,M321)=1,1,0),0))</f>
        <v>0</v>
      </c>
      <c r="T321" t="str">
        <f>IF(AND($M321&lt;&gt;"",$M321='Mapa do Galpão'!$C$20),COUNTIF($M$6:$M321,'Mapa do Galpão'!$C$20),"")</f>
        <v/>
      </c>
    </row>
    <row r="322" spans="1:20" ht="14.25" hidden="1" customHeight="1" x14ac:dyDescent="0.3">
      <c r="A322" s="43" t="s">
        <v>1071</v>
      </c>
      <c r="B322" s="44" t="s">
        <v>665</v>
      </c>
      <c r="C322" s="165" t="s">
        <v>328</v>
      </c>
      <c r="D322" s="45" t="str">
        <f t="shared" si="8"/>
        <v>Masculino</v>
      </c>
      <c r="E322" s="43" t="s">
        <v>709</v>
      </c>
      <c r="F322" s="43" t="s">
        <v>1072</v>
      </c>
      <c r="G322" s="43" t="s">
        <v>668</v>
      </c>
      <c r="H322" s="43" t="s">
        <v>682</v>
      </c>
      <c r="I322" s="46">
        <f>SUMIFS(Movimentações!$F$6:$F$4998,Movimentações!$C$6:$C$4998,A322,Movimentações!$M$6:$M$4998,M322)</f>
        <v>3</v>
      </c>
      <c r="J322" s="43" t="s">
        <v>670</v>
      </c>
      <c r="K322" s="43" t="s">
        <v>671</v>
      </c>
      <c r="L322" s="47">
        <v>10</v>
      </c>
      <c r="M322" s="43" t="s">
        <v>1073</v>
      </c>
      <c r="N322" s="43" t="str">
        <f t="shared" si="9"/>
        <v>Rua A · Prat 10 · C-63</v>
      </c>
      <c r="P322">
        <f>IF(A322="","",IF(AND(K322&lt;&gt;"",L322&lt;&gt;""),IF(COUNTIFS($K$6:K322,K322,$L$6:L322,L322)=1,1,0),0))</f>
        <v>0</v>
      </c>
      <c r="Q322">
        <f>IF(A322="","",IF(AND(K322&lt;&gt;"",M322&lt;&gt;""),IF(COUNTIFS($K$6:K322,K322,$M$6:M322,M322)=1,1,0),0))</f>
        <v>1</v>
      </c>
      <c r="R322">
        <f>IF(A322="","",IF(M322&lt;&gt;"",IF(COUNTIF($M$6:M322,M322)=1,1,0),0))</f>
        <v>1</v>
      </c>
      <c r="T322" t="str">
        <f>IF(AND($M322&lt;&gt;"",$M322='Mapa do Galpão'!$C$20),COUNTIF($M$6:$M322,'Mapa do Galpão'!$C$20),"")</f>
        <v/>
      </c>
    </row>
    <row r="323" spans="1:20" ht="14.25" hidden="1" customHeight="1" x14ac:dyDescent="0.3">
      <c r="A323" s="43" t="s">
        <v>1074</v>
      </c>
      <c r="B323" s="44" t="s">
        <v>665</v>
      </c>
      <c r="C323" s="165" t="s">
        <v>329</v>
      </c>
      <c r="D323" s="45" t="str">
        <f t="shared" si="8"/>
        <v>Masculino</v>
      </c>
      <c r="E323" s="43" t="s">
        <v>709</v>
      </c>
      <c r="F323" s="43" t="s">
        <v>1072</v>
      </c>
      <c r="G323" s="49" t="s">
        <v>1075</v>
      </c>
      <c r="H323" s="43" t="s">
        <v>669</v>
      </c>
      <c r="I323" s="46">
        <f>SUMIFS(Movimentações!$F$6:$F$4998,Movimentações!$C$6:$C$4998,A323,Movimentações!$M$6:$M$4998,M323)</f>
        <v>1</v>
      </c>
      <c r="J323" s="43" t="s">
        <v>670</v>
      </c>
      <c r="K323" s="43" t="s">
        <v>671</v>
      </c>
      <c r="L323" s="47">
        <v>10</v>
      </c>
      <c r="M323" s="43" t="s">
        <v>1076</v>
      </c>
      <c r="N323" s="43" t="str">
        <f t="shared" si="9"/>
        <v>Rua A · Prat 10 · C-65</v>
      </c>
      <c r="P323">
        <f>IF(A323="","",IF(AND(K323&lt;&gt;"",L323&lt;&gt;""),IF(COUNTIFS($K$6:K323,K323,$L$6:L323,L323)=1,1,0),0))</f>
        <v>0</v>
      </c>
      <c r="Q323">
        <f>IF(A323="","",IF(AND(K323&lt;&gt;"",M323&lt;&gt;""),IF(COUNTIFS($K$6:K323,K323,$M$6:M323,M323)=1,1,0),0))</f>
        <v>1</v>
      </c>
      <c r="R323">
        <f>IF(A323="","",IF(M323&lt;&gt;"",IF(COUNTIF($M$6:M323,M323)=1,1,0),0))</f>
        <v>1</v>
      </c>
      <c r="T323" t="str">
        <f>IF(AND($M323&lt;&gt;"",$M323='Mapa do Galpão'!$C$20),COUNTIF($M$6:$M323,'Mapa do Galpão'!$C$20),"")</f>
        <v/>
      </c>
    </row>
    <row r="324" spans="1:20" ht="14.25" hidden="1" customHeight="1" x14ac:dyDescent="0.3">
      <c r="A324" s="43" t="s">
        <v>1074</v>
      </c>
      <c r="B324" s="44" t="s">
        <v>665</v>
      </c>
      <c r="C324" s="166" t="s">
        <v>329</v>
      </c>
      <c r="D324" s="45" t="str">
        <f t="shared" si="8"/>
        <v>Masculino</v>
      </c>
      <c r="E324" s="43" t="s">
        <v>709</v>
      </c>
      <c r="F324" s="43" t="s">
        <v>1072</v>
      </c>
      <c r="G324" s="43" t="s">
        <v>668</v>
      </c>
      <c r="H324" s="43" t="s">
        <v>669</v>
      </c>
      <c r="I324" s="46">
        <f>SUMIFS(Movimentações!$F$6:$F$4998,Movimentações!$C$6:$C$4998,A324,Movimentações!$M$6:$M$4998,M324)</f>
        <v>1</v>
      </c>
      <c r="J324" s="43" t="s">
        <v>670</v>
      </c>
      <c r="K324" s="43" t="s">
        <v>671</v>
      </c>
      <c r="L324" s="47">
        <v>11</v>
      </c>
      <c r="M324" s="43" t="s">
        <v>1068</v>
      </c>
      <c r="N324" s="43" t="str">
        <f t="shared" si="9"/>
        <v>Rua A · Prat 11 · C-87</v>
      </c>
      <c r="P324">
        <f>IF(A324="","",IF(AND(K324&lt;&gt;"",L324&lt;&gt;""),IF(COUNTIFS($K$6:K324,K324,$L$6:L324,L324)=1,1,0),0))</f>
        <v>0</v>
      </c>
      <c r="Q324">
        <f>IF(A324="","",IF(AND(K324&lt;&gt;"",M324&lt;&gt;""),IF(COUNTIFS($K$6:K324,K324,$M$6:M324,M324)=1,1,0),0))</f>
        <v>0</v>
      </c>
      <c r="R324">
        <f>IF(A324="","",IF(M324&lt;&gt;"",IF(COUNTIF($M$6:M324,M324)=1,1,0),0))</f>
        <v>0</v>
      </c>
      <c r="T324" t="str">
        <f>IF(AND($M324&lt;&gt;"",$M324='Mapa do Galpão'!$C$20),COUNTIF($M$6:$M324,'Mapa do Galpão'!$C$20),"")</f>
        <v/>
      </c>
    </row>
    <row r="325" spans="1:20" ht="14.25" hidden="1" customHeight="1" x14ac:dyDescent="0.3">
      <c r="A325" s="43" t="s">
        <v>1077</v>
      </c>
      <c r="B325" s="44" t="s">
        <v>665</v>
      </c>
      <c r="C325" s="165" t="s">
        <v>330</v>
      </c>
      <c r="D325" s="45" t="str">
        <f t="shared" si="8"/>
        <v>Masculino</v>
      </c>
      <c r="E325" s="43" t="s">
        <v>709</v>
      </c>
      <c r="F325" s="43" t="s">
        <v>1072</v>
      </c>
      <c r="G325" s="49" t="s">
        <v>1075</v>
      </c>
      <c r="H325" s="43" t="s">
        <v>682</v>
      </c>
      <c r="I325" s="46">
        <f>SUMIFS(Movimentações!$F$6:$F$4998,Movimentações!$C$6:$C$4998,A325,Movimentações!$M$6:$M$4998,M325)</f>
        <v>2</v>
      </c>
      <c r="J325" s="43" t="s">
        <v>670</v>
      </c>
      <c r="K325" s="43" t="s">
        <v>671</v>
      </c>
      <c r="L325" s="47">
        <v>10</v>
      </c>
      <c r="M325" s="43" t="s">
        <v>1076</v>
      </c>
      <c r="N325" s="43" t="str">
        <f t="shared" si="9"/>
        <v>Rua A · Prat 10 · C-65</v>
      </c>
      <c r="P325">
        <f>IF(A325="","",IF(AND(K325&lt;&gt;"",L325&lt;&gt;""),IF(COUNTIFS($K$6:K325,K325,$L$6:L325,L325)=1,1,0),0))</f>
        <v>0</v>
      </c>
      <c r="Q325">
        <f>IF(A325="","",IF(AND(K325&lt;&gt;"",M325&lt;&gt;""),IF(COUNTIFS($K$6:K325,K325,$M$6:M325,M325)=1,1,0),0))</f>
        <v>0</v>
      </c>
      <c r="R325">
        <f>IF(A325="","",IF(M325&lt;&gt;"",IF(COUNTIF($M$6:M325,M325)=1,1,0),0))</f>
        <v>0</v>
      </c>
      <c r="T325" t="str">
        <f>IF(AND($M325&lt;&gt;"",$M325='Mapa do Galpão'!$C$20),COUNTIF($M$6:$M325,'Mapa do Galpão'!$C$20),"")</f>
        <v/>
      </c>
    </row>
    <row r="326" spans="1:20" ht="14.25" hidden="1" customHeight="1" x14ac:dyDescent="0.3">
      <c r="A326" s="43" t="s">
        <v>1078</v>
      </c>
      <c r="B326" s="44" t="s">
        <v>665</v>
      </c>
      <c r="C326" s="165" t="s">
        <v>331</v>
      </c>
      <c r="D326" s="45" t="str">
        <f t="shared" ref="D326:D389" si="10">IF(C326="","",IFERROR(IF(TRIM(MID(SUBSTITUTE(C326,".",REPT(" ",50)),51,50))="01","Masculino",IF(TRIM(MID(SUBSTITUTE(C326,".",REPT(" ",50)),51,50))="02","Feminino",IF(TRIM(MID(SUBSTITUTE(C326,".",REPT(" ",50)),51,50))="03","Outros","—"))),"—"))</f>
        <v>Masculino</v>
      </c>
      <c r="E326" s="43" t="s">
        <v>709</v>
      </c>
      <c r="F326" s="43" t="s">
        <v>1055</v>
      </c>
      <c r="G326" s="43" t="s">
        <v>1079</v>
      </c>
      <c r="H326" s="43" t="s">
        <v>675</v>
      </c>
      <c r="I326" s="46">
        <f>SUMIFS(Movimentações!$F$6:$F$4998,Movimentações!$C$6:$C$4998,A326,Movimentações!$M$6:$M$4998,M326)</f>
        <v>1</v>
      </c>
      <c r="J326" s="43" t="s">
        <v>670</v>
      </c>
      <c r="K326" s="43" t="s">
        <v>671</v>
      </c>
      <c r="L326" s="47">
        <v>10</v>
      </c>
      <c r="M326" s="43" t="s">
        <v>1080</v>
      </c>
      <c r="N326" s="43" t="str">
        <f t="shared" ref="N326:N389" si="11">IF(AND(K326="",L326="",M326=""),"⚠ sem endereço","Rua "&amp;K326&amp;IF(L326="",""," · Prat "&amp;L326)&amp;IF(M326="",""," · "&amp;M326))</f>
        <v>Rua A · Prat 10 · C-66</v>
      </c>
      <c r="P326">
        <f>IF(A326="","",IF(AND(K326&lt;&gt;"",L326&lt;&gt;""),IF(COUNTIFS($K$6:K326,K326,$L$6:L326,L326)=1,1,0),0))</f>
        <v>0</v>
      </c>
      <c r="Q326">
        <f>IF(A326="","",IF(AND(K326&lt;&gt;"",M326&lt;&gt;""),IF(COUNTIFS($K$6:K326,K326,$M$6:M326,M326)=1,1,0),0))</f>
        <v>1</v>
      </c>
      <c r="R326">
        <f>IF(A326="","",IF(M326&lt;&gt;"",IF(COUNTIF($M$6:M326,M326)=1,1,0),0))</f>
        <v>1</v>
      </c>
      <c r="T326" t="str">
        <f>IF(AND($M326&lt;&gt;"",$M326='Mapa do Galpão'!$C$20),COUNTIF($M$6:$M326,'Mapa do Galpão'!$C$20),"")</f>
        <v/>
      </c>
    </row>
    <row r="327" spans="1:20" ht="14.25" hidden="1" customHeight="1" x14ac:dyDescent="0.3">
      <c r="A327" s="43" t="s">
        <v>1081</v>
      </c>
      <c r="B327" s="44" t="s">
        <v>665</v>
      </c>
      <c r="C327" s="165" t="s">
        <v>320</v>
      </c>
      <c r="D327" s="45" t="str">
        <f t="shared" si="10"/>
        <v>Masculino</v>
      </c>
      <c r="E327" s="43" t="s">
        <v>709</v>
      </c>
      <c r="F327" s="43" t="s">
        <v>1055</v>
      </c>
      <c r="G327" s="43" t="s">
        <v>798</v>
      </c>
      <c r="H327" s="43" t="s">
        <v>680</v>
      </c>
      <c r="I327" s="46">
        <f>SUMIFS(Movimentações!$F$6:$F$4998,Movimentações!$C$6:$C$4998,A327,Movimentações!$M$6:$M$4998,M327)</f>
        <v>4</v>
      </c>
      <c r="J327" s="43" t="s">
        <v>670</v>
      </c>
      <c r="K327" s="43" t="s">
        <v>671</v>
      </c>
      <c r="L327" s="47">
        <v>10</v>
      </c>
      <c r="M327" s="43" t="s">
        <v>1080</v>
      </c>
      <c r="N327" s="43" t="str">
        <f t="shared" si="11"/>
        <v>Rua A · Prat 10 · C-66</v>
      </c>
      <c r="P327">
        <f>IF(A327="","",IF(AND(K327&lt;&gt;"",L327&lt;&gt;""),IF(COUNTIFS($K$6:K327,K327,$L$6:L327,L327)=1,1,0),0))</f>
        <v>0</v>
      </c>
      <c r="Q327">
        <f>IF(A327="","",IF(AND(K327&lt;&gt;"",M327&lt;&gt;""),IF(COUNTIFS($K$6:K327,K327,$M$6:M327,M327)=1,1,0),0))</f>
        <v>0</v>
      </c>
      <c r="R327">
        <f>IF(A327="","",IF(M327&lt;&gt;"",IF(COUNTIF($M$6:M327,M327)=1,1,0),0))</f>
        <v>0</v>
      </c>
      <c r="T327" t="str">
        <f>IF(AND($M327&lt;&gt;"",$M327='Mapa do Galpão'!$C$20),COUNTIF($M$6:$M327,'Mapa do Galpão'!$C$20),"")</f>
        <v/>
      </c>
    </row>
    <row r="328" spans="1:20" ht="14.25" hidden="1" customHeight="1" x14ac:dyDescent="0.3">
      <c r="A328" s="43" t="s">
        <v>1082</v>
      </c>
      <c r="B328" s="44" t="s">
        <v>665</v>
      </c>
      <c r="C328" s="165" t="s">
        <v>332</v>
      </c>
      <c r="D328" s="45" t="str">
        <f t="shared" si="10"/>
        <v>Masculino</v>
      </c>
      <c r="E328" s="43" t="s">
        <v>709</v>
      </c>
      <c r="F328" s="43" t="s">
        <v>1055</v>
      </c>
      <c r="G328" s="43" t="s">
        <v>798</v>
      </c>
      <c r="H328" s="43" t="s">
        <v>675</v>
      </c>
      <c r="I328" s="46">
        <f>SUMIFS(Movimentações!$F$6:$F$4998,Movimentações!$C$6:$C$4998,A328,Movimentações!$M$6:$M$4998,M328)</f>
        <v>5</v>
      </c>
      <c r="J328" s="43" t="s">
        <v>670</v>
      </c>
      <c r="K328" s="43" t="s">
        <v>671</v>
      </c>
      <c r="L328" s="47">
        <v>10</v>
      </c>
      <c r="M328" s="43" t="s">
        <v>1080</v>
      </c>
      <c r="N328" s="43" t="str">
        <f t="shared" si="11"/>
        <v>Rua A · Prat 10 · C-66</v>
      </c>
      <c r="P328">
        <f>IF(A328="","",IF(AND(K328&lt;&gt;"",L328&lt;&gt;""),IF(COUNTIFS($K$6:K328,K328,$L$6:L328,L328)=1,1,0),0))</f>
        <v>0</v>
      </c>
      <c r="Q328">
        <f>IF(A328="","",IF(AND(K328&lt;&gt;"",M328&lt;&gt;""),IF(COUNTIFS($K$6:K328,K328,$M$6:M328,M328)=1,1,0),0))</f>
        <v>0</v>
      </c>
      <c r="R328">
        <f>IF(A328="","",IF(M328&lt;&gt;"",IF(COUNTIF($M$6:M328,M328)=1,1,0),0))</f>
        <v>0</v>
      </c>
      <c r="T328" t="str">
        <f>IF(AND($M328&lt;&gt;"",$M328='Mapa do Galpão'!$C$20),COUNTIF($M$6:$M328,'Mapa do Galpão'!$C$20),"")</f>
        <v/>
      </c>
    </row>
    <row r="329" spans="1:20" ht="14.25" hidden="1" customHeight="1" x14ac:dyDescent="0.3">
      <c r="A329" s="43" t="s">
        <v>1083</v>
      </c>
      <c r="B329" s="44" t="s">
        <v>665</v>
      </c>
      <c r="C329" s="165" t="s">
        <v>333</v>
      </c>
      <c r="D329" s="45" t="str">
        <f t="shared" si="10"/>
        <v>Masculino</v>
      </c>
      <c r="E329" s="43" t="s">
        <v>709</v>
      </c>
      <c r="F329" s="43" t="s">
        <v>1055</v>
      </c>
      <c r="G329" s="43" t="s">
        <v>798</v>
      </c>
      <c r="H329" s="43" t="s">
        <v>669</v>
      </c>
      <c r="I329" s="46">
        <f>SUMIFS(Movimentações!$F$6:$F$4998,Movimentações!$C$6:$C$4998,A329,Movimentações!$M$6:$M$4998,M329)</f>
        <v>4</v>
      </c>
      <c r="J329" s="43" t="s">
        <v>670</v>
      </c>
      <c r="K329" s="43" t="s">
        <v>671</v>
      </c>
      <c r="L329" s="47">
        <v>10</v>
      </c>
      <c r="M329" s="43" t="s">
        <v>1080</v>
      </c>
      <c r="N329" s="43" t="str">
        <f t="shared" si="11"/>
        <v>Rua A · Prat 10 · C-66</v>
      </c>
      <c r="P329">
        <f>IF(A329="","",IF(AND(K329&lt;&gt;"",L329&lt;&gt;""),IF(COUNTIFS($K$6:K329,K329,$L$6:L329,L329)=1,1,0),0))</f>
        <v>0</v>
      </c>
      <c r="Q329">
        <f>IF(A329="","",IF(AND(K329&lt;&gt;"",M329&lt;&gt;""),IF(COUNTIFS($K$6:K329,K329,$M$6:M329,M329)=1,1,0),0))</f>
        <v>0</v>
      </c>
      <c r="R329">
        <f>IF(A329="","",IF(M329&lt;&gt;"",IF(COUNTIF($M$6:M329,M329)=1,1,0),0))</f>
        <v>0</v>
      </c>
      <c r="T329" t="str">
        <f>IF(AND($M329&lt;&gt;"",$M329='Mapa do Galpão'!$C$20),COUNTIF($M$6:$M329,'Mapa do Galpão'!$C$20),"")</f>
        <v/>
      </c>
    </row>
    <row r="330" spans="1:20" ht="14.25" hidden="1" customHeight="1" x14ac:dyDescent="0.3">
      <c r="A330" s="43" t="s">
        <v>1084</v>
      </c>
      <c r="B330" s="44" t="s">
        <v>665</v>
      </c>
      <c r="C330" s="165" t="s">
        <v>334</v>
      </c>
      <c r="D330" s="45" t="str">
        <f t="shared" si="10"/>
        <v>—</v>
      </c>
      <c r="E330" s="43" t="s">
        <v>1085</v>
      </c>
      <c r="F330" s="43" t="s">
        <v>1086</v>
      </c>
      <c r="G330" s="43" t="s">
        <v>798</v>
      </c>
      <c r="H330" s="43" t="s">
        <v>1087</v>
      </c>
      <c r="I330" s="46">
        <f>SUMIFS(Movimentações!$F$6:$F$4998,Movimentações!$C$6:$C$4998,A330,Movimentações!$M$6:$M$4998,M330)</f>
        <v>23</v>
      </c>
      <c r="J330" s="43" t="s">
        <v>670</v>
      </c>
      <c r="K330" s="43" t="s">
        <v>671</v>
      </c>
      <c r="L330" s="47">
        <v>15</v>
      </c>
      <c r="M330" s="43" t="s">
        <v>1088</v>
      </c>
      <c r="N330" s="43" t="str">
        <f t="shared" si="11"/>
        <v>Rua A · Prat 15 · C-67</v>
      </c>
      <c r="P330">
        <f>IF(A330="","",IF(AND(K330&lt;&gt;"",L330&lt;&gt;""),IF(COUNTIFS($K$6:K330,K330,$L$6:L330,L330)=1,1,0),0))</f>
        <v>0</v>
      </c>
      <c r="Q330">
        <f>IF(A330="","",IF(AND(K330&lt;&gt;"",M330&lt;&gt;""),IF(COUNTIFS($K$6:K330,K330,$M$6:M330,M330)=1,1,0),0))</f>
        <v>1</v>
      </c>
      <c r="R330">
        <f>IF(A330="","",IF(M330&lt;&gt;"",IF(COUNTIF($M$6:M330,M330)=1,1,0),0))</f>
        <v>1</v>
      </c>
      <c r="T330" t="str">
        <f>IF(AND($M330&lt;&gt;"",$M330='Mapa do Galpão'!$C$20),COUNTIF($M$6:$M330,'Mapa do Galpão'!$C$20),"")</f>
        <v/>
      </c>
    </row>
    <row r="331" spans="1:20" ht="14.25" hidden="1" customHeight="1" x14ac:dyDescent="0.3">
      <c r="A331" s="43" t="s">
        <v>1089</v>
      </c>
      <c r="B331" s="44" t="s">
        <v>665</v>
      </c>
      <c r="C331" s="165" t="s">
        <v>335</v>
      </c>
      <c r="D331" s="45" t="str">
        <f t="shared" si="10"/>
        <v>—</v>
      </c>
      <c r="E331" s="43" t="s">
        <v>1090</v>
      </c>
      <c r="F331" s="43" t="s">
        <v>1091</v>
      </c>
      <c r="G331" s="43" t="s">
        <v>1092</v>
      </c>
      <c r="H331" s="43" t="s">
        <v>1087</v>
      </c>
      <c r="I331" s="46">
        <f>SUMIFS(Movimentações!$F$6:$F$4998,Movimentações!$C$6:$C$4998,A331,Movimentações!$M$6:$M$4998,M331)</f>
        <v>0</v>
      </c>
      <c r="J331" s="43" t="s">
        <v>670</v>
      </c>
      <c r="K331" s="43" t="s">
        <v>671</v>
      </c>
      <c r="L331" s="47">
        <v>16</v>
      </c>
      <c r="M331" s="43" t="s">
        <v>1093</v>
      </c>
      <c r="N331" s="43" t="str">
        <f t="shared" si="11"/>
        <v>Rua A · Prat 16 · C-68</v>
      </c>
      <c r="P331">
        <f>IF(A331="","",IF(AND(K331&lt;&gt;"",L331&lt;&gt;""),IF(COUNTIFS($K$6:K331,K331,$L$6:L331,L331)=1,1,0),0))</f>
        <v>0</v>
      </c>
      <c r="Q331">
        <f>IF(A331="","",IF(AND(K331&lt;&gt;"",M331&lt;&gt;""),IF(COUNTIFS($K$6:K331,K331,$M$6:M331,M331)=1,1,0),0))</f>
        <v>1</v>
      </c>
      <c r="R331">
        <f>IF(A331="","",IF(M331&lt;&gt;"",IF(COUNTIF($M$6:M331,M331)=1,1,0),0))</f>
        <v>1</v>
      </c>
      <c r="T331" t="str">
        <f>IF(AND($M331&lt;&gt;"",$M331='Mapa do Galpão'!$C$20),COUNTIF($M$6:$M331,'Mapa do Galpão'!$C$20),"")</f>
        <v/>
      </c>
    </row>
    <row r="332" spans="1:20" ht="14.25" hidden="1" customHeight="1" x14ac:dyDescent="0.3">
      <c r="A332" s="43" t="s">
        <v>1089</v>
      </c>
      <c r="B332" s="44" t="s">
        <v>665</v>
      </c>
      <c r="C332" s="165" t="s">
        <v>335</v>
      </c>
      <c r="D332" s="45" t="str">
        <f t="shared" si="10"/>
        <v>—</v>
      </c>
      <c r="E332" s="43" t="s">
        <v>1090</v>
      </c>
      <c r="F332" s="43" t="s">
        <v>1091</v>
      </c>
      <c r="G332" s="43" t="s">
        <v>1092</v>
      </c>
      <c r="H332" s="43" t="s">
        <v>1087</v>
      </c>
      <c r="I332" s="46">
        <f>SUMIFS(Movimentações!$F$6:$F$4998,Movimentações!$C$6:$C$4998,A332,Movimentações!$M$6:$M$4998,M332)</f>
        <v>0</v>
      </c>
      <c r="J332" s="43" t="s">
        <v>670</v>
      </c>
      <c r="K332" s="43" t="s">
        <v>671</v>
      </c>
      <c r="L332" s="47">
        <v>13</v>
      </c>
      <c r="M332" s="43" t="s">
        <v>1094</v>
      </c>
      <c r="N332" s="43" t="str">
        <f t="shared" si="11"/>
        <v>Rua A · Prat 13 · C-98</v>
      </c>
      <c r="P332">
        <f>IF(A332="","",IF(AND(K332&lt;&gt;"",L332&lt;&gt;""),IF(COUNTIFS($K$6:K332,K332,$L$6:L332,L332)=1,1,0),0))</f>
        <v>0</v>
      </c>
      <c r="Q332">
        <f>IF(A332="","",IF(AND(K332&lt;&gt;"",M332&lt;&gt;""),IF(COUNTIFS($K$6:K332,K332,$M$6:M332,M332)=1,1,0),0))</f>
        <v>1</v>
      </c>
      <c r="R332">
        <f>IF(A332="","",IF(M332&lt;&gt;"",IF(COUNTIF($M$6:M332,M332)=1,1,0),0))</f>
        <v>1</v>
      </c>
      <c r="T332" t="str">
        <f>IF(AND($M332&lt;&gt;"",$M332='Mapa do Galpão'!$C$20),COUNTIF($M$6:$M332,'Mapa do Galpão'!$C$20),"")</f>
        <v/>
      </c>
    </row>
    <row r="333" spans="1:20" ht="14.25" hidden="1" customHeight="1" x14ac:dyDescent="0.3">
      <c r="A333" s="43" t="s">
        <v>1095</v>
      </c>
      <c r="B333" s="44" t="s">
        <v>665</v>
      </c>
      <c r="C333" s="165" t="s">
        <v>336</v>
      </c>
      <c r="D333" s="45" t="str">
        <f t="shared" si="10"/>
        <v>—</v>
      </c>
      <c r="E333" s="43" t="s">
        <v>1096</v>
      </c>
      <c r="F333" s="43" t="s">
        <v>1097</v>
      </c>
      <c r="G333" s="43" t="s">
        <v>668</v>
      </c>
      <c r="H333" s="43" t="s">
        <v>1087</v>
      </c>
      <c r="I333" s="46">
        <f>SUMIFS(Movimentações!$F$6:$F$4998,Movimentações!$C$6:$C$4998,A333,Movimentações!$M$6:$M$4998,M333)</f>
        <v>0</v>
      </c>
      <c r="J333" s="43" t="s">
        <v>670</v>
      </c>
      <c r="K333" s="43" t="s">
        <v>671</v>
      </c>
      <c r="L333" s="47">
        <v>16</v>
      </c>
      <c r="M333" s="43" t="s">
        <v>1093</v>
      </c>
      <c r="N333" s="43" t="str">
        <f t="shared" si="11"/>
        <v>Rua A · Prat 16 · C-68</v>
      </c>
      <c r="P333">
        <f>IF(A333="","",IF(AND(K333&lt;&gt;"",L333&lt;&gt;""),IF(COUNTIFS($K$6:K333,K333,$L$6:L333,L333)=1,1,0),0))</f>
        <v>0</v>
      </c>
      <c r="Q333">
        <f>IF(A333="","",IF(AND(K333&lt;&gt;"",M333&lt;&gt;""),IF(COUNTIFS($K$6:K333,K333,$M$6:M333,M333)=1,1,0),0))</f>
        <v>0</v>
      </c>
      <c r="R333">
        <f>IF(A333="","",IF(M333&lt;&gt;"",IF(COUNTIF($M$6:M333,M333)=1,1,0),0))</f>
        <v>0</v>
      </c>
      <c r="T333" t="str">
        <f>IF(AND($M333&lt;&gt;"",$M333='Mapa do Galpão'!$C$20),COUNTIF($M$6:$M333,'Mapa do Galpão'!$C$20),"")</f>
        <v/>
      </c>
    </row>
    <row r="334" spans="1:20" ht="14.25" hidden="1" customHeight="1" x14ac:dyDescent="0.3">
      <c r="A334" s="43" t="s">
        <v>1098</v>
      </c>
      <c r="B334" s="44" t="s">
        <v>665</v>
      </c>
      <c r="C334" s="165" t="s">
        <v>337</v>
      </c>
      <c r="D334" s="45" t="str">
        <f t="shared" si="10"/>
        <v>—</v>
      </c>
      <c r="E334" s="43" t="s">
        <v>1096</v>
      </c>
      <c r="F334" s="43" t="s">
        <v>1097</v>
      </c>
      <c r="G334" s="43" t="s">
        <v>798</v>
      </c>
      <c r="H334" s="43" t="s">
        <v>1087</v>
      </c>
      <c r="I334" s="46">
        <f>SUMIFS(Movimentações!$F$6:$F$4998,Movimentações!$C$6:$C$4998,A334,Movimentações!$M$6:$M$4998,M334)</f>
        <v>0</v>
      </c>
      <c r="J334" s="43" t="s">
        <v>670</v>
      </c>
      <c r="K334" s="43" t="s">
        <v>671</v>
      </c>
      <c r="L334" s="47">
        <v>16</v>
      </c>
      <c r="M334" s="43" t="s">
        <v>1093</v>
      </c>
      <c r="N334" s="43" t="str">
        <f t="shared" si="11"/>
        <v>Rua A · Prat 16 · C-68</v>
      </c>
      <c r="P334">
        <f>IF(A334="","",IF(AND(K334&lt;&gt;"",L334&lt;&gt;""),IF(COUNTIFS($K$6:K334,K334,$L$6:L334,L334)=1,1,0),0))</f>
        <v>0</v>
      </c>
      <c r="Q334">
        <f>IF(A334="","",IF(AND(K334&lt;&gt;"",M334&lt;&gt;""),IF(COUNTIFS($K$6:K334,K334,$M$6:M334,M334)=1,1,0),0))</f>
        <v>0</v>
      </c>
      <c r="R334">
        <f>IF(A334="","",IF(M334&lt;&gt;"",IF(COUNTIF($M$6:M334,M334)=1,1,0),0))</f>
        <v>0</v>
      </c>
      <c r="T334" t="str">
        <f>IF(AND($M334&lt;&gt;"",$M334='Mapa do Galpão'!$C$20),COUNTIF($M$6:$M334,'Mapa do Galpão'!$C$20),"")</f>
        <v/>
      </c>
    </row>
    <row r="335" spans="1:20" ht="14.25" hidden="1" customHeight="1" x14ac:dyDescent="0.3">
      <c r="A335" s="43" t="s">
        <v>1099</v>
      </c>
      <c r="B335" s="44" t="s">
        <v>665</v>
      </c>
      <c r="C335" s="165" t="s">
        <v>338</v>
      </c>
      <c r="D335" s="45" t="str">
        <f t="shared" si="10"/>
        <v>—</v>
      </c>
      <c r="E335" s="43" t="s">
        <v>1100</v>
      </c>
      <c r="F335" s="43" t="s">
        <v>1101</v>
      </c>
      <c r="G335" s="43" t="s">
        <v>755</v>
      </c>
      <c r="H335" s="43" t="s">
        <v>1087</v>
      </c>
      <c r="I335" s="46">
        <f>SUMIFS(Movimentações!$F$6:$F$4998,Movimentações!$C$6:$C$4998,A335,Movimentações!$M$6:$M$4998,M335)</f>
        <v>15</v>
      </c>
      <c r="J335" s="43" t="s">
        <v>670</v>
      </c>
      <c r="K335" s="43" t="s">
        <v>671</v>
      </c>
      <c r="L335" s="47">
        <v>16</v>
      </c>
      <c r="M335" s="43" t="s">
        <v>1102</v>
      </c>
      <c r="N335" s="43" t="str">
        <f t="shared" si="11"/>
        <v>Rua A · Prat 16 · C-69</v>
      </c>
      <c r="P335">
        <f>IF(A335="","",IF(AND(K335&lt;&gt;"",L335&lt;&gt;""),IF(COUNTIFS($K$6:K335,K335,$L$6:L335,L335)=1,1,0),0))</f>
        <v>0</v>
      </c>
      <c r="Q335">
        <f>IF(A335="","",IF(AND(K335&lt;&gt;"",M335&lt;&gt;""),IF(COUNTIFS($K$6:K335,K335,$M$6:M335,M335)=1,1,0),0))</f>
        <v>1</v>
      </c>
      <c r="R335">
        <f>IF(A335="","",IF(M335&lt;&gt;"",IF(COUNTIF($M$6:M335,M335)=1,1,0),0))</f>
        <v>1</v>
      </c>
      <c r="T335" t="str">
        <f>IF(AND($M335&lt;&gt;"",$M335='Mapa do Galpão'!$C$20),COUNTIF($M$6:$M335,'Mapa do Galpão'!$C$20),"")</f>
        <v/>
      </c>
    </row>
    <row r="336" spans="1:20" ht="14.25" hidden="1" customHeight="1" x14ac:dyDescent="0.3">
      <c r="A336" s="43" t="s">
        <v>1103</v>
      </c>
      <c r="B336" s="44" t="s">
        <v>665</v>
      </c>
      <c r="C336" s="165" t="s">
        <v>339</v>
      </c>
      <c r="D336" s="45" t="str">
        <f t="shared" si="10"/>
        <v>—</v>
      </c>
      <c r="E336" s="43" t="s">
        <v>1104</v>
      </c>
      <c r="F336" s="43" t="s">
        <v>1105</v>
      </c>
      <c r="G336" s="43" t="s">
        <v>668</v>
      </c>
      <c r="H336" s="43" t="s">
        <v>1087</v>
      </c>
      <c r="I336" s="46">
        <f>SUMIFS(Movimentações!$F$6:$F$4998,Movimentações!$C$6:$C$4998,A336,Movimentações!$M$6:$M$4998,M336)</f>
        <v>12</v>
      </c>
      <c r="J336" s="43" t="s">
        <v>670</v>
      </c>
      <c r="K336" s="43" t="s">
        <v>671</v>
      </c>
      <c r="L336" s="47">
        <v>16</v>
      </c>
      <c r="M336" s="43" t="s">
        <v>1106</v>
      </c>
      <c r="N336" s="43" t="str">
        <f t="shared" si="11"/>
        <v>Rua A · Prat 16 · C-70</v>
      </c>
      <c r="P336">
        <f>IF(A336="","",IF(AND(K336&lt;&gt;"",L336&lt;&gt;""),IF(COUNTIFS($K$6:K336,K336,$L$6:L336,L336)=1,1,0),0))</f>
        <v>0</v>
      </c>
      <c r="Q336">
        <f>IF(A336="","",IF(AND(K336&lt;&gt;"",M336&lt;&gt;""),IF(COUNTIFS($K$6:K336,K336,$M$6:M336,M336)=1,1,0),0))</f>
        <v>1</v>
      </c>
      <c r="R336">
        <f>IF(A336="","",IF(M336&lt;&gt;"",IF(COUNTIF($M$6:M336,M336)=1,1,0),0))</f>
        <v>1</v>
      </c>
      <c r="T336" t="str">
        <f>IF(AND($M336&lt;&gt;"",$M336='Mapa do Galpão'!$C$20),COUNTIF($M$6:$M336,'Mapa do Galpão'!$C$20),"")</f>
        <v/>
      </c>
    </row>
    <row r="337" spans="1:20" ht="14.25" hidden="1" customHeight="1" x14ac:dyDescent="0.3">
      <c r="A337" s="43" t="s">
        <v>1107</v>
      </c>
      <c r="B337" s="44" t="s">
        <v>665</v>
      </c>
      <c r="C337" s="165" t="s">
        <v>340</v>
      </c>
      <c r="D337" s="45" t="str">
        <f t="shared" si="10"/>
        <v>—</v>
      </c>
      <c r="E337" s="43" t="s">
        <v>1108</v>
      </c>
      <c r="F337" s="43" t="s">
        <v>1109</v>
      </c>
      <c r="G337" s="43" t="s">
        <v>668</v>
      </c>
      <c r="H337" s="43" t="s">
        <v>1087</v>
      </c>
      <c r="I337" s="46">
        <f>SUMIFS(Movimentações!$F$6:$F$4998,Movimentações!$C$6:$C$4998,A337,Movimentações!$M$6:$M$4998,M337)</f>
        <v>22</v>
      </c>
      <c r="J337" s="43" t="s">
        <v>670</v>
      </c>
      <c r="K337" s="43" t="s">
        <v>671</v>
      </c>
      <c r="L337" s="47">
        <v>12</v>
      </c>
      <c r="M337" s="43" t="s">
        <v>1110</v>
      </c>
      <c r="N337" s="43" t="str">
        <f t="shared" si="11"/>
        <v>Rua A · Prat 12 · C-71</v>
      </c>
      <c r="P337">
        <f>IF(A337="","",IF(AND(K337&lt;&gt;"",L337&lt;&gt;""),IF(COUNTIFS($K$6:K337,K337,$L$6:L337,L337)=1,1,0),0))</f>
        <v>0</v>
      </c>
      <c r="Q337">
        <f>IF(A337="","",IF(AND(K337&lt;&gt;"",M337&lt;&gt;""),IF(COUNTIFS($K$6:K337,K337,$M$6:M337,M337)=1,1,0),0))</f>
        <v>1</v>
      </c>
      <c r="R337">
        <f>IF(A337="","",IF(M337&lt;&gt;"",IF(COUNTIF($M$6:M337,M337)=1,1,0),0))</f>
        <v>1</v>
      </c>
      <c r="T337" t="str">
        <f>IF(AND($M337&lt;&gt;"",$M337='Mapa do Galpão'!$C$20),COUNTIF($M$6:$M337,'Mapa do Galpão'!$C$20),"")</f>
        <v/>
      </c>
    </row>
    <row r="338" spans="1:20" ht="14.25" hidden="1" customHeight="1" x14ac:dyDescent="0.3">
      <c r="A338" s="43" t="s">
        <v>1111</v>
      </c>
      <c r="B338" s="44" t="s">
        <v>665</v>
      </c>
      <c r="C338" s="165" t="s">
        <v>341</v>
      </c>
      <c r="D338" s="45" t="str">
        <f t="shared" si="10"/>
        <v>—</v>
      </c>
      <c r="E338" s="43" t="s">
        <v>1108</v>
      </c>
      <c r="F338" s="43" t="s">
        <v>1112</v>
      </c>
      <c r="G338" s="43" t="s">
        <v>738</v>
      </c>
      <c r="H338" s="43" t="s">
        <v>1113</v>
      </c>
      <c r="I338" s="46">
        <f>SUMIFS(Movimentações!$F$6:$F$4998,Movimentações!$C$6:$C$4998,A338,Movimentações!$M$6:$M$4998,M338)</f>
        <v>17</v>
      </c>
      <c r="J338" s="43" t="s">
        <v>670</v>
      </c>
      <c r="K338" s="43" t="s">
        <v>671</v>
      </c>
      <c r="L338" s="47">
        <v>12</v>
      </c>
      <c r="M338" s="43" t="s">
        <v>1114</v>
      </c>
      <c r="N338" s="43" t="str">
        <f t="shared" si="11"/>
        <v>Rua A · Prat 12 · C-72</v>
      </c>
      <c r="P338">
        <f>IF(A338="","",IF(AND(K338&lt;&gt;"",L338&lt;&gt;""),IF(COUNTIFS($K$6:K338,K338,$L$6:L338,L338)=1,1,0),0))</f>
        <v>0</v>
      </c>
      <c r="Q338">
        <f>IF(A338="","",IF(AND(K338&lt;&gt;"",M338&lt;&gt;""),IF(COUNTIFS($K$6:K338,K338,$M$6:M338,M338)=1,1,0),0))</f>
        <v>1</v>
      </c>
      <c r="R338">
        <f>IF(A338="","",IF(M338&lt;&gt;"",IF(COUNTIF($M$6:M338,M338)=1,1,0),0))</f>
        <v>1</v>
      </c>
      <c r="T338" t="str">
        <f>IF(AND($M338&lt;&gt;"",$M338='Mapa do Galpão'!$C$20),COUNTIF($M$6:$M338,'Mapa do Galpão'!$C$20),"")</f>
        <v/>
      </c>
    </row>
    <row r="339" spans="1:20" ht="14.25" hidden="1" customHeight="1" x14ac:dyDescent="0.3">
      <c r="A339" s="43" t="s">
        <v>1111</v>
      </c>
      <c r="B339" s="44" t="s">
        <v>665</v>
      </c>
      <c r="C339" s="165" t="s">
        <v>341</v>
      </c>
      <c r="D339" s="45" t="str">
        <f t="shared" si="10"/>
        <v>—</v>
      </c>
      <c r="E339" s="43" t="s">
        <v>1108</v>
      </c>
      <c r="F339" s="43" t="s">
        <v>1112</v>
      </c>
      <c r="G339" s="43" t="s">
        <v>738</v>
      </c>
      <c r="H339" s="43" t="s">
        <v>1113</v>
      </c>
      <c r="I339" s="46">
        <f>SUMIFS(Movimentações!$F$6:$F$4998,Movimentações!$C$6:$C$4998,A339,Movimentações!$M$6:$M$4998,M339)</f>
        <v>2</v>
      </c>
      <c r="J339" s="43" t="s">
        <v>670</v>
      </c>
      <c r="K339" s="43" t="s">
        <v>671</v>
      </c>
      <c r="L339" s="47" t="s">
        <v>1115</v>
      </c>
      <c r="M339" s="43" t="s">
        <v>1116</v>
      </c>
      <c r="N339" s="43" t="str">
        <f t="shared" si="11"/>
        <v>Rua A · Prat 7 · C-99</v>
      </c>
      <c r="P339">
        <f>IF(A339="","",IF(AND(K339&lt;&gt;"",L339&lt;&gt;""),IF(COUNTIFS($K$6:K339,K339,$L$6:L339,L339)=1,1,0),0))</f>
        <v>1</v>
      </c>
      <c r="Q339">
        <f>IF(A339="","",IF(AND(K339&lt;&gt;"",M339&lt;&gt;""),IF(COUNTIFS($K$6:K339,K339,$M$6:M339,M339)=1,1,0),0))</f>
        <v>1</v>
      </c>
      <c r="R339">
        <f>IF(A339="","",IF(M339&lt;&gt;"",IF(COUNTIF($M$6:M339,M339)=1,1,0),0))</f>
        <v>1</v>
      </c>
      <c r="T339" t="str">
        <f>IF(AND($M339&lt;&gt;"",$M339='Mapa do Galpão'!$C$20),COUNTIF($M$6:$M339,'Mapa do Galpão'!$C$20),"")</f>
        <v/>
      </c>
    </row>
    <row r="340" spans="1:20" ht="14.25" hidden="1" customHeight="1" x14ac:dyDescent="0.3">
      <c r="A340" s="43" t="s">
        <v>1111</v>
      </c>
      <c r="B340" s="44" t="s">
        <v>665</v>
      </c>
      <c r="C340" s="165" t="s">
        <v>341</v>
      </c>
      <c r="D340" s="45" t="str">
        <f t="shared" si="10"/>
        <v>—</v>
      </c>
      <c r="E340" s="43" t="s">
        <v>1108</v>
      </c>
      <c r="F340" s="43" t="s">
        <v>1112</v>
      </c>
      <c r="G340" s="43" t="s">
        <v>738</v>
      </c>
      <c r="H340" s="43" t="s">
        <v>1113</v>
      </c>
      <c r="I340" s="46">
        <f>SUMIFS(Movimentações!$F$6:$F$4998,Movimentações!$C$6:$C$4998,A340,Movimentações!$M$6:$M$4998,M340)</f>
        <v>150</v>
      </c>
      <c r="J340" s="43" t="s">
        <v>670</v>
      </c>
      <c r="K340" s="43" t="s">
        <v>671</v>
      </c>
      <c r="L340" s="47">
        <v>11</v>
      </c>
      <c r="M340" s="43" t="s">
        <v>1117</v>
      </c>
      <c r="N340" s="43" t="str">
        <f t="shared" si="11"/>
        <v>Rua A · Prat 11 · C-103</v>
      </c>
      <c r="P340">
        <f>IF(A340="","",IF(AND(K340&lt;&gt;"",L340&lt;&gt;""),IF(COUNTIFS($K$6:K340,K340,$L$6:L340,L340)=1,1,0),0))</f>
        <v>0</v>
      </c>
      <c r="Q340">
        <f>IF(A340="","",IF(AND(K340&lt;&gt;"",M340&lt;&gt;""),IF(COUNTIFS($K$6:K340,K340,$M$6:M340,M340)=1,1,0),0))</f>
        <v>1</v>
      </c>
      <c r="R340">
        <f>IF(A340="","",IF(M340&lt;&gt;"",IF(COUNTIF($M$6:M340,M340)=1,1,0),0))</f>
        <v>1</v>
      </c>
      <c r="T340" t="str">
        <f>IF(AND($M340&lt;&gt;"",$M340='Mapa do Galpão'!$C$20),COUNTIF($M$6:$M340,'Mapa do Galpão'!$C$20),"")</f>
        <v/>
      </c>
    </row>
    <row r="341" spans="1:20" ht="14.25" hidden="1" customHeight="1" x14ac:dyDescent="0.3">
      <c r="A341" s="43" t="s">
        <v>1111</v>
      </c>
      <c r="B341" s="44" t="s">
        <v>665</v>
      </c>
      <c r="C341" s="165" t="s">
        <v>341</v>
      </c>
      <c r="D341" s="45" t="str">
        <f t="shared" si="10"/>
        <v>—</v>
      </c>
      <c r="E341" s="43" t="s">
        <v>1108</v>
      </c>
      <c r="F341" s="43" t="s">
        <v>1112</v>
      </c>
      <c r="G341" s="43" t="s">
        <v>738</v>
      </c>
      <c r="H341" s="43" t="s">
        <v>1113</v>
      </c>
      <c r="I341" s="46">
        <f>SUMIFS(Movimentações!$F$6:$F$4998,Movimentações!$C$6:$C$4998,A341,Movimentações!$M$6:$M$4998,M341)</f>
        <v>125</v>
      </c>
      <c r="J341" s="43" t="s">
        <v>670</v>
      </c>
      <c r="K341" s="43" t="s">
        <v>671</v>
      </c>
      <c r="L341" s="47">
        <v>12</v>
      </c>
      <c r="M341" s="43" t="s">
        <v>1118</v>
      </c>
      <c r="N341" s="43" t="str">
        <f t="shared" si="11"/>
        <v>Rua A · Prat 12 · C-111</v>
      </c>
      <c r="P341">
        <f>IF(A341="","",IF(AND(K341&lt;&gt;"",L341&lt;&gt;""),IF(COUNTIFS($K$6:K341,K341,$L$6:L341,L341)=1,1,0),0))</f>
        <v>0</v>
      </c>
      <c r="Q341">
        <f>IF(A341="","",IF(AND(K341&lt;&gt;"",M341&lt;&gt;""),IF(COUNTIFS($K$6:K341,K341,$M$6:M341,M341)=1,1,0),0))</f>
        <v>1</v>
      </c>
      <c r="R341">
        <f>IF(A341="","",IF(M341&lt;&gt;"",IF(COUNTIF($M$6:M341,M341)=1,1,0),0))</f>
        <v>1</v>
      </c>
      <c r="T341" t="str">
        <f>IF(AND($M341&lt;&gt;"",$M341='Mapa do Galpão'!$C$20),COUNTIF($M$6:$M341,'Mapa do Galpão'!$C$20),"")</f>
        <v/>
      </c>
    </row>
    <row r="342" spans="1:20" ht="14.25" hidden="1" customHeight="1" x14ac:dyDescent="0.3">
      <c r="A342" s="43" t="s">
        <v>1119</v>
      </c>
      <c r="B342" s="44" t="s">
        <v>665</v>
      </c>
      <c r="C342" s="165" t="s">
        <v>342</v>
      </c>
      <c r="D342" s="45" t="str">
        <f t="shared" si="10"/>
        <v>—</v>
      </c>
      <c r="E342" s="43" t="s">
        <v>1108</v>
      </c>
      <c r="F342" s="43" t="s">
        <v>1112</v>
      </c>
      <c r="G342" s="43" t="s">
        <v>738</v>
      </c>
      <c r="H342" s="43" t="s">
        <v>1120</v>
      </c>
      <c r="I342" s="46">
        <f>SUMIFS(Movimentações!$F$6:$F$4998,Movimentações!$C$6:$C$4998,A342,Movimentações!$M$6:$M$4998,M342)</f>
        <v>57</v>
      </c>
      <c r="J342" s="43" t="s">
        <v>670</v>
      </c>
      <c r="K342" s="43" t="s">
        <v>671</v>
      </c>
      <c r="L342" s="47">
        <v>12</v>
      </c>
      <c r="M342" s="43" t="s">
        <v>1114</v>
      </c>
      <c r="N342" s="43" t="str">
        <f t="shared" si="11"/>
        <v>Rua A · Prat 12 · C-72</v>
      </c>
      <c r="P342">
        <f>IF(A342="","",IF(AND(K342&lt;&gt;"",L342&lt;&gt;""),IF(COUNTIFS($K$6:K342,K342,$L$6:L342,L342)=1,1,0),0))</f>
        <v>0</v>
      </c>
      <c r="Q342">
        <f>IF(A342="","",IF(AND(K342&lt;&gt;"",M342&lt;&gt;""),IF(COUNTIFS($K$6:K342,K342,$M$6:M342,M342)=1,1,0),0))</f>
        <v>0</v>
      </c>
      <c r="R342">
        <f>IF(A342="","",IF(M342&lt;&gt;"",IF(COUNTIF($M$6:M342,M342)=1,1,0),0))</f>
        <v>0</v>
      </c>
      <c r="T342" t="str">
        <f>IF(AND($M342&lt;&gt;"",$M342='Mapa do Galpão'!$C$20),COUNTIF($M$6:$M342,'Mapa do Galpão'!$C$20),"")</f>
        <v/>
      </c>
    </row>
    <row r="343" spans="1:20" ht="14.25" hidden="1" customHeight="1" x14ac:dyDescent="0.3">
      <c r="A343" s="43" t="s">
        <v>1119</v>
      </c>
      <c r="B343" s="44" t="s">
        <v>665</v>
      </c>
      <c r="C343" s="165" t="s">
        <v>342</v>
      </c>
      <c r="D343" s="45" t="str">
        <f t="shared" si="10"/>
        <v>—</v>
      </c>
      <c r="E343" s="43" t="s">
        <v>1108</v>
      </c>
      <c r="F343" s="43" t="s">
        <v>1112</v>
      </c>
      <c r="G343" s="43" t="s">
        <v>738</v>
      </c>
      <c r="H343" s="43" t="s">
        <v>1120</v>
      </c>
      <c r="I343" s="46">
        <f>SUMIFS(Movimentações!$F$6:$F$4998,Movimentações!$C$6:$C$4998,A343,Movimentações!$M$6:$M$4998,M343)</f>
        <v>200</v>
      </c>
      <c r="J343" s="43" t="s">
        <v>670</v>
      </c>
      <c r="K343" s="43" t="s">
        <v>671</v>
      </c>
      <c r="L343" s="47">
        <v>11</v>
      </c>
      <c r="M343" s="43" t="s">
        <v>1121</v>
      </c>
      <c r="N343" s="43" t="str">
        <f t="shared" si="11"/>
        <v>Rua A · Prat 11 · C-88</v>
      </c>
      <c r="P343">
        <f>IF(A343="","",IF(AND(K343&lt;&gt;"",L343&lt;&gt;""),IF(COUNTIFS($K$6:K343,K343,$L$6:L343,L343)=1,1,0),0))</f>
        <v>0</v>
      </c>
      <c r="Q343">
        <f>IF(A343="","",IF(AND(K343&lt;&gt;"",M343&lt;&gt;""),IF(COUNTIFS($K$6:K343,K343,$M$6:M343,M343)=1,1,0),0))</f>
        <v>1</v>
      </c>
      <c r="R343">
        <f>IF(A343="","",IF(M343&lt;&gt;"",IF(COUNTIF($M$6:M343,M343)=1,1,0),0))</f>
        <v>1</v>
      </c>
      <c r="T343" t="str">
        <f>IF(AND($M343&lt;&gt;"",$M343='Mapa do Galpão'!$C$20),COUNTIF($M$6:$M343,'Mapa do Galpão'!$C$20),"")</f>
        <v/>
      </c>
    </row>
    <row r="344" spans="1:20" ht="14.25" hidden="1" customHeight="1" x14ac:dyDescent="0.3">
      <c r="A344" s="43" t="s">
        <v>1119</v>
      </c>
      <c r="B344" s="44" t="s">
        <v>665</v>
      </c>
      <c r="C344" s="165" t="s">
        <v>342</v>
      </c>
      <c r="D344" s="45" t="str">
        <f t="shared" si="10"/>
        <v>—</v>
      </c>
      <c r="E344" s="43" t="s">
        <v>1108</v>
      </c>
      <c r="F344" s="43" t="s">
        <v>1112</v>
      </c>
      <c r="G344" s="43" t="s">
        <v>738</v>
      </c>
      <c r="H344" s="43" t="s">
        <v>1120</v>
      </c>
      <c r="I344" s="46">
        <f>SUMIFS(Movimentações!$F$6:$F$4998,Movimentações!$C$6:$C$4998,A344,Movimentações!$M$6:$M$4998,M344)</f>
        <v>82</v>
      </c>
      <c r="J344" s="43" t="s">
        <v>670</v>
      </c>
      <c r="K344" s="43" t="s">
        <v>671</v>
      </c>
      <c r="L344" s="47">
        <v>11</v>
      </c>
      <c r="M344" s="43" t="s">
        <v>1116</v>
      </c>
      <c r="N344" s="43" t="str">
        <f t="shared" si="11"/>
        <v>Rua A · Prat 11 · C-99</v>
      </c>
      <c r="P344">
        <f>IF(A344="","",IF(AND(K344&lt;&gt;"",L344&lt;&gt;""),IF(COUNTIFS($K$6:K344,K344,$L$6:L344,L344)=1,1,0),0))</f>
        <v>0</v>
      </c>
      <c r="Q344">
        <f>IF(A344="","",IF(AND(K344&lt;&gt;"",M344&lt;&gt;""),IF(COUNTIFS($K$6:K344,K344,$M$6:M344,M344)=1,1,0),0))</f>
        <v>0</v>
      </c>
      <c r="R344">
        <f>IF(A344="","",IF(M344&lt;&gt;"",IF(COUNTIF($M$6:M344,M344)=1,1,0),0))</f>
        <v>0</v>
      </c>
      <c r="T344" t="str">
        <f>IF(AND($M344&lt;&gt;"",$M344='Mapa do Galpão'!$C$20),COUNTIF($M$6:$M344,'Mapa do Galpão'!$C$20),"")</f>
        <v/>
      </c>
    </row>
    <row r="345" spans="1:20" ht="14.25" hidden="1" customHeight="1" x14ac:dyDescent="0.3">
      <c r="A345" s="43" t="s">
        <v>1119</v>
      </c>
      <c r="B345" s="44" t="s">
        <v>665</v>
      </c>
      <c r="C345" s="165" t="s">
        <v>342</v>
      </c>
      <c r="D345" s="45" t="str">
        <f t="shared" si="10"/>
        <v>—</v>
      </c>
      <c r="E345" s="43" t="s">
        <v>1108</v>
      </c>
      <c r="F345" s="43" t="s">
        <v>1112</v>
      </c>
      <c r="G345" s="43" t="s">
        <v>738</v>
      </c>
      <c r="H345" s="43" t="s">
        <v>1120</v>
      </c>
      <c r="I345" s="46">
        <f>SUMIFS(Movimentações!$F$6:$F$4998,Movimentações!$C$6:$C$4998,A345,Movimentações!$M$6:$M$4998,M345)</f>
        <v>36</v>
      </c>
      <c r="J345" s="43" t="s">
        <v>670</v>
      </c>
      <c r="K345" s="43" t="s">
        <v>671</v>
      </c>
      <c r="L345" s="47">
        <v>12</v>
      </c>
      <c r="M345" s="43" t="s">
        <v>1122</v>
      </c>
      <c r="N345" s="43" t="str">
        <f t="shared" si="11"/>
        <v>Rua A · Prat 12 · C-116</v>
      </c>
      <c r="P345">
        <f>IF(A345="","",IF(AND(K345&lt;&gt;"",L345&lt;&gt;""),IF(COUNTIFS($K$6:K345,K345,$L$6:L345,L345)=1,1,0),0))</f>
        <v>0</v>
      </c>
      <c r="Q345">
        <f>IF(A345="","",IF(AND(K345&lt;&gt;"",M345&lt;&gt;""),IF(COUNTIFS($K$6:K345,K345,$M$6:M345,M345)=1,1,0),0))</f>
        <v>1</v>
      </c>
      <c r="R345">
        <f>IF(A345="","",IF(M345&lt;&gt;"",IF(COUNTIF($M$6:M345,M345)=1,1,0),0))</f>
        <v>1</v>
      </c>
      <c r="T345" t="str">
        <f>IF(AND($M345&lt;&gt;"",$M345='Mapa do Galpão'!$C$20),COUNTIF($M$6:$M345,'Mapa do Galpão'!$C$20),"")</f>
        <v/>
      </c>
    </row>
    <row r="346" spans="1:20" ht="14.25" hidden="1" customHeight="1" x14ac:dyDescent="0.3">
      <c r="A346" s="43" t="s">
        <v>1123</v>
      </c>
      <c r="B346" s="44" t="s">
        <v>665</v>
      </c>
      <c r="C346" s="165" t="s">
        <v>343</v>
      </c>
      <c r="D346" s="45" t="str">
        <f t="shared" si="10"/>
        <v>—</v>
      </c>
      <c r="E346" s="43" t="s">
        <v>21</v>
      </c>
      <c r="F346" s="43" t="s">
        <v>1124</v>
      </c>
      <c r="G346" s="43" t="s">
        <v>798</v>
      </c>
      <c r="H346" s="43" t="s">
        <v>1087</v>
      </c>
      <c r="I346" s="46">
        <f>SUMIFS(Movimentações!$F$6:$F$4998,Movimentações!$C$6:$C$4998,A346,Movimentações!$M$6:$M$4998,M346)</f>
        <v>50</v>
      </c>
      <c r="J346" s="43" t="s">
        <v>670</v>
      </c>
      <c r="K346" s="43" t="s">
        <v>671</v>
      </c>
      <c r="L346" s="47" t="s">
        <v>672</v>
      </c>
      <c r="M346" s="43" t="s">
        <v>1093</v>
      </c>
      <c r="N346" s="43" t="str">
        <f t="shared" si="11"/>
        <v>Rua A · Prat 1 · C-68</v>
      </c>
      <c r="P346">
        <f>IF(A346="","",IF(AND(K346&lt;&gt;"",L346&lt;&gt;""),IF(COUNTIFS($K$6:K346,K346,$L$6:L346,L346)=1,1,0),0))</f>
        <v>0</v>
      </c>
      <c r="Q346">
        <f>IF(A346="","",IF(AND(K346&lt;&gt;"",M346&lt;&gt;""),IF(COUNTIFS($K$6:K346,K346,$M$6:M346,M346)=1,1,0),0))</f>
        <v>0</v>
      </c>
      <c r="R346">
        <f>IF(A346="","",IF(M346&lt;&gt;"",IF(COUNTIF($M$6:M346,M346)=1,1,0),0))</f>
        <v>0</v>
      </c>
      <c r="T346" t="str">
        <f>IF(AND($M346&lt;&gt;"",$M346='Mapa do Galpão'!$C$20),COUNTIF($M$6:$M346,'Mapa do Galpão'!$C$20),"")</f>
        <v/>
      </c>
    </row>
    <row r="347" spans="1:20" ht="14.25" hidden="1" customHeight="1" x14ac:dyDescent="0.3">
      <c r="A347" s="43" t="s">
        <v>1123</v>
      </c>
      <c r="B347" s="44" t="s">
        <v>665</v>
      </c>
      <c r="C347" s="165" t="s">
        <v>343</v>
      </c>
      <c r="D347" s="45" t="str">
        <f t="shared" si="10"/>
        <v>—</v>
      </c>
      <c r="E347" s="43" t="s">
        <v>21</v>
      </c>
      <c r="F347" s="43" t="s">
        <v>1124</v>
      </c>
      <c r="G347" s="43" t="s">
        <v>798</v>
      </c>
      <c r="H347" s="43" t="s">
        <v>1087</v>
      </c>
      <c r="I347" s="46">
        <f>SUMIFS(Movimentações!$F$6:$F$4998,Movimentações!$C$6:$C$4998,A347,Movimentações!$M$6:$M$4998,M347)</f>
        <v>19</v>
      </c>
      <c r="J347" s="43" t="s">
        <v>670</v>
      </c>
      <c r="K347" s="43" t="s">
        <v>671</v>
      </c>
      <c r="L347" s="47">
        <v>12</v>
      </c>
      <c r="M347" s="43" t="s">
        <v>1118</v>
      </c>
      <c r="N347" s="43" t="str">
        <f t="shared" si="11"/>
        <v>Rua A · Prat 12 · C-111</v>
      </c>
      <c r="P347">
        <f>IF(A347="","",IF(AND(K347&lt;&gt;"",L347&lt;&gt;""),IF(COUNTIFS($K$6:K347,K347,$L$6:L347,L347)=1,1,0),0))</f>
        <v>0</v>
      </c>
      <c r="Q347">
        <f>IF(A347="","",IF(AND(K347&lt;&gt;"",M347&lt;&gt;""),IF(COUNTIFS($K$6:K347,K347,$M$6:M347,M347)=1,1,0),0))</f>
        <v>0</v>
      </c>
      <c r="R347">
        <f>IF(A347="","",IF(M347&lt;&gt;"",IF(COUNTIF($M$6:M347,M347)=1,1,0),0))</f>
        <v>0</v>
      </c>
      <c r="T347" t="str">
        <f>IF(AND($M347&lt;&gt;"",$M347='Mapa do Galpão'!$C$20),COUNTIF($M$6:$M347,'Mapa do Galpão'!$C$20),"")</f>
        <v/>
      </c>
    </row>
    <row r="348" spans="1:20" ht="14.25" hidden="1" customHeight="1" x14ac:dyDescent="0.3">
      <c r="A348" s="43" t="s">
        <v>1125</v>
      </c>
      <c r="B348" s="44" t="s">
        <v>665</v>
      </c>
      <c r="C348" s="165" t="s">
        <v>344</v>
      </c>
      <c r="D348" s="45" t="str">
        <f t="shared" si="10"/>
        <v>—</v>
      </c>
      <c r="E348" s="43" t="s">
        <v>1126</v>
      </c>
      <c r="F348" s="43" t="s">
        <v>1127</v>
      </c>
      <c r="G348" s="43" t="s">
        <v>798</v>
      </c>
      <c r="H348" s="43" t="s">
        <v>1087</v>
      </c>
      <c r="I348" s="46">
        <f>SUMIFS(Movimentações!$F$6:$F$4998,Movimentações!$C$6:$C$4998,A348,Movimentações!$M$6:$M$4998,M348)</f>
        <v>4</v>
      </c>
      <c r="J348" s="43" t="s">
        <v>670</v>
      </c>
      <c r="K348" s="43" t="s">
        <v>671</v>
      </c>
      <c r="L348" s="47">
        <v>10</v>
      </c>
      <c r="M348" s="43" t="s">
        <v>1128</v>
      </c>
      <c r="N348" s="43" t="str">
        <f t="shared" si="11"/>
        <v>Rua A · Prat 10 · C-73</v>
      </c>
      <c r="P348">
        <f>IF(A348="","",IF(AND(K348&lt;&gt;"",L348&lt;&gt;""),IF(COUNTIFS($K$6:K348,K348,$L$6:L348,L348)=1,1,0),0))</f>
        <v>0</v>
      </c>
      <c r="Q348">
        <f>IF(A348="","",IF(AND(K348&lt;&gt;"",M348&lt;&gt;""),IF(COUNTIFS($K$6:K348,K348,$M$6:M348,M348)=1,1,0),0))</f>
        <v>1</v>
      </c>
      <c r="R348">
        <f>IF(A348="","",IF(M348&lt;&gt;"",IF(COUNTIF($M$6:M348,M348)=1,1,0),0))</f>
        <v>1</v>
      </c>
      <c r="T348" t="str">
        <f>IF(AND($M348&lt;&gt;"",$M348='Mapa do Galpão'!$C$20),COUNTIF($M$6:$M348,'Mapa do Galpão'!$C$20),"")</f>
        <v/>
      </c>
    </row>
    <row r="349" spans="1:20" ht="14.25" hidden="1" customHeight="1" x14ac:dyDescent="0.3">
      <c r="A349" s="43" t="s">
        <v>1125</v>
      </c>
      <c r="B349" s="44" t="s">
        <v>665</v>
      </c>
      <c r="C349" s="165" t="s">
        <v>344</v>
      </c>
      <c r="D349" s="45" t="str">
        <f t="shared" si="10"/>
        <v>—</v>
      </c>
      <c r="E349" s="43" t="s">
        <v>1126</v>
      </c>
      <c r="F349" s="43" t="s">
        <v>1127</v>
      </c>
      <c r="G349" s="43" t="s">
        <v>798</v>
      </c>
      <c r="H349" s="43" t="s">
        <v>1087</v>
      </c>
      <c r="I349" s="46">
        <f>SUMIFS(Movimentações!$F$6:$F$4998,Movimentações!$C$6:$C$4998,A349,Movimentações!$M$6:$M$4998,M349)</f>
        <v>6</v>
      </c>
      <c r="J349" s="43" t="s">
        <v>670</v>
      </c>
      <c r="K349" s="43" t="s">
        <v>671</v>
      </c>
      <c r="L349" s="47">
        <v>11</v>
      </c>
      <c r="M349" s="43" t="s">
        <v>1129</v>
      </c>
      <c r="N349" s="43" t="str">
        <f t="shared" si="11"/>
        <v>Rua A · Prat 11 · C-83</v>
      </c>
      <c r="P349">
        <f>IF(A349="","",IF(AND(K349&lt;&gt;"",L349&lt;&gt;""),IF(COUNTIFS($K$6:K349,K349,$L$6:L349,L349)=1,1,0),0))</f>
        <v>0</v>
      </c>
      <c r="Q349">
        <f>IF(A349="","",IF(AND(K349&lt;&gt;"",M349&lt;&gt;""),IF(COUNTIFS($K$6:K349,K349,$M$6:M349,M349)=1,1,0),0))</f>
        <v>1</v>
      </c>
      <c r="R349">
        <f>IF(A349="","",IF(M349&lt;&gt;"",IF(COUNTIF($M$6:M349,M349)=1,1,0),0))</f>
        <v>1</v>
      </c>
      <c r="T349" t="str">
        <f>IF(AND($M349&lt;&gt;"",$M349='Mapa do Galpão'!$C$20),COUNTIF($M$6:$M349,'Mapa do Galpão'!$C$20),"")</f>
        <v/>
      </c>
    </row>
    <row r="350" spans="1:20" ht="14.25" hidden="1" customHeight="1" x14ac:dyDescent="0.3">
      <c r="A350" s="43" t="s">
        <v>1130</v>
      </c>
      <c r="B350" s="44" t="s">
        <v>665</v>
      </c>
      <c r="C350" s="165" t="s">
        <v>345</v>
      </c>
      <c r="D350" s="45" t="str">
        <f t="shared" si="10"/>
        <v>—</v>
      </c>
      <c r="E350" s="43" t="s">
        <v>1126</v>
      </c>
      <c r="F350" s="43" t="s">
        <v>1127</v>
      </c>
      <c r="G350" s="43" t="s">
        <v>1131</v>
      </c>
      <c r="H350" s="43" t="s">
        <v>1087</v>
      </c>
      <c r="I350" s="46">
        <f>SUMIFS(Movimentações!$F$6:$F$4998,Movimentações!$C$6:$C$4998,A350,Movimentações!$M$6:$M$4998,M350)</f>
        <v>1</v>
      </c>
      <c r="J350" s="43" t="s">
        <v>670</v>
      </c>
      <c r="K350" s="43" t="s">
        <v>671</v>
      </c>
      <c r="L350" s="47">
        <v>10</v>
      </c>
      <c r="M350" s="43" t="s">
        <v>1128</v>
      </c>
      <c r="N350" s="43" t="str">
        <f t="shared" si="11"/>
        <v>Rua A · Prat 10 · C-73</v>
      </c>
      <c r="P350">
        <f>IF(A350="","",IF(AND(K350&lt;&gt;"",L350&lt;&gt;""),IF(COUNTIFS($K$6:K350,K350,$L$6:L350,L350)=1,1,0),0))</f>
        <v>0</v>
      </c>
      <c r="Q350">
        <f>IF(A350="","",IF(AND(K350&lt;&gt;"",M350&lt;&gt;""),IF(COUNTIFS($K$6:K350,K350,$M$6:M350,M350)=1,1,0),0))</f>
        <v>0</v>
      </c>
      <c r="R350">
        <f>IF(A350="","",IF(M350&lt;&gt;"",IF(COUNTIF($M$6:M350,M350)=1,1,0),0))</f>
        <v>0</v>
      </c>
      <c r="T350" t="str">
        <f>IF(AND($M350&lt;&gt;"",$M350='Mapa do Galpão'!$C$20),COUNTIF($M$6:$M350,'Mapa do Galpão'!$C$20),"")</f>
        <v/>
      </c>
    </row>
    <row r="351" spans="1:20" ht="14.25" hidden="1" customHeight="1" x14ac:dyDescent="0.3">
      <c r="A351" s="43" t="s">
        <v>1130</v>
      </c>
      <c r="B351" s="44" t="s">
        <v>665</v>
      </c>
      <c r="C351" s="165" t="s">
        <v>345</v>
      </c>
      <c r="D351" s="45" t="str">
        <f t="shared" si="10"/>
        <v>—</v>
      </c>
      <c r="E351" s="43" t="s">
        <v>1126</v>
      </c>
      <c r="F351" s="43" t="s">
        <v>1127</v>
      </c>
      <c r="G351" s="43" t="s">
        <v>1131</v>
      </c>
      <c r="H351" s="43" t="s">
        <v>1087</v>
      </c>
      <c r="I351" s="46">
        <f>SUMIFS(Movimentações!$F$6:$F$4998,Movimentações!$C$6:$C$4998,A351,Movimentações!$M$6:$M$4998,M351)</f>
        <v>6</v>
      </c>
      <c r="J351" s="43" t="s">
        <v>670</v>
      </c>
      <c r="K351" s="43" t="s">
        <v>671</v>
      </c>
      <c r="L351" s="47">
        <v>11</v>
      </c>
      <c r="M351" s="43" t="s">
        <v>1129</v>
      </c>
      <c r="N351" s="43" t="str">
        <f t="shared" si="11"/>
        <v>Rua A · Prat 11 · C-83</v>
      </c>
      <c r="P351">
        <f>IF(A351="","",IF(AND(K351&lt;&gt;"",L351&lt;&gt;""),IF(COUNTIFS($K$6:K351,K351,$L$6:L351,L351)=1,1,0),0))</f>
        <v>0</v>
      </c>
      <c r="Q351">
        <f>IF(A351="","",IF(AND(K351&lt;&gt;"",M351&lt;&gt;""),IF(COUNTIFS($K$6:K351,K351,$M$6:M351,M351)=1,1,0),0))</f>
        <v>0</v>
      </c>
      <c r="R351">
        <f>IF(A351="","",IF(M351&lt;&gt;"",IF(COUNTIF($M$6:M351,M351)=1,1,0),0))</f>
        <v>0</v>
      </c>
      <c r="T351" t="str">
        <f>IF(AND($M351&lt;&gt;"",$M351='Mapa do Galpão'!$C$20),COUNTIF($M$6:$M351,'Mapa do Galpão'!$C$20),"")</f>
        <v/>
      </c>
    </row>
    <row r="352" spans="1:20" ht="14.25" hidden="1" customHeight="1" x14ac:dyDescent="0.3">
      <c r="A352" s="43" t="s">
        <v>1132</v>
      </c>
      <c r="B352" s="44" t="s">
        <v>665</v>
      </c>
      <c r="C352" s="165" t="s">
        <v>346</v>
      </c>
      <c r="D352" s="45" t="str">
        <f t="shared" si="10"/>
        <v>—</v>
      </c>
      <c r="E352" s="43" t="s">
        <v>1133</v>
      </c>
      <c r="F352" s="43" t="s">
        <v>1133</v>
      </c>
      <c r="G352" s="43" t="s">
        <v>798</v>
      </c>
      <c r="H352" s="43" t="s">
        <v>1087</v>
      </c>
      <c r="I352" s="46">
        <f>SUMIFS(Movimentações!$F$6:$F$4998,Movimentações!$C$6:$C$4998,A352,Movimentações!$M$6:$M$4998,M352)</f>
        <v>21</v>
      </c>
      <c r="J352" s="43" t="s">
        <v>670</v>
      </c>
      <c r="K352" s="43" t="s">
        <v>671</v>
      </c>
      <c r="L352" s="47">
        <v>10</v>
      </c>
      <c r="M352" s="43" t="s">
        <v>1128</v>
      </c>
      <c r="N352" s="43" t="str">
        <f t="shared" si="11"/>
        <v>Rua A · Prat 10 · C-73</v>
      </c>
      <c r="P352">
        <f>IF(A352="","",IF(AND(K352&lt;&gt;"",L352&lt;&gt;""),IF(COUNTIFS($K$6:K352,K352,$L$6:L352,L352)=1,1,0),0))</f>
        <v>0</v>
      </c>
      <c r="Q352">
        <f>IF(A352="","",IF(AND(K352&lt;&gt;"",M352&lt;&gt;""),IF(COUNTIFS($K$6:K352,K352,$M$6:M352,M352)=1,1,0),0))</f>
        <v>0</v>
      </c>
      <c r="R352">
        <f>IF(A352="","",IF(M352&lt;&gt;"",IF(COUNTIF($M$6:M352,M352)=1,1,0),0))</f>
        <v>0</v>
      </c>
      <c r="T352" t="str">
        <f>IF(AND($M352&lt;&gt;"",$M352='Mapa do Galpão'!$C$20),COUNTIF($M$6:$M352,'Mapa do Galpão'!$C$20),"")</f>
        <v/>
      </c>
    </row>
    <row r="353" spans="1:20" ht="14.25" hidden="1" customHeight="1" x14ac:dyDescent="0.3">
      <c r="A353" s="43" t="s">
        <v>1134</v>
      </c>
      <c r="B353" s="44" t="s">
        <v>665</v>
      </c>
      <c r="C353" s="165" t="s">
        <v>347</v>
      </c>
      <c r="D353" s="45" t="str">
        <f t="shared" si="10"/>
        <v>—</v>
      </c>
      <c r="E353" s="43" t="s">
        <v>1135</v>
      </c>
      <c r="F353" s="43" t="s">
        <v>1136</v>
      </c>
      <c r="G353" s="43" t="s">
        <v>668</v>
      </c>
      <c r="H353" s="43" t="s">
        <v>1087</v>
      </c>
      <c r="I353" s="46">
        <f>SUMIFS(Movimentações!$F$6:$F$4998,Movimentações!$C$6:$C$4998,A353,Movimentações!$M$6:$M$4998,M353)</f>
        <v>14</v>
      </c>
      <c r="J353" s="43" t="s">
        <v>670</v>
      </c>
      <c r="K353" s="43" t="s">
        <v>671</v>
      </c>
      <c r="L353" s="47">
        <v>10</v>
      </c>
      <c r="M353" s="43" t="s">
        <v>1128</v>
      </c>
      <c r="N353" s="43" t="str">
        <f t="shared" si="11"/>
        <v>Rua A · Prat 10 · C-73</v>
      </c>
      <c r="P353">
        <f>IF(A353="","",IF(AND(K353&lt;&gt;"",L353&lt;&gt;""),IF(COUNTIFS($K$6:K353,K353,$L$6:L353,L353)=1,1,0),0))</f>
        <v>0</v>
      </c>
      <c r="Q353">
        <f>IF(A353="","",IF(AND(K353&lt;&gt;"",M353&lt;&gt;""),IF(COUNTIFS($K$6:K353,K353,$M$6:M353,M353)=1,1,0),0))</f>
        <v>0</v>
      </c>
      <c r="R353">
        <f>IF(A353="","",IF(M353&lt;&gt;"",IF(COUNTIF($M$6:M353,M353)=1,1,0),0))</f>
        <v>0</v>
      </c>
      <c r="T353" t="str">
        <f>IF(AND($M353&lt;&gt;"",$M353='Mapa do Galpão'!$C$20),COUNTIF($M$6:$M353,'Mapa do Galpão'!$C$20),"")</f>
        <v/>
      </c>
    </row>
    <row r="354" spans="1:20" ht="14.25" hidden="1" customHeight="1" x14ac:dyDescent="0.3">
      <c r="A354" s="43" t="s">
        <v>1137</v>
      </c>
      <c r="B354" s="44" t="s">
        <v>665</v>
      </c>
      <c r="C354" s="165" t="s">
        <v>348</v>
      </c>
      <c r="D354" s="45" t="str">
        <f t="shared" si="10"/>
        <v>—</v>
      </c>
      <c r="E354" s="43" t="s">
        <v>1135</v>
      </c>
      <c r="F354" s="43" t="s">
        <v>1136</v>
      </c>
      <c r="G354" s="43" t="s">
        <v>1138</v>
      </c>
      <c r="H354" s="43" t="s">
        <v>1087</v>
      </c>
      <c r="I354" s="46">
        <f>SUMIFS(Movimentações!$F$6:$F$4998,Movimentações!$C$6:$C$4998,A354,Movimentações!$M$6:$M$4998,M354)</f>
        <v>0</v>
      </c>
      <c r="J354" s="43" t="s">
        <v>670</v>
      </c>
      <c r="K354" s="43" t="s">
        <v>671</v>
      </c>
      <c r="L354" s="47">
        <v>10</v>
      </c>
      <c r="M354" s="43" t="s">
        <v>1128</v>
      </c>
      <c r="N354" s="43" t="str">
        <f t="shared" si="11"/>
        <v>Rua A · Prat 10 · C-73</v>
      </c>
      <c r="P354">
        <f>IF(A354="","",IF(AND(K354&lt;&gt;"",L354&lt;&gt;""),IF(COUNTIFS($K$6:K354,K354,$L$6:L354,L354)=1,1,0),0))</f>
        <v>0</v>
      </c>
      <c r="Q354">
        <f>IF(A354="","",IF(AND(K354&lt;&gt;"",M354&lt;&gt;""),IF(COUNTIFS($K$6:K354,K354,$M$6:M354,M354)=1,1,0),0))</f>
        <v>0</v>
      </c>
      <c r="R354">
        <f>IF(A354="","",IF(M354&lt;&gt;"",IF(COUNTIF($M$6:M354,M354)=1,1,0),0))</f>
        <v>0</v>
      </c>
      <c r="T354" t="str">
        <f>IF(AND($M354&lt;&gt;"",$M354='Mapa do Galpão'!$C$20),COUNTIF($M$6:$M354,'Mapa do Galpão'!$C$20),"")</f>
        <v/>
      </c>
    </row>
    <row r="355" spans="1:20" ht="14.25" hidden="1" customHeight="1" x14ac:dyDescent="0.3">
      <c r="A355" s="43" t="s">
        <v>1139</v>
      </c>
      <c r="B355" s="44" t="s">
        <v>665</v>
      </c>
      <c r="C355" s="165" t="s">
        <v>349</v>
      </c>
      <c r="D355" s="45" t="str">
        <f t="shared" si="10"/>
        <v>—</v>
      </c>
      <c r="E355" s="43" t="s">
        <v>1135</v>
      </c>
      <c r="F355" s="43" t="s">
        <v>1136</v>
      </c>
      <c r="G355" s="43" t="s">
        <v>738</v>
      </c>
      <c r="H355" s="43" t="s">
        <v>1087</v>
      </c>
      <c r="I355" s="46">
        <f>SUMIFS(Movimentações!$F$6:$F$4998,Movimentações!$C$6:$C$4998,A355,Movimentações!$M$6:$M$4998,M355)</f>
        <v>19</v>
      </c>
      <c r="J355" s="43" t="s">
        <v>670</v>
      </c>
      <c r="K355" s="43" t="s">
        <v>671</v>
      </c>
      <c r="L355" s="47">
        <v>10</v>
      </c>
      <c r="M355" s="43" t="s">
        <v>1128</v>
      </c>
      <c r="N355" s="43" t="str">
        <f t="shared" si="11"/>
        <v>Rua A · Prat 10 · C-73</v>
      </c>
      <c r="P355">
        <f>IF(A355="","",IF(AND(K355&lt;&gt;"",L355&lt;&gt;""),IF(COUNTIFS($K$6:K355,K355,$L$6:L355,L355)=1,1,0),0))</f>
        <v>0</v>
      </c>
      <c r="Q355">
        <f>IF(A355="","",IF(AND(K355&lt;&gt;"",M355&lt;&gt;""),IF(COUNTIFS($K$6:K355,K355,$M$6:M355,M355)=1,1,0),0))</f>
        <v>0</v>
      </c>
      <c r="R355">
        <f>IF(A355="","",IF(M355&lt;&gt;"",IF(COUNTIF($M$6:M355,M355)=1,1,0),0))</f>
        <v>0</v>
      </c>
      <c r="T355" t="str">
        <f>IF(AND($M355&lt;&gt;"",$M355='Mapa do Galpão'!$C$20),COUNTIF($M$6:$M355,'Mapa do Galpão'!$C$20),"")</f>
        <v/>
      </c>
    </row>
    <row r="356" spans="1:20" ht="14.25" hidden="1" customHeight="1" x14ac:dyDescent="0.3">
      <c r="A356" s="43" t="s">
        <v>1140</v>
      </c>
      <c r="B356" s="44" t="s">
        <v>665</v>
      </c>
      <c r="C356" s="165" t="s">
        <v>350</v>
      </c>
      <c r="D356" s="45" t="str">
        <f t="shared" si="10"/>
        <v>—</v>
      </c>
      <c r="E356" s="43" t="s">
        <v>1135</v>
      </c>
      <c r="F356" s="43" t="s">
        <v>1136</v>
      </c>
      <c r="G356" s="43" t="s">
        <v>798</v>
      </c>
      <c r="H356" s="43" t="s">
        <v>1087</v>
      </c>
      <c r="I356" s="46">
        <f>SUMIFS(Movimentações!$F$6:$F$4998,Movimentações!$C$6:$C$4998,A356,Movimentações!$M$6:$M$4998,M356)</f>
        <v>9</v>
      </c>
      <c r="J356" s="43" t="s">
        <v>670</v>
      </c>
      <c r="K356" s="43" t="s">
        <v>671</v>
      </c>
      <c r="L356" s="47">
        <v>10</v>
      </c>
      <c r="M356" s="43" t="s">
        <v>1128</v>
      </c>
      <c r="N356" s="43" t="str">
        <f t="shared" si="11"/>
        <v>Rua A · Prat 10 · C-73</v>
      </c>
      <c r="P356">
        <f>IF(A356="","",IF(AND(K356&lt;&gt;"",L356&lt;&gt;""),IF(COUNTIFS($K$6:K356,K356,$L$6:L356,L356)=1,1,0),0))</f>
        <v>0</v>
      </c>
      <c r="Q356">
        <f>IF(A356="","",IF(AND(K356&lt;&gt;"",M356&lt;&gt;""),IF(COUNTIFS($K$6:K356,K356,$M$6:M356,M356)=1,1,0),0))</f>
        <v>0</v>
      </c>
      <c r="R356">
        <f>IF(A356="","",IF(M356&lt;&gt;"",IF(COUNTIF($M$6:M356,M356)=1,1,0),0))</f>
        <v>0</v>
      </c>
      <c r="T356" t="str">
        <f>IF(AND($M356&lt;&gt;"",$M356='Mapa do Galpão'!$C$20),COUNTIF($M$6:$M356,'Mapa do Galpão'!$C$20),"")</f>
        <v/>
      </c>
    </row>
    <row r="357" spans="1:20" ht="14.25" hidden="1" customHeight="1" x14ac:dyDescent="0.3">
      <c r="A357" s="43" t="s">
        <v>1141</v>
      </c>
      <c r="B357" s="44" t="s">
        <v>665</v>
      </c>
      <c r="C357" s="165" t="s">
        <v>351</v>
      </c>
      <c r="D357" s="45" t="str">
        <f t="shared" si="10"/>
        <v>—</v>
      </c>
      <c r="E357" s="43" t="s">
        <v>1142</v>
      </c>
      <c r="F357" s="43" t="s">
        <v>1143</v>
      </c>
      <c r="G357" s="43" t="s">
        <v>668</v>
      </c>
      <c r="H357" s="43" t="s">
        <v>1087</v>
      </c>
      <c r="I357" s="46">
        <f>SUMIFS(Movimentações!$F$6:$F$4998,Movimentações!$C$6:$C$4998,A357,Movimentações!$M$6:$M$4998,M357)</f>
        <v>7</v>
      </c>
      <c r="J357" s="43" t="s">
        <v>670</v>
      </c>
      <c r="K357" s="43" t="s">
        <v>671</v>
      </c>
      <c r="L357" s="47" t="s">
        <v>807</v>
      </c>
      <c r="M357" s="43" t="s">
        <v>1144</v>
      </c>
      <c r="N357" s="43" t="str">
        <f t="shared" si="11"/>
        <v>Rua A · Prat 9 · C-74</v>
      </c>
      <c r="P357">
        <f>IF(A357="","",IF(AND(K357&lt;&gt;"",L357&lt;&gt;""),IF(COUNTIFS($K$6:K357,K357,$L$6:L357,L357)=1,1,0),0))</f>
        <v>0</v>
      </c>
      <c r="Q357">
        <f>IF(A357="","",IF(AND(K357&lt;&gt;"",M357&lt;&gt;""),IF(COUNTIFS($K$6:K357,K357,$M$6:M357,M357)=1,1,0),0))</f>
        <v>1</v>
      </c>
      <c r="R357">
        <f>IF(A357="","",IF(M357&lt;&gt;"",IF(COUNTIF($M$6:M357,M357)=1,1,0),0))</f>
        <v>1</v>
      </c>
      <c r="T357" t="str">
        <f>IF(AND($M357&lt;&gt;"",$M357='Mapa do Galpão'!$C$20),COUNTIF($M$6:$M357,'Mapa do Galpão'!$C$20),"")</f>
        <v/>
      </c>
    </row>
    <row r="358" spans="1:20" ht="14.25" hidden="1" customHeight="1" x14ac:dyDescent="0.3">
      <c r="A358" s="43" t="s">
        <v>1145</v>
      </c>
      <c r="B358" s="44" t="s">
        <v>665</v>
      </c>
      <c r="C358" s="165" t="s">
        <v>352</v>
      </c>
      <c r="D358" s="45" t="str">
        <f t="shared" si="10"/>
        <v>—</v>
      </c>
      <c r="E358" s="43" t="s">
        <v>1142</v>
      </c>
      <c r="F358" s="43" t="s">
        <v>1143</v>
      </c>
      <c r="G358" s="43" t="s">
        <v>755</v>
      </c>
      <c r="H358" s="43" t="s">
        <v>1087</v>
      </c>
      <c r="I358" s="46">
        <f>SUMIFS(Movimentações!$F$6:$F$4998,Movimentações!$C$6:$C$4998,A358,Movimentações!$M$6:$M$4998,M358)</f>
        <v>11</v>
      </c>
      <c r="J358" s="43" t="s">
        <v>670</v>
      </c>
      <c r="K358" s="43" t="s">
        <v>671</v>
      </c>
      <c r="L358" s="47" t="s">
        <v>807</v>
      </c>
      <c r="M358" s="43" t="s">
        <v>1144</v>
      </c>
      <c r="N358" s="43" t="str">
        <f t="shared" si="11"/>
        <v>Rua A · Prat 9 · C-74</v>
      </c>
      <c r="P358">
        <f>IF(A358="","",IF(AND(K358&lt;&gt;"",L358&lt;&gt;""),IF(COUNTIFS($K$6:K358,K358,$L$6:L358,L358)=1,1,0),0))</f>
        <v>0</v>
      </c>
      <c r="Q358">
        <f>IF(A358="","",IF(AND(K358&lt;&gt;"",M358&lt;&gt;""),IF(COUNTIFS($K$6:K358,K358,$M$6:M358,M358)=1,1,0),0))</f>
        <v>0</v>
      </c>
      <c r="R358">
        <f>IF(A358="","",IF(M358&lt;&gt;"",IF(COUNTIF($M$6:M358,M358)=1,1,0),0))</f>
        <v>0</v>
      </c>
      <c r="T358" t="str">
        <f>IF(AND($M358&lt;&gt;"",$M358='Mapa do Galpão'!$C$20),COUNTIF($M$6:$M358,'Mapa do Galpão'!$C$20),"")</f>
        <v/>
      </c>
    </row>
    <row r="359" spans="1:20" ht="14.25" hidden="1" customHeight="1" x14ac:dyDescent="0.3">
      <c r="A359" s="43" t="s">
        <v>1146</v>
      </c>
      <c r="B359" s="44" t="s">
        <v>665</v>
      </c>
      <c r="C359" s="165" t="s">
        <v>353</v>
      </c>
      <c r="D359" s="45" t="str">
        <f t="shared" si="10"/>
        <v>—</v>
      </c>
      <c r="E359" s="43" t="s">
        <v>21</v>
      </c>
      <c r="F359" s="43" t="s">
        <v>1147</v>
      </c>
      <c r="G359" s="43" t="s">
        <v>668</v>
      </c>
      <c r="H359" s="43" t="s">
        <v>1087</v>
      </c>
      <c r="I359" s="46">
        <f>SUMIFS(Movimentações!$F$6:$F$4998,Movimentações!$C$6:$C$4998,A359,Movimentações!$M$6:$M$4998,M359)</f>
        <v>3</v>
      </c>
      <c r="J359" s="43" t="s">
        <v>670</v>
      </c>
      <c r="K359" s="43" t="s">
        <v>671</v>
      </c>
      <c r="L359" s="47">
        <v>10</v>
      </c>
      <c r="M359" s="43" t="s">
        <v>1148</v>
      </c>
      <c r="N359" s="43" t="str">
        <f t="shared" si="11"/>
        <v>Rua A · Prat 10 · C-75</v>
      </c>
      <c r="P359">
        <f>IF(A359="","",IF(AND(K359&lt;&gt;"",L359&lt;&gt;""),IF(COUNTIFS($K$6:K359,K359,$L$6:L359,L359)=1,1,0),0))</f>
        <v>0</v>
      </c>
      <c r="Q359">
        <f>IF(A359="","",IF(AND(K359&lt;&gt;"",M359&lt;&gt;""),IF(COUNTIFS($K$6:K359,K359,$M$6:M359,M359)=1,1,0),0))</f>
        <v>1</v>
      </c>
      <c r="R359">
        <f>IF(A359="","",IF(M359&lt;&gt;"",IF(COUNTIF($M$6:M359,M359)=1,1,0),0))</f>
        <v>1</v>
      </c>
      <c r="T359" t="str">
        <f>IF(AND($M359&lt;&gt;"",$M359='Mapa do Galpão'!$C$20),COUNTIF($M$6:$M359,'Mapa do Galpão'!$C$20),"")</f>
        <v/>
      </c>
    </row>
    <row r="360" spans="1:20" ht="14.25" hidden="1" customHeight="1" x14ac:dyDescent="0.3">
      <c r="A360" s="43" t="s">
        <v>1149</v>
      </c>
      <c r="B360" s="44" t="s">
        <v>665</v>
      </c>
      <c r="C360" s="165" t="s">
        <v>354</v>
      </c>
      <c r="D360" s="45" t="str">
        <f t="shared" si="10"/>
        <v>—</v>
      </c>
      <c r="E360" s="43" t="s">
        <v>1104</v>
      </c>
      <c r="F360" s="43" t="s">
        <v>1150</v>
      </c>
      <c r="G360" s="43" t="s">
        <v>1151</v>
      </c>
      <c r="H360" s="43" t="s">
        <v>1087</v>
      </c>
      <c r="I360" s="46">
        <f>SUMIFS(Movimentações!$F$6:$F$4998,Movimentações!$C$6:$C$4998,A360,Movimentações!$M$6:$M$4998,M360)</f>
        <v>14</v>
      </c>
      <c r="J360" s="43" t="s">
        <v>670</v>
      </c>
      <c r="K360" s="43" t="s">
        <v>671</v>
      </c>
      <c r="L360" s="47">
        <v>10</v>
      </c>
      <c r="M360" s="43" t="s">
        <v>1152</v>
      </c>
      <c r="N360" s="43" t="str">
        <f t="shared" si="11"/>
        <v>Rua A · Prat 10 · C-76</v>
      </c>
      <c r="P360">
        <f>IF(A360="","",IF(AND(K360&lt;&gt;"",L360&lt;&gt;""),IF(COUNTIFS($K$6:K360,K360,$L$6:L360,L360)=1,1,0),0))</f>
        <v>0</v>
      </c>
      <c r="Q360">
        <f>IF(A360="","",IF(AND(K360&lt;&gt;"",M360&lt;&gt;""),IF(COUNTIFS($K$6:K360,K360,$M$6:M360,M360)=1,1,0),0))</f>
        <v>1</v>
      </c>
      <c r="R360">
        <f>IF(A360="","",IF(M360&lt;&gt;"",IF(COUNTIF($M$6:M360,M360)=1,1,0),0))</f>
        <v>1</v>
      </c>
      <c r="T360" t="str">
        <f>IF(AND($M360&lt;&gt;"",$M360='Mapa do Galpão'!$C$20),COUNTIF($M$6:$M360,'Mapa do Galpão'!$C$20),"")</f>
        <v/>
      </c>
    </row>
    <row r="361" spans="1:20" ht="14.25" hidden="1" customHeight="1" x14ac:dyDescent="0.3">
      <c r="A361" s="43" t="s">
        <v>1153</v>
      </c>
      <c r="B361" s="44" t="s">
        <v>665</v>
      </c>
      <c r="C361" s="165" t="s">
        <v>355</v>
      </c>
      <c r="D361" s="45" t="str">
        <f t="shared" si="10"/>
        <v>—</v>
      </c>
      <c r="E361" s="43" t="s">
        <v>1154</v>
      </c>
      <c r="F361" s="43" t="s">
        <v>1155</v>
      </c>
      <c r="G361" s="43" t="s">
        <v>798</v>
      </c>
      <c r="H361" s="43" t="s">
        <v>1087</v>
      </c>
      <c r="I361" s="46">
        <f>SUMIFS(Movimentações!$F$6:$F$4998,Movimentações!$C$6:$C$4998,A361,Movimentações!$M$6:$M$4998,M361)</f>
        <v>11</v>
      </c>
      <c r="J361" s="43" t="s">
        <v>670</v>
      </c>
      <c r="K361" s="43" t="s">
        <v>671</v>
      </c>
      <c r="L361" s="47">
        <v>10</v>
      </c>
      <c r="M361" s="43" t="s">
        <v>1156</v>
      </c>
      <c r="N361" s="43" t="str">
        <f t="shared" si="11"/>
        <v>Rua A · Prat 10 · C-77</v>
      </c>
      <c r="P361">
        <f>IF(A361="","",IF(AND(K361&lt;&gt;"",L361&lt;&gt;""),IF(COUNTIFS($K$6:K361,K361,$L$6:L361,L361)=1,1,0),0))</f>
        <v>0</v>
      </c>
      <c r="Q361">
        <f>IF(A361="","",IF(AND(K361&lt;&gt;"",M361&lt;&gt;""),IF(COUNTIFS($K$6:K361,K361,$M$6:M361,M361)=1,1,0),0))</f>
        <v>1</v>
      </c>
      <c r="R361">
        <f>IF(A361="","",IF(M361&lt;&gt;"",IF(COUNTIF($M$6:M361,M361)=1,1,0),0))</f>
        <v>1</v>
      </c>
      <c r="T361" t="str">
        <f>IF(AND($M361&lt;&gt;"",$M361='Mapa do Galpão'!$C$20),COUNTIF($M$6:$M361,'Mapa do Galpão'!$C$20),"")</f>
        <v/>
      </c>
    </row>
    <row r="362" spans="1:20" ht="14.25" hidden="1" customHeight="1" x14ac:dyDescent="0.3">
      <c r="A362" s="43" t="s">
        <v>1153</v>
      </c>
      <c r="B362" s="44" t="s">
        <v>665</v>
      </c>
      <c r="C362" s="165" t="s">
        <v>355</v>
      </c>
      <c r="D362" s="45" t="str">
        <f t="shared" si="10"/>
        <v>—</v>
      </c>
      <c r="E362" s="43" t="s">
        <v>1154</v>
      </c>
      <c r="F362" s="43" t="s">
        <v>1155</v>
      </c>
      <c r="G362" s="43" t="s">
        <v>798</v>
      </c>
      <c r="H362" s="43" t="s">
        <v>1087</v>
      </c>
      <c r="I362" s="46">
        <f>SUMIFS(Movimentações!$F$6:$F$4998,Movimentações!$C$6:$C$4998,A362,Movimentações!$M$6:$M$4998,M362)</f>
        <v>22</v>
      </c>
      <c r="J362" s="43" t="s">
        <v>670</v>
      </c>
      <c r="K362" s="43" t="s">
        <v>671</v>
      </c>
      <c r="L362" s="47">
        <v>12</v>
      </c>
      <c r="M362" s="43" t="s">
        <v>1157</v>
      </c>
      <c r="N362" s="43" t="str">
        <f t="shared" si="11"/>
        <v>Rua A · Prat 12 · C-114</v>
      </c>
      <c r="P362">
        <f>IF(A362="","",IF(AND(K362&lt;&gt;"",L362&lt;&gt;""),IF(COUNTIFS($K$6:K362,K362,$L$6:L362,L362)=1,1,0),0))</f>
        <v>0</v>
      </c>
      <c r="Q362">
        <f>IF(A362="","",IF(AND(K362&lt;&gt;"",M362&lt;&gt;""),IF(COUNTIFS($K$6:K362,K362,$M$6:M362,M362)=1,1,0),0))</f>
        <v>1</v>
      </c>
      <c r="R362">
        <f>IF(A362="","",IF(M362&lt;&gt;"",IF(COUNTIF($M$6:M362,M362)=1,1,0),0))</f>
        <v>1</v>
      </c>
      <c r="T362" t="str">
        <f>IF(AND($M362&lt;&gt;"",$M362='Mapa do Galpão'!$C$20),COUNTIF($M$6:$M362,'Mapa do Galpão'!$C$20),"")</f>
        <v/>
      </c>
    </row>
    <row r="363" spans="1:20" ht="14.25" hidden="1" customHeight="1" x14ac:dyDescent="0.3">
      <c r="A363" s="43" t="s">
        <v>1158</v>
      </c>
      <c r="B363" s="44" t="s">
        <v>665</v>
      </c>
      <c r="C363" s="165" t="s">
        <v>356</v>
      </c>
      <c r="D363" s="45" t="str">
        <f t="shared" si="10"/>
        <v>—</v>
      </c>
      <c r="E363" s="43" t="s">
        <v>1159</v>
      </c>
      <c r="F363" s="43" t="s">
        <v>1159</v>
      </c>
      <c r="G363" s="43" t="s">
        <v>798</v>
      </c>
      <c r="H363" s="43" t="s">
        <v>1087</v>
      </c>
      <c r="I363" s="46">
        <f>SUMIFS(Movimentações!$F$6:$F$4998,Movimentações!$C$6:$C$4998,A363,Movimentações!$M$6:$M$4998,M363)</f>
        <v>6</v>
      </c>
      <c r="J363" s="43" t="s">
        <v>670</v>
      </c>
      <c r="K363" s="43" t="s">
        <v>671</v>
      </c>
      <c r="L363" s="47">
        <v>11</v>
      </c>
      <c r="M363" s="43" t="s">
        <v>1160</v>
      </c>
      <c r="N363" s="43" t="str">
        <f t="shared" si="11"/>
        <v>Rua A · Prat 11 · C-78</v>
      </c>
      <c r="P363">
        <f>IF(A363="","",IF(AND(K363&lt;&gt;"",L363&lt;&gt;""),IF(COUNTIFS($K$6:K363,K363,$L$6:L363,L363)=1,1,0),0))</f>
        <v>0</v>
      </c>
      <c r="Q363">
        <f>IF(A363="","",IF(AND(K363&lt;&gt;"",M363&lt;&gt;""),IF(COUNTIFS($K$6:K363,K363,$M$6:M363,M363)=1,1,0),0))</f>
        <v>1</v>
      </c>
      <c r="R363">
        <f>IF(A363="","",IF(M363&lt;&gt;"",IF(COUNTIF($M$6:M363,M363)=1,1,0),0))</f>
        <v>1</v>
      </c>
      <c r="T363" t="str">
        <f>IF(AND($M363&lt;&gt;"",$M363='Mapa do Galpão'!$C$20),COUNTIF($M$6:$M363,'Mapa do Galpão'!$C$20),"")</f>
        <v/>
      </c>
    </row>
    <row r="364" spans="1:20" ht="14.25" hidden="1" customHeight="1" x14ac:dyDescent="0.3">
      <c r="A364" s="43" t="s">
        <v>1161</v>
      </c>
      <c r="B364" s="44" t="s">
        <v>665</v>
      </c>
      <c r="C364" s="165" t="s">
        <v>357</v>
      </c>
      <c r="D364" s="45" t="str">
        <f t="shared" si="10"/>
        <v>—</v>
      </c>
      <c r="E364" s="43" t="s">
        <v>1100</v>
      </c>
      <c r="F364" s="43" t="s">
        <v>1162</v>
      </c>
      <c r="G364" s="43" t="s">
        <v>1163</v>
      </c>
      <c r="H364" s="43" t="s">
        <v>1087</v>
      </c>
      <c r="I364" s="46">
        <f>SUMIFS(Movimentações!$F$6:$F$4998,Movimentações!$C$6:$C$4998,A364,Movimentações!$M$6:$M$4998,M364)</f>
        <v>2</v>
      </c>
      <c r="J364" s="43" t="s">
        <v>670</v>
      </c>
      <c r="K364" s="43" t="s">
        <v>671</v>
      </c>
      <c r="L364" s="47">
        <v>11</v>
      </c>
      <c r="M364" s="43" t="s">
        <v>1164</v>
      </c>
      <c r="N364" s="43" t="str">
        <f t="shared" si="11"/>
        <v>Rua A · Prat 11 · C-79</v>
      </c>
      <c r="P364">
        <f>IF(A364="","",IF(AND(K364&lt;&gt;"",L364&lt;&gt;""),IF(COUNTIFS($K$6:K364,K364,$L$6:L364,L364)=1,1,0),0))</f>
        <v>0</v>
      </c>
      <c r="Q364">
        <f>IF(A364="","",IF(AND(K364&lt;&gt;"",M364&lt;&gt;""),IF(COUNTIFS($K$6:K364,K364,$M$6:M364,M364)=1,1,0),0))</f>
        <v>1</v>
      </c>
      <c r="R364">
        <f>IF(A364="","",IF(M364&lt;&gt;"",IF(COUNTIF($M$6:M364,M364)=1,1,0),0))</f>
        <v>1</v>
      </c>
      <c r="T364" t="str">
        <f>IF(AND($M364&lt;&gt;"",$M364='Mapa do Galpão'!$C$20),COUNTIF($M$6:$M364,'Mapa do Galpão'!$C$20),"")</f>
        <v/>
      </c>
    </row>
    <row r="365" spans="1:20" ht="14.25" hidden="1" customHeight="1" x14ac:dyDescent="0.3">
      <c r="A365" s="43" t="s">
        <v>1161</v>
      </c>
      <c r="B365" s="44" t="s">
        <v>665</v>
      </c>
      <c r="C365" s="165" t="s">
        <v>357</v>
      </c>
      <c r="D365" s="45" t="str">
        <f t="shared" si="10"/>
        <v>—</v>
      </c>
      <c r="E365" s="43" t="s">
        <v>1100</v>
      </c>
      <c r="F365" s="43" t="s">
        <v>1162</v>
      </c>
      <c r="G365" s="43" t="s">
        <v>1163</v>
      </c>
      <c r="H365" s="43" t="s">
        <v>1087</v>
      </c>
      <c r="I365" s="46">
        <f>SUMIFS(Movimentações!$F$6:$F$4998,Movimentações!$C$6:$C$4998,A365,Movimentações!$M$6:$M$4998,M365)</f>
        <v>35</v>
      </c>
      <c r="J365" s="43" t="s">
        <v>670</v>
      </c>
      <c r="K365" s="43" t="s">
        <v>671</v>
      </c>
      <c r="L365" s="47">
        <v>12</v>
      </c>
      <c r="M365" s="43" t="s">
        <v>1165</v>
      </c>
      <c r="N365" s="43" t="str">
        <f t="shared" si="11"/>
        <v>Rua A · Prat 12 · C-108</v>
      </c>
      <c r="P365">
        <f>IF(A365="","",IF(AND(K365&lt;&gt;"",L365&lt;&gt;""),IF(COUNTIFS($K$6:K365,K365,$L$6:L365,L365)=1,1,0),0))</f>
        <v>0</v>
      </c>
      <c r="Q365">
        <f>IF(A365="","",IF(AND(K365&lt;&gt;"",M365&lt;&gt;""),IF(COUNTIFS($K$6:K365,K365,$M$6:M365,M365)=1,1,0),0))</f>
        <v>1</v>
      </c>
      <c r="R365">
        <f>IF(A365="","",IF(M365&lt;&gt;"",IF(COUNTIF($M$6:M365,M365)=1,1,0),0))</f>
        <v>1</v>
      </c>
      <c r="T365" t="str">
        <f>IF(AND($M365&lt;&gt;"",$M365='Mapa do Galpão'!$C$20),COUNTIF($M$6:$M365,'Mapa do Galpão'!$C$20),"")</f>
        <v/>
      </c>
    </row>
    <row r="366" spans="1:20" ht="14.25" hidden="1" customHeight="1" x14ac:dyDescent="0.3">
      <c r="A366" s="43" t="s">
        <v>1166</v>
      </c>
      <c r="B366" s="44" t="s">
        <v>665</v>
      </c>
      <c r="C366" s="165" t="s">
        <v>358</v>
      </c>
      <c r="D366" s="45" t="str">
        <f t="shared" si="10"/>
        <v>—</v>
      </c>
      <c r="E366" s="43" t="s">
        <v>1167</v>
      </c>
      <c r="F366" s="43" t="s">
        <v>1168</v>
      </c>
      <c r="G366" s="43" t="s">
        <v>755</v>
      </c>
      <c r="H366" s="43" t="s">
        <v>1087</v>
      </c>
      <c r="I366" s="46">
        <f>SUMIFS(Movimentações!$F$6:$F$4998,Movimentações!$C$6:$C$4998,A366,Movimentações!$M$6:$M$4998,M366)</f>
        <v>5</v>
      </c>
      <c r="J366" s="43" t="s">
        <v>670</v>
      </c>
      <c r="K366" s="43" t="s">
        <v>671</v>
      </c>
      <c r="L366" s="47">
        <v>11</v>
      </c>
      <c r="M366" s="43" t="s">
        <v>1164</v>
      </c>
      <c r="N366" s="43" t="str">
        <f t="shared" si="11"/>
        <v>Rua A · Prat 11 · C-79</v>
      </c>
      <c r="P366">
        <f>IF(A366="","",IF(AND(K366&lt;&gt;"",L366&lt;&gt;""),IF(COUNTIFS($K$6:K366,K366,$L$6:L366,L366)=1,1,0),0))</f>
        <v>0</v>
      </c>
      <c r="Q366">
        <f>IF(A366="","",IF(AND(K366&lt;&gt;"",M366&lt;&gt;""),IF(COUNTIFS($K$6:K366,K366,$M$6:M366,M366)=1,1,0),0))</f>
        <v>0</v>
      </c>
      <c r="R366">
        <f>IF(A366="","",IF(M366&lt;&gt;"",IF(COUNTIF($M$6:M366,M366)=1,1,0),0))</f>
        <v>0</v>
      </c>
      <c r="T366" t="str">
        <f>IF(AND($M366&lt;&gt;"",$M366='Mapa do Galpão'!$C$20),COUNTIF($M$6:$M366,'Mapa do Galpão'!$C$20),"")</f>
        <v/>
      </c>
    </row>
    <row r="367" spans="1:20" ht="14.25" hidden="1" customHeight="1" x14ac:dyDescent="0.3">
      <c r="A367" s="43" t="s">
        <v>1169</v>
      </c>
      <c r="B367" s="44" t="s">
        <v>665</v>
      </c>
      <c r="C367" s="165" t="s">
        <v>359</v>
      </c>
      <c r="D367" s="45" t="str">
        <f t="shared" si="10"/>
        <v>—</v>
      </c>
      <c r="E367" s="43" t="s">
        <v>1170</v>
      </c>
      <c r="F367" s="43" t="s">
        <v>1171</v>
      </c>
      <c r="G367" s="43" t="s">
        <v>738</v>
      </c>
      <c r="H367" s="43" t="s">
        <v>1087</v>
      </c>
      <c r="I367" s="46">
        <f>SUMIFS(Movimentações!$F$6:$F$4998,Movimentações!$C$6:$C$4998,A367,Movimentações!$M$6:$M$4998,M367)</f>
        <v>0</v>
      </c>
      <c r="J367" s="43" t="s">
        <v>670</v>
      </c>
      <c r="K367" s="43" t="s">
        <v>671</v>
      </c>
      <c r="L367" s="47">
        <v>11</v>
      </c>
      <c r="M367" s="43" t="s">
        <v>1172</v>
      </c>
      <c r="N367" s="43" t="str">
        <f t="shared" si="11"/>
        <v>Rua A · Prat 11 · C-80</v>
      </c>
      <c r="P367">
        <f>IF(A367="","",IF(AND(K367&lt;&gt;"",L367&lt;&gt;""),IF(COUNTIFS($K$6:K367,K367,$L$6:L367,L367)=1,1,0),0))</f>
        <v>0</v>
      </c>
      <c r="Q367">
        <f>IF(A367="","",IF(AND(K367&lt;&gt;"",M367&lt;&gt;""),IF(COUNTIFS($K$6:K367,K367,$M$6:M367,M367)=1,1,0),0))</f>
        <v>1</v>
      </c>
      <c r="R367">
        <f>IF(A367="","",IF(M367&lt;&gt;"",IF(COUNTIF($M$6:M367,M367)=1,1,0),0))</f>
        <v>1</v>
      </c>
      <c r="T367" t="str">
        <f>IF(AND($M367&lt;&gt;"",$M367='Mapa do Galpão'!$C$20),COUNTIF($M$6:$M367,'Mapa do Galpão'!$C$20),"")</f>
        <v/>
      </c>
    </row>
    <row r="368" spans="1:20" ht="14.25" hidden="1" customHeight="1" x14ac:dyDescent="0.3">
      <c r="A368" s="43" t="s">
        <v>1169</v>
      </c>
      <c r="B368" s="44" t="s">
        <v>665</v>
      </c>
      <c r="C368" s="165" t="s">
        <v>359</v>
      </c>
      <c r="D368" s="45" t="str">
        <f t="shared" si="10"/>
        <v>—</v>
      </c>
      <c r="E368" s="43" t="s">
        <v>1170</v>
      </c>
      <c r="F368" s="43" t="s">
        <v>1171</v>
      </c>
      <c r="G368" s="43" t="s">
        <v>738</v>
      </c>
      <c r="H368" s="43" t="s">
        <v>1087</v>
      </c>
      <c r="I368" s="46">
        <f>SUMIFS(Movimentações!$F$6:$F$4998,Movimentações!$C$6:$C$4998,A368,Movimentações!$M$6:$M$4998,M368)</f>
        <v>0</v>
      </c>
      <c r="J368" s="43" t="s">
        <v>670</v>
      </c>
      <c r="K368" s="43" t="s">
        <v>671</v>
      </c>
      <c r="L368" s="47">
        <v>12</v>
      </c>
      <c r="M368" s="43" t="s">
        <v>1173</v>
      </c>
      <c r="N368" s="43" t="str">
        <f t="shared" si="11"/>
        <v>Rua A · Prat 12 · C-109</v>
      </c>
      <c r="P368">
        <f>IF(A368="","",IF(AND(K368&lt;&gt;"",L368&lt;&gt;""),IF(COUNTIFS($K$6:K368,K368,$L$6:L368,L368)=1,1,0),0))</f>
        <v>0</v>
      </c>
      <c r="Q368">
        <f>IF(A368="","",IF(AND(K368&lt;&gt;"",M368&lt;&gt;""),IF(COUNTIFS($K$6:K368,K368,$M$6:M368,M368)=1,1,0),0))</f>
        <v>1</v>
      </c>
      <c r="R368">
        <f>IF(A368="","",IF(M368&lt;&gt;"",IF(COUNTIF($M$6:M368,M368)=1,1,0),0))</f>
        <v>1</v>
      </c>
      <c r="T368" t="str">
        <f>IF(AND($M368&lt;&gt;"",$M368='Mapa do Galpão'!$C$20),COUNTIF($M$6:$M368,'Mapa do Galpão'!$C$20),"")</f>
        <v/>
      </c>
    </row>
    <row r="369" spans="1:20" ht="14.25" hidden="1" customHeight="1" x14ac:dyDescent="0.3">
      <c r="A369" s="43" t="s">
        <v>1174</v>
      </c>
      <c r="B369" s="44" t="s">
        <v>665</v>
      </c>
      <c r="C369" s="165" t="s">
        <v>360</v>
      </c>
      <c r="D369" s="45" t="str">
        <f t="shared" si="10"/>
        <v>—</v>
      </c>
      <c r="E369" s="43" t="s">
        <v>1154</v>
      </c>
      <c r="F369" s="43" t="s">
        <v>1175</v>
      </c>
      <c r="G369" s="43" t="s">
        <v>798</v>
      </c>
      <c r="H369" s="43" t="s">
        <v>1087</v>
      </c>
      <c r="I369" s="46">
        <f>SUMIFS(Movimentações!$F$6:$F$4998,Movimentações!$C$6:$C$4998,A369,Movimentações!$M$6:$M$4998,M369)</f>
        <v>6</v>
      </c>
      <c r="J369" s="43" t="s">
        <v>670</v>
      </c>
      <c r="K369" s="43" t="s">
        <v>671</v>
      </c>
      <c r="L369" s="47">
        <v>11</v>
      </c>
      <c r="M369" s="43" t="s">
        <v>1176</v>
      </c>
      <c r="N369" s="43" t="str">
        <f t="shared" si="11"/>
        <v>Rua A · Prat 11 · C-81</v>
      </c>
      <c r="P369">
        <f>IF(A369="","",IF(AND(K369&lt;&gt;"",L369&lt;&gt;""),IF(COUNTIFS($K$6:K369,K369,$L$6:L369,L369)=1,1,0),0))</f>
        <v>0</v>
      </c>
      <c r="Q369">
        <f>IF(A369="","",IF(AND(K369&lt;&gt;"",M369&lt;&gt;""),IF(COUNTIFS($K$6:K369,K369,$M$6:M369,M369)=1,1,0),0))</f>
        <v>1</v>
      </c>
      <c r="R369">
        <f>IF(A369="","",IF(M369&lt;&gt;"",IF(COUNTIF($M$6:M369,M369)=1,1,0),0))</f>
        <v>1</v>
      </c>
      <c r="T369" t="str">
        <f>IF(AND($M369&lt;&gt;"",$M369='Mapa do Galpão'!$C$20),COUNTIF($M$6:$M369,'Mapa do Galpão'!$C$20),"")</f>
        <v/>
      </c>
    </row>
    <row r="370" spans="1:20" ht="14.25" hidden="1" customHeight="1" x14ac:dyDescent="0.3">
      <c r="A370" s="43" t="s">
        <v>1174</v>
      </c>
      <c r="B370" s="44" t="s">
        <v>665</v>
      </c>
      <c r="C370" s="165" t="s">
        <v>360</v>
      </c>
      <c r="D370" s="45" t="str">
        <f t="shared" si="10"/>
        <v>—</v>
      </c>
      <c r="E370" s="43" t="s">
        <v>1154</v>
      </c>
      <c r="F370" s="43" t="s">
        <v>1175</v>
      </c>
      <c r="G370" s="43" t="s">
        <v>798</v>
      </c>
      <c r="H370" s="43" t="s">
        <v>1087</v>
      </c>
      <c r="I370" s="46">
        <f>SUMIFS(Movimentações!$F$6:$F$4998,Movimentações!$C$6:$C$4998,A370,Movimentações!$M$6:$M$4998,M370)</f>
        <v>5</v>
      </c>
      <c r="J370" s="43" t="s">
        <v>670</v>
      </c>
      <c r="K370" s="43" t="s">
        <v>671</v>
      </c>
      <c r="L370" s="47">
        <v>15</v>
      </c>
      <c r="M370" s="43" t="s">
        <v>1177</v>
      </c>
      <c r="N370" s="43" t="str">
        <f t="shared" si="11"/>
        <v>Rua A · Prat 15 · C-115</v>
      </c>
      <c r="P370">
        <f>IF(A370="","",IF(AND(K370&lt;&gt;"",L370&lt;&gt;""),IF(COUNTIFS($K$6:K370,K370,$L$6:L370,L370)=1,1,0),0))</f>
        <v>0</v>
      </c>
      <c r="Q370">
        <f>IF(A370="","",IF(AND(K370&lt;&gt;"",M370&lt;&gt;""),IF(COUNTIFS($K$6:K370,K370,$M$6:M370,M370)=1,1,0),0))</f>
        <v>1</v>
      </c>
      <c r="R370">
        <f>IF(A370="","",IF(M370&lt;&gt;"",IF(COUNTIF($M$6:M370,M370)=1,1,0),0))</f>
        <v>1</v>
      </c>
      <c r="T370" t="str">
        <f>IF(AND($M370&lt;&gt;"",$M370='Mapa do Galpão'!$C$20),COUNTIF($M$6:$M370,'Mapa do Galpão'!$C$20),"")</f>
        <v/>
      </c>
    </row>
    <row r="371" spans="1:20" ht="14.25" hidden="1" customHeight="1" x14ac:dyDescent="0.3">
      <c r="A371" s="43" t="s">
        <v>1178</v>
      </c>
      <c r="B371" s="44" t="s">
        <v>665</v>
      </c>
      <c r="C371" s="165" t="s">
        <v>361</v>
      </c>
      <c r="D371" s="45" t="str">
        <f t="shared" si="10"/>
        <v>—</v>
      </c>
      <c r="E371" s="43" t="s">
        <v>1179</v>
      </c>
      <c r="F371" s="43" t="s">
        <v>1180</v>
      </c>
      <c r="G371" s="43" t="s">
        <v>738</v>
      </c>
      <c r="H371" s="43" t="s">
        <v>1181</v>
      </c>
      <c r="I371" s="46">
        <f>SUMIFS(Movimentações!$F$6:$F$4998,Movimentações!$C$6:$C$4998,A371,Movimentações!$M$6:$M$4998,M371)</f>
        <v>0</v>
      </c>
      <c r="J371" s="43" t="s">
        <v>670</v>
      </c>
      <c r="K371" s="43" t="s">
        <v>671</v>
      </c>
      <c r="L371" s="47">
        <v>11</v>
      </c>
      <c r="M371" s="43" t="s">
        <v>1182</v>
      </c>
      <c r="N371" s="43" t="str">
        <f t="shared" si="11"/>
        <v>Rua A · Prat 11 · C-82</v>
      </c>
      <c r="P371">
        <f>IF(A371="","",IF(AND(K371&lt;&gt;"",L371&lt;&gt;""),IF(COUNTIFS($K$6:K371,K371,$L$6:L371,L371)=1,1,0),0))</f>
        <v>0</v>
      </c>
      <c r="Q371">
        <f>IF(A371="","",IF(AND(K371&lt;&gt;"",M371&lt;&gt;""),IF(COUNTIFS($K$6:K371,K371,$M$6:M371,M371)=1,1,0),0))</f>
        <v>1</v>
      </c>
      <c r="R371">
        <f>IF(A371="","",IF(M371&lt;&gt;"",IF(COUNTIF($M$6:M371,M371)=1,1,0),0))</f>
        <v>1</v>
      </c>
      <c r="T371" t="str">
        <f>IF(AND($M371&lt;&gt;"",$M371='Mapa do Galpão'!$C$20),COUNTIF($M$6:$M371,'Mapa do Galpão'!$C$20),"")</f>
        <v/>
      </c>
    </row>
    <row r="372" spans="1:20" ht="14.25" hidden="1" customHeight="1" x14ac:dyDescent="0.3">
      <c r="A372" s="43" t="s">
        <v>1183</v>
      </c>
      <c r="B372" s="44" t="s">
        <v>665</v>
      </c>
      <c r="C372" s="165" t="s">
        <v>362</v>
      </c>
      <c r="D372" s="45" t="str">
        <f t="shared" si="10"/>
        <v>—</v>
      </c>
      <c r="E372" s="43" t="s">
        <v>1184</v>
      </c>
      <c r="F372" s="43" t="s">
        <v>1185</v>
      </c>
      <c r="G372" s="43" t="s">
        <v>1186</v>
      </c>
      <c r="H372" s="43" t="s">
        <v>1187</v>
      </c>
      <c r="I372" s="46">
        <f>SUMIFS(Movimentações!$F$6:$F$4998,Movimentações!$C$6:$C$4998,A372,Movimentações!$M$6:$M$4998,M372)</f>
        <v>12</v>
      </c>
      <c r="J372" s="43" t="s">
        <v>670</v>
      </c>
      <c r="K372" s="43" t="s">
        <v>671</v>
      </c>
      <c r="L372" s="47">
        <v>11</v>
      </c>
      <c r="M372" s="43" t="s">
        <v>1182</v>
      </c>
      <c r="N372" s="43" t="str">
        <f t="shared" si="11"/>
        <v>Rua A · Prat 11 · C-82</v>
      </c>
      <c r="P372">
        <f>IF(A372="","",IF(AND(K372&lt;&gt;"",L372&lt;&gt;""),IF(COUNTIFS($K$6:K372,K372,$L$6:L372,L372)=1,1,0),0))</f>
        <v>0</v>
      </c>
      <c r="Q372">
        <f>IF(A372="","",IF(AND(K372&lt;&gt;"",M372&lt;&gt;""),IF(COUNTIFS($K$6:K372,K372,$M$6:M372,M372)=1,1,0),0))</f>
        <v>0</v>
      </c>
      <c r="R372">
        <f>IF(A372="","",IF(M372&lt;&gt;"",IF(COUNTIF($M$6:M372,M372)=1,1,0),0))</f>
        <v>0</v>
      </c>
      <c r="T372" t="str">
        <f>IF(AND($M372&lt;&gt;"",$M372='Mapa do Galpão'!$C$20),COUNTIF($M$6:$M372,'Mapa do Galpão'!$C$20),"")</f>
        <v/>
      </c>
    </row>
    <row r="373" spans="1:20" ht="14.25" hidden="1" customHeight="1" x14ac:dyDescent="0.3">
      <c r="A373" s="43" t="s">
        <v>1188</v>
      </c>
      <c r="B373" s="44" t="s">
        <v>665</v>
      </c>
      <c r="C373" s="165" t="s">
        <v>363</v>
      </c>
      <c r="D373" s="45" t="str">
        <f t="shared" si="10"/>
        <v>—</v>
      </c>
      <c r="E373" s="43" t="s">
        <v>1179</v>
      </c>
      <c r="F373" s="43" t="s">
        <v>1189</v>
      </c>
      <c r="G373" s="43" t="s">
        <v>798</v>
      </c>
      <c r="H373" s="43" t="s">
        <v>1190</v>
      </c>
      <c r="I373" s="46">
        <f>SUMIFS(Movimentações!$F$6:$F$4998,Movimentações!$C$6:$C$4998,A373,Movimentações!$M$6:$M$4998,M373)</f>
        <v>0</v>
      </c>
      <c r="J373" s="43" t="s">
        <v>670</v>
      </c>
      <c r="K373" s="43" t="s">
        <v>671</v>
      </c>
      <c r="L373" s="47">
        <v>11</v>
      </c>
      <c r="M373" s="43" t="s">
        <v>1182</v>
      </c>
      <c r="N373" s="43" t="str">
        <f t="shared" si="11"/>
        <v>Rua A · Prat 11 · C-82</v>
      </c>
      <c r="P373">
        <f>IF(A373="","",IF(AND(K373&lt;&gt;"",L373&lt;&gt;""),IF(COUNTIFS($K$6:K373,K373,$L$6:L373,L373)=1,1,0),0))</f>
        <v>0</v>
      </c>
      <c r="Q373">
        <f>IF(A373="","",IF(AND(K373&lt;&gt;"",M373&lt;&gt;""),IF(COUNTIFS($K$6:K373,K373,$M$6:M373,M373)=1,1,0),0))</f>
        <v>0</v>
      </c>
      <c r="R373">
        <f>IF(A373="","",IF(M373&lt;&gt;"",IF(COUNTIF($M$6:M373,M373)=1,1,0),0))</f>
        <v>0</v>
      </c>
      <c r="T373" t="str">
        <f>IF(AND($M373&lt;&gt;"",$M373='Mapa do Galpão'!$C$20),COUNTIF($M$6:$M373,'Mapa do Galpão'!$C$20),"")</f>
        <v/>
      </c>
    </row>
    <row r="374" spans="1:20" ht="14.25" hidden="1" customHeight="1" x14ac:dyDescent="0.3">
      <c r="A374" s="43" t="s">
        <v>1188</v>
      </c>
      <c r="B374" s="44" t="s">
        <v>665</v>
      </c>
      <c r="C374" s="165" t="s">
        <v>363</v>
      </c>
      <c r="D374" s="45" t="str">
        <f t="shared" si="10"/>
        <v>—</v>
      </c>
      <c r="E374" s="43" t="s">
        <v>1179</v>
      </c>
      <c r="F374" s="43" t="s">
        <v>1189</v>
      </c>
      <c r="G374" s="43" t="s">
        <v>798</v>
      </c>
      <c r="H374" s="43" t="s">
        <v>1190</v>
      </c>
      <c r="I374" s="46">
        <f>SUMIFS(Movimentações!$F$6:$F$4998,Movimentações!$C$6:$C$4998,A374,Movimentações!$M$6:$M$4998,M374)</f>
        <v>0</v>
      </c>
      <c r="J374" s="43" t="s">
        <v>670</v>
      </c>
      <c r="K374" s="43" t="s">
        <v>671</v>
      </c>
      <c r="L374" s="47">
        <v>11</v>
      </c>
      <c r="M374" s="43" t="s">
        <v>1191</v>
      </c>
      <c r="N374" s="43" t="str">
        <f t="shared" si="11"/>
        <v>Rua A · Prat 11 · C-84</v>
      </c>
      <c r="P374">
        <f>IF(A374="","",IF(AND(K374&lt;&gt;"",L374&lt;&gt;""),IF(COUNTIFS($K$6:K374,K374,$L$6:L374,L374)=1,1,0),0))</f>
        <v>0</v>
      </c>
      <c r="Q374">
        <f>IF(A374="","",IF(AND(K374&lt;&gt;"",M374&lt;&gt;""),IF(COUNTIFS($K$6:K374,K374,$M$6:M374,M374)=1,1,0),0))</f>
        <v>1</v>
      </c>
      <c r="R374">
        <f>IF(A374="","",IF(M374&lt;&gt;"",IF(COUNTIF($M$6:M374,M374)=1,1,0),0))</f>
        <v>1</v>
      </c>
      <c r="T374" t="str">
        <f>IF(AND($M374&lt;&gt;"",$M374='Mapa do Galpão'!$C$20),COUNTIF($M$6:$M374,'Mapa do Galpão'!$C$20),"")</f>
        <v/>
      </c>
    </row>
    <row r="375" spans="1:20" ht="14.25" hidden="1" customHeight="1" x14ac:dyDescent="0.3">
      <c r="A375" s="43" t="s">
        <v>1192</v>
      </c>
      <c r="B375" s="44" t="s">
        <v>665</v>
      </c>
      <c r="C375" s="165" t="s">
        <v>362</v>
      </c>
      <c r="D375" s="45" t="str">
        <f t="shared" si="10"/>
        <v>—</v>
      </c>
      <c r="E375" s="43" t="s">
        <v>1184</v>
      </c>
      <c r="F375" s="43" t="s">
        <v>1193</v>
      </c>
      <c r="G375" s="43" t="s">
        <v>1186</v>
      </c>
      <c r="H375" s="43" t="s">
        <v>1187</v>
      </c>
      <c r="I375" s="46">
        <f>SUMIFS(Movimentações!$F$6:$F$4998,Movimentações!$C$6:$C$4998,A375,Movimentações!$M$6:$M$4998,M375)</f>
        <v>6</v>
      </c>
      <c r="J375" s="43" t="s">
        <v>670</v>
      </c>
      <c r="K375" s="43" t="s">
        <v>671</v>
      </c>
      <c r="L375" s="47">
        <v>11</v>
      </c>
      <c r="M375" s="43" t="s">
        <v>1182</v>
      </c>
      <c r="N375" s="43" t="str">
        <f t="shared" si="11"/>
        <v>Rua A · Prat 11 · C-82</v>
      </c>
      <c r="P375">
        <f>IF(A375="","",IF(AND(K375&lt;&gt;"",L375&lt;&gt;""),IF(COUNTIFS($K$6:K375,K375,$L$6:L375,L375)=1,1,0),0))</f>
        <v>0</v>
      </c>
      <c r="Q375">
        <f>IF(A375="","",IF(AND(K375&lt;&gt;"",M375&lt;&gt;""),IF(COUNTIFS($K$6:K375,K375,$M$6:M375,M375)=1,1,0),0))</f>
        <v>0</v>
      </c>
      <c r="R375">
        <f>IF(A375="","",IF(M375&lt;&gt;"",IF(COUNTIF($M$6:M375,M375)=1,1,0),0))</f>
        <v>0</v>
      </c>
      <c r="T375" t="str">
        <f>IF(AND($M375&lt;&gt;"",$M375='Mapa do Galpão'!$C$20),COUNTIF($M$6:$M375,'Mapa do Galpão'!$C$20),"")</f>
        <v/>
      </c>
    </row>
    <row r="376" spans="1:20" ht="14.25" hidden="1" customHeight="1" x14ac:dyDescent="0.3">
      <c r="A376" s="43" t="s">
        <v>1194</v>
      </c>
      <c r="B376" s="44" t="s">
        <v>665</v>
      </c>
      <c r="C376" s="165" t="s">
        <v>364</v>
      </c>
      <c r="D376" s="45" t="str">
        <f t="shared" si="10"/>
        <v>—</v>
      </c>
      <c r="E376" s="43" t="s">
        <v>1184</v>
      </c>
      <c r="F376" s="43" t="s">
        <v>1195</v>
      </c>
      <c r="G376" s="43" t="s">
        <v>798</v>
      </c>
      <c r="H376" s="43">
        <v>710</v>
      </c>
      <c r="I376" s="46">
        <f>SUMIFS(Movimentações!$F$6:$F$4998,Movimentações!$C$6:$C$4998,A376,Movimentações!$M$6:$M$4998,M376)</f>
        <v>0</v>
      </c>
      <c r="J376" s="43" t="s">
        <v>670</v>
      </c>
      <c r="K376" s="43" t="s">
        <v>671</v>
      </c>
      <c r="L376" s="47">
        <v>11</v>
      </c>
      <c r="M376" s="43" t="s">
        <v>1191</v>
      </c>
      <c r="N376" s="43" t="str">
        <f t="shared" si="11"/>
        <v>Rua A · Prat 11 · C-84</v>
      </c>
      <c r="P376">
        <f>IF(A376="","",IF(AND(K376&lt;&gt;"",L376&lt;&gt;""),IF(COUNTIFS($K$6:K376,K376,$L$6:L376,L376)=1,1,0),0))</f>
        <v>0</v>
      </c>
      <c r="Q376">
        <f>IF(A376="","",IF(AND(K376&lt;&gt;"",M376&lt;&gt;""),IF(COUNTIFS($K$6:K376,K376,$M$6:M376,M376)=1,1,0),0))</f>
        <v>0</v>
      </c>
      <c r="R376">
        <f>IF(A376="","",IF(M376&lt;&gt;"",IF(COUNTIF($M$6:M376,M376)=1,1,0),0))</f>
        <v>0</v>
      </c>
      <c r="T376" t="str">
        <f>IF(AND($M376&lt;&gt;"",$M376='Mapa do Galpão'!$C$20),COUNTIF($M$6:$M376,'Mapa do Galpão'!$C$20),"")</f>
        <v/>
      </c>
    </row>
    <row r="377" spans="1:20" ht="14.25" hidden="1" customHeight="1" x14ac:dyDescent="0.3">
      <c r="A377" s="43" t="s">
        <v>1196</v>
      </c>
      <c r="B377" s="44" t="s">
        <v>665</v>
      </c>
      <c r="C377" s="165" t="s">
        <v>365</v>
      </c>
      <c r="D377" s="45" t="str">
        <f t="shared" si="10"/>
        <v>—</v>
      </c>
      <c r="E377" s="43" t="s">
        <v>1184</v>
      </c>
      <c r="F377" s="43" t="s">
        <v>1195</v>
      </c>
      <c r="G377" s="43" t="s">
        <v>738</v>
      </c>
      <c r="H377" s="43">
        <v>710</v>
      </c>
      <c r="I377" s="46">
        <f>SUMIFS(Movimentações!$F$6:$F$4998,Movimentações!$C$6:$C$4998,A377,Movimentações!$M$6:$M$4998,M377)</f>
        <v>0</v>
      </c>
      <c r="J377" s="43" t="s">
        <v>670</v>
      </c>
      <c r="K377" s="43" t="s">
        <v>671</v>
      </c>
      <c r="L377" s="47">
        <v>11</v>
      </c>
      <c r="M377" s="48" t="s">
        <v>1182</v>
      </c>
      <c r="N377" s="43" t="str">
        <f t="shared" si="11"/>
        <v>Rua A · Prat 11 · C-82</v>
      </c>
      <c r="P377">
        <f>IF(A377="","",IF(AND(K377&lt;&gt;"",L377&lt;&gt;""),IF(COUNTIFS($K$6:K377,K377,$L$6:L377,L377)=1,1,0),0))</f>
        <v>0</v>
      </c>
      <c r="Q377">
        <f>IF(A377="","",IF(AND(K377&lt;&gt;"",M377&lt;&gt;""),IF(COUNTIFS($K$6:K377,K377,$M$6:M377,M377)=1,1,0),0))</f>
        <v>0</v>
      </c>
      <c r="R377">
        <f>IF(A377="","",IF(M377&lt;&gt;"",IF(COUNTIF($M$6:M377,M377)=1,1,0),0))</f>
        <v>0</v>
      </c>
      <c r="T377" t="str">
        <f>IF(AND($M377&lt;&gt;"",$M377='Mapa do Galpão'!$C$20),COUNTIF($M$6:$M377,'Mapa do Galpão'!$C$20),"")</f>
        <v/>
      </c>
    </row>
    <row r="378" spans="1:20" ht="14.25" hidden="1" customHeight="1" x14ac:dyDescent="0.3">
      <c r="A378" s="43" t="s">
        <v>1197</v>
      </c>
      <c r="B378" s="44" t="s">
        <v>665</v>
      </c>
      <c r="C378" s="165" t="s">
        <v>366</v>
      </c>
      <c r="D378" s="45" t="str">
        <f t="shared" si="10"/>
        <v>—</v>
      </c>
      <c r="E378" s="43" t="s">
        <v>1179</v>
      </c>
      <c r="F378" s="43" t="s">
        <v>1198</v>
      </c>
      <c r="G378" s="43" t="s">
        <v>798</v>
      </c>
      <c r="H378" s="43" t="s">
        <v>1199</v>
      </c>
      <c r="I378" s="46">
        <f>SUMIFS(Movimentações!$F$6:$F$4998,Movimentações!$C$6:$C$4998,A378,Movimentações!$M$6:$M$4998,M378)</f>
        <v>0</v>
      </c>
      <c r="J378" s="43" t="s">
        <v>670</v>
      </c>
      <c r="K378" s="43" t="s">
        <v>671</v>
      </c>
      <c r="L378" s="47">
        <v>11</v>
      </c>
      <c r="M378" s="48" t="s">
        <v>1182</v>
      </c>
      <c r="N378" s="43" t="str">
        <f t="shared" si="11"/>
        <v>Rua A · Prat 11 · C-82</v>
      </c>
      <c r="P378">
        <f>IF(A378="","",IF(AND(K378&lt;&gt;"",L378&lt;&gt;""),IF(COUNTIFS($K$6:K378,K378,$L$6:L378,L378)=1,1,0),0))</f>
        <v>0</v>
      </c>
      <c r="Q378">
        <f>IF(A378="","",IF(AND(K378&lt;&gt;"",M378&lt;&gt;""),IF(COUNTIFS($K$6:K378,K378,$M$6:M378,M378)=1,1,0),0))</f>
        <v>0</v>
      </c>
      <c r="R378">
        <f>IF(A378="","",IF(M378&lt;&gt;"",IF(COUNTIF($M$6:M378,M378)=1,1,0),0))</f>
        <v>0</v>
      </c>
      <c r="T378" t="str">
        <f>IF(AND($M378&lt;&gt;"",$M378='Mapa do Galpão'!$C$20),COUNTIF($M$6:$M378,'Mapa do Galpão'!$C$20),"")</f>
        <v/>
      </c>
    </row>
    <row r="379" spans="1:20" ht="14.25" hidden="1" customHeight="1" x14ac:dyDescent="0.3">
      <c r="A379" s="43" t="s">
        <v>1200</v>
      </c>
      <c r="B379" s="44" t="s">
        <v>665</v>
      </c>
      <c r="C379" s="165" t="s">
        <v>367</v>
      </c>
      <c r="D379" s="45" t="str">
        <f t="shared" si="10"/>
        <v>—</v>
      </c>
      <c r="E379" s="43" t="s">
        <v>1170</v>
      </c>
      <c r="F379" s="43" t="s">
        <v>1201</v>
      </c>
      <c r="G379" s="43" t="s">
        <v>1202</v>
      </c>
      <c r="H379" s="43" t="s">
        <v>1203</v>
      </c>
      <c r="I379" s="46">
        <f>SUMIFS(Movimentações!$F$6:$F$4998,Movimentações!$C$6:$C$4998,A379,Movimentações!$M$6:$M$4998,M379)</f>
        <v>0</v>
      </c>
      <c r="J379" s="43" t="s">
        <v>670</v>
      </c>
      <c r="K379" s="43" t="s">
        <v>671</v>
      </c>
      <c r="L379" s="47">
        <v>11</v>
      </c>
      <c r="M379" s="43" t="s">
        <v>1204</v>
      </c>
      <c r="N379" s="43" t="str">
        <f t="shared" si="11"/>
        <v>Rua A · Prat 11 · C-85</v>
      </c>
      <c r="P379">
        <f>IF(A379="","",IF(AND(K379&lt;&gt;"",L379&lt;&gt;""),IF(COUNTIFS($K$6:K379,K379,$L$6:L379,L379)=1,1,0),0))</f>
        <v>0</v>
      </c>
      <c r="Q379">
        <f>IF(A379="","",IF(AND(K379&lt;&gt;"",M379&lt;&gt;""),IF(COUNTIFS($K$6:K379,K379,$M$6:M379,M379)=1,1,0),0))</f>
        <v>1</v>
      </c>
      <c r="R379">
        <f>IF(A379="","",IF(M379&lt;&gt;"",IF(COUNTIF($M$6:M379,M379)=1,1,0),0))</f>
        <v>1</v>
      </c>
      <c r="T379" t="str">
        <f>IF(AND($M379&lt;&gt;"",$M379='Mapa do Galpão'!$C$20),COUNTIF($M$6:$M379,'Mapa do Galpão'!$C$20),"")</f>
        <v/>
      </c>
    </row>
    <row r="380" spans="1:20" ht="14.25" hidden="1" customHeight="1" x14ac:dyDescent="0.3">
      <c r="A380" s="43" t="s">
        <v>1200</v>
      </c>
      <c r="B380" s="44" t="s">
        <v>665</v>
      </c>
      <c r="C380" s="165" t="s">
        <v>367</v>
      </c>
      <c r="D380" s="45" t="str">
        <f t="shared" si="10"/>
        <v>—</v>
      </c>
      <c r="E380" s="43" t="s">
        <v>1170</v>
      </c>
      <c r="F380" s="43" t="s">
        <v>1201</v>
      </c>
      <c r="G380" s="43" t="s">
        <v>1202</v>
      </c>
      <c r="H380" s="43" t="s">
        <v>1203</v>
      </c>
      <c r="I380" s="46">
        <f>SUMIFS(Movimentações!$F$6:$F$4998,Movimentações!$C$6:$C$4998,A380,Movimentações!$M$6:$M$4998,M380)</f>
        <v>0</v>
      </c>
      <c r="J380" s="43" t="s">
        <v>670</v>
      </c>
      <c r="K380" s="43" t="s">
        <v>671</v>
      </c>
      <c r="L380" s="47">
        <v>15</v>
      </c>
      <c r="M380" s="48" t="s">
        <v>1205</v>
      </c>
      <c r="N380" s="43" t="str">
        <f t="shared" si="11"/>
        <v>Rua A · Prat 15 · C-94</v>
      </c>
      <c r="P380">
        <f>IF(A380="","",IF(AND(K380&lt;&gt;"",L380&lt;&gt;""),IF(COUNTIFS($K$6:K380,K380,$L$6:L380,L380)=1,1,0),0))</f>
        <v>0</v>
      </c>
      <c r="Q380">
        <f>IF(A380="","",IF(AND(K380&lt;&gt;"",M380&lt;&gt;""),IF(COUNTIFS($K$6:K380,K380,$M$6:M380,M380)=1,1,0),0))</f>
        <v>1</v>
      </c>
      <c r="R380">
        <f>IF(A380="","",IF(M380&lt;&gt;"",IF(COUNTIF($M$6:M380,M380)=1,1,0),0))</f>
        <v>1</v>
      </c>
      <c r="T380" t="str">
        <f>IF(AND($M380&lt;&gt;"",$M380='Mapa do Galpão'!$C$20),COUNTIF($M$6:$M380,'Mapa do Galpão'!$C$20),"")</f>
        <v/>
      </c>
    </row>
    <row r="381" spans="1:20" ht="14.25" hidden="1" customHeight="1" x14ac:dyDescent="0.3">
      <c r="A381" s="43" t="s">
        <v>1206</v>
      </c>
      <c r="B381" s="44" t="s">
        <v>665</v>
      </c>
      <c r="C381" s="165" t="s">
        <v>368</v>
      </c>
      <c r="D381" s="45" t="str">
        <f t="shared" si="10"/>
        <v>—</v>
      </c>
      <c r="E381" s="43" t="s">
        <v>1179</v>
      </c>
      <c r="F381" s="43" t="s">
        <v>1207</v>
      </c>
      <c r="G381" s="43" t="s">
        <v>738</v>
      </c>
      <c r="H381" s="43" t="s">
        <v>1208</v>
      </c>
      <c r="I381" s="46">
        <f>SUMIFS(Movimentações!$F$6:$F$4998,Movimentações!$C$6:$C$4998,A381,Movimentações!$M$6:$M$4998,M381)</f>
        <v>0</v>
      </c>
      <c r="J381" s="43" t="s">
        <v>670</v>
      </c>
      <c r="K381" s="43" t="s">
        <v>671</v>
      </c>
      <c r="L381" s="47">
        <v>11</v>
      </c>
      <c r="M381" s="43" t="s">
        <v>1204</v>
      </c>
      <c r="N381" s="43" t="str">
        <f t="shared" si="11"/>
        <v>Rua A · Prat 11 · C-85</v>
      </c>
      <c r="P381">
        <f>IF(A381="","",IF(AND(K381&lt;&gt;"",L381&lt;&gt;""),IF(COUNTIFS($K$6:K381,K381,$L$6:L381,L381)=1,1,0),0))</f>
        <v>0</v>
      </c>
      <c r="Q381">
        <f>IF(A381="","",IF(AND(K381&lt;&gt;"",M381&lt;&gt;""),IF(COUNTIFS($K$6:K381,K381,$M$6:M381,M381)=1,1,0),0))</f>
        <v>0</v>
      </c>
      <c r="R381">
        <f>IF(A381="","",IF(M381&lt;&gt;"",IF(COUNTIF($M$6:M381,M381)=1,1,0),0))</f>
        <v>0</v>
      </c>
      <c r="T381" t="str">
        <f>IF(AND($M381&lt;&gt;"",$M381='Mapa do Galpão'!$C$20),COUNTIF($M$6:$M381,'Mapa do Galpão'!$C$20),"")</f>
        <v/>
      </c>
    </row>
    <row r="382" spans="1:20" ht="14.25" hidden="1" customHeight="1" x14ac:dyDescent="0.3">
      <c r="A382" s="43" t="s">
        <v>1209</v>
      </c>
      <c r="B382" s="44" t="s">
        <v>665</v>
      </c>
      <c r="C382" s="165" t="s">
        <v>369</v>
      </c>
      <c r="D382" s="45" t="str">
        <f t="shared" si="10"/>
        <v>—</v>
      </c>
      <c r="E382" s="43" t="s">
        <v>1179</v>
      </c>
      <c r="F382" s="43" t="s">
        <v>1210</v>
      </c>
      <c r="G382" s="43" t="s">
        <v>1079</v>
      </c>
      <c r="H382" s="43" t="s">
        <v>1211</v>
      </c>
      <c r="I382" s="46">
        <f>SUMIFS(Movimentações!$F$6:$F$4998,Movimentações!$C$6:$C$4998,A382,Movimentações!$M$6:$M$4998,M382)</f>
        <v>0</v>
      </c>
      <c r="J382" s="43" t="s">
        <v>670</v>
      </c>
      <c r="K382" s="43" t="s">
        <v>671</v>
      </c>
      <c r="L382" s="47">
        <v>11</v>
      </c>
      <c r="M382" s="43" t="s">
        <v>1204</v>
      </c>
      <c r="N382" s="43" t="str">
        <f t="shared" si="11"/>
        <v>Rua A · Prat 11 · C-85</v>
      </c>
      <c r="P382">
        <f>IF(A382="","",IF(AND(K382&lt;&gt;"",L382&lt;&gt;""),IF(COUNTIFS($K$6:K382,K382,$L$6:L382,L382)=1,1,0),0))</f>
        <v>0</v>
      </c>
      <c r="Q382">
        <f>IF(A382="","",IF(AND(K382&lt;&gt;"",M382&lt;&gt;""),IF(COUNTIFS($K$6:K382,K382,$M$6:M382,M382)=1,1,0),0))</f>
        <v>0</v>
      </c>
      <c r="R382">
        <f>IF(A382="","",IF(M382&lt;&gt;"",IF(COUNTIF($M$6:M382,M382)=1,1,0),0))</f>
        <v>0</v>
      </c>
      <c r="T382" t="str">
        <f>IF(AND($M382&lt;&gt;"",$M382='Mapa do Galpão'!$C$20),COUNTIF($M$6:$M382,'Mapa do Galpão'!$C$20),"")</f>
        <v/>
      </c>
    </row>
    <row r="383" spans="1:20" ht="14.25" hidden="1" customHeight="1" x14ac:dyDescent="0.3">
      <c r="A383" s="43" t="s">
        <v>1209</v>
      </c>
      <c r="B383" s="44" t="s">
        <v>665</v>
      </c>
      <c r="C383" s="165" t="s">
        <v>369</v>
      </c>
      <c r="D383" s="45" t="str">
        <f t="shared" si="10"/>
        <v>—</v>
      </c>
      <c r="E383" s="43" t="s">
        <v>1179</v>
      </c>
      <c r="F383" s="43" t="s">
        <v>1210</v>
      </c>
      <c r="G383" s="43" t="s">
        <v>1079</v>
      </c>
      <c r="H383" s="43" t="s">
        <v>1211</v>
      </c>
      <c r="I383" s="46">
        <f>SUMIFS(Movimentações!$F$6:$F$4998,Movimentações!$C$6:$C$4998,A383,Movimentações!$M$6:$M$4998,M383)</f>
        <v>0</v>
      </c>
      <c r="J383" s="43" t="s">
        <v>670</v>
      </c>
      <c r="K383" s="43" t="s">
        <v>671</v>
      </c>
      <c r="L383" s="47">
        <v>11</v>
      </c>
      <c r="M383" s="43" t="s">
        <v>1212</v>
      </c>
      <c r="N383" s="43" t="str">
        <f t="shared" si="11"/>
        <v>Rua A · Prat 11 · C-86</v>
      </c>
      <c r="P383">
        <f>IF(A383="","",IF(AND(K383&lt;&gt;"",L383&lt;&gt;""),IF(COUNTIFS($K$6:K383,K383,$L$6:L383,L383)=1,1,0),0))</f>
        <v>0</v>
      </c>
      <c r="Q383">
        <f>IF(A383="","",IF(AND(K383&lt;&gt;"",M383&lt;&gt;""),IF(COUNTIFS($K$6:K383,K383,$M$6:M383,M383)=1,1,0),0))</f>
        <v>1</v>
      </c>
      <c r="R383">
        <f>IF(A383="","",IF(M383&lt;&gt;"",IF(COUNTIF($M$6:M383,M383)=1,1,0),0))</f>
        <v>1</v>
      </c>
      <c r="T383" t="str">
        <f>IF(AND($M383&lt;&gt;"",$M383='Mapa do Galpão'!$C$20),COUNTIF($M$6:$M383,'Mapa do Galpão'!$C$20),"")</f>
        <v/>
      </c>
    </row>
    <row r="384" spans="1:20" ht="14.25" hidden="1" customHeight="1" x14ac:dyDescent="0.3">
      <c r="A384" s="43" t="s">
        <v>1213</v>
      </c>
      <c r="B384" s="44" t="s">
        <v>665</v>
      </c>
      <c r="C384" s="165" t="s">
        <v>370</v>
      </c>
      <c r="D384" s="45" t="str">
        <f t="shared" si="10"/>
        <v>—</v>
      </c>
      <c r="E384" s="43" t="s">
        <v>1179</v>
      </c>
      <c r="F384" s="43" t="s">
        <v>1210</v>
      </c>
      <c r="G384" s="43" t="s">
        <v>798</v>
      </c>
      <c r="H384" s="43" t="s">
        <v>1211</v>
      </c>
      <c r="I384" s="46">
        <f>SUMIFS(Movimentações!$F$6:$F$4998,Movimentações!$C$6:$C$4998,A384,Movimentações!$M$6:$M$4998,M384)</f>
        <v>0</v>
      </c>
      <c r="J384" s="43" t="s">
        <v>670</v>
      </c>
      <c r="K384" s="43" t="s">
        <v>671</v>
      </c>
      <c r="L384" s="47">
        <v>11</v>
      </c>
      <c r="M384" s="43" t="s">
        <v>1204</v>
      </c>
      <c r="N384" s="43" t="str">
        <f t="shared" si="11"/>
        <v>Rua A · Prat 11 · C-85</v>
      </c>
      <c r="P384">
        <f>IF(A384="","",IF(AND(K384&lt;&gt;"",L384&lt;&gt;""),IF(COUNTIFS($K$6:K384,K384,$L$6:L384,L384)=1,1,0),0))</f>
        <v>0</v>
      </c>
      <c r="Q384">
        <f>IF(A384="","",IF(AND(K384&lt;&gt;"",M384&lt;&gt;""),IF(COUNTIFS($K$6:K384,K384,$M$6:M384,M384)=1,1,0),0))</f>
        <v>0</v>
      </c>
      <c r="R384">
        <f>IF(A384="","",IF(M384&lt;&gt;"",IF(COUNTIF($M$6:M384,M384)=1,1,0),0))</f>
        <v>0</v>
      </c>
      <c r="T384" t="str">
        <f>IF(AND($M384&lt;&gt;"",$M384='Mapa do Galpão'!$C$20),COUNTIF($M$6:$M384,'Mapa do Galpão'!$C$20),"")</f>
        <v/>
      </c>
    </row>
    <row r="385" spans="1:20" ht="14.25" hidden="1" customHeight="1" x14ac:dyDescent="0.3">
      <c r="A385" s="43" t="s">
        <v>1214</v>
      </c>
      <c r="B385" s="44" t="s">
        <v>665</v>
      </c>
      <c r="C385" s="165" t="s">
        <v>371</v>
      </c>
      <c r="D385" s="45" t="str">
        <f t="shared" si="10"/>
        <v>—</v>
      </c>
      <c r="E385" s="43" t="s">
        <v>1215</v>
      </c>
      <c r="F385" s="43" t="s">
        <v>1216</v>
      </c>
      <c r="G385" s="43" t="s">
        <v>738</v>
      </c>
      <c r="H385" s="43" t="s">
        <v>1217</v>
      </c>
      <c r="I385" s="46">
        <f>SUMIFS(Movimentações!$F$6:$F$4998,Movimentações!$C$6:$C$4998,A385,Movimentações!$M$6:$M$4998,M385)</f>
        <v>0</v>
      </c>
      <c r="J385" s="43" t="s">
        <v>670</v>
      </c>
      <c r="K385" s="43" t="s">
        <v>671</v>
      </c>
      <c r="L385" s="47">
        <v>11</v>
      </c>
      <c r="M385" s="43" t="s">
        <v>1212</v>
      </c>
      <c r="N385" s="43" t="str">
        <f t="shared" si="11"/>
        <v>Rua A · Prat 11 · C-86</v>
      </c>
      <c r="P385">
        <f>IF(A385="","",IF(AND(K385&lt;&gt;"",L385&lt;&gt;""),IF(COUNTIFS($K$6:K385,K385,$L$6:L385,L385)=1,1,0),0))</f>
        <v>0</v>
      </c>
      <c r="Q385">
        <f>IF(A385="","",IF(AND(K385&lt;&gt;"",M385&lt;&gt;""),IF(COUNTIFS($K$6:K385,K385,$M$6:M385,M385)=1,1,0),0))</f>
        <v>0</v>
      </c>
      <c r="R385">
        <f>IF(A385="","",IF(M385&lt;&gt;"",IF(COUNTIF($M$6:M385,M385)=1,1,0),0))</f>
        <v>0</v>
      </c>
      <c r="T385" t="str">
        <f>IF(AND($M385&lt;&gt;"",$M385='Mapa do Galpão'!$C$20),COUNTIF($M$6:$M385,'Mapa do Galpão'!$C$20),"")</f>
        <v/>
      </c>
    </row>
    <row r="386" spans="1:20" ht="14.25" hidden="1" customHeight="1" x14ac:dyDescent="0.3">
      <c r="A386" s="43" t="s">
        <v>1218</v>
      </c>
      <c r="B386" s="44" t="s">
        <v>665</v>
      </c>
      <c r="C386" s="165" t="s">
        <v>372</v>
      </c>
      <c r="D386" s="45" t="str">
        <f t="shared" si="10"/>
        <v>—</v>
      </c>
      <c r="E386" s="43" t="s">
        <v>1215</v>
      </c>
      <c r="F386" s="43" t="s">
        <v>1216</v>
      </c>
      <c r="G386" s="43" t="s">
        <v>738</v>
      </c>
      <c r="H386" s="43" t="s">
        <v>1219</v>
      </c>
      <c r="I386" s="46">
        <f>SUMIFS(Movimentações!$F$6:$F$4998,Movimentações!$C$6:$C$4998,A386,Movimentações!$M$6:$M$4998,M386)</f>
        <v>0</v>
      </c>
      <c r="J386" s="43" t="s">
        <v>670</v>
      </c>
      <c r="K386" s="43" t="s">
        <v>671</v>
      </c>
      <c r="L386" s="47">
        <v>11</v>
      </c>
      <c r="M386" s="43" t="s">
        <v>1212</v>
      </c>
      <c r="N386" s="43" t="str">
        <f t="shared" si="11"/>
        <v>Rua A · Prat 11 · C-86</v>
      </c>
      <c r="P386">
        <f>IF(A386="","",IF(AND(K386&lt;&gt;"",L386&lt;&gt;""),IF(COUNTIFS($K$6:K386,K386,$L$6:L386,L386)=1,1,0),0))</f>
        <v>0</v>
      </c>
      <c r="Q386">
        <f>IF(A386="","",IF(AND(K386&lt;&gt;"",M386&lt;&gt;""),IF(COUNTIFS($K$6:K386,K386,$M$6:M386,M386)=1,1,0),0))</f>
        <v>0</v>
      </c>
      <c r="R386">
        <f>IF(A386="","",IF(M386&lt;&gt;"",IF(COUNTIF($M$6:M386,M386)=1,1,0),0))</f>
        <v>0</v>
      </c>
      <c r="T386" t="str">
        <f>IF(AND($M386&lt;&gt;"",$M386='Mapa do Galpão'!$C$20),COUNTIF($M$6:$M386,'Mapa do Galpão'!$C$20),"")</f>
        <v/>
      </c>
    </row>
    <row r="387" spans="1:20" ht="14.25" hidden="1" customHeight="1" x14ac:dyDescent="0.3">
      <c r="A387" s="43" t="s">
        <v>1220</v>
      </c>
      <c r="B387" s="44" t="s">
        <v>665</v>
      </c>
      <c r="C387" s="165" t="s">
        <v>373</v>
      </c>
      <c r="D387" s="45" t="str">
        <f t="shared" si="10"/>
        <v>—</v>
      </c>
      <c r="E387" s="43" t="s">
        <v>1179</v>
      </c>
      <c r="F387" s="43" t="s">
        <v>1210</v>
      </c>
      <c r="G387" s="43" t="s">
        <v>738</v>
      </c>
      <c r="H387" s="43" t="s">
        <v>1211</v>
      </c>
      <c r="I387" s="46">
        <f>SUMIFS(Movimentações!$F$6:$F$4998,Movimentações!$C$6:$C$4998,A387,Movimentações!$M$6:$M$4998,M387)</f>
        <v>0</v>
      </c>
      <c r="J387" s="43" t="s">
        <v>670</v>
      </c>
      <c r="K387" s="43" t="s">
        <v>671</v>
      </c>
      <c r="L387" s="47">
        <v>11</v>
      </c>
      <c r="M387" s="43" t="s">
        <v>1212</v>
      </c>
      <c r="N387" s="43" t="str">
        <f t="shared" si="11"/>
        <v>Rua A · Prat 11 · C-86</v>
      </c>
      <c r="P387">
        <f>IF(A387="","",IF(AND(K387&lt;&gt;"",L387&lt;&gt;""),IF(COUNTIFS($K$6:K387,K387,$L$6:L387,L387)=1,1,0),0))</f>
        <v>0</v>
      </c>
      <c r="Q387">
        <f>IF(A387="","",IF(AND(K387&lt;&gt;"",M387&lt;&gt;""),IF(COUNTIFS($K$6:K387,K387,$M$6:M387,M387)=1,1,0),0))</f>
        <v>0</v>
      </c>
      <c r="R387">
        <f>IF(A387="","",IF(M387&lt;&gt;"",IF(COUNTIF($M$6:M387,M387)=1,1,0),0))</f>
        <v>0</v>
      </c>
      <c r="T387" t="str">
        <f>IF(AND($M387&lt;&gt;"",$M387='Mapa do Galpão'!$C$20),COUNTIF($M$6:$M387,'Mapa do Galpão'!$C$20),"")</f>
        <v/>
      </c>
    </row>
    <row r="388" spans="1:20" ht="14.25" hidden="1" customHeight="1" x14ac:dyDescent="0.3">
      <c r="A388" s="43" t="s">
        <v>1221</v>
      </c>
      <c r="B388" s="44" t="s">
        <v>665</v>
      </c>
      <c r="C388" s="165" t="s">
        <v>374</v>
      </c>
      <c r="D388" s="45" t="str">
        <f t="shared" si="10"/>
        <v>—</v>
      </c>
      <c r="E388" s="43" t="s">
        <v>1184</v>
      </c>
      <c r="F388" s="43" t="s">
        <v>1222</v>
      </c>
      <c r="G388" s="43" t="s">
        <v>798</v>
      </c>
      <c r="H388" s="43" t="s">
        <v>1187</v>
      </c>
      <c r="I388" s="46">
        <f>SUMIFS(Movimentações!$F$6:$F$4998,Movimentações!$C$6:$C$4998,A388,Movimentações!$M$6:$M$4998,M388)</f>
        <v>0</v>
      </c>
      <c r="J388" s="43" t="s">
        <v>670</v>
      </c>
      <c r="K388" s="43" t="s">
        <v>671</v>
      </c>
      <c r="L388" s="47">
        <v>11</v>
      </c>
      <c r="M388" s="43" t="s">
        <v>1212</v>
      </c>
      <c r="N388" s="43" t="str">
        <f t="shared" si="11"/>
        <v>Rua A · Prat 11 · C-86</v>
      </c>
      <c r="P388">
        <f>IF(A388="","",IF(AND(K388&lt;&gt;"",L388&lt;&gt;""),IF(COUNTIFS($K$6:K388,K388,$L$6:L388,L388)=1,1,0),0))</f>
        <v>0</v>
      </c>
      <c r="Q388">
        <f>IF(A388="","",IF(AND(K388&lt;&gt;"",M388&lt;&gt;""),IF(COUNTIFS($K$6:K388,K388,$M$6:M388,M388)=1,1,0),0))</f>
        <v>0</v>
      </c>
      <c r="R388">
        <f>IF(A388="","",IF(M388&lt;&gt;"",IF(COUNTIF($M$6:M388,M388)=1,1,0),0))</f>
        <v>0</v>
      </c>
      <c r="T388" t="str">
        <f>IF(AND($M388&lt;&gt;"",$M388='Mapa do Galpão'!$C$20),COUNTIF($M$6:$M388,'Mapa do Galpão'!$C$20),"")</f>
        <v/>
      </c>
    </row>
    <row r="389" spans="1:20" ht="14.25" hidden="1" customHeight="1" x14ac:dyDescent="0.3">
      <c r="A389" s="43" t="s">
        <v>1223</v>
      </c>
      <c r="B389" s="44" t="s">
        <v>665</v>
      </c>
      <c r="C389" s="165" t="s">
        <v>375</v>
      </c>
      <c r="D389" s="45" t="str">
        <f t="shared" si="10"/>
        <v>Masculino</v>
      </c>
      <c r="E389" s="43" t="s">
        <v>709</v>
      </c>
      <c r="F389" s="43" t="s">
        <v>1224</v>
      </c>
      <c r="G389" s="43" t="s">
        <v>668</v>
      </c>
      <c r="H389" s="43" t="s">
        <v>669</v>
      </c>
      <c r="I389" s="46">
        <f>SUMIFS(Movimentações!$F$6:$F$4998,Movimentações!$C$6:$C$4998,A389,Movimentações!$M$6:$M$4998,M389)</f>
        <v>3</v>
      </c>
      <c r="J389" s="43" t="s">
        <v>670</v>
      </c>
      <c r="K389" s="43" t="s">
        <v>671</v>
      </c>
      <c r="L389" s="47">
        <v>11</v>
      </c>
      <c r="M389" s="43" t="s">
        <v>1068</v>
      </c>
      <c r="N389" s="43" t="str">
        <f t="shared" si="11"/>
        <v>Rua A · Prat 11 · C-87</v>
      </c>
      <c r="P389">
        <f>IF(A389="","",IF(AND(K389&lt;&gt;"",L389&lt;&gt;""),IF(COUNTIFS($K$6:K389,K389,$L$6:L389,L389)=1,1,0),0))</f>
        <v>0</v>
      </c>
      <c r="Q389">
        <f>IF(A389="","",IF(AND(K389&lt;&gt;"",M389&lt;&gt;""),IF(COUNTIFS($K$6:K389,K389,$M$6:M389,M389)=1,1,0),0))</f>
        <v>0</v>
      </c>
      <c r="R389">
        <f>IF(A389="","",IF(M389&lt;&gt;"",IF(COUNTIF($M$6:M389,M389)=1,1,0),0))</f>
        <v>0</v>
      </c>
      <c r="T389" t="str">
        <f>IF(AND($M389&lt;&gt;"",$M389='Mapa do Galpão'!$C$20),COUNTIF($M$6:$M389,'Mapa do Galpão'!$C$20),"")</f>
        <v/>
      </c>
    </row>
    <row r="390" spans="1:20" ht="14.25" hidden="1" customHeight="1" x14ac:dyDescent="0.3">
      <c r="A390" s="43" t="s">
        <v>1225</v>
      </c>
      <c r="B390" s="44" t="s">
        <v>665</v>
      </c>
      <c r="C390" s="165" t="s">
        <v>376</v>
      </c>
      <c r="D390" s="45" t="str">
        <f t="shared" ref="D390:D453" si="12">IF(C390="","",IFERROR(IF(TRIM(MID(SUBSTITUTE(C390,".",REPT(" ",50)),51,50))="01","Masculino",IF(TRIM(MID(SUBSTITUTE(C390,".",REPT(" ",50)),51,50))="02","Feminino",IF(TRIM(MID(SUBSTITUTE(C390,".",REPT(" ",50)),51,50))="03","Outros","—"))),"—"))</f>
        <v>—</v>
      </c>
      <c r="E390" s="43" t="s">
        <v>1108</v>
      </c>
      <c r="F390" s="43" t="s">
        <v>1112</v>
      </c>
      <c r="G390" s="43" t="s">
        <v>738</v>
      </c>
      <c r="H390" s="43" t="s">
        <v>1226</v>
      </c>
      <c r="I390" s="46">
        <f>SUMIFS(Movimentações!$F$6:$F$4998,Movimentações!$C$6:$C$4998,A390,Movimentações!$M$6:$M$4998,M390)</f>
        <v>25</v>
      </c>
      <c r="J390" s="43" t="s">
        <v>670</v>
      </c>
      <c r="K390" s="43" t="s">
        <v>671</v>
      </c>
      <c r="L390" s="47">
        <v>11</v>
      </c>
      <c r="M390" s="43" t="s">
        <v>1227</v>
      </c>
      <c r="N390" s="43" t="str">
        <f t="shared" ref="N390:N453" si="13">IF(AND(K390="",L390="",M390=""),"⚠ sem endereço","Rua "&amp;K390&amp;IF(L390="",""," · Prat "&amp;L390)&amp;IF(M390="",""," · "&amp;M390))</f>
        <v>Rua A · Prat 11 · C-89</v>
      </c>
      <c r="P390">
        <f>IF(A390="","",IF(AND(K390&lt;&gt;"",L390&lt;&gt;""),IF(COUNTIFS($K$6:K390,K390,$L$6:L390,L390)=1,1,0),0))</f>
        <v>0</v>
      </c>
      <c r="Q390">
        <f>IF(A390="","",IF(AND(K390&lt;&gt;"",M390&lt;&gt;""),IF(COUNTIFS($K$6:K390,K390,$M$6:M390,M390)=1,1,0),0))</f>
        <v>1</v>
      </c>
      <c r="R390">
        <f>IF(A390="","",IF(M390&lt;&gt;"",IF(COUNTIF($M$6:M390,M390)=1,1,0),0))</f>
        <v>1</v>
      </c>
      <c r="T390" t="str">
        <f>IF(AND($M390&lt;&gt;"",$M390='Mapa do Galpão'!$C$20),COUNTIF($M$6:$M390,'Mapa do Galpão'!$C$20),"")</f>
        <v/>
      </c>
    </row>
    <row r="391" spans="1:20" ht="14.25" hidden="1" customHeight="1" x14ac:dyDescent="0.3">
      <c r="A391" s="43" t="s">
        <v>1225</v>
      </c>
      <c r="B391" s="44" t="s">
        <v>665</v>
      </c>
      <c r="C391" s="165" t="s">
        <v>376</v>
      </c>
      <c r="D391" s="45" t="str">
        <f t="shared" si="12"/>
        <v>—</v>
      </c>
      <c r="E391" s="43" t="s">
        <v>1108</v>
      </c>
      <c r="F391" s="43" t="s">
        <v>1112</v>
      </c>
      <c r="G391" s="43" t="s">
        <v>738</v>
      </c>
      <c r="H391" s="43" t="s">
        <v>1226</v>
      </c>
      <c r="I391" s="46">
        <f>SUMIFS(Movimentações!$F$6:$F$4998,Movimentações!$C$6:$C$4998,A391,Movimentações!$M$6:$M$4998,M391)</f>
        <v>3</v>
      </c>
      <c r="J391" s="43" t="s">
        <v>670</v>
      </c>
      <c r="K391" s="43" t="s">
        <v>671</v>
      </c>
      <c r="L391" s="47" t="s">
        <v>1115</v>
      </c>
      <c r="M391" s="43" t="s">
        <v>1116</v>
      </c>
      <c r="N391" s="43" t="str">
        <f t="shared" si="13"/>
        <v>Rua A · Prat 7 · C-99</v>
      </c>
      <c r="P391">
        <f>IF(A391="","",IF(AND(K391&lt;&gt;"",L391&lt;&gt;""),IF(COUNTIFS($K$6:K391,K391,$L$6:L391,L391)=1,1,0),0))</f>
        <v>0</v>
      </c>
      <c r="Q391">
        <f>IF(A391="","",IF(AND(K391&lt;&gt;"",M391&lt;&gt;""),IF(COUNTIFS($K$6:K391,K391,$M$6:M391,M391)=1,1,0),0))</f>
        <v>0</v>
      </c>
      <c r="R391">
        <f>IF(A391="","",IF(M391&lt;&gt;"",IF(COUNTIF($M$6:M391,M391)=1,1,0),0))</f>
        <v>0</v>
      </c>
      <c r="T391" t="str">
        <f>IF(AND($M391&lt;&gt;"",$M391='Mapa do Galpão'!$C$20),COUNTIF($M$6:$M391,'Mapa do Galpão'!$C$20),"")</f>
        <v/>
      </c>
    </row>
    <row r="392" spans="1:20" ht="14.25" hidden="1" customHeight="1" x14ac:dyDescent="0.3">
      <c r="A392" s="43" t="s">
        <v>1225</v>
      </c>
      <c r="B392" s="44" t="s">
        <v>665</v>
      </c>
      <c r="C392" s="165" t="s">
        <v>376</v>
      </c>
      <c r="D392" s="45" t="str">
        <f t="shared" si="12"/>
        <v>—</v>
      </c>
      <c r="E392" s="43" t="s">
        <v>1108</v>
      </c>
      <c r="F392" s="43" t="s">
        <v>1112</v>
      </c>
      <c r="G392" s="43" t="s">
        <v>738</v>
      </c>
      <c r="H392" s="43" t="s">
        <v>1226</v>
      </c>
      <c r="I392" s="46">
        <f>SUMIFS(Movimentações!$F$6:$F$4998,Movimentações!$C$6:$C$4998,A392,Movimentações!$M$6:$M$4998,M392)</f>
        <v>60</v>
      </c>
      <c r="J392" s="43" t="s">
        <v>670</v>
      </c>
      <c r="K392" s="43" t="s">
        <v>671</v>
      </c>
      <c r="L392" s="47">
        <v>11</v>
      </c>
      <c r="M392" s="43" t="s">
        <v>1228</v>
      </c>
      <c r="N392" s="43" t="str">
        <f t="shared" si="13"/>
        <v>Rua A · Prat 11 · C-104</v>
      </c>
      <c r="P392">
        <f>IF(A392="","",IF(AND(K392&lt;&gt;"",L392&lt;&gt;""),IF(COUNTIFS($K$6:K392,K392,$L$6:L392,L392)=1,1,0),0))</f>
        <v>0</v>
      </c>
      <c r="Q392">
        <f>IF(A392="","",IF(AND(K392&lt;&gt;"",M392&lt;&gt;""),IF(COUNTIFS($K$6:K392,K392,$M$6:M392,M392)=1,1,0),0))</f>
        <v>1</v>
      </c>
      <c r="R392">
        <f>IF(A392="","",IF(M392&lt;&gt;"",IF(COUNTIF($M$6:M392,M392)=1,1,0),0))</f>
        <v>1</v>
      </c>
      <c r="T392" t="str">
        <f>IF(AND($M392&lt;&gt;"",$M392='Mapa do Galpão'!$C$20),COUNTIF($M$6:$M392,'Mapa do Galpão'!$C$20),"")</f>
        <v/>
      </c>
    </row>
    <row r="393" spans="1:20" ht="14.25" hidden="1" customHeight="1" x14ac:dyDescent="0.3">
      <c r="A393" s="43" t="s">
        <v>1225</v>
      </c>
      <c r="B393" s="44" t="s">
        <v>665</v>
      </c>
      <c r="C393" s="165" t="s">
        <v>376</v>
      </c>
      <c r="D393" s="45" t="str">
        <f t="shared" si="12"/>
        <v>—</v>
      </c>
      <c r="E393" s="43" t="s">
        <v>1108</v>
      </c>
      <c r="F393" s="43" t="s">
        <v>1112</v>
      </c>
      <c r="G393" s="43" t="s">
        <v>738</v>
      </c>
      <c r="H393" s="43" t="s">
        <v>1226</v>
      </c>
      <c r="I393" s="46">
        <f>SUMIFS(Movimentações!$F$6:$F$4998,Movimentações!$C$6:$C$4998,A393,Movimentações!$M$6:$M$4998,M393)</f>
        <v>46</v>
      </c>
      <c r="J393" s="43" t="s">
        <v>670</v>
      </c>
      <c r="K393" s="43" t="s">
        <v>671</v>
      </c>
      <c r="L393" s="47">
        <v>12</v>
      </c>
      <c r="M393" s="43" t="s">
        <v>1229</v>
      </c>
      <c r="N393" s="43" t="str">
        <f t="shared" si="13"/>
        <v>Rua A · Prat 12 · C-112</v>
      </c>
      <c r="P393">
        <f>IF(A393="","",IF(AND(K393&lt;&gt;"",L393&lt;&gt;""),IF(COUNTIFS($K$6:K393,K393,$L$6:L393,L393)=1,1,0),0))</f>
        <v>0</v>
      </c>
      <c r="Q393">
        <f>IF(A393="","",IF(AND(K393&lt;&gt;"",M393&lt;&gt;""),IF(COUNTIFS($K$6:K393,K393,$M$6:M393,M393)=1,1,0),0))</f>
        <v>1</v>
      </c>
      <c r="R393">
        <f>IF(A393="","",IF(M393&lt;&gt;"",IF(COUNTIF($M$6:M393,M393)=1,1,0),0))</f>
        <v>1</v>
      </c>
      <c r="T393" t="str">
        <f>IF(AND($M393&lt;&gt;"",$M393='Mapa do Galpão'!$C$20),COUNTIF($M$6:$M393,'Mapa do Galpão'!$C$20),"")</f>
        <v/>
      </c>
    </row>
    <row r="394" spans="1:20" ht="14.25" hidden="1" customHeight="1" x14ac:dyDescent="0.3">
      <c r="A394" s="43" t="s">
        <v>1225</v>
      </c>
      <c r="B394" s="44" t="s">
        <v>665</v>
      </c>
      <c r="C394" s="165" t="s">
        <v>376</v>
      </c>
      <c r="D394" s="45" t="str">
        <f t="shared" si="12"/>
        <v>—</v>
      </c>
      <c r="E394" s="43" t="s">
        <v>1108</v>
      </c>
      <c r="F394" s="43" t="s">
        <v>1112</v>
      </c>
      <c r="G394" s="43" t="s">
        <v>738</v>
      </c>
      <c r="H394" s="43" t="s">
        <v>1226</v>
      </c>
      <c r="I394" s="46">
        <f>SUMIFS(Movimentações!$F$6:$F$4998,Movimentações!$C$6:$C$4998,A394,Movimentações!$M$6:$M$4998,M394)</f>
        <v>14</v>
      </c>
      <c r="J394" s="43" t="s">
        <v>670</v>
      </c>
      <c r="K394" s="43" t="s">
        <v>671</v>
      </c>
      <c r="L394" s="47">
        <v>12</v>
      </c>
      <c r="M394" s="43" t="s">
        <v>1122</v>
      </c>
      <c r="N394" s="43" t="str">
        <f t="shared" si="13"/>
        <v>Rua A · Prat 12 · C-116</v>
      </c>
      <c r="P394">
        <f>IF(A394="","",IF(AND(K394&lt;&gt;"",L394&lt;&gt;""),IF(COUNTIFS($K$6:K394,K394,$L$6:L394,L394)=1,1,0),0))</f>
        <v>0</v>
      </c>
      <c r="Q394">
        <f>IF(A394="","",IF(AND(K394&lt;&gt;"",M394&lt;&gt;""),IF(COUNTIFS($K$6:K394,K394,$M$6:M394,M394)=1,1,0),0))</f>
        <v>0</v>
      </c>
      <c r="R394">
        <f>IF(A394="","",IF(M394&lt;&gt;"",IF(COUNTIF($M$6:M394,M394)=1,1,0),0))</f>
        <v>0</v>
      </c>
      <c r="T394" t="str">
        <f>IF(AND($M394&lt;&gt;"",$M394='Mapa do Galpão'!$C$20),COUNTIF($M$6:$M394,'Mapa do Galpão'!$C$20),"")</f>
        <v/>
      </c>
    </row>
    <row r="395" spans="1:20" ht="14.25" hidden="1" customHeight="1" x14ac:dyDescent="0.3">
      <c r="A395" s="43" t="s">
        <v>1230</v>
      </c>
      <c r="B395" s="44" t="s">
        <v>665</v>
      </c>
      <c r="C395" s="165" t="s">
        <v>377</v>
      </c>
      <c r="D395" s="45" t="str">
        <f t="shared" si="12"/>
        <v>Masculino</v>
      </c>
      <c r="E395" s="43" t="s">
        <v>684</v>
      </c>
      <c r="F395" s="43" t="s">
        <v>1231</v>
      </c>
      <c r="G395" s="43" t="s">
        <v>738</v>
      </c>
      <c r="H395" s="43" t="s">
        <v>680</v>
      </c>
      <c r="I395" s="46">
        <f>SUMIFS(Movimentações!$F$6:$F$4998,Movimentações!$C$6:$C$4998,A395,Movimentações!$M$6:$M$4998,M395)</f>
        <v>5</v>
      </c>
      <c r="J395" s="43" t="s">
        <v>670</v>
      </c>
      <c r="K395" s="43" t="s">
        <v>671</v>
      </c>
      <c r="L395" s="47">
        <v>13</v>
      </c>
      <c r="M395" s="43" t="s">
        <v>1232</v>
      </c>
      <c r="N395" s="43" t="str">
        <f t="shared" si="13"/>
        <v>Rua A · Prat 13 · C-90</v>
      </c>
      <c r="P395">
        <f>IF(A395="","",IF(AND(K395&lt;&gt;"",L395&lt;&gt;""),IF(COUNTIFS($K$6:K395,K395,$L$6:L395,L395)=1,1,0),0))</f>
        <v>0</v>
      </c>
      <c r="Q395">
        <f>IF(A395="","",IF(AND(K395&lt;&gt;"",M395&lt;&gt;""),IF(COUNTIFS($K$6:K395,K395,$M$6:M395,M395)=1,1,0),0))</f>
        <v>1</v>
      </c>
      <c r="R395">
        <f>IF(A395="","",IF(M395&lt;&gt;"",IF(COUNTIF($M$6:M395,M395)=1,1,0),0))</f>
        <v>1</v>
      </c>
      <c r="T395" t="str">
        <f>IF(AND($M395&lt;&gt;"",$M395='Mapa do Galpão'!$C$20),COUNTIF($M$6:$M395,'Mapa do Galpão'!$C$20),"")</f>
        <v/>
      </c>
    </row>
    <row r="396" spans="1:20" ht="14.25" hidden="1" customHeight="1" x14ac:dyDescent="0.3">
      <c r="A396" s="43" t="s">
        <v>1233</v>
      </c>
      <c r="B396" s="44" t="s">
        <v>665</v>
      </c>
      <c r="C396" s="165" t="s">
        <v>378</v>
      </c>
      <c r="D396" s="45" t="str">
        <f t="shared" si="12"/>
        <v>Masculino</v>
      </c>
      <c r="E396" s="43" t="s">
        <v>684</v>
      </c>
      <c r="F396" s="43" t="s">
        <v>1231</v>
      </c>
      <c r="G396" s="43" t="s">
        <v>738</v>
      </c>
      <c r="H396" s="43" t="s">
        <v>675</v>
      </c>
      <c r="I396" s="46">
        <f>SUMIFS(Movimentações!$F$6:$F$4998,Movimentações!$C$6:$C$4998,A396,Movimentações!$M$6:$M$4998,M396)</f>
        <v>5</v>
      </c>
      <c r="J396" s="43" t="s">
        <v>670</v>
      </c>
      <c r="K396" s="43" t="s">
        <v>671</v>
      </c>
      <c r="L396" s="47">
        <v>13</v>
      </c>
      <c r="M396" s="43" t="s">
        <v>1232</v>
      </c>
      <c r="N396" s="43" t="str">
        <f t="shared" si="13"/>
        <v>Rua A · Prat 13 · C-90</v>
      </c>
      <c r="P396">
        <f>IF(A396="","",IF(AND(K396&lt;&gt;"",L396&lt;&gt;""),IF(COUNTIFS($K$6:K396,K396,$L$6:L396,L396)=1,1,0),0))</f>
        <v>0</v>
      </c>
      <c r="Q396">
        <f>IF(A396="","",IF(AND(K396&lt;&gt;"",M396&lt;&gt;""),IF(COUNTIFS($K$6:K396,K396,$M$6:M396,M396)=1,1,0),0))</f>
        <v>0</v>
      </c>
      <c r="R396">
        <f>IF(A396="","",IF(M396&lt;&gt;"",IF(COUNTIF($M$6:M396,M396)=1,1,0),0))</f>
        <v>0</v>
      </c>
      <c r="T396" t="str">
        <f>IF(AND($M396&lt;&gt;"",$M396='Mapa do Galpão'!$C$20),COUNTIF($M$6:$M396,'Mapa do Galpão'!$C$20),"")</f>
        <v/>
      </c>
    </row>
    <row r="397" spans="1:20" ht="14.25" hidden="1" customHeight="1" x14ac:dyDescent="0.3">
      <c r="A397" s="43" t="s">
        <v>1234</v>
      </c>
      <c r="B397" s="44" t="s">
        <v>665</v>
      </c>
      <c r="C397" s="165" t="s">
        <v>379</v>
      </c>
      <c r="D397" s="45" t="str">
        <f t="shared" si="12"/>
        <v>Masculino</v>
      </c>
      <c r="E397" s="43" t="s">
        <v>684</v>
      </c>
      <c r="F397" s="43" t="s">
        <v>1231</v>
      </c>
      <c r="G397" s="43" t="s">
        <v>738</v>
      </c>
      <c r="H397" s="43" t="s">
        <v>669</v>
      </c>
      <c r="I397" s="46">
        <f>SUMIFS(Movimentações!$F$6:$F$4998,Movimentações!$C$6:$C$4998,A397,Movimentações!$M$6:$M$4998,M397)</f>
        <v>6</v>
      </c>
      <c r="J397" s="43" t="s">
        <v>670</v>
      </c>
      <c r="K397" s="43" t="s">
        <v>671</v>
      </c>
      <c r="L397" s="47">
        <v>13</v>
      </c>
      <c r="M397" s="43" t="s">
        <v>1232</v>
      </c>
      <c r="N397" s="43" t="str">
        <f t="shared" si="13"/>
        <v>Rua A · Prat 13 · C-90</v>
      </c>
      <c r="P397">
        <f>IF(A397="","",IF(AND(K397&lt;&gt;"",L397&lt;&gt;""),IF(COUNTIFS($K$6:K397,K397,$L$6:L397,L397)=1,1,0),0))</f>
        <v>0</v>
      </c>
      <c r="Q397">
        <f>IF(A397="","",IF(AND(K397&lt;&gt;"",M397&lt;&gt;""),IF(COUNTIFS($K$6:K397,K397,$M$6:M397,M397)=1,1,0),0))</f>
        <v>0</v>
      </c>
      <c r="R397">
        <f>IF(A397="","",IF(M397&lt;&gt;"",IF(COUNTIF($M$6:M397,M397)=1,1,0),0))</f>
        <v>0</v>
      </c>
      <c r="T397" t="str">
        <f>IF(AND($M397&lt;&gt;"",$M397='Mapa do Galpão'!$C$20),COUNTIF($M$6:$M397,'Mapa do Galpão'!$C$20),"")</f>
        <v/>
      </c>
    </row>
    <row r="398" spans="1:20" ht="14.25" hidden="1" customHeight="1" x14ac:dyDescent="0.3">
      <c r="A398" s="43" t="s">
        <v>1235</v>
      </c>
      <c r="B398" s="44" t="s">
        <v>665</v>
      </c>
      <c r="C398" s="165" t="s">
        <v>380</v>
      </c>
      <c r="D398" s="45" t="str">
        <f t="shared" si="12"/>
        <v>Masculino</v>
      </c>
      <c r="E398" s="43" t="s">
        <v>684</v>
      </c>
      <c r="F398" s="43" t="s">
        <v>1231</v>
      </c>
      <c r="G398" s="43" t="s">
        <v>738</v>
      </c>
      <c r="H398" s="43" t="s">
        <v>682</v>
      </c>
      <c r="I398" s="46">
        <f>SUMIFS(Movimentações!$F$6:$F$4998,Movimentações!$C$6:$C$4998,A398,Movimentações!$M$6:$M$4998,M398)</f>
        <v>0</v>
      </c>
      <c r="J398" s="43" t="s">
        <v>670</v>
      </c>
      <c r="K398" s="43" t="s">
        <v>671</v>
      </c>
      <c r="L398" s="47">
        <v>13</v>
      </c>
      <c r="M398" s="43" t="s">
        <v>1232</v>
      </c>
      <c r="N398" s="43" t="str">
        <f t="shared" si="13"/>
        <v>Rua A · Prat 13 · C-90</v>
      </c>
      <c r="P398">
        <f>IF(A398="","",IF(AND(K398&lt;&gt;"",L398&lt;&gt;""),IF(COUNTIFS($K$6:K398,K398,$L$6:L398,L398)=1,1,0),0))</f>
        <v>0</v>
      </c>
      <c r="Q398">
        <f>IF(A398="","",IF(AND(K398&lt;&gt;"",M398&lt;&gt;""),IF(COUNTIFS($K$6:K398,K398,$M$6:M398,M398)=1,1,0),0))</f>
        <v>0</v>
      </c>
      <c r="R398">
        <f>IF(A398="","",IF(M398&lt;&gt;"",IF(COUNTIF($M$6:M398,M398)=1,1,0),0))</f>
        <v>0</v>
      </c>
      <c r="T398" t="str">
        <f>IF(AND($M398&lt;&gt;"",$M398='Mapa do Galpão'!$C$20),COUNTIF($M$6:$M398,'Mapa do Galpão'!$C$20),"")</f>
        <v/>
      </c>
    </row>
    <row r="399" spans="1:20" ht="14.25" hidden="1" customHeight="1" x14ac:dyDescent="0.3">
      <c r="A399" s="43" t="s">
        <v>1236</v>
      </c>
      <c r="B399" s="44" t="s">
        <v>665</v>
      </c>
      <c r="C399" s="165" t="s">
        <v>381</v>
      </c>
      <c r="D399" s="45" t="str">
        <f t="shared" si="12"/>
        <v>Masculino</v>
      </c>
      <c r="E399" s="43" t="s">
        <v>684</v>
      </c>
      <c r="F399" s="43" t="s">
        <v>1231</v>
      </c>
      <c r="G399" s="43" t="s">
        <v>738</v>
      </c>
      <c r="H399" s="43" t="s">
        <v>677</v>
      </c>
      <c r="I399" s="46">
        <f>SUMIFS(Movimentações!$F$6:$F$4998,Movimentações!$C$6:$C$4998,A399,Movimentações!$M$6:$M$4998,M399)</f>
        <v>0</v>
      </c>
      <c r="J399" s="43" t="s">
        <v>670</v>
      </c>
      <c r="K399" s="43" t="s">
        <v>671</v>
      </c>
      <c r="L399" s="47">
        <v>13</v>
      </c>
      <c r="M399" s="43" t="s">
        <v>1232</v>
      </c>
      <c r="N399" s="43" t="str">
        <f t="shared" si="13"/>
        <v>Rua A · Prat 13 · C-90</v>
      </c>
      <c r="P399">
        <f>IF(A399="","",IF(AND(K399&lt;&gt;"",L399&lt;&gt;""),IF(COUNTIFS($K$6:K399,K399,$L$6:L399,L399)=1,1,0),0))</f>
        <v>0</v>
      </c>
      <c r="Q399">
        <f>IF(A399="","",IF(AND(K399&lt;&gt;"",M399&lt;&gt;""),IF(COUNTIFS($K$6:K399,K399,$M$6:M399,M399)=1,1,0),0))</f>
        <v>0</v>
      </c>
      <c r="R399">
        <f>IF(A399="","",IF(M399&lt;&gt;"",IF(COUNTIF($M$6:M399,M399)=1,1,0),0))</f>
        <v>0</v>
      </c>
      <c r="T399" t="str">
        <f>IF(AND($M399&lt;&gt;"",$M399='Mapa do Galpão'!$C$20),COUNTIF($M$6:$M399,'Mapa do Galpão'!$C$20),"")</f>
        <v/>
      </c>
    </row>
    <row r="400" spans="1:20" ht="14.25" hidden="1" customHeight="1" x14ac:dyDescent="0.3">
      <c r="A400" s="43" t="s">
        <v>1237</v>
      </c>
      <c r="B400" s="44" t="s">
        <v>665</v>
      </c>
      <c r="C400" s="165" t="s">
        <v>382</v>
      </c>
      <c r="D400" s="45" t="str">
        <f t="shared" si="12"/>
        <v>Feminino</v>
      </c>
      <c r="E400" s="43" t="s">
        <v>684</v>
      </c>
      <c r="F400" s="43" t="s">
        <v>1238</v>
      </c>
      <c r="G400" s="43" t="s">
        <v>798</v>
      </c>
      <c r="H400" s="43" t="s">
        <v>680</v>
      </c>
      <c r="I400" s="46">
        <f>SUMIFS(Movimentações!$F$6:$F$4998,Movimentações!$C$6:$C$4998,A400,Movimentações!$M$6:$M$4998,M400)</f>
        <v>0</v>
      </c>
      <c r="J400" s="43" t="s">
        <v>670</v>
      </c>
      <c r="K400" s="43" t="s">
        <v>671</v>
      </c>
      <c r="L400" s="47">
        <v>13</v>
      </c>
      <c r="M400" s="43" t="s">
        <v>1232</v>
      </c>
      <c r="N400" s="43" t="str">
        <f t="shared" si="13"/>
        <v>Rua A · Prat 13 · C-90</v>
      </c>
      <c r="P400">
        <f>IF(A400="","",IF(AND(K400&lt;&gt;"",L400&lt;&gt;""),IF(COUNTIFS($K$6:K400,K400,$L$6:L400,L400)=1,1,0),0))</f>
        <v>0</v>
      </c>
      <c r="Q400">
        <f>IF(A400="","",IF(AND(K400&lt;&gt;"",M400&lt;&gt;""),IF(COUNTIFS($K$6:K400,K400,$M$6:M400,M400)=1,1,0),0))</f>
        <v>0</v>
      </c>
      <c r="R400">
        <f>IF(A400="","",IF(M400&lt;&gt;"",IF(COUNTIF($M$6:M400,M400)=1,1,0),0))</f>
        <v>0</v>
      </c>
      <c r="T400" t="str">
        <f>IF(AND($M400&lt;&gt;"",$M400='Mapa do Galpão'!$C$20),COUNTIF($M$6:$M400,'Mapa do Galpão'!$C$20),"")</f>
        <v/>
      </c>
    </row>
    <row r="401" spans="1:20" ht="14.25" hidden="1" customHeight="1" x14ac:dyDescent="0.3">
      <c r="A401" s="43" t="s">
        <v>1237</v>
      </c>
      <c r="B401" s="44" t="s">
        <v>665</v>
      </c>
      <c r="C401" s="165" t="s">
        <v>382</v>
      </c>
      <c r="D401" s="45" t="str">
        <f t="shared" si="12"/>
        <v>Feminino</v>
      </c>
      <c r="E401" s="43" t="s">
        <v>684</v>
      </c>
      <c r="F401" s="43" t="s">
        <v>1238</v>
      </c>
      <c r="G401" s="43" t="s">
        <v>798</v>
      </c>
      <c r="H401" s="43" t="s">
        <v>680</v>
      </c>
      <c r="I401" s="46">
        <f>SUMIFS(Movimentações!$F$6:$F$4998,Movimentações!$C$6:$C$4998,A401,Movimentações!$M$6:$M$4998,M401)</f>
        <v>0</v>
      </c>
      <c r="J401" s="43" t="s">
        <v>670</v>
      </c>
      <c r="K401" s="43" t="s">
        <v>671</v>
      </c>
      <c r="L401" s="47" t="s">
        <v>1115</v>
      </c>
      <c r="M401" s="43" t="s">
        <v>1239</v>
      </c>
      <c r="N401" s="43" t="str">
        <f t="shared" si="13"/>
        <v>Rua A · Prat 7 · C-101</v>
      </c>
      <c r="P401">
        <f>IF(A401="","",IF(AND(K401&lt;&gt;"",L401&lt;&gt;""),IF(COUNTIFS($K$6:K401,K401,$L$6:L401,L401)=1,1,0),0))</f>
        <v>0</v>
      </c>
      <c r="Q401">
        <f>IF(A401="","",IF(AND(K401&lt;&gt;"",M401&lt;&gt;""),IF(COUNTIFS($K$6:K401,K401,$M$6:M401,M401)=1,1,0),0))</f>
        <v>1</v>
      </c>
      <c r="R401">
        <f>IF(A401="","",IF(M401&lt;&gt;"",IF(COUNTIF($M$6:M401,M401)=1,1,0),0))</f>
        <v>1</v>
      </c>
      <c r="T401" t="str">
        <f>IF(AND($M401&lt;&gt;"",$M401='Mapa do Galpão'!$C$20),COUNTIF($M$6:$M401,'Mapa do Galpão'!$C$20),"")</f>
        <v/>
      </c>
    </row>
    <row r="402" spans="1:20" ht="14.25" hidden="1" customHeight="1" x14ac:dyDescent="0.3">
      <c r="A402" s="43" t="s">
        <v>1240</v>
      </c>
      <c r="B402" s="44" t="s">
        <v>665</v>
      </c>
      <c r="C402" s="165" t="s">
        <v>383</v>
      </c>
      <c r="D402" s="45" t="str">
        <f t="shared" si="12"/>
        <v>Feminino</v>
      </c>
      <c r="E402" s="43" t="s">
        <v>684</v>
      </c>
      <c r="F402" s="43" t="s">
        <v>1238</v>
      </c>
      <c r="G402" s="43" t="s">
        <v>798</v>
      </c>
      <c r="H402" s="43" t="s">
        <v>675</v>
      </c>
      <c r="I402" s="46">
        <f>SUMIFS(Movimentações!$F$6:$F$4998,Movimentações!$C$6:$C$4998,A402,Movimentações!$M$6:$M$4998,M402)</f>
        <v>0</v>
      </c>
      <c r="J402" s="43" t="s">
        <v>670</v>
      </c>
      <c r="K402" s="43" t="s">
        <v>671</v>
      </c>
      <c r="L402" s="47">
        <v>13</v>
      </c>
      <c r="M402" s="43" t="s">
        <v>1232</v>
      </c>
      <c r="N402" s="43" t="str">
        <f t="shared" si="13"/>
        <v>Rua A · Prat 13 · C-90</v>
      </c>
      <c r="P402">
        <f>IF(A402="","",IF(AND(K402&lt;&gt;"",L402&lt;&gt;""),IF(COUNTIFS($K$6:K402,K402,$L$6:L402,L402)=1,1,0),0))</f>
        <v>0</v>
      </c>
      <c r="Q402">
        <f>IF(A402="","",IF(AND(K402&lt;&gt;"",M402&lt;&gt;""),IF(COUNTIFS($K$6:K402,K402,$M$6:M402,M402)=1,1,0),0))</f>
        <v>0</v>
      </c>
      <c r="R402">
        <f>IF(A402="","",IF(M402&lt;&gt;"",IF(COUNTIF($M$6:M402,M402)=1,1,0),0))</f>
        <v>0</v>
      </c>
      <c r="T402" t="str">
        <f>IF(AND($M402&lt;&gt;"",$M402='Mapa do Galpão'!$C$20),COUNTIF($M$6:$M402,'Mapa do Galpão'!$C$20),"")</f>
        <v/>
      </c>
    </row>
    <row r="403" spans="1:20" ht="14.25" hidden="1" customHeight="1" x14ac:dyDescent="0.3">
      <c r="A403" s="43" t="s">
        <v>1240</v>
      </c>
      <c r="B403" s="44" t="s">
        <v>665</v>
      </c>
      <c r="C403" s="165" t="s">
        <v>383</v>
      </c>
      <c r="D403" s="45" t="str">
        <f t="shared" si="12"/>
        <v>Feminino</v>
      </c>
      <c r="E403" s="43" t="s">
        <v>684</v>
      </c>
      <c r="F403" s="43" t="s">
        <v>1238</v>
      </c>
      <c r="G403" s="43" t="s">
        <v>798</v>
      </c>
      <c r="H403" s="43" t="s">
        <v>675</v>
      </c>
      <c r="I403" s="46">
        <f>SUMIFS(Movimentações!$F$6:$F$4998,Movimentações!$C$6:$C$4998,A403,Movimentações!$M$6:$M$4998,M403)</f>
        <v>0</v>
      </c>
      <c r="J403" s="43" t="s">
        <v>670</v>
      </c>
      <c r="K403" s="43" t="s">
        <v>671</v>
      </c>
      <c r="L403" s="47" t="s">
        <v>1115</v>
      </c>
      <c r="M403" s="43" t="s">
        <v>1239</v>
      </c>
      <c r="N403" s="43" t="str">
        <f t="shared" si="13"/>
        <v>Rua A · Prat 7 · C-101</v>
      </c>
      <c r="P403">
        <f>IF(A403="","",IF(AND(K403&lt;&gt;"",L403&lt;&gt;""),IF(COUNTIFS($K$6:K403,K403,$L$6:L403,L403)=1,1,0),0))</f>
        <v>0</v>
      </c>
      <c r="Q403">
        <f>IF(A403="","",IF(AND(K403&lt;&gt;"",M403&lt;&gt;""),IF(COUNTIFS($K$6:K403,K403,$M$6:M403,M403)=1,1,0),0))</f>
        <v>0</v>
      </c>
      <c r="R403">
        <f>IF(A403="","",IF(M403&lt;&gt;"",IF(COUNTIF($M$6:M403,M403)=1,1,0),0))</f>
        <v>0</v>
      </c>
      <c r="T403" t="str">
        <f>IF(AND($M403&lt;&gt;"",$M403='Mapa do Galpão'!$C$20),COUNTIF($M$6:$M403,'Mapa do Galpão'!$C$20),"")</f>
        <v/>
      </c>
    </row>
    <row r="404" spans="1:20" ht="14.25" hidden="1" customHeight="1" x14ac:dyDescent="0.3">
      <c r="A404" s="43" t="s">
        <v>1241</v>
      </c>
      <c r="B404" s="44" t="s">
        <v>665</v>
      </c>
      <c r="C404" s="165" t="s">
        <v>384</v>
      </c>
      <c r="D404" s="45" t="str">
        <f t="shared" si="12"/>
        <v>Feminino</v>
      </c>
      <c r="E404" s="43" t="s">
        <v>684</v>
      </c>
      <c r="F404" s="43" t="s">
        <v>1238</v>
      </c>
      <c r="G404" s="43" t="s">
        <v>798</v>
      </c>
      <c r="H404" s="43" t="s">
        <v>682</v>
      </c>
      <c r="I404" s="46">
        <f>SUMIFS(Movimentações!$F$6:$F$4998,Movimentações!$C$6:$C$4998,A404,Movimentações!$M$6:$M$4998,M404)</f>
        <v>0</v>
      </c>
      <c r="J404" s="43" t="s">
        <v>670</v>
      </c>
      <c r="K404" s="43" t="s">
        <v>671</v>
      </c>
      <c r="L404" s="47">
        <v>13</v>
      </c>
      <c r="M404" s="43" t="s">
        <v>1232</v>
      </c>
      <c r="N404" s="43" t="str">
        <f t="shared" si="13"/>
        <v>Rua A · Prat 13 · C-90</v>
      </c>
      <c r="P404">
        <f>IF(A404="","",IF(AND(K404&lt;&gt;"",L404&lt;&gt;""),IF(COUNTIFS($K$6:K404,K404,$L$6:L404,L404)=1,1,0),0))</f>
        <v>0</v>
      </c>
      <c r="Q404">
        <f>IF(A404="","",IF(AND(K404&lt;&gt;"",M404&lt;&gt;""),IF(COUNTIFS($K$6:K404,K404,$M$6:M404,M404)=1,1,0),0))</f>
        <v>0</v>
      </c>
      <c r="R404">
        <f>IF(A404="","",IF(M404&lt;&gt;"",IF(COUNTIF($M$6:M404,M404)=1,1,0),0))</f>
        <v>0</v>
      </c>
      <c r="T404" t="str">
        <f>IF(AND($M404&lt;&gt;"",$M404='Mapa do Galpão'!$C$20),COUNTIF($M$6:$M404,'Mapa do Galpão'!$C$20),"")</f>
        <v/>
      </c>
    </row>
    <row r="405" spans="1:20" ht="14.25" hidden="1" customHeight="1" x14ac:dyDescent="0.3">
      <c r="A405" s="43" t="s">
        <v>1241</v>
      </c>
      <c r="B405" s="44" t="s">
        <v>665</v>
      </c>
      <c r="C405" s="165" t="s">
        <v>384</v>
      </c>
      <c r="D405" s="45" t="str">
        <f t="shared" si="12"/>
        <v>Feminino</v>
      </c>
      <c r="E405" s="43" t="s">
        <v>684</v>
      </c>
      <c r="F405" s="43" t="s">
        <v>1238</v>
      </c>
      <c r="G405" s="43" t="s">
        <v>798</v>
      </c>
      <c r="H405" s="43" t="s">
        <v>682</v>
      </c>
      <c r="I405" s="46">
        <f>SUMIFS(Movimentações!$F$6:$F$4998,Movimentações!$C$6:$C$4998,A405,Movimentações!$M$6:$M$4998,M405)</f>
        <v>0</v>
      </c>
      <c r="J405" s="43" t="s">
        <v>670</v>
      </c>
      <c r="K405" s="43" t="s">
        <v>671</v>
      </c>
      <c r="L405" s="47" t="s">
        <v>1115</v>
      </c>
      <c r="M405" s="43" t="s">
        <v>1239</v>
      </c>
      <c r="N405" s="43" t="str">
        <f t="shared" si="13"/>
        <v>Rua A · Prat 7 · C-101</v>
      </c>
      <c r="P405">
        <f>IF(A405="","",IF(AND(K405&lt;&gt;"",L405&lt;&gt;""),IF(COUNTIFS($K$6:K405,K405,$L$6:L405,L405)=1,1,0),0))</f>
        <v>0</v>
      </c>
      <c r="Q405">
        <f>IF(A405="","",IF(AND(K405&lt;&gt;"",M405&lt;&gt;""),IF(COUNTIFS($K$6:K405,K405,$M$6:M405,M405)=1,1,0),0))</f>
        <v>0</v>
      </c>
      <c r="R405">
        <f>IF(A405="","",IF(M405&lt;&gt;"",IF(COUNTIF($M$6:M405,M405)=1,1,0),0))</f>
        <v>0</v>
      </c>
      <c r="T405" t="str">
        <f>IF(AND($M405&lt;&gt;"",$M405='Mapa do Galpão'!$C$20),COUNTIF($M$6:$M405,'Mapa do Galpão'!$C$20),"")</f>
        <v/>
      </c>
    </row>
    <row r="406" spans="1:20" ht="14.25" hidden="1" customHeight="1" x14ac:dyDescent="0.3">
      <c r="A406" s="43" t="s">
        <v>1242</v>
      </c>
      <c r="B406" s="44" t="s">
        <v>665</v>
      </c>
      <c r="C406" s="165" t="s">
        <v>385</v>
      </c>
      <c r="D406" s="45" t="str">
        <f t="shared" si="12"/>
        <v>Masculino</v>
      </c>
      <c r="E406" s="43" t="s">
        <v>684</v>
      </c>
      <c r="F406" s="43" t="s">
        <v>1243</v>
      </c>
      <c r="G406" s="43" t="s">
        <v>950</v>
      </c>
      <c r="H406" s="43" t="s">
        <v>680</v>
      </c>
      <c r="I406" s="46">
        <f>SUMIFS(Movimentações!$F$6:$F$4998,Movimentações!$C$6:$C$4998,A406,Movimentações!$M$6:$M$4998,M406)</f>
        <v>0</v>
      </c>
      <c r="J406" s="43" t="s">
        <v>670</v>
      </c>
      <c r="K406" s="43" t="s">
        <v>671</v>
      </c>
      <c r="L406" s="47">
        <v>13</v>
      </c>
      <c r="M406" s="43" t="s">
        <v>1232</v>
      </c>
      <c r="N406" s="43" t="str">
        <f t="shared" si="13"/>
        <v>Rua A · Prat 13 · C-90</v>
      </c>
      <c r="P406">
        <f>IF(A406="","",IF(AND(K406&lt;&gt;"",L406&lt;&gt;""),IF(COUNTIFS($K$6:K406,K406,$L$6:L406,L406)=1,1,0),0))</f>
        <v>0</v>
      </c>
      <c r="Q406">
        <f>IF(A406="","",IF(AND(K406&lt;&gt;"",M406&lt;&gt;""),IF(COUNTIFS($K$6:K406,K406,$M$6:M406,M406)=1,1,0),0))</f>
        <v>0</v>
      </c>
      <c r="R406">
        <f>IF(A406="","",IF(M406&lt;&gt;"",IF(COUNTIF($M$6:M406,M406)=1,1,0),0))</f>
        <v>0</v>
      </c>
      <c r="T406" t="str">
        <f>IF(AND($M406&lt;&gt;"",$M406='Mapa do Galpão'!$C$20),COUNTIF($M$6:$M406,'Mapa do Galpão'!$C$20),"")</f>
        <v/>
      </c>
    </row>
    <row r="407" spans="1:20" ht="14.25" hidden="1" customHeight="1" x14ac:dyDescent="0.3">
      <c r="A407" s="43" t="s">
        <v>1244</v>
      </c>
      <c r="B407" s="44" t="s">
        <v>665</v>
      </c>
      <c r="C407" s="165" t="s">
        <v>386</v>
      </c>
      <c r="D407" s="45" t="str">
        <f t="shared" si="12"/>
        <v>Masculino</v>
      </c>
      <c r="E407" s="43" t="s">
        <v>684</v>
      </c>
      <c r="F407" s="43" t="s">
        <v>1243</v>
      </c>
      <c r="G407" s="43" t="s">
        <v>950</v>
      </c>
      <c r="H407" s="43" t="s">
        <v>675</v>
      </c>
      <c r="I407" s="46">
        <f>SUMIFS(Movimentações!$F$6:$F$4998,Movimentações!$C$6:$C$4998,A407,Movimentações!$M$6:$M$4998,M407)</f>
        <v>0</v>
      </c>
      <c r="J407" s="43" t="s">
        <v>670</v>
      </c>
      <c r="K407" s="43" t="s">
        <v>671</v>
      </c>
      <c r="L407" s="47">
        <v>13</v>
      </c>
      <c r="M407" s="43" t="s">
        <v>1232</v>
      </c>
      <c r="N407" s="43" t="str">
        <f t="shared" si="13"/>
        <v>Rua A · Prat 13 · C-90</v>
      </c>
      <c r="P407">
        <f>IF(A407="","",IF(AND(K407&lt;&gt;"",L407&lt;&gt;""),IF(COUNTIFS($K$6:K407,K407,$L$6:L407,L407)=1,1,0),0))</f>
        <v>0</v>
      </c>
      <c r="Q407">
        <f>IF(A407="","",IF(AND(K407&lt;&gt;"",M407&lt;&gt;""),IF(COUNTIFS($K$6:K407,K407,$M$6:M407,M407)=1,1,0),0))</f>
        <v>0</v>
      </c>
      <c r="R407">
        <f>IF(A407="","",IF(M407&lt;&gt;"",IF(COUNTIF($M$6:M407,M407)=1,1,0),0))</f>
        <v>0</v>
      </c>
      <c r="T407" t="str">
        <f>IF(AND($M407&lt;&gt;"",$M407='Mapa do Galpão'!$C$20),COUNTIF($M$6:$M407,'Mapa do Galpão'!$C$20),"")</f>
        <v/>
      </c>
    </row>
    <row r="408" spans="1:20" ht="14.25" hidden="1" customHeight="1" x14ac:dyDescent="0.3">
      <c r="A408" s="43" t="s">
        <v>1245</v>
      </c>
      <c r="B408" s="44" t="s">
        <v>665</v>
      </c>
      <c r="C408" s="165" t="s">
        <v>387</v>
      </c>
      <c r="D408" s="45" t="str">
        <f t="shared" si="12"/>
        <v>Masculino</v>
      </c>
      <c r="E408" s="43" t="s">
        <v>684</v>
      </c>
      <c r="F408" s="43" t="s">
        <v>1243</v>
      </c>
      <c r="G408" s="43" t="s">
        <v>950</v>
      </c>
      <c r="H408" s="43" t="s">
        <v>682</v>
      </c>
      <c r="I408" s="46">
        <f>SUMIFS(Movimentações!$F$6:$F$4998,Movimentações!$C$6:$C$4998,A408,Movimentações!$M$6:$M$4998,M408)</f>
        <v>0</v>
      </c>
      <c r="J408" s="43" t="s">
        <v>670</v>
      </c>
      <c r="K408" s="43" t="s">
        <v>671</v>
      </c>
      <c r="L408" s="47">
        <v>13</v>
      </c>
      <c r="M408" s="43" t="s">
        <v>1232</v>
      </c>
      <c r="N408" s="43" t="str">
        <f t="shared" si="13"/>
        <v>Rua A · Prat 13 · C-90</v>
      </c>
      <c r="P408">
        <f>IF(A408="","",IF(AND(K408&lt;&gt;"",L408&lt;&gt;""),IF(COUNTIFS($K$6:K408,K408,$L$6:L408,L408)=1,1,0),0))</f>
        <v>0</v>
      </c>
      <c r="Q408">
        <f>IF(A408="","",IF(AND(K408&lt;&gt;"",M408&lt;&gt;""),IF(COUNTIFS($K$6:K408,K408,$M$6:M408,M408)=1,1,0),0))</f>
        <v>0</v>
      </c>
      <c r="R408">
        <f>IF(A408="","",IF(M408&lt;&gt;"",IF(COUNTIF($M$6:M408,M408)=1,1,0),0))</f>
        <v>0</v>
      </c>
      <c r="T408" t="str">
        <f>IF(AND($M408&lt;&gt;"",$M408='Mapa do Galpão'!$C$20),COUNTIF($M$6:$M408,'Mapa do Galpão'!$C$20),"")</f>
        <v/>
      </c>
    </row>
    <row r="409" spans="1:20" ht="14.25" hidden="1" customHeight="1" x14ac:dyDescent="0.3">
      <c r="A409" s="43" t="s">
        <v>1246</v>
      </c>
      <c r="B409" s="44" t="s">
        <v>665</v>
      </c>
      <c r="C409" s="165" t="s">
        <v>388</v>
      </c>
      <c r="D409" s="45" t="str">
        <f t="shared" si="12"/>
        <v>—</v>
      </c>
      <c r="E409" s="43" t="s">
        <v>1247</v>
      </c>
      <c r="F409" s="43" t="s">
        <v>1248</v>
      </c>
      <c r="G409" s="43" t="s">
        <v>755</v>
      </c>
      <c r="H409" s="43" t="s">
        <v>1087</v>
      </c>
      <c r="I409" s="46">
        <f>SUMIFS(Movimentações!$F$6:$F$4998,Movimentações!$C$6:$C$4998,A409,Movimentações!$M$6:$M$4998,M409)</f>
        <v>0</v>
      </c>
      <c r="J409" s="43" t="s">
        <v>670</v>
      </c>
      <c r="K409" s="43" t="s">
        <v>671</v>
      </c>
      <c r="L409" s="47">
        <v>14</v>
      </c>
      <c r="M409" s="43" t="s">
        <v>1249</v>
      </c>
      <c r="N409" s="43" t="str">
        <f t="shared" si="13"/>
        <v>Rua A · Prat 14 · C-91</v>
      </c>
      <c r="P409">
        <f>IF(A409="","",IF(AND(K409&lt;&gt;"",L409&lt;&gt;""),IF(COUNTIFS($K$6:K409,K409,$L$6:L409,L409)=1,1,0),0))</f>
        <v>0</v>
      </c>
      <c r="Q409">
        <f>IF(A409="","",IF(AND(K409&lt;&gt;"",M409&lt;&gt;""),IF(COUNTIFS($K$6:K409,K409,$M$6:M409,M409)=1,1,0),0))</f>
        <v>1</v>
      </c>
      <c r="R409">
        <f>IF(A409="","",IF(M409&lt;&gt;"",IF(COUNTIF($M$6:M409,M409)=1,1,0),0))</f>
        <v>1</v>
      </c>
      <c r="T409" t="str">
        <f>IF(AND($M409&lt;&gt;"",$M409='Mapa do Galpão'!$C$20),COUNTIF($M$6:$M409,'Mapa do Galpão'!$C$20),"")</f>
        <v/>
      </c>
    </row>
    <row r="410" spans="1:20" ht="14.25" hidden="1" customHeight="1" x14ac:dyDescent="0.3">
      <c r="A410" s="43" t="s">
        <v>1250</v>
      </c>
      <c r="B410" s="44" t="s">
        <v>665</v>
      </c>
      <c r="C410" s="165" t="s">
        <v>389</v>
      </c>
      <c r="D410" s="45" t="str">
        <f t="shared" si="12"/>
        <v>—</v>
      </c>
      <c r="E410" s="43" t="s">
        <v>1247</v>
      </c>
      <c r="F410" s="43" t="s">
        <v>1248</v>
      </c>
      <c r="G410" s="43" t="s">
        <v>1251</v>
      </c>
      <c r="H410" s="43" t="s">
        <v>1087</v>
      </c>
      <c r="I410" s="46">
        <f>SUMIFS(Movimentações!$F$6:$F$4998,Movimentações!$C$6:$C$4998,A410,Movimentações!$M$6:$M$4998,M410)</f>
        <v>0</v>
      </c>
      <c r="J410" s="43" t="s">
        <v>670</v>
      </c>
      <c r="K410" s="43" t="s">
        <v>671</v>
      </c>
      <c r="L410" s="47">
        <v>14</v>
      </c>
      <c r="M410" s="43" t="s">
        <v>1249</v>
      </c>
      <c r="N410" s="43" t="str">
        <f t="shared" si="13"/>
        <v>Rua A · Prat 14 · C-91</v>
      </c>
      <c r="P410">
        <f>IF(A410="","",IF(AND(K410&lt;&gt;"",L410&lt;&gt;""),IF(COUNTIFS($K$6:K410,K410,$L$6:L410,L410)=1,1,0),0))</f>
        <v>0</v>
      </c>
      <c r="Q410">
        <f>IF(A410="","",IF(AND(K410&lt;&gt;"",M410&lt;&gt;""),IF(COUNTIFS($K$6:K410,K410,$M$6:M410,M410)=1,1,0),0))</f>
        <v>0</v>
      </c>
      <c r="R410">
        <f>IF(A410="","",IF(M410&lt;&gt;"",IF(COUNTIF($M$6:M410,M410)=1,1,0),0))</f>
        <v>0</v>
      </c>
      <c r="T410" t="str">
        <f>IF(AND($M410&lt;&gt;"",$M410='Mapa do Galpão'!$C$20),COUNTIF($M$6:$M410,'Mapa do Galpão'!$C$20),"")</f>
        <v/>
      </c>
    </row>
    <row r="411" spans="1:20" ht="14.25" hidden="1" customHeight="1" x14ac:dyDescent="0.3">
      <c r="A411" s="43" t="s">
        <v>1252</v>
      </c>
      <c r="B411" s="44" t="s">
        <v>665</v>
      </c>
      <c r="C411" s="165" t="s">
        <v>390</v>
      </c>
      <c r="D411" s="45" t="str">
        <f t="shared" si="12"/>
        <v>—</v>
      </c>
      <c r="E411" s="43" t="s">
        <v>1247</v>
      </c>
      <c r="F411" s="43" t="s">
        <v>1248</v>
      </c>
      <c r="G411" s="43" t="s">
        <v>1075</v>
      </c>
      <c r="H411" s="43" t="s">
        <v>1087</v>
      </c>
      <c r="I411" s="46">
        <f>SUMIFS(Movimentações!$F$6:$F$4998,Movimentações!$C$6:$C$4998,A411,Movimentações!$M$6:$M$4998,M411)</f>
        <v>0</v>
      </c>
      <c r="J411" s="43" t="s">
        <v>670</v>
      </c>
      <c r="K411" s="43" t="s">
        <v>671</v>
      </c>
      <c r="L411" s="47">
        <v>14</v>
      </c>
      <c r="M411" s="43" t="s">
        <v>1249</v>
      </c>
      <c r="N411" s="43" t="str">
        <f t="shared" si="13"/>
        <v>Rua A · Prat 14 · C-91</v>
      </c>
      <c r="P411">
        <f>IF(A411="","",IF(AND(K411&lt;&gt;"",L411&lt;&gt;""),IF(COUNTIFS($K$6:K411,K411,$L$6:L411,L411)=1,1,0),0))</f>
        <v>0</v>
      </c>
      <c r="Q411">
        <f>IF(A411="","",IF(AND(K411&lt;&gt;"",M411&lt;&gt;""),IF(COUNTIFS($K$6:K411,K411,$M$6:M411,M411)=1,1,0),0))</f>
        <v>0</v>
      </c>
      <c r="R411">
        <f>IF(A411="","",IF(M411&lt;&gt;"",IF(COUNTIF($M$6:M411,M411)=1,1,0),0))</f>
        <v>0</v>
      </c>
      <c r="T411" t="str">
        <f>IF(AND($M411&lt;&gt;"",$M411='Mapa do Galpão'!$C$20),COUNTIF($M$6:$M411,'Mapa do Galpão'!$C$20),"")</f>
        <v/>
      </c>
    </row>
    <row r="412" spans="1:20" ht="14.25" hidden="1" customHeight="1" x14ac:dyDescent="0.3">
      <c r="A412" s="43" t="s">
        <v>1253</v>
      </c>
      <c r="B412" s="44" t="s">
        <v>665</v>
      </c>
      <c r="C412" s="165" t="s">
        <v>391</v>
      </c>
      <c r="D412" s="45" t="str">
        <f t="shared" si="12"/>
        <v>—</v>
      </c>
      <c r="E412" s="43" t="s">
        <v>1247</v>
      </c>
      <c r="F412" s="43" t="s">
        <v>1248</v>
      </c>
      <c r="G412" s="43" t="s">
        <v>1131</v>
      </c>
      <c r="H412" s="43" t="s">
        <v>1087</v>
      </c>
      <c r="I412" s="46">
        <f>SUMIFS(Movimentações!$F$6:$F$4998,Movimentações!$C$6:$C$4998,A412,Movimentações!$M$6:$M$4998,M412)</f>
        <v>0</v>
      </c>
      <c r="J412" s="43" t="s">
        <v>670</v>
      </c>
      <c r="K412" s="43" t="s">
        <v>671</v>
      </c>
      <c r="L412" s="47">
        <v>14</v>
      </c>
      <c r="M412" s="43" t="s">
        <v>1249</v>
      </c>
      <c r="N412" s="43" t="str">
        <f t="shared" si="13"/>
        <v>Rua A · Prat 14 · C-91</v>
      </c>
      <c r="P412">
        <f>IF(A412="","",IF(AND(K412&lt;&gt;"",L412&lt;&gt;""),IF(COUNTIFS($K$6:K412,K412,$L$6:L412,L412)=1,1,0),0))</f>
        <v>0</v>
      </c>
      <c r="Q412">
        <f>IF(A412="","",IF(AND(K412&lt;&gt;"",M412&lt;&gt;""),IF(COUNTIFS($K$6:K412,K412,$M$6:M412,M412)=1,1,0),0))</f>
        <v>0</v>
      </c>
      <c r="R412">
        <f>IF(A412="","",IF(M412&lt;&gt;"",IF(COUNTIF($M$6:M412,M412)=1,1,0),0))</f>
        <v>0</v>
      </c>
      <c r="T412" t="str">
        <f>IF(AND($M412&lt;&gt;"",$M412='Mapa do Galpão'!$C$20),COUNTIF($M$6:$M412,'Mapa do Galpão'!$C$20),"")</f>
        <v/>
      </c>
    </row>
    <row r="413" spans="1:20" ht="14.25" hidden="1" customHeight="1" x14ac:dyDescent="0.3">
      <c r="A413" s="43" t="s">
        <v>1254</v>
      </c>
      <c r="B413" s="44" t="s">
        <v>665</v>
      </c>
      <c r="C413" s="165" t="s">
        <v>392</v>
      </c>
      <c r="D413" s="45" t="str">
        <f t="shared" si="12"/>
        <v>—</v>
      </c>
      <c r="E413" s="43" t="s">
        <v>1255</v>
      </c>
      <c r="F413" s="43" t="s">
        <v>1256</v>
      </c>
      <c r="G413" s="43" t="s">
        <v>668</v>
      </c>
      <c r="H413" s="43" t="s">
        <v>1257</v>
      </c>
      <c r="I413" s="46">
        <f>SUMIFS(Movimentações!$F$6:$F$4998,Movimentações!$C$6:$C$4998,A413,Movimentações!$M$6:$M$4998,M413)</f>
        <v>15</v>
      </c>
      <c r="J413" s="43" t="s">
        <v>670</v>
      </c>
      <c r="K413" s="43" t="s">
        <v>671</v>
      </c>
      <c r="L413" s="47">
        <v>14</v>
      </c>
      <c r="M413" s="43" t="s">
        <v>1249</v>
      </c>
      <c r="N413" s="43" t="str">
        <f t="shared" si="13"/>
        <v>Rua A · Prat 14 · C-91</v>
      </c>
      <c r="P413">
        <f>IF(A413="","",IF(AND(K413&lt;&gt;"",L413&lt;&gt;""),IF(COUNTIFS($K$6:K413,K413,$L$6:L413,L413)=1,1,0),0))</f>
        <v>0</v>
      </c>
      <c r="Q413">
        <f>IF(A413="","",IF(AND(K413&lt;&gt;"",M413&lt;&gt;""),IF(COUNTIFS($K$6:K413,K413,$M$6:M413,M413)=1,1,0),0))</f>
        <v>0</v>
      </c>
      <c r="R413">
        <f>IF(A413="","",IF(M413&lt;&gt;"",IF(COUNTIF($M$6:M413,M413)=1,1,0),0))</f>
        <v>0</v>
      </c>
      <c r="T413" t="str">
        <f>IF(AND($M413&lt;&gt;"",$M413='Mapa do Galpão'!$C$20),COUNTIF($M$6:$M413,'Mapa do Galpão'!$C$20),"")</f>
        <v/>
      </c>
    </row>
    <row r="414" spans="1:20" ht="14.25" hidden="1" customHeight="1" x14ac:dyDescent="0.3">
      <c r="A414" s="43" t="s">
        <v>1258</v>
      </c>
      <c r="B414" s="44" t="s">
        <v>665</v>
      </c>
      <c r="C414" s="165" t="s">
        <v>393</v>
      </c>
      <c r="D414" s="45" t="str">
        <f t="shared" si="12"/>
        <v>—</v>
      </c>
      <c r="E414" s="43" t="s">
        <v>1255</v>
      </c>
      <c r="F414" s="43" t="s">
        <v>1259</v>
      </c>
      <c r="G414" s="43" t="s">
        <v>1075</v>
      </c>
      <c r="H414" s="43" t="s">
        <v>1260</v>
      </c>
      <c r="I414" s="46">
        <f>SUMIFS(Movimentações!$F$6:$F$4998,Movimentações!$C$6:$C$4998,A414,Movimentações!$M$6:$M$4998,M414)</f>
        <v>16</v>
      </c>
      <c r="J414" s="43" t="s">
        <v>670</v>
      </c>
      <c r="K414" s="43" t="s">
        <v>671</v>
      </c>
      <c r="L414" s="47">
        <v>14</v>
      </c>
      <c r="M414" s="43" t="s">
        <v>1249</v>
      </c>
      <c r="N414" s="43" t="str">
        <f t="shared" si="13"/>
        <v>Rua A · Prat 14 · C-91</v>
      </c>
      <c r="P414">
        <f>IF(A414="","",IF(AND(K414&lt;&gt;"",L414&lt;&gt;""),IF(COUNTIFS($K$6:K414,K414,$L$6:L414,L414)=1,1,0),0))</f>
        <v>0</v>
      </c>
      <c r="Q414">
        <f>IF(A414="","",IF(AND(K414&lt;&gt;"",M414&lt;&gt;""),IF(COUNTIFS($K$6:K414,K414,$M$6:M414,M414)=1,1,0),0))</f>
        <v>0</v>
      </c>
      <c r="R414">
        <f>IF(A414="","",IF(M414&lt;&gt;"",IF(COUNTIF($M$6:M414,M414)=1,1,0),0))</f>
        <v>0</v>
      </c>
      <c r="T414" t="str">
        <f>IF(AND($M414&lt;&gt;"",$M414='Mapa do Galpão'!$C$20),COUNTIF($M$6:$M414,'Mapa do Galpão'!$C$20),"")</f>
        <v/>
      </c>
    </row>
    <row r="415" spans="1:20" ht="14.25" hidden="1" customHeight="1" x14ac:dyDescent="0.3">
      <c r="A415" s="43" t="s">
        <v>1261</v>
      </c>
      <c r="B415" s="44" t="s">
        <v>665</v>
      </c>
      <c r="C415" s="165" t="s">
        <v>394</v>
      </c>
      <c r="D415" s="45" t="str">
        <f t="shared" si="12"/>
        <v>—</v>
      </c>
      <c r="E415" s="43" t="s">
        <v>1262</v>
      </c>
      <c r="F415" s="43" t="s">
        <v>1263</v>
      </c>
      <c r="G415" s="43" t="s">
        <v>1264</v>
      </c>
      <c r="H415" s="43" t="s">
        <v>1087</v>
      </c>
      <c r="I415" s="46">
        <f>SUMIFS(Movimentações!$F$6:$F$4998,Movimentações!$C$6:$C$4998,A415,Movimentações!$M$6:$M$4998,M415)</f>
        <v>63</v>
      </c>
      <c r="J415" s="43" t="s">
        <v>670</v>
      </c>
      <c r="K415" s="43" t="s">
        <v>671</v>
      </c>
      <c r="L415" s="47">
        <v>14</v>
      </c>
      <c r="M415" s="43" t="s">
        <v>1249</v>
      </c>
      <c r="N415" s="43" t="str">
        <f t="shared" si="13"/>
        <v>Rua A · Prat 14 · C-91</v>
      </c>
      <c r="P415">
        <f>IF(A415="","",IF(AND(K415&lt;&gt;"",L415&lt;&gt;""),IF(COUNTIFS($K$6:K415,K415,$L$6:L415,L415)=1,1,0),0))</f>
        <v>0</v>
      </c>
      <c r="Q415">
        <f>IF(A415="","",IF(AND(K415&lt;&gt;"",M415&lt;&gt;""),IF(COUNTIFS($K$6:K415,K415,$M$6:M415,M415)=1,1,0),0))</f>
        <v>0</v>
      </c>
      <c r="R415">
        <f>IF(A415="","",IF(M415&lt;&gt;"",IF(COUNTIF($M$6:M415,M415)=1,1,0),0))</f>
        <v>0</v>
      </c>
      <c r="T415" t="str">
        <f>IF(AND($M415&lt;&gt;"",$M415='Mapa do Galpão'!$C$20),COUNTIF($M$6:$M415,'Mapa do Galpão'!$C$20),"")</f>
        <v/>
      </c>
    </row>
    <row r="416" spans="1:20" ht="14.25" hidden="1" customHeight="1" x14ac:dyDescent="0.3">
      <c r="A416" s="43" t="s">
        <v>1265</v>
      </c>
      <c r="B416" s="44" t="s">
        <v>665</v>
      </c>
      <c r="C416" s="165" t="s">
        <v>395</v>
      </c>
      <c r="D416" s="45" t="str">
        <f t="shared" si="12"/>
        <v>Feminino</v>
      </c>
      <c r="E416" s="43" t="s">
        <v>1266</v>
      </c>
      <c r="F416" s="43" t="s">
        <v>1267</v>
      </c>
      <c r="G416" s="43" t="s">
        <v>798</v>
      </c>
      <c r="H416" s="43" t="s">
        <v>756</v>
      </c>
      <c r="I416" s="46">
        <f>SUMIFS(Movimentações!$F$6:$F$4998,Movimentações!$C$6:$C$4998,A416,Movimentações!$M$6:$M$4998,M416)</f>
        <v>0</v>
      </c>
      <c r="J416" s="43" t="s">
        <v>670</v>
      </c>
      <c r="K416" s="43" t="s">
        <v>671</v>
      </c>
      <c r="L416" s="47" t="s">
        <v>1115</v>
      </c>
      <c r="M416" s="43" t="s">
        <v>1268</v>
      </c>
      <c r="N416" s="43" t="str">
        <f t="shared" si="13"/>
        <v>Rua A · Prat 7 · C-92</v>
      </c>
      <c r="P416">
        <f>IF(A416="","",IF(AND(K416&lt;&gt;"",L416&lt;&gt;""),IF(COUNTIFS($K$6:K416,K416,$L$6:L416,L416)=1,1,0),0))</f>
        <v>0</v>
      </c>
      <c r="Q416">
        <f>IF(A416="","",IF(AND(K416&lt;&gt;"",M416&lt;&gt;""),IF(COUNTIFS($K$6:K416,K416,$M$6:M416,M416)=1,1,0),0))</f>
        <v>1</v>
      </c>
      <c r="R416">
        <f>IF(A416="","",IF(M416&lt;&gt;"",IF(COUNTIF($M$6:M416,M416)=1,1,0),0))</f>
        <v>1</v>
      </c>
      <c r="T416" t="str">
        <f>IF(AND($M416&lt;&gt;"",$M416='Mapa do Galpão'!$C$20),COUNTIF($M$6:$M416,'Mapa do Galpão'!$C$20),"")</f>
        <v/>
      </c>
    </row>
    <row r="417" spans="1:20" ht="14.25" hidden="1" customHeight="1" x14ac:dyDescent="0.3">
      <c r="A417" s="43" t="s">
        <v>1269</v>
      </c>
      <c r="B417" s="44" t="s">
        <v>665</v>
      </c>
      <c r="C417" s="165" t="s">
        <v>396</v>
      </c>
      <c r="D417" s="45" t="str">
        <f t="shared" si="12"/>
        <v>Feminino</v>
      </c>
      <c r="E417" s="43" t="s">
        <v>1266</v>
      </c>
      <c r="F417" s="43" t="s">
        <v>1267</v>
      </c>
      <c r="G417" s="43" t="s">
        <v>798</v>
      </c>
      <c r="H417" s="43" t="s">
        <v>680</v>
      </c>
      <c r="I417" s="46">
        <f>SUMIFS(Movimentações!$F$6:$F$4998,Movimentações!$C$6:$C$4998,A417,Movimentações!$M$6:$M$4998,M417)</f>
        <v>0</v>
      </c>
      <c r="J417" s="43" t="s">
        <v>670</v>
      </c>
      <c r="K417" s="43" t="s">
        <v>671</v>
      </c>
      <c r="L417" s="47" t="s">
        <v>1115</v>
      </c>
      <c r="M417" s="43" t="s">
        <v>1268</v>
      </c>
      <c r="N417" s="43" t="str">
        <f t="shared" si="13"/>
        <v>Rua A · Prat 7 · C-92</v>
      </c>
      <c r="P417">
        <f>IF(A417="","",IF(AND(K417&lt;&gt;"",L417&lt;&gt;""),IF(COUNTIFS($K$6:K417,K417,$L$6:L417,L417)=1,1,0),0))</f>
        <v>0</v>
      </c>
      <c r="Q417">
        <f>IF(A417="","",IF(AND(K417&lt;&gt;"",M417&lt;&gt;""),IF(COUNTIFS($K$6:K417,K417,$M$6:M417,M417)=1,1,0),0))</f>
        <v>0</v>
      </c>
      <c r="R417">
        <f>IF(A417="","",IF(M417&lt;&gt;"",IF(COUNTIF($M$6:M417,M417)=1,1,0),0))</f>
        <v>0</v>
      </c>
      <c r="T417" t="str">
        <f>IF(AND($M417&lt;&gt;"",$M417='Mapa do Galpão'!$C$20),COUNTIF($M$6:$M417,'Mapa do Galpão'!$C$20),"")</f>
        <v/>
      </c>
    </row>
    <row r="418" spans="1:20" ht="14.25" hidden="1" customHeight="1" x14ac:dyDescent="0.3">
      <c r="A418" s="43" t="s">
        <v>1270</v>
      </c>
      <c r="B418" s="44" t="s">
        <v>665</v>
      </c>
      <c r="C418" s="165" t="s">
        <v>397</v>
      </c>
      <c r="D418" s="45" t="str">
        <f t="shared" si="12"/>
        <v>Feminino</v>
      </c>
      <c r="E418" s="43" t="s">
        <v>1266</v>
      </c>
      <c r="F418" s="43" t="s">
        <v>1267</v>
      </c>
      <c r="G418" s="43" t="s">
        <v>798</v>
      </c>
      <c r="H418" s="43" t="s">
        <v>675</v>
      </c>
      <c r="I418" s="46">
        <f>SUMIFS(Movimentações!$F$6:$F$4998,Movimentações!$C$6:$C$4998,A418,Movimentações!$M$6:$M$4998,M418)</f>
        <v>0</v>
      </c>
      <c r="J418" s="43" t="s">
        <v>670</v>
      </c>
      <c r="K418" s="43" t="s">
        <v>671</v>
      </c>
      <c r="L418" s="47" t="s">
        <v>1115</v>
      </c>
      <c r="M418" s="43" t="s">
        <v>1268</v>
      </c>
      <c r="N418" s="43" t="str">
        <f t="shared" si="13"/>
        <v>Rua A · Prat 7 · C-92</v>
      </c>
      <c r="P418">
        <f>IF(A418="","",IF(AND(K418&lt;&gt;"",L418&lt;&gt;""),IF(COUNTIFS($K$6:K418,K418,$L$6:L418,L418)=1,1,0),0))</f>
        <v>0</v>
      </c>
      <c r="Q418">
        <f>IF(A418="","",IF(AND(K418&lt;&gt;"",M418&lt;&gt;""),IF(COUNTIFS($K$6:K418,K418,$M$6:M418,M418)=1,1,0),0))</f>
        <v>0</v>
      </c>
      <c r="R418">
        <f>IF(A418="","",IF(M418&lt;&gt;"",IF(COUNTIF($M$6:M418,M418)=1,1,0),0))</f>
        <v>0</v>
      </c>
      <c r="T418" t="str">
        <f>IF(AND($M418&lt;&gt;"",$M418='Mapa do Galpão'!$C$20),COUNTIF($M$6:$M418,'Mapa do Galpão'!$C$20),"")</f>
        <v/>
      </c>
    </row>
    <row r="419" spans="1:20" ht="14.25" hidden="1" customHeight="1" x14ac:dyDescent="0.3">
      <c r="A419" s="43" t="s">
        <v>1271</v>
      </c>
      <c r="B419" s="44" t="s">
        <v>665</v>
      </c>
      <c r="C419" s="165" t="s">
        <v>398</v>
      </c>
      <c r="D419" s="45" t="str">
        <f t="shared" si="12"/>
        <v>Feminino</v>
      </c>
      <c r="E419" s="43" t="s">
        <v>1266</v>
      </c>
      <c r="F419" s="43" t="s">
        <v>1267</v>
      </c>
      <c r="G419" s="43" t="s">
        <v>798</v>
      </c>
      <c r="H419" s="43" t="s">
        <v>669</v>
      </c>
      <c r="I419" s="46">
        <f>SUMIFS(Movimentações!$F$6:$F$4998,Movimentações!$C$6:$C$4998,A419,Movimentações!$M$6:$M$4998,M419)</f>
        <v>0</v>
      </c>
      <c r="J419" s="43" t="s">
        <v>670</v>
      </c>
      <c r="K419" s="43" t="s">
        <v>671</v>
      </c>
      <c r="L419" s="47" t="s">
        <v>1115</v>
      </c>
      <c r="M419" s="43" t="s">
        <v>1268</v>
      </c>
      <c r="N419" s="43" t="str">
        <f t="shared" si="13"/>
        <v>Rua A · Prat 7 · C-92</v>
      </c>
      <c r="P419">
        <f>IF(A419="","",IF(AND(K419&lt;&gt;"",L419&lt;&gt;""),IF(COUNTIFS($K$6:K419,K419,$L$6:L419,L419)=1,1,0),0))</f>
        <v>0</v>
      </c>
      <c r="Q419">
        <f>IF(A419="","",IF(AND(K419&lt;&gt;"",M419&lt;&gt;""),IF(COUNTIFS($K$6:K419,K419,$M$6:M419,M419)=1,1,0),0))</f>
        <v>0</v>
      </c>
      <c r="R419">
        <f>IF(A419="","",IF(M419&lt;&gt;"",IF(COUNTIF($M$6:M419,M419)=1,1,0),0))</f>
        <v>0</v>
      </c>
      <c r="T419" t="str">
        <f>IF(AND($M419&lt;&gt;"",$M419='Mapa do Galpão'!$C$20),COUNTIF($M$6:$M419,'Mapa do Galpão'!$C$20),"")</f>
        <v/>
      </c>
    </row>
    <row r="420" spans="1:20" ht="14.25" hidden="1" customHeight="1" x14ac:dyDescent="0.3">
      <c r="A420" s="43" t="s">
        <v>1272</v>
      </c>
      <c r="B420" s="44" t="s">
        <v>665</v>
      </c>
      <c r="C420" s="165" t="s">
        <v>399</v>
      </c>
      <c r="D420" s="45" t="str">
        <f t="shared" si="12"/>
        <v>Feminino</v>
      </c>
      <c r="E420" s="43" t="s">
        <v>1266</v>
      </c>
      <c r="F420" s="43" t="s">
        <v>1267</v>
      </c>
      <c r="G420" s="43" t="s">
        <v>798</v>
      </c>
      <c r="H420" s="43" t="s">
        <v>682</v>
      </c>
      <c r="I420" s="46">
        <f>SUMIFS(Movimentações!$F$6:$F$4998,Movimentações!$C$6:$C$4998,A420,Movimentações!$M$6:$M$4998,M420)</f>
        <v>0</v>
      </c>
      <c r="J420" s="43" t="s">
        <v>670</v>
      </c>
      <c r="K420" s="43" t="s">
        <v>671</v>
      </c>
      <c r="L420" s="47" t="s">
        <v>1115</v>
      </c>
      <c r="M420" s="43" t="s">
        <v>1268</v>
      </c>
      <c r="N420" s="43" t="str">
        <f t="shared" si="13"/>
        <v>Rua A · Prat 7 · C-92</v>
      </c>
      <c r="P420">
        <f>IF(A420="","",IF(AND(K420&lt;&gt;"",L420&lt;&gt;""),IF(COUNTIFS($K$6:K420,K420,$L$6:L420,L420)=1,1,0),0))</f>
        <v>0</v>
      </c>
      <c r="Q420">
        <f>IF(A420="","",IF(AND(K420&lt;&gt;"",M420&lt;&gt;""),IF(COUNTIFS($K$6:K420,K420,$M$6:M420,M420)=1,1,0),0))</f>
        <v>0</v>
      </c>
      <c r="R420">
        <f>IF(A420="","",IF(M420&lt;&gt;"",IF(COUNTIF($M$6:M420,M420)=1,1,0),0))</f>
        <v>0</v>
      </c>
      <c r="T420" t="str">
        <f>IF(AND($M420&lt;&gt;"",$M420='Mapa do Galpão'!$C$20),COUNTIF($M$6:$M420,'Mapa do Galpão'!$C$20),"")</f>
        <v/>
      </c>
    </row>
    <row r="421" spans="1:20" ht="14.25" hidden="1" customHeight="1" x14ac:dyDescent="0.3">
      <c r="A421" s="43" t="s">
        <v>1273</v>
      </c>
      <c r="B421" s="44" t="s">
        <v>665</v>
      </c>
      <c r="C421" s="165" t="s">
        <v>400</v>
      </c>
      <c r="D421" s="45" t="str">
        <f t="shared" si="12"/>
        <v>Feminino</v>
      </c>
      <c r="E421" s="43" t="s">
        <v>1274</v>
      </c>
      <c r="F421" s="43" t="s">
        <v>1275</v>
      </c>
      <c r="G421" s="43" t="s">
        <v>668</v>
      </c>
      <c r="H421" s="43" t="s">
        <v>680</v>
      </c>
      <c r="I421" s="46">
        <f>SUMIFS(Movimentações!$F$6:$F$4998,Movimentações!$C$6:$C$4998,A421,Movimentações!$M$6:$M$4998,M421)</f>
        <v>1</v>
      </c>
      <c r="J421" s="43" t="s">
        <v>670</v>
      </c>
      <c r="K421" s="43" t="s">
        <v>671</v>
      </c>
      <c r="L421" s="47" t="s">
        <v>1115</v>
      </c>
      <c r="M421" s="48" t="s">
        <v>1276</v>
      </c>
      <c r="N421" s="43" t="str">
        <f t="shared" si="13"/>
        <v>Rua A · Prat 7 · C-110</v>
      </c>
      <c r="P421">
        <f>IF(A421="","",IF(AND(K421&lt;&gt;"",L421&lt;&gt;""),IF(COUNTIFS($K$6:K421,K421,$L$6:L421,L421)=1,1,0),0))</f>
        <v>0</v>
      </c>
      <c r="Q421">
        <f>IF(A421="","",IF(AND(K421&lt;&gt;"",M421&lt;&gt;""),IF(COUNTIFS($K$6:K421,K421,$M$6:M421,M421)=1,1,0),0))</f>
        <v>1</v>
      </c>
      <c r="R421">
        <f>IF(A421="","",IF(M421&lt;&gt;"",IF(COUNTIF($M$6:M421,M421)=1,1,0),0))</f>
        <v>1</v>
      </c>
      <c r="T421" t="str">
        <f>IF(AND($M421&lt;&gt;"",$M421='Mapa do Galpão'!$C$20),COUNTIF($M$6:$M421,'Mapa do Galpão'!$C$20),"")</f>
        <v/>
      </c>
    </row>
    <row r="422" spans="1:20" ht="14.25" hidden="1" customHeight="1" x14ac:dyDescent="0.3">
      <c r="A422" s="43" t="s">
        <v>1277</v>
      </c>
      <c r="B422" s="44" t="s">
        <v>665</v>
      </c>
      <c r="C422" s="165" t="s">
        <v>401</v>
      </c>
      <c r="D422" s="45" t="str">
        <f t="shared" si="12"/>
        <v>Feminino</v>
      </c>
      <c r="E422" s="43" t="s">
        <v>1274</v>
      </c>
      <c r="F422" s="43" t="s">
        <v>1275</v>
      </c>
      <c r="G422" s="43" t="s">
        <v>668</v>
      </c>
      <c r="H422" s="43" t="s">
        <v>675</v>
      </c>
      <c r="I422" s="46">
        <f>SUMIFS(Movimentações!$F$6:$F$4998,Movimentações!$C$6:$C$4998,A422,Movimentações!$M$6:$M$4998,M422)</f>
        <v>0</v>
      </c>
      <c r="J422" s="43" t="s">
        <v>670</v>
      </c>
      <c r="K422" s="43" t="s">
        <v>671</v>
      </c>
      <c r="L422" s="47" t="s">
        <v>1115</v>
      </c>
      <c r="M422" s="43" t="s">
        <v>1268</v>
      </c>
      <c r="N422" s="43" t="str">
        <f t="shared" si="13"/>
        <v>Rua A · Prat 7 · C-92</v>
      </c>
      <c r="P422">
        <f>IF(A422="","",IF(AND(K422&lt;&gt;"",L422&lt;&gt;""),IF(COUNTIFS($K$6:K422,K422,$L$6:L422,L422)=1,1,0),0))</f>
        <v>0</v>
      </c>
      <c r="Q422">
        <f>IF(A422="","",IF(AND(K422&lt;&gt;"",M422&lt;&gt;""),IF(COUNTIFS($K$6:K422,K422,$M$6:M422,M422)=1,1,0),0))</f>
        <v>0</v>
      </c>
      <c r="R422">
        <f>IF(A422="","",IF(M422&lt;&gt;"",IF(COUNTIF($M$6:M422,M422)=1,1,0),0))</f>
        <v>0</v>
      </c>
      <c r="T422" t="str">
        <f>IF(AND($M422&lt;&gt;"",$M422='Mapa do Galpão'!$C$20),COUNTIF($M$6:$M422,'Mapa do Galpão'!$C$20),"")</f>
        <v/>
      </c>
    </row>
    <row r="423" spans="1:20" ht="14.25" hidden="1" customHeight="1" x14ac:dyDescent="0.3">
      <c r="A423" s="43" t="s">
        <v>1278</v>
      </c>
      <c r="B423" s="44" t="s">
        <v>665</v>
      </c>
      <c r="C423" s="165" t="s">
        <v>402</v>
      </c>
      <c r="D423" s="45" t="str">
        <f t="shared" si="12"/>
        <v>Feminino</v>
      </c>
      <c r="E423" s="43" t="s">
        <v>1274</v>
      </c>
      <c r="F423" s="43" t="s">
        <v>1275</v>
      </c>
      <c r="G423" s="43" t="s">
        <v>668</v>
      </c>
      <c r="H423" s="43" t="s">
        <v>669</v>
      </c>
      <c r="I423" s="46">
        <f>SUMIFS(Movimentações!$F$6:$F$4998,Movimentações!$C$6:$C$4998,A423,Movimentações!$M$6:$M$4998,M423)</f>
        <v>0</v>
      </c>
      <c r="J423" s="43" t="s">
        <v>670</v>
      </c>
      <c r="K423" s="43" t="s">
        <v>671</v>
      </c>
      <c r="L423" s="47" t="s">
        <v>1115</v>
      </c>
      <c r="M423" s="43" t="s">
        <v>1268</v>
      </c>
      <c r="N423" s="43" t="str">
        <f t="shared" si="13"/>
        <v>Rua A · Prat 7 · C-92</v>
      </c>
      <c r="P423">
        <f>IF(A423="","",IF(AND(K423&lt;&gt;"",L423&lt;&gt;""),IF(COUNTIFS($K$6:K423,K423,$L$6:L423,L423)=1,1,0),0))</f>
        <v>0</v>
      </c>
      <c r="Q423">
        <f>IF(A423="","",IF(AND(K423&lt;&gt;"",M423&lt;&gt;""),IF(COUNTIFS($K$6:K423,K423,$M$6:M423,M423)=1,1,0),0))</f>
        <v>0</v>
      </c>
      <c r="R423">
        <f>IF(A423="","",IF(M423&lt;&gt;"",IF(COUNTIF($M$6:M423,M423)=1,1,0),0))</f>
        <v>0</v>
      </c>
      <c r="T423" t="str">
        <f>IF(AND($M423&lt;&gt;"",$M423='Mapa do Galpão'!$C$20),COUNTIF($M$6:$M423,'Mapa do Galpão'!$C$20),"")</f>
        <v/>
      </c>
    </row>
    <row r="424" spans="1:20" ht="14.25" hidden="1" customHeight="1" x14ac:dyDescent="0.3">
      <c r="A424" s="43" t="s">
        <v>1279</v>
      </c>
      <c r="B424" s="44" t="s">
        <v>665</v>
      </c>
      <c r="C424" s="165" t="s">
        <v>403</v>
      </c>
      <c r="D424" s="45" t="str">
        <f t="shared" si="12"/>
        <v>Feminino</v>
      </c>
      <c r="E424" s="43" t="s">
        <v>1274</v>
      </c>
      <c r="F424" s="43" t="s">
        <v>1275</v>
      </c>
      <c r="G424" s="43" t="s">
        <v>668</v>
      </c>
      <c r="H424" s="43" t="s">
        <v>682</v>
      </c>
      <c r="I424" s="46">
        <f>SUMIFS(Movimentações!$F$6:$F$4998,Movimentações!$C$6:$C$4998,A424,Movimentações!$M$6:$M$4998,M424)</f>
        <v>1</v>
      </c>
      <c r="J424" s="43" t="s">
        <v>670</v>
      </c>
      <c r="K424" s="43" t="s">
        <v>671</v>
      </c>
      <c r="L424" s="47" t="s">
        <v>1115</v>
      </c>
      <c r="M424" s="48" t="s">
        <v>1276</v>
      </c>
      <c r="N424" s="43" t="str">
        <f t="shared" si="13"/>
        <v>Rua A · Prat 7 · C-110</v>
      </c>
      <c r="P424">
        <f>IF(A424="","",IF(AND(K424&lt;&gt;"",L424&lt;&gt;""),IF(COUNTIFS($K$6:K424,K424,$L$6:L424,L424)=1,1,0),0))</f>
        <v>0</v>
      </c>
      <c r="Q424">
        <f>IF(A424="","",IF(AND(K424&lt;&gt;"",M424&lt;&gt;""),IF(COUNTIFS($K$6:K424,K424,$M$6:M424,M424)=1,1,0),0))</f>
        <v>0</v>
      </c>
      <c r="R424">
        <f>IF(A424="","",IF(M424&lt;&gt;"",IF(COUNTIF($M$6:M424,M424)=1,1,0),0))</f>
        <v>0</v>
      </c>
      <c r="T424" t="str">
        <f>IF(AND($M424&lt;&gt;"",$M424='Mapa do Galpão'!$C$20),COUNTIF($M$6:$M424,'Mapa do Galpão'!$C$20),"")</f>
        <v/>
      </c>
    </row>
    <row r="425" spans="1:20" ht="14.25" hidden="1" customHeight="1" x14ac:dyDescent="0.3">
      <c r="A425" s="43" t="s">
        <v>1280</v>
      </c>
      <c r="B425" s="44" t="s">
        <v>665</v>
      </c>
      <c r="C425" s="165" t="s">
        <v>404</v>
      </c>
      <c r="D425" s="45" t="str">
        <f t="shared" si="12"/>
        <v>—</v>
      </c>
      <c r="E425" s="43" t="s">
        <v>1281</v>
      </c>
      <c r="F425" s="43" t="s">
        <v>1282</v>
      </c>
      <c r="G425" s="43" t="s">
        <v>668</v>
      </c>
      <c r="H425" s="43" t="s">
        <v>1283</v>
      </c>
      <c r="I425" s="46">
        <f>SUMIFS(Movimentações!$F$6:$F$4998,Movimentações!$C$6:$C$4998,A425,Movimentações!$M$6:$M$4998,M425)</f>
        <v>24</v>
      </c>
      <c r="J425" s="43" t="s">
        <v>670</v>
      </c>
      <c r="K425" s="43" t="s">
        <v>671</v>
      </c>
      <c r="L425" s="47">
        <v>13</v>
      </c>
      <c r="M425" s="43" t="s">
        <v>1284</v>
      </c>
      <c r="N425" s="43" t="str">
        <f t="shared" si="13"/>
        <v>Rua A · Prat 13 · C-93</v>
      </c>
      <c r="P425">
        <f>IF(A425="","",IF(AND(K425&lt;&gt;"",L425&lt;&gt;""),IF(COUNTIFS($K$6:K425,K425,$L$6:L425,L425)=1,1,0),0))</f>
        <v>0</v>
      </c>
      <c r="Q425">
        <f>IF(A425="","",IF(AND(K425&lt;&gt;"",M425&lt;&gt;""),IF(COUNTIFS($K$6:K425,K425,$M$6:M425,M425)=1,1,0),0))</f>
        <v>1</v>
      </c>
      <c r="R425">
        <f>IF(A425="","",IF(M425&lt;&gt;"",IF(COUNTIF($M$6:M425,M425)=1,1,0),0))</f>
        <v>1</v>
      </c>
      <c r="T425" t="str">
        <f>IF(AND($M425&lt;&gt;"",$M425='Mapa do Galpão'!$C$20),COUNTIF($M$6:$M425,'Mapa do Galpão'!$C$20),"")</f>
        <v/>
      </c>
    </row>
    <row r="426" spans="1:20" ht="14.25" hidden="1" customHeight="1" x14ac:dyDescent="0.3">
      <c r="A426" s="43" t="s">
        <v>1285</v>
      </c>
      <c r="B426" s="44" t="s">
        <v>665</v>
      </c>
      <c r="C426" s="165" t="s">
        <v>405</v>
      </c>
      <c r="D426" s="45" t="str">
        <f t="shared" si="12"/>
        <v>—</v>
      </c>
      <c r="E426" s="43" t="s">
        <v>1286</v>
      </c>
      <c r="F426" s="43" t="s">
        <v>1287</v>
      </c>
      <c r="G426" s="43" t="s">
        <v>668</v>
      </c>
      <c r="H426" s="43" t="s">
        <v>1087</v>
      </c>
      <c r="I426" s="46">
        <f>SUMIFS(Movimentações!$F$6:$F$4998,Movimentações!$C$6:$C$4998,A426,Movimentações!$M$6:$M$4998,M426)</f>
        <v>9</v>
      </c>
      <c r="J426" s="43" t="s">
        <v>670</v>
      </c>
      <c r="K426" s="43" t="s">
        <v>671</v>
      </c>
      <c r="L426" s="47">
        <v>13</v>
      </c>
      <c r="M426" s="43" t="s">
        <v>1284</v>
      </c>
      <c r="N426" s="43" t="str">
        <f t="shared" si="13"/>
        <v>Rua A · Prat 13 · C-93</v>
      </c>
      <c r="P426">
        <f>IF(A426="","",IF(AND(K426&lt;&gt;"",L426&lt;&gt;""),IF(COUNTIFS($K$6:K426,K426,$L$6:L426,L426)=1,1,0),0))</f>
        <v>0</v>
      </c>
      <c r="Q426">
        <f>IF(A426="","",IF(AND(K426&lt;&gt;"",M426&lt;&gt;""),IF(COUNTIFS($K$6:K426,K426,$M$6:M426,M426)=1,1,0),0))</f>
        <v>0</v>
      </c>
      <c r="R426">
        <f>IF(A426="","",IF(M426&lt;&gt;"",IF(COUNTIF($M$6:M426,M426)=1,1,0),0))</f>
        <v>0</v>
      </c>
      <c r="T426" t="str">
        <f>IF(AND($M426&lt;&gt;"",$M426='Mapa do Galpão'!$C$20),COUNTIF($M$6:$M426,'Mapa do Galpão'!$C$20),"")</f>
        <v/>
      </c>
    </row>
    <row r="427" spans="1:20" ht="14.25" hidden="1" customHeight="1" x14ac:dyDescent="0.3">
      <c r="A427" s="43" t="s">
        <v>1288</v>
      </c>
      <c r="B427" s="44" t="s">
        <v>665</v>
      </c>
      <c r="C427" s="165" t="s">
        <v>406</v>
      </c>
      <c r="D427" s="45" t="str">
        <f t="shared" si="12"/>
        <v>—</v>
      </c>
      <c r="E427" s="43" t="s">
        <v>1289</v>
      </c>
      <c r="F427" s="43" t="s">
        <v>1290</v>
      </c>
      <c r="G427" s="43" t="s">
        <v>668</v>
      </c>
      <c r="H427" s="43" t="s">
        <v>680</v>
      </c>
      <c r="I427" s="46">
        <f>SUMIFS(Movimentações!$F$6:$F$4998,Movimentações!$C$6:$C$4998,A427,Movimentações!$M$6:$M$4998,M427)</f>
        <v>0</v>
      </c>
      <c r="J427" s="43" t="s">
        <v>670</v>
      </c>
      <c r="K427" s="43" t="s">
        <v>671</v>
      </c>
      <c r="L427" s="47">
        <v>13</v>
      </c>
      <c r="M427" s="43" t="s">
        <v>1284</v>
      </c>
      <c r="N427" s="43" t="str">
        <f t="shared" si="13"/>
        <v>Rua A · Prat 13 · C-93</v>
      </c>
      <c r="P427">
        <f>IF(A427="","",IF(AND(K427&lt;&gt;"",L427&lt;&gt;""),IF(COUNTIFS($K$6:K427,K427,$L$6:L427,L427)=1,1,0),0))</f>
        <v>0</v>
      </c>
      <c r="Q427">
        <f>IF(A427="","",IF(AND(K427&lt;&gt;"",M427&lt;&gt;""),IF(COUNTIFS($K$6:K427,K427,$M$6:M427,M427)=1,1,0),0))</f>
        <v>0</v>
      </c>
      <c r="R427">
        <f>IF(A427="","",IF(M427&lt;&gt;"",IF(COUNTIF($M$6:M427,M427)=1,1,0),0))</f>
        <v>0</v>
      </c>
      <c r="T427" t="str">
        <f>IF(AND($M427&lt;&gt;"",$M427='Mapa do Galpão'!$C$20),COUNTIF($M$6:$M427,'Mapa do Galpão'!$C$20),"")</f>
        <v/>
      </c>
    </row>
    <row r="428" spans="1:20" ht="14.25" hidden="1" customHeight="1" x14ac:dyDescent="0.3">
      <c r="A428" s="43" t="s">
        <v>1291</v>
      </c>
      <c r="B428" s="44" t="s">
        <v>665</v>
      </c>
      <c r="C428" s="165" t="s">
        <v>407</v>
      </c>
      <c r="D428" s="45" t="str">
        <f t="shared" si="12"/>
        <v>—</v>
      </c>
      <c r="E428" s="43" t="s">
        <v>1289</v>
      </c>
      <c r="F428" s="43" t="s">
        <v>1290</v>
      </c>
      <c r="G428" s="43" t="s">
        <v>668</v>
      </c>
      <c r="H428" s="43" t="s">
        <v>675</v>
      </c>
      <c r="I428" s="46">
        <f>SUMIFS(Movimentações!$F$6:$F$4998,Movimentações!$C$6:$C$4998,A428,Movimentações!$M$6:$M$4998,M428)</f>
        <v>0</v>
      </c>
      <c r="J428" s="43" t="s">
        <v>670</v>
      </c>
      <c r="K428" s="43" t="s">
        <v>671</v>
      </c>
      <c r="L428" s="47">
        <v>13</v>
      </c>
      <c r="M428" s="43" t="s">
        <v>1284</v>
      </c>
      <c r="N428" s="43" t="str">
        <f t="shared" si="13"/>
        <v>Rua A · Prat 13 · C-93</v>
      </c>
      <c r="P428">
        <f>IF(A428="","",IF(AND(K428&lt;&gt;"",L428&lt;&gt;""),IF(COUNTIFS($K$6:K428,K428,$L$6:L428,L428)=1,1,0),0))</f>
        <v>0</v>
      </c>
      <c r="Q428">
        <f>IF(A428="","",IF(AND(K428&lt;&gt;"",M428&lt;&gt;""),IF(COUNTIFS($K$6:K428,K428,$M$6:M428,M428)=1,1,0),0))</f>
        <v>0</v>
      </c>
      <c r="R428">
        <f>IF(A428="","",IF(M428&lt;&gt;"",IF(COUNTIF($M$6:M428,M428)=1,1,0),0))</f>
        <v>0</v>
      </c>
      <c r="T428" t="str">
        <f>IF(AND($M428&lt;&gt;"",$M428='Mapa do Galpão'!$C$20),COUNTIF($M$6:$M428,'Mapa do Galpão'!$C$20),"")</f>
        <v/>
      </c>
    </row>
    <row r="429" spans="1:20" ht="14.25" hidden="1" customHeight="1" x14ac:dyDescent="0.3">
      <c r="A429" s="43" t="s">
        <v>1292</v>
      </c>
      <c r="B429" s="44" t="s">
        <v>665</v>
      </c>
      <c r="C429" s="165" t="s">
        <v>408</v>
      </c>
      <c r="D429" s="45" t="str">
        <f t="shared" si="12"/>
        <v>—</v>
      </c>
      <c r="E429" s="43" t="s">
        <v>1289</v>
      </c>
      <c r="F429" s="43" t="s">
        <v>1290</v>
      </c>
      <c r="G429" s="43" t="s">
        <v>668</v>
      </c>
      <c r="H429" s="43" t="s">
        <v>669</v>
      </c>
      <c r="I429" s="46">
        <f>SUMIFS(Movimentações!$F$6:$F$4998,Movimentações!$C$6:$C$4998,A429,Movimentações!$M$6:$M$4998,M429)</f>
        <v>0</v>
      </c>
      <c r="J429" s="43" t="s">
        <v>670</v>
      </c>
      <c r="K429" s="43" t="s">
        <v>671</v>
      </c>
      <c r="L429" s="47">
        <v>13</v>
      </c>
      <c r="M429" s="43" t="s">
        <v>1284</v>
      </c>
      <c r="N429" s="43" t="str">
        <f t="shared" si="13"/>
        <v>Rua A · Prat 13 · C-93</v>
      </c>
      <c r="P429">
        <f>IF(A429="","",IF(AND(K429&lt;&gt;"",L429&lt;&gt;""),IF(COUNTIFS($K$6:K429,K429,$L$6:L429,L429)=1,1,0),0))</f>
        <v>0</v>
      </c>
      <c r="Q429">
        <f>IF(A429="","",IF(AND(K429&lt;&gt;"",M429&lt;&gt;""),IF(COUNTIFS($K$6:K429,K429,$M$6:M429,M429)=1,1,0),0))</f>
        <v>0</v>
      </c>
      <c r="R429">
        <f>IF(A429="","",IF(M429&lt;&gt;"",IF(COUNTIF($M$6:M429,M429)=1,1,0),0))</f>
        <v>0</v>
      </c>
      <c r="T429" t="str">
        <f>IF(AND($M429&lt;&gt;"",$M429='Mapa do Galpão'!$C$20),COUNTIF($M$6:$M429,'Mapa do Galpão'!$C$20),"")</f>
        <v/>
      </c>
    </row>
    <row r="430" spans="1:20" ht="14.25" hidden="1" customHeight="1" x14ac:dyDescent="0.3">
      <c r="A430" s="43" t="s">
        <v>1293</v>
      </c>
      <c r="B430" s="44" t="s">
        <v>665</v>
      </c>
      <c r="C430" s="165" t="s">
        <v>409</v>
      </c>
      <c r="D430" s="45" t="str">
        <f t="shared" si="12"/>
        <v>—</v>
      </c>
      <c r="E430" s="43" t="s">
        <v>1294</v>
      </c>
      <c r="F430" s="43" t="s">
        <v>1295</v>
      </c>
      <c r="G430" s="43" t="s">
        <v>1075</v>
      </c>
      <c r="H430" s="43" t="s">
        <v>1087</v>
      </c>
      <c r="I430" s="46">
        <f>SUMIFS(Movimentações!$F$6:$F$4998,Movimentações!$C$6:$C$4998,A430,Movimentações!$M$6:$M$4998,M430)</f>
        <v>11</v>
      </c>
      <c r="J430" s="43" t="s">
        <v>670</v>
      </c>
      <c r="K430" s="43" t="s">
        <v>671</v>
      </c>
      <c r="L430" s="47">
        <v>13</v>
      </c>
      <c r="M430" s="43" t="s">
        <v>1284</v>
      </c>
      <c r="N430" s="43" t="str">
        <f t="shared" si="13"/>
        <v>Rua A · Prat 13 · C-93</v>
      </c>
      <c r="P430">
        <f>IF(A430="","",IF(AND(K430&lt;&gt;"",L430&lt;&gt;""),IF(COUNTIFS($K$6:K430,K430,$L$6:L430,L430)=1,1,0),0))</f>
        <v>0</v>
      </c>
      <c r="Q430">
        <f>IF(A430="","",IF(AND(K430&lt;&gt;"",M430&lt;&gt;""),IF(COUNTIFS($K$6:K430,K430,$M$6:M430,M430)=1,1,0),0))</f>
        <v>0</v>
      </c>
      <c r="R430">
        <f>IF(A430="","",IF(M430&lt;&gt;"",IF(COUNTIF($M$6:M430,M430)=1,1,0),0))</f>
        <v>0</v>
      </c>
      <c r="T430" t="str">
        <f>IF(AND($M430&lt;&gt;"",$M430='Mapa do Galpão'!$C$20),COUNTIF($M$6:$M430,'Mapa do Galpão'!$C$20),"")</f>
        <v/>
      </c>
    </row>
    <row r="431" spans="1:20" ht="14.25" hidden="1" customHeight="1" x14ac:dyDescent="0.3">
      <c r="A431" s="43" t="s">
        <v>1296</v>
      </c>
      <c r="B431" s="44" t="s">
        <v>665</v>
      </c>
      <c r="C431" s="165" t="s">
        <v>410</v>
      </c>
      <c r="D431" s="45" t="str">
        <f t="shared" si="12"/>
        <v>—</v>
      </c>
      <c r="E431" s="43" t="s">
        <v>1297</v>
      </c>
      <c r="F431" s="43" t="s">
        <v>1298</v>
      </c>
      <c r="G431" s="43" t="s">
        <v>668</v>
      </c>
      <c r="H431" s="43" t="s">
        <v>1087</v>
      </c>
      <c r="I431" s="46">
        <f>SUMIFS(Movimentações!$F$6:$F$4998,Movimentações!$C$6:$C$4998,A431,Movimentações!$M$6:$M$4998,M431)</f>
        <v>6</v>
      </c>
      <c r="J431" s="43" t="s">
        <v>670</v>
      </c>
      <c r="K431" s="43" t="s">
        <v>671</v>
      </c>
      <c r="L431" s="47">
        <v>13</v>
      </c>
      <c r="M431" s="43" t="s">
        <v>1284</v>
      </c>
      <c r="N431" s="43" t="str">
        <f t="shared" si="13"/>
        <v>Rua A · Prat 13 · C-93</v>
      </c>
      <c r="P431">
        <f>IF(A431="","",IF(AND(K431&lt;&gt;"",L431&lt;&gt;""),IF(COUNTIFS($K$6:K431,K431,$L$6:L431,L431)=1,1,0),0))</f>
        <v>0</v>
      </c>
      <c r="Q431">
        <f>IF(A431="","",IF(AND(K431&lt;&gt;"",M431&lt;&gt;""),IF(COUNTIFS($K$6:K431,K431,$M$6:M431,M431)=1,1,0),0))</f>
        <v>0</v>
      </c>
      <c r="R431">
        <f>IF(A431="","",IF(M431&lt;&gt;"",IF(COUNTIF($M$6:M431,M431)=1,1,0),0))</f>
        <v>0</v>
      </c>
      <c r="T431" t="str">
        <f>IF(AND($M431&lt;&gt;"",$M431='Mapa do Galpão'!$C$20),COUNTIF($M$6:$M431,'Mapa do Galpão'!$C$20),"")</f>
        <v/>
      </c>
    </row>
    <row r="432" spans="1:20" ht="14.25" hidden="1" customHeight="1" x14ac:dyDescent="0.3">
      <c r="A432" s="43" t="s">
        <v>1299</v>
      </c>
      <c r="B432" s="44" t="s">
        <v>665</v>
      </c>
      <c r="C432" s="165" t="s">
        <v>404</v>
      </c>
      <c r="D432" s="45" t="str">
        <f t="shared" si="12"/>
        <v>—</v>
      </c>
      <c r="E432" s="43" t="s">
        <v>1281</v>
      </c>
      <c r="F432" s="43" t="s">
        <v>1300</v>
      </c>
      <c r="G432" s="43" t="s">
        <v>668</v>
      </c>
      <c r="H432" s="43" t="s">
        <v>1087</v>
      </c>
      <c r="I432" s="46">
        <f>SUMIFS(Movimentações!$F$6:$F$4998,Movimentações!$C$6:$C$4998,A432,Movimentações!$M$6:$M$4998,M432)</f>
        <v>4</v>
      </c>
      <c r="J432" s="43" t="s">
        <v>670</v>
      </c>
      <c r="K432" s="43" t="s">
        <v>671</v>
      </c>
      <c r="L432" s="47">
        <v>13</v>
      </c>
      <c r="M432" s="43" t="s">
        <v>1284</v>
      </c>
      <c r="N432" s="43" t="str">
        <f t="shared" si="13"/>
        <v>Rua A · Prat 13 · C-93</v>
      </c>
      <c r="P432">
        <f>IF(A432="","",IF(AND(K432&lt;&gt;"",L432&lt;&gt;""),IF(COUNTIFS($K$6:K432,K432,$L$6:L432,L432)=1,1,0),0))</f>
        <v>0</v>
      </c>
      <c r="Q432">
        <f>IF(A432="","",IF(AND(K432&lt;&gt;"",M432&lt;&gt;""),IF(COUNTIFS($K$6:K432,K432,$M$6:M432,M432)=1,1,0),0))</f>
        <v>0</v>
      </c>
      <c r="R432">
        <f>IF(A432="","",IF(M432&lt;&gt;"",IF(COUNTIF($M$6:M432,M432)=1,1,0),0))</f>
        <v>0</v>
      </c>
      <c r="T432" t="str">
        <f>IF(AND($M432&lt;&gt;"",$M432='Mapa do Galpão'!$C$20),COUNTIF($M$6:$M432,'Mapa do Galpão'!$C$20),"")</f>
        <v/>
      </c>
    </row>
    <row r="433" spans="1:20" ht="14.25" hidden="1" customHeight="1" x14ac:dyDescent="0.3">
      <c r="A433" s="43" t="s">
        <v>1301</v>
      </c>
      <c r="B433" s="44" t="s">
        <v>665</v>
      </c>
      <c r="C433" s="165" t="s">
        <v>411</v>
      </c>
      <c r="D433" s="45" t="str">
        <f t="shared" si="12"/>
        <v>—</v>
      </c>
      <c r="E433" s="43" t="s">
        <v>1302</v>
      </c>
      <c r="F433" s="43" t="s">
        <v>1303</v>
      </c>
      <c r="G433" s="43" t="s">
        <v>755</v>
      </c>
      <c r="H433" s="43" t="s">
        <v>1087</v>
      </c>
      <c r="I433" s="46">
        <f>SUMIFS(Movimentações!$F$6:$F$4998,Movimentações!$C$6:$C$4998,A433,Movimentações!$M$6:$M$4998,M433)</f>
        <v>40</v>
      </c>
      <c r="J433" s="43" t="s">
        <v>670</v>
      </c>
      <c r="K433" s="43" t="s">
        <v>671</v>
      </c>
      <c r="L433" s="47">
        <v>13</v>
      </c>
      <c r="M433" s="43" t="s">
        <v>1284</v>
      </c>
      <c r="N433" s="43" t="str">
        <f t="shared" si="13"/>
        <v>Rua A · Prat 13 · C-93</v>
      </c>
      <c r="P433">
        <f>IF(A433="","",IF(AND(K433&lt;&gt;"",L433&lt;&gt;""),IF(COUNTIFS($K$6:K433,K433,$L$6:L433,L433)=1,1,0),0))</f>
        <v>0</v>
      </c>
      <c r="Q433">
        <f>IF(A433="","",IF(AND(K433&lt;&gt;"",M433&lt;&gt;""),IF(COUNTIFS($K$6:K433,K433,$M$6:M433,M433)=1,1,0),0))</f>
        <v>0</v>
      </c>
      <c r="R433">
        <f>IF(A433="","",IF(M433&lt;&gt;"",IF(COUNTIF($M$6:M433,M433)=1,1,0),0))</f>
        <v>0</v>
      </c>
      <c r="T433" t="str">
        <f>IF(AND($M433&lt;&gt;"",$M433='Mapa do Galpão'!$C$20),COUNTIF($M$6:$M433,'Mapa do Galpão'!$C$20),"")</f>
        <v/>
      </c>
    </row>
    <row r="434" spans="1:20" ht="14.25" hidden="1" customHeight="1" x14ac:dyDescent="0.3">
      <c r="A434" s="43" t="s">
        <v>1304</v>
      </c>
      <c r="B434" s="44" t="s">
        <v>665</v>
      </c>
      <c r="C434" s="165" t="s">
        <v>412</v>
      </c>
      <c r="D434" s="45" t="str">
        <f t="shared" si="12"/>
        <v>—</v>
      </c>
      <c r="E434" s="43" t="s">
        <v>1305</v>
      </c>
      <c r="F434" s="43" t="s">
        <v>1305</v>
      </c>
      <c r="G434" s="43" t="s">
        <v>668</v>
      </c>
      <c r="H434" s="43" t="s">
        <v>1087</v>
      </c>
      <c r="I434" s="46">
        <f>SUMIFS(Movimentações!$F$6:$F$4998,Movimentações!$C$6:$C$4998,A434,Movimentações!$M$6:$M$4998,M434)</f>
        <v>28</v>
      </c>
      <c r="J434" s="43" t="s">
        <v>670</v>
      </c>
      <c r="K434" s="43" t="s">
        <v>671</v>
      </c>
      <c r="L434" s="47">
        <v>13</v>
      </c>
      <c r="M434" s="43" t="s">
        <v>1284</v>
      </c>
      <c r="N434" s="43" t="str">
        <f t="shared" si="13"/>
        <v>Rua A · Prat 13 · C-93</v>
      </c>
      <c r="P434">
        <f>IF(A434="","",IF(AND(K434&lt;&gt;"",L434&lt;&gt;""),IF(COUNTIFS($K$6:K434,K434,$L$6:L434,L434)=1,1,0),0))</f>
        <v>0</v>
      </c>
      <c r="Q434">
        <f>IF(A434="","",IF(AND(K434&lt;&gt;"",M434&lt;&gt;""),IF(COUNTIFS($K$6:K434,K434,$M$6:M434,M434)=1,1,0),0))</f>
        <v>0</v>
      </c>
      <c r="R434">
        <f>IF(A434="","",IF(M434&lt;&gt;"",IF(COUNTIF($M$6:M434,M434)=1,1,0),0))</f>
        <v>0</v>
      </c>
      <c r="T434" t="str">
        <f>IF(AND($M434&lt;&gt;"",$M434='Mapa do Galpão'!$C$20),COUNTIF($M$6:$M434,'Mapa do Galpão'!$C$20),"")</f>
        <v/>
      </c>
    </row>
    <row r="435" spans="1:20" ht="14.25" hidden="1" customHeight="1" x14ac:dyDescent="0.3">
      <c r="A435" s="43" t="s">
        <v>1306</v>
      </c>
      <c r="B435" s="44" t="s">
        <v>665</v>
      </c>
      <c r="C435" s="165" t="s">
        <v>413</v>
      </c>
      <c r="D435" s="45" t="str">
        <f t="shared" si="12"/>
        <v>—</v>
      </c>
      <c r="E435" s="43" t="s">
        <v>1307</v>
      </c>
      <c r="F435" s="43" t="s">
        <v>1308</v>
      </c>
      <c r="G435" s="43" t="s">
        <v>1075</v>
      </c>
      <c r="H435" s="43" t="s">
        <v>1087</v>
      </c>
      <c r="I435" s="46">
        <f>SUMIFS(Movimentações!$F$6:$F$4998,Movimentações!$C$6:$C$4998,A435,Movimentações!$M$6:$M$4998,M435)</f>
        <v>114</v>
      </c>
      <c r="J435" s="43" t="s">
        <v>670</v>
      </c>
      <c r="K435" s="43" t="s">
        <v>671</v>
      </c>
      <c r="L435" s="47">
        <v>13</v>
      </c>
      <c r="M435" s="43" t="s">
        <v>1284</v>
      </c>
      <c r="N435" s="43" t="str">
        <f t="shared" si="13"/>
        <v>Rua A · Prat 13 · C-93</v>
      </c>
      <c r="P435">
        <f>IF(A435="","",IF(AND(K435&lt;&gt;"",L435&lt;&gt;""),IF(COUNTIFS($K$6:K435,K435,$L$6:L435,L435)=1,1,0),0))</f>
        <v>0</v>
      </c>
      <c r="Q435">
        <f>IF(A435="","",IF(AND(K435&lt;&gt;"",M435&lt;&gt;""),IF(COUNTIFS($K$6:K435,K435,$M$6:M435,M435)=1,1,0),0))</f>
        <v>0</v>
      </c>
      <c r="R435">
        <f>IF(A435="","",IF(M435&lt;&gt;"",IF(COUNTIF($M$6:M435,M435)=1,1,0),0))</f>
        <v>0</v>
      </c>
      <c r="T435" t="str">
        <f>IF(AND($M435&lt;&gt;"",$M435='Mapa do Galpão'!$C$20),COUNTIF($M$6:$M435,'Mapa do Galpão'!$C$20),"")</f>
        <v/>
      </c>
    </row>
    <row r="436" spans="1:20" ht="14.25" hidden="1" customHeight="1" x14ac:dyDescent="0.3">
      <c r="A436" s="43" t="s">
        <v>1309</v>
      </c>
      <c r="B436" s="44" t="s">
        <v>665</v>
      </c>
      <c r="C436" s="165" t="s">
        <v>414</v>
      </c>
      <c r="D436" s="45" t="str">
        <f t="shared" si="12"/>
        <v>—</v>
      </c>
      <c r="E436" s="43" t="s">
        <v>1310</v>
      </c>
      <c r="F436" s="43" t="s">
        <v>1311</v>
      </c>
      <c r="G436" s="43" t="s">
        <v>668</v>
      </c>
      <c r="H436" s="43" t="s">
        <v>1087</v>
      </c>
      <c r="I436" s="46">
        <f>SUMIFS(Movimentações!$F$6:$F$4998,Movimentações!$C$6:$C$4998,A436,Movimentações!$M$6:$M$4998,M436)</f>
        <v>22</v>
      </c>
      <c r="J436" s="43" t="s">
        <v>670</v>
      </c>
      <c r="K436" s="43" t="s">
        <v>671</v>
      </c>
      <c r="L436" s="47">
        <v>15</v>
      </c>
      <c r="M436" s="43" t="s">
        <v>1205</v>
      </c>
      <c r="N436" s="43" t="str">
        <f t="shared" si="13"/>
        <v>Rua A · Prat 15 · C-94</v>
      </c>
      <c r="P436">
        <f>IF(A436="","",IF(AND(K436&lt;&gt;"",L436&lt;&gt;""),IF(COUNTIFS($K$6:K436,K436,$L$6:L436,L436)=1,1,0),0))</f>
        <v>0</v>
      </c>
      <c r="Q436">
        <f>IF(A436="","",IF(AND(K436&lt;&gt;"",M436&lt;&gt;""),IF(COUNTIFS($K$6:K436,K436,$M$6:M436,M436)=1,1,0),0))</f>
        <v>0</v>
      </c>
      <c r="R436">
        <f>IF(A436="","",IF(M436&lt;&gt;"",IF(COUNTIF($M$6:M436,M436)=1,1,0),0))</f>
        <v>0</v>
      </c>
      <c r="T436" t="str">
        <f>IF(AND($M436&lt;&gt;"",$M436='Mapa do Galpão'!$C$20),COUNTIF($M$6:$M436,'Mapa do Galpão'!$C$20),"")</f>
        <v/>
      </c>
    </row>
    <row r="437" spans="1:20" ht="14.25" hidden="1" customHeight="1" x14ac:dyDescent="0.3">
      <c r="A437" s="43" t="s">
        <v>1312</v>
      </c>
      <c r="B437" s="44" t="s">
        <v>665</v>
      </c>
      <c r="C437" s="165" t="s">
        <v>415</v>
      </c>
      <c r="D437" s="45" t="str">
        <f t="shared" si="12"/>
        <v>—</v>
      </c>
      <c r="E437" s="43" t="s">
        <v>1310</v>
      </c>
      <c r="F437" s="43" t="s">
        <v>1311</v>
      </c>
      <c r="G437" s="43" t="s">
        <v>1075</v>
      </c>
      <c r="H437" s="43" t="s">
        <v>1087</v>
      </c>
      <c r="I437" s="46">
        <f>SUMIFS(Movimentações!$F$6:$F$4998,Movimentações!$C$6:$C$4998,A437,Movimentações!$M$6:$M$4998,M437)</f>
        <v>0</v>
      </c>
      <c r="J437" s="43" t="s">
        <v>670</v>
      </c>
      <c r="K437" s="43" t="s">
        <v>671</v>
      </c>
      <c r="L437" s="47">
        <v>15</v>
      </c>
      <c r="M437" s="43" t="s">
        <v>1205</v>
      </c>
      <c r="N437" s="43" t="str">
        <f t="shared" si="13"/>
        <v>Rua A · Prat 15 · C-94</v>
      </c>
      <c r="P437">
        <f>IF(A437="","",IF(AND(K437&lt;&gt;"",L437&lt;&gt;""),IF(COUNTIFS($K$6:K437,K437,$L$6:L437,L437)=1,1,0),0))</f>
        <v>0</v>
      </c>
      <c r="Q437">
        <f>IF(A437="","",IF(AND(K437&lt;&gt;"",M437&lt;&gt;""),IF(COUNTIFS($K$6:K437,K437,$M$6:M437,M437)=1,1,0),0))</f>
        <v>0</v>
      </c>
      <c r="R437">
        <f>IF(A437="","",IF(M437&lt;&gt;"",IF(COUNTIF($M$6:M437,M437)=1,1,0),0))</f>
        <v>0</v>
      </c>
      <c r="T437" t="str">
        <f>IF(AND($M437&lt;&gt;"",$M437='Mapa do Galpão'!$C$20),COUNTIF($M$6:$M437,'Mapa do Galpão'!$C$20),"")</f>
        <v/>
      </c>
    </row>
    <row r="438" spans="1:20" ht="14.25" hidden="1" customHeight="1" x14ac:dyDescent="0.3">
      <c r="A438" s="43" t="s">
        <v>1313</v>
      </c>
      <c r="B438" s="44" t="s">
        <v>665</v>
      </c>
      <c r="C438" s="165" t="s">
        <v>416</v>
      </c>
      <c r="D438" s="45" t="str">
        <f t="shared" si="12"/>
        <v>—</v>
      </c>
      <c r="E438" s="43" t="s">
        <v>1310</v>
      </c>
      <c r="F438" s="43" t="s">
        <v>1314</v>
      </c>
      <c r="G438" s="43" t="s">
        <v>755</v>
      </c>
      <c r="H438" s="43" t="s">
        <v>1087</v>
      </c>
      <c r="I438" s="46">
        <f>SUMIFS(Movimentações!$F$6:$F$4998,Movimentações!$C$6:$C$4998,A438,Movimentações!$M$6:$M$4998,M438)</f>
        <v>0</v>
      </c>
      <c r="J438" s="43" t="s">
        <v>670</v>
      </c>
      <c r="K438" s="43" t="s">
        <v>671</v>
      </c>
      <c r="L438" s="47">
        <v>15</v>
      </c>
      <c r="M438" s="43" t="s">
        <v>1205</v>
      </c>
      <c r="N438" s="43" t="str">
        <f t="shared" si="13"/>
        <v>Rua A · Prat 15 · C-94</v>
      </c>
      <c r="P438">
        <f>IF(A438="","",IF(AND(K438&lt;&gt;"",L438&lt;&gt;""),IF(COUNTIFS($K$6:K438,K438,$L$6:L438,L438)=1,1,0),0))</f>
        <v>0</v>
      </c>
      <c r="Q438">
        <f>IF(A438="","",IF(AND(K438&lt;&gt;"",M438&lt;&gt;""),IF(COUNTIFS($K$6:K438,K438,$M$6:M438,M438)=1,1,0),0))</f>
        <v>0</v>
      </c>
      <c r="R438">
        <f>IF(A438="","",IF(M438&lt;&gt;"",IF(COUNTIF($M$6:M438,M438)=1,1,0),0))</f>
        <v>0</v>
      </c>
      <c r="T438" t="str">
        <f>IF(AND($M438&lt;&gt;"",$M438='Mapa do Galpão'!$C$20),COUNTIF($M$6:$M438,'Mapa do Galpão'!$C$20),"")</f>
        <v/>
      </c>
    </row>
    <row r="439" spans="1:20" ht="14.25" hidden="1" customHeight="1" x14ac:dyDescent="0.3">
      <c r="A439" s="43" t="s">
        <v>1315</v>
      </c>
      <c r="B439" s="44" t="s">
        <v>665</v>
      </c>
      <c r="C439" s="165" t="s">
        <v>417</v>
      </c>
      <c r="D439" s="45" t="str">
        <f t="shared" si="12"/>
        <v>—</v>
      </c>
      <c r="E439" s="43" t="s">
        <v>1310</v>
      </c>
      <c r="F439" s="43" t="s">
        <v>1314</v>
      </c>
      <c r="G439" s="43" t="s">
        <v>956</v>
      </c>
      <c r="H439" s="43" t="s">
        <v>1087</v>
      </c>
      <c r="I439" s="46">
        <f>SUMIFS(Movimentações!$F$6:$F$4998,Movimentações!$C$6:$C$4998,A439,Movimentações!$M$6:$M$4998,M439)</f>
        <v>1</v>
      </c>
      <c r="J439" s="43" t="s">
        <v>670</v>
      </c>
      <c r="K439" s="43" t="s">
        <v>671</v>
      </c>
      <c r="L439" s="47">
        <v>15</v>
      </c>
      <c r="M439" s="43" t="s">
        <v>1205</v>
      </c>
      <c r="N439" s="43" t="str">
        <f t="shared" si="13"/>
        <v>Rua A · Prat 15 · C-94</v>
      </c>
      <c r="P439">
        <f>IF(A439="","",IF(AND(K439&lt;&gt;"",L439&lt;&gt;""),IF(COUNTIFS($K$6:K439,K439,$L$6:L439,L439)=1,1,0),0))</f>
        <v>0</v>
      </c>
      <c r="Q439">
        <f>IF(A439="","",IF(AND(K439&lt;&gt;"",M439&lt;&gt;""),IF(COUNTIFS($K$6:K439,K439,$M$6:M439,M439)=1,1,0),0))</f>
        <v>0</v>
      </c>
      <c r="R439">
        <f>IF(A439="","",IF(M439&lt;&gt;"",IF(COUNTIF($M$6:M439,M439)=1,1,0),0))</f>
        <v>0</v>
      </c>
      <c r="T439" t="str">
        <f>IF(AND($M439&lt;&gt;"",$M439='Mapa do Galpão'!$C$20),COUNTIF($M$6:$M439,'Mapa do Galpão'!$C$20),"")</f>
        <v/>
      </c>
    </row>
    <row r="440" spans="1:20" ht="14.25" hidden="1" customHeight="1" x14ac:dyDescent="0.3">
      <c r="A440" s="43" t="s">
        <v>1316</v>
      </c>
      <c r="B440" s="44" t="s">
        <v>665</v>
      </c>
      <c r="C440" s="165" t="s">
        <v>418</v>
      </c>
      <c r="D440" s="45" t="str">
        <f t="shared" si="12"/>
        <v>—</v>
      </c>
      <c r="E440" s="43" t="s">
        <v>1100</v>
      </c>
      <c r="F440" s="43" t="s">
        <v>1317</v>
      </c>
      <c r="G440" s="43" t="s">
        <v>798</v>
      </c>
      <c r="H440" s="43" t="s">
        <v>1087</v>
      </c>
      <c r="I440" s="46">
        <f>SUMIFS(Movimentações!$F$6:$F$4998,Movimentações!$C$6:$C$4998,A440,Movimentações!$M$6:$M$4998,M440)</f>
        <v>18</v>
      </c>
      <c r="J440" s="43" t="s">
        <v>670</v>
      </c>
      <c r="K440" s="43" t="s">
        <v>671</v>
      </c>
      <c r="L440" s="47">
        <v>15</v>
      </c>
      <c r="M440" s="43" t="s">
        <v>1318</v>
      </c>
      <c r="N440" s="43" t="str">
        <f t="shared" si="13"/>
        <v>Rua A · Prat 15 · C-95</v>
      </c>
      <c r="P440">
        <f>IF(A440="","",IF(AND(K440&lt;&gt;"",L440&lt;&gt;""),IF(COUNTIFS($K$6:K440,K440,$L$6:L440,L440)=1,1,0),0))</f>
        <v>0</v>
      </c>
      <c r="Q440">
        <f>IF(A440="","",IF(AND(K440&lt;&gt;"",M440&lt;&gt;""),IF(COUNTIFS($K$6:K440,K440,$M$6:M440,M440)=1,1,0),0))</f>
        <v>1</v>
      </c>
      <c r="R440">
        <f>IF(A440="","",IF(M440&lt;&gt;"",IF(COUNTIF($M$6:M440,M440)=1,1,0),0))</f>
        <v>1</v>
      </c>
      <c r="T440" t="str">
        <f>IF(AND($M440&lt;&gt;"",$M440='Mapa do Galpão'!$C$20),COUNTIF($M$6:$M440,'Mapa do Galpão'!$C$20),"")</f>
        <v/>
      </c>
    </row>
    <row r="441" spans="1:20" ht="14.25" hidden="1" customHeight="1" x14ac:dyDescent="0.3">
      <c r="A441" s="43" t="s">
        <v>1319</v>
      </c>
      <c r="B441" s="44" t="s">
        <v>665</v>
      </c>
      <c r="C441" s="165" t="s">
        <v>419</v>
      </c>
      <c r="D441" s="45" t="str">
        <f t="shared" si="12"/>
        <v>—</v>
      </c>
      <c r="E441" s="43" t="s">
        <v>1320</v>
      </c>
      <c r="F441" s="43" t="s">
        <v>1321</v>
      </c>
      <c r="G441" s="43" t="s">
        <v>668</v>
      </c>
      <c r="H441" s="43" t="s">
        <v>1087</v>
      </c>
      <c r="I441" s="46">
        <f>SUMIFS(Movimentações!$F$6:$F$4998,Movimentações!$C$6:$C$4998,A441,Movimentações!$M$6:$M$4998,M441)</f>
        <v>5</v>
      </c>
      <c r="J441" s="43" t="s">
        <v>670</v>
      </c>
      <c r="K441" s="43" t="s">
        <v>671</v>
      </c>
      <c r="L441" s="47">
        <v>13</v>
      </c>
      <c r="M441" s="43" t="s">
        <v>1322</v>
      </c>
      <c r="N441" s="43" t="str">
        <f t="shared" si="13"/>
        <v>Rua A · Prat 13 · C-96</v>
      </c>
      <c r="P441">
        <f>IF(A441="","",IF(AND(K441&lt;&gt;"",L441&lt;&gt;""),IF(COUNTIFS($K$6:K441,K441,$L$6:L441,L441)=1,1,0),0))</f>
        <v>0</v>
      </c>
      <c r="Q441">
        <f>IF(A441="","",IF(AND(K441&lt;&gt;"",M441&lt;&gt;""),IF(COUNTIFS($K$6:K441,K441,$M$6:M441,M441)=1,1,0),0))</f>
        <v>1</v>
      </c>
      <c r="R441">
        <f>IF(A441="","",IF(M441&lt;&gt;"",IF(COUNTIF($M$6:M441,M441)=1,1,0),0))</f>
        <v>1</v>
      </c>
      <c r="T441" t="str">
        <f>IF(AND($M441&lt;&gt;"",$M441='Mapa do Galpão'!$C$20),COUNTIF($M$6:$M441,'Mapa do Galpão'!$C$20),"")</f>
        <v/>
      </c>
    </row>
    <row r="442" spans="1:20" ht="14.25" hidden="1" customHeight="1" x14ac:dyDescent="0.3">
      <c r="A442" s="43" t="s">
        <v>1323</v>
      </c>
      <c r="B442" s="44" t="s">
        <v>665</v>
      </c>
      <c r="C442" s="165" t="s">
        <v>420</v>
      </c>
      <c r="D442" s="45" t="str">
        <f t="shared" si="12"/>
        <v>—</v>
      </c>
      <c r="E442" s="43" t="s">
        <v>1184</v>
      </c>
      <c r="F442" s="43" t="s">
        <v>1324</v>
      </c>
      <c r="G442" s="43" t="s">
        <v>755</v>
      </c>
      <c r="H442" s="43" t="s">
        <v>1087</v>
      </c>
      <c r="I442" s="46">
        <f>SUMIFS(Movimentações!$F$6:$F$4998,Movimentações!$C$6:$C$4998,A442,Movimentações!$M$6:$M$4998,M442)</f>
        <v>0</v>
      </c>
      <c r="J442" s="43" t="s">
        <v>670</v>
      </c>
      <c r="K442" s="43" t="s">
        <v>671</v>
      </c>
      <c r="L442" s="47" t="s">
        <v>1115</v>
      </c>
      <c r="M442" s="43" t="s">
        <v>1325</v>
      </c>
      <c r="N442" s="43" t="str">
        <f t="shared" si="13"/>
        <v>Rua A · Prat 7 · C-97</v>
      </c>
      <c r="P442">
        <f>IF(A442="","",IF(AND(K442&lt;&gt;"",L442&lt;&gt;""),IF(COUNTIFS($K$6:K442,K442,$L$6:L442,L442)=1,1,0),0))</f>
        <v>0</v>
      </c>
      <c r="Q442">
        <f>IF(A442="","",IF(AND(K442&lt;&gt;"",M442&lt;&gt;""),IF(COUNTIFS($K$6:K442,K442,$M$6:M442,M442)=1,1,0),0))</f>
        <v>1</v>
      </c>
      <c r="R442">
        <f>IF(A442="","",IF(M442&lt;&gt;"",IF(COUNTIF($M$6:M442,M442)=1,1,0),0))</f>
        <v>1</v>
      </c>
      <c r="T442" t="str">
        <f>IF(AND($M442&lt;&gt;"",$M442='Mapa do Galpão'!$C$20),COUNTIF($M$6:$M442,'Mapa do Galpão'!$C$20),"")</f>
        <v/>
      </c>
    </row>
    <row r="443" spans="1:20" ht="14.25" hidden="1" customHeight="1" x14ac:dyDescent="0.3">
      <c r="A443" s="43" t="s">
        <v>1326</v>
      </c>
      <c r="B443" s="44" t="s">
        <v>665</v>
      </c>
      <c r="C443" s="165" t="s">
        <v>421</v>
      </c>
      <c r="D443" s="45" t="str">
        <f t="shared" si="12"/>
        <v>—</v>
      </c>
      <c r="E443" s="43" t="s">
        <v>1170</v>
      </c>
      <c r="F443" s="43" t="s">
        <v>1201</v>
      </c>
      <c r="G443" s="43" t="s">
        <v>798</v>
      </c>
      <c r="H443" s="43" t="s">
        <v>1203</v>
      </c>
      <c r="I443" s="46">
        <f>SUMIFS(Movimentações!$F$6:$F$4998,Movimentações!$C$6:$C$4998,A443,Movimentações!$M$6:$M$4998,M443)</f>
        <v>0</v>
      </c>
      <c r="J443" s="43" t="s">
        <v>670</v>
      </c>
      <c r="K443" s="43" t="s">
        <v>671</v>
      </c>
      <c r="L443" s="47" t="s">
        <v>1115</v>
      </c>
      <c r="M443" s="43" t="s">
        <v>1325</v>
      </c>
      <c r="N443" s="43" t="str">
        <f t="shared" si="13"/>
        <v>Rua A · Prat 7 · C-97</v>
      </c>
      <c r="P443">
        <f>IF(A443="","",IF(AND(K443&lt;&gt;"",L443&lt;&gt;""),IF(COUNTIFS($K$6:K443,K443,$L$6:L443,L443)=1,1,0),0))</f>
        <v>0</v>
      </c>
      <c r="Q443">
        <f>IF(A443="","",IF(AND(K443&lt;&gt;"",M443&lt;&gt;""),IF(COUNTIFS($K$6:K443,K443,$M$6:M443,M443)=1,1,0),0))</f>
        <v>0</v>
      </c>
      <c r="R443">
        <f>IF(A443="","",IF(M443&lt;&gt;"",IF(COUNTIF($M$6:M443,M443)=1,1,0),0))</f>
        <v>0</v>
      </c>
      <c r="T443" t="str">
        <f>IF(AND($M443&lt;&gt;"",$M443='Mapa do Galpão'!$C$20),COUNTIF($M$6:$M443,'Mapa do Galpão'!$C$20),"")</f>
        <v/>
      </c>
    </row>
    <row r="444" spans="1:20" ht="14.25" hidden="1" customHeight="1" x14ac:dyDescent="0.3">
      <c r="A444" s="43" t="s">
        <v>1327</v>
      </c>
      <c r="B444" s="44" t="s">
        <v>665</v>
      </c>
      <c r="C444" s="165" t="s">
        <v>422</v>
      </c>
      <c r="D444" s="45" t="str">
        <f t="shared" si="12"/>
        <v>—</v>
      </c>
      <c r="E444" s="43" t="s">
        <v>1328</v>
      </c>
      <c r="F444" s="43" t="s">
        <v>1328</v>
      </c>
      <c r="G444" s="43" t="s">
        <v>798</v>
      </c>
      <c r="H444" s="43" t="s">
        <v>1087</v>
      </c>
      <c r="I444" s="46">
        <f>SUMIFS(Movimentações!$F$6:$F$4998,Movimentações!$C$6:$C$4998,A444,Movimentações!$M$6:$M$4998,M444)</f>
        <v>24</v>
      </c>
      <c r="J444" s="43" t="s">
        <v>670</v>
      </c>
      <c r="K444" s="43" t="s">
        <v>671</v>
      </c>
      <c r="L444" s="47">
        <v>13</v>
      </c>
      <c r="M444" s="43" t="s">
        <v>1094</v>
      </c>
      <c r="N444" s="43" t="str">
        <f t="shared" si="13"/>
        <v>Rua A · Prat 13 · C-98</v>
      </c>
      <c r="P444">
        <f>IF(A444="","",IF(AND(K444&lt;&gt;"",L444&lt;&gt;""),IF(COUNTIFS($K$6:K444,K444,$L$6:L444,L444)=1,1,0),0))</f>
        <v>0</v>
      </c>
      <c r="Q444">
        <f>IF(A444="","",IF(AND(K444&lt;&gt;"",M444&lt;&gt;""),IF(COUNTIFS($K$6:K444,K444,$M$6:M444,M444)=1,1,0),0))</f>
        <v>0</v>
      </c>
      <c r="R444">
        <f>IF(A444="","",IF(M444&lt;&gt;"",IF(COUNTIF($M$6:M444,M444)=1,1,0),0))</f>
        <v>0</v>
      </c>
      <c r="T444" t="str">
        <f>IF(AND($M444&lt;&gt;"",$M444='Mapa do Galpão'!$C$20),COUNTIF($M$6:$M444,'Mapa do Galpão'!$C$20),"")</f>
        <v/>
      </c>
    </row>
    <row r="445" spans="1:20" ht="14.25" hidden="1" customHeight="1" x14ac:dyDescent="0.3">
      <c r="A445" s="43" t="s">
        <v>1329</v>
      </c>
      <c r="B445" s="44" t="s">
        <v>665</v>
      </c>
      <c r="C445" s="165" t="s">
        <v>423</v>
      </c>
      <c r="D445" s="45" t="str">
        <f t="shared" si="12"/>
        <v>Feminino</v>
      </c>
      <c r="E445" s="43" t="s">
        <v>666</v>
      </c>
      <c r="F445" s="43" t="s">
        <v>1330</v>
      </c>
      <c r="G445" s="43" t="s">
        <v>668</v>
      </c>
      <c r="H445" s="43" t="s">
        <v>680</v>
      </c>
      <c r="I445" s="46">
        <f>SUMIFS(Movimentações!$F$6:$F$4998,Movimentações!$C$6:$C$4998,A445,Movimentações!$M$6:$M$4998,M445)</f>
        <v>8</v>
      </c>
      <c r="J445" s="43" t="s">
        <v>670</v>
      </c>
      <c r="K445" s="43" t="s">
        <v>671</v>
      </c>
      <c r="L445" s="47">
        <v>14</v>
      </c>
      <c r="M445" s="43" t="s">
        <v>1331</v>
      </c>
      <c r="N445" s="43" t="str">
        <f t="shared" si="13"/>
        <v>Rua A · Prat 14 · C-100</v>
      </c>
      <c r="P445">
        <f>IF(A445="","",IF(AND(K445&lt;&gt;"",L445&lt;&gt;""),IF(COUNTIFS($K$6:K445,K445,$L$6:L445,L445)=1,1,0),0))</f>
        <v>0</v>
      </c>
      <c r="Q445">
        <f>IF(A445="","",IF(AND(K445&lt;&gt;"",M445&lt;&gt;""),IF(COUNTIFS($K$6:K445,K445,$M$6:M445,M445)=1,1,0),0))</f>
        <v>1</v>
      </c>
      <c r="R445">
        <f>IF(A445="","",IF(M445&lt;&gt;"",IF(COUNTIF($M$6:M445,M445)=1,1,0),0))</f>
        <v>1</v>
      </c>
      <c r="T445" t="str">
        <f>IF(AND($M445&lt;&gt;"",$M445='Mapa do Galpão'!$C$20),COUNTIF($M$6:$M445,'Mapa do Galpão'!$C$20),"")</f>
        <v/>
      </c>
    </row>
    <row r="446" spans="1:20" ht="14.25" hidden="1" customHeight="1" x14ac:dyDescent="0.3">
      <c r="A446" s="43" t="s">
        <v>1332</v>
      </c>
      <c r="B446" s="44" t="s">
        <v>665</v>
      </c>
      <c r="C446" s="165" t="s">
        <v>424</v>
      </c>
      <c r="D446" s="45" t="str">
        <f t="shared" si="12"/>
        <v>Feminino</v>
      </c>
      <c r="E446" s="43" t="s">
        <v>666</v>
      </c>
      <c r="F446" s="43" t="s">
        <v>1330</v>
      </c>
      <c r="G446" s="43" t="s">
        <v>668</v>
      </c>
      <c r="H446" s="43" t="s">
        <v>675</v>
      </c>
      <c r="I446" s="46">
        <f>SUMIFS(Movimentações!$F$6:$F$4998,Movimentações!$C$6:$C$4998,A446,Movimentações!$M$6:$M$4998,M446)</f>
        <v>10</v>
      </c>
      <c r="J446" s="43" t="s">
        <v>670</v>
      </c>
      <c r="K446" s="43" t="s">
        <v>671</v>
      </c>
      <c r="L446" s="47">
        <v>14</v>
      </c>
      <c r="M446" s="43" t="s">
        <v>1331</v>
      </c>
      <c r="N446" s="43" t="str">
        <f t="shared" si="13"/>
        <v>Rua A · Prat 14 · C-100</v>
      </c>
      <c r="P446">
        <f>IF(A446="","",IF(AND(K446&lt;&gt;"",L446&lt;&gt;""),IF(COUNTIFS($K$6:K446,K446,$L$6:L446,L446)=1,1,0),0))</f>
        <v>0</v>
      </c>
      <c r="Q446">
        <f>IF(A446="","",IF(AND(K446&lt;&gt;"",M446&lt;&gt;""),IF(COUNTIFS($K$6:K446,K446,$M$6:M446,M446)=1,1,0),0))</f>
        <v>0</v>
      </c>
      <c r="R446">
        <f>IF(A446="","",IF(M446&lt;&gt;"",IF(COUNTIF($M$6:M446,M446)=1,1,0),0))</f>
        <v>0</v>
      </c>
      <c r="T446" t="str">
        <f>IF(AND($M446&lt;&gt;"",$M446='Mapa do Galpão'!$C$20),COUNTIF($M$6:$M446,'Mapa do Galpão'!$C$20),"")</f>
        <v/>
      </c>
    </row>
    <row r="447" spans="1:20" ht="14.25" hidden="1" customHeight="1" x14ac:dyDescent="0.3">
      <c r="A447" s="43" t="s">
        <v>1333</v>
      </c>
      <c r="B447" s="44" t="s">
        <v>665</v>
      </c>
      <c r="C447" s="165" t="s">
        <v>425</v>
      </c>
      <c r="D447" s="45" t="str">
        <f t="shared" si="12"/>
        <v>Feminino</v>
      </c>
      <c r="E447" s="43" t="s">
        <v>666</v>
      </c>
      <c r="F447" s="43" t="s">
        <v>1330</v>
      </c>
      <c r="G447" s="43" t="s">
        <v>668</v>
      </c>
      <c r="H447" s="43" t="s">
        <v>669</v>
      </c>
      <c r="I447" s="46">
        <f>SUMIFS(Movimentações!$F$6:$F$4998,Movimentações!$C$6:$C$4998,A447,Movimentações!$M$6:$M$4998,M447)</f>
        <v>10</v>
      </c>
      <c r="J447" s="43" t="s">
        <v>670</v>
      </c>
      <c r="K447" s="43" t="s">
        <v>671</v>
      </c>
      <c r="L447" s="47">
        <v>14</v>
      </c>
      <c r="M447" s="43" t="s">
        <v>1331</v>
      </c>
      <c r="N447" s="43" t="str">
        <f t="shared" si="13"/>
        <v>Rua A · Prat 14 · C-100</v>
      </c>
      <c r="P447">
        <f>IF(A447="","",IF(AND(K447&lt;&gt;"",L447&lt;&gt;""),IF(COUNTIFS($K$6:K447,K447,$L$6:L447,L447)=1,1,0),0))</f>
        <v>0</v>
      </c>
      <c r="Q447">
        <f>IF(A447="","",IF(AND(K447&lt;&gt;"",M447&lt;&gt;""),IF(COUNTIFS($K$6:K447,K447,$M$6:M447,M447)=1,1,0),0))</f>
        <v>0</v>
      </c>
      <c r="R447">
        <f>IF(A447="","",IF(M447&lt;&gt;"",IF(COUNTIF($M$6:M447,M447)=1,1,0),0))</f>
        <v>0</v>
      </c>
      <c r="T447" t="str">
        <f>IF(AND($M447&lt;&gt;"",$M447='Mapa do Galpão'!$C$20),COUNTIF($M$6:$M447,'Mapa do Galpão'!$C$20),"")</f>
        <v/>
      </c>
    </row>
    <row r="448" spans="1:20" ht="14.25" hidden="1" customHeight="1" x14ac:dyDescent="0.3">
      <c r="A448" s="43" t="s">
        <v>1334</v>
      </c>
      <c r="B448" s="44" t="s">
        <v>665</v>
      </c>
      <c r="C448" s="165" t="s">
        <v>426</v>
      </c>
      <c r="D448" s="45" t="str">
        <f t="shared" si="12"/>
        <v>Feminino</v>
      </c>
      <c r="E448" s="43" t="s">
        <v>666</v>
      </c>
      <c r="F448" s="43" t="s">
        <v>1330</v>
      </c>
      <c r="G448" s="43" t="s">
        <v>668</v>
      </c>
      <c r="H448" s="43" t="s">
        <v>682</v>
      </c>
      <c r="I448" s="46">
        <f>SUMIFS(Movimentações!$F$6:$F$4998,Movimentações!$C$6:$C$4998,A448,Movimentações!$M$6:$M$4998,M448)</f>
        <v>13</v>
      </c>
      <c r="J448" s="43" t="s">
        <v>670</v>
      </c>
      <c r="K448" s="43" t="s">
        <v>671</v>
      </c>
      <c r="L448" s="47">
        <v>14</v>
      </c>
      <c r="M448" s="43" t="s">
        <v>1331</v>
      </c>
      <c r="N448" s="43" t="str">
        <f t="shared" si="13"/>
        <v>Rua A · Prat 14 · C-100</v>
      </c>
      <c r="P448">
        <f>IF(A448="","",IF(AND(K448&lt;&gt;"",L448&lt;&gt;""),IF(COUNTIFS($K$6:K448,K448,$L$6:L448,L448)=1,1,0),0))</f>
        <v>0</v>
      </c>
      <c r="Q448">
        <f>IF(A448="","",IF(AND(K448&lt;&gt;"",M448&lt;&gt;""),IF(COUNTIFS($K$6:K448,K448,$M$6:M448,M448)=1,1,0),0))</f>
        <v>0</v>
      </c>
      <c r="R448">
        <f>IF(A448="","",IF(M448&lt;&gt;"",IF(COUNTIF($M$6:M448,M448)=1,1,0),0))</f>
        <v>0</v>
      </c>
      <c r="T448" t="str">
        <f>IF(AND($M448&lt;&gt;"",$M448='Mapa do Galpão'!$C$20),COUNTIF($M$6:$M448,'Mapa do Galpão'!$C$20),"")</f>
        <v/>
      </c>
    </row>
    <row r="449" spans="1:20" ht="14.25" hidden="1" customHeight="1" x14ac:dyDescent="0.3">
      <c r="A449" s="43" t="s">
        <v>1335</v>
      </c>
      <c r="B449" s="44" t="s">
        <v>665</v>
      </c>
      <c r="C449" s="165" t="s">
        <v>427</v>
      </c>
      <c r="D449" s="45" t="str">
        <f t="shared" si="12"/>
        <v>Feminino</v>
      </c>
      <c r="E449" s="43" t="s">
        <v>666</v>
      </c>
      <c r="F449" s="43" t="s">
        <v>1330</v>
      </c>
      <c r="G449" s="43" t="s">
        <v>668</v>
      </c>
      <c r="H449" s="43" t="s">
        <v>677</v>
      </c>
      <c r="I449" s="46">
        <f>SUMIFS(Movimentações!$F$6:$F$4998,Movimentações!$C$6:$C$4998,A449,Movimentações!$M$6:$M$4998,M449)</f>
        <v>10</v>
      </c>
      <c r="J449" s="43" t="s">
        <v>670</v>
      </c>
      <c r="K449" s="43" t="s">
        <v>671</v>
      </c>
      <c r="L449" s="47">
        <v>14</v>
      </c>
      <c r="M449" s="43" t="s">
        <v>1331</v>
      </c>
      <c r="N449" s="43" t="str">
        <f t="shared" si="13"/>
        <v>Rua A · Prat 14 · C-100</v>
      </c>
      <c r="P449">
        <f>IF(A449="","",IF(AND(K449&lt;&gt;"",L449&lt;&gt;""),IF(COUNTIFS($K$6:K449,K449,$L$6:L449,L449)=1,1,0),0))</f>
        <v>0</v>
      </c>
      <c r="Q449">
        <f>IF(A449="","",IF(AND(K449&lt;&gt;"",M449&lt;&gt;""),IF(COUNTIFS($K$6:K449,K449,$M$6:M449,M449)=1,1,0),0))</f>
        <v>0</v>
      </c>
      <c r="R449">
        <f>IF(A449="","",IF(M449&lt;&gt;"",IF(COUNTIF($M$6:M449,M449)=1,1,0),0))</f>
        <v>0</v>
      </c>
      <c r="T449" t="str">
        <f>IF(AND($M449&lt;&gt;"",$M449='Mapa do Galpão'!$C$20),COUNTIF($M$6:$M449,'Mapa do Galpão'!$C$20),"")</f>
        <v/>
      </c>
    </row>
    <row r="450" spans="1:20" ht="14.25" hidden="1" customHeight="1" x14ac:dyDescent="0.3">
      <c r="A450" s="43" t="s">
        <v>1336</v>
      </c>
      <c r="B450" s="44" t="s">
        <v>665</v>
      </c>
      <c r="C450" s="165" t="s">
        <v>428</v>
      </c>
      <c r="D450" s="45" t="str">
        <f t="shared" si="12"/>
        <v>Feminino</v>
      </c>
      <c r="E450" s="43" t="s">
        <v>684</v>
      </c>
      <c r="F450" s="43" t="s">
        <v>1238</v>
      </c>
      <c r="G450" s="43" t="s">
        <v>738</v>
      </c>
      <c r="H450" s="43" t="s">
        <v>680</v>
      </c>
      <c r="I450" s="46">
        <f>SUMIFS(Movimentações!$F$6:$F$4998,Movimentações!$C$6:$C$4998,A450,Movimentações!$M$6:$M$4998,M450)</f>
        <v>0</v>
      </c>
      <c r="J450" s="43" t="s">
        <v>670</v>
      </c>
      <c r="K450" s="43" t="s">
        <v>671</v>
      </c>
      <c r="L450" s="47" t="s">
        <v>1115</v>
      </c>
      <c r="M450" s="43" t="s">
        <v>1239</v>
      </c>
      <c r="N450" s="43" t="str">
        <f t="shared" si="13"/>
        <v>Rua A · Prat 7 · C-101</v>
      </c>
      <c r="P450">
        <f>IF(A450="","",IF(AND(K450&lt;&gt;"",L450&lt;&gt;""),IF(COUNTIFS($K$6:K450,K450,$L$6:L450,L450)=1,1,0),0))</f>
        <v>0</v>
      </c>
      <c r="Q450">
        <f>IF(A450="","",IF(AND(K450&lt;&gt;"",M450&lt;&gt;""),IF(COUNTIFS($K$6:K450,K450,$M$6:M450,M450)=1,1,0),0))</f>
        <v>0</v>
      </c>
      <c r="R450">
        <f>IF(A450="","",IF(M450&lt;&gt;"",IF(COUNTIF($M$6:M450,M450)=1,1,0),0))</f>
        <v>0</v>
      </c>
      <c r="T450" t="str">
        <f>IF(AND($M450&lt;&gt;"",$M450='Mapa do Galpão'!$C$20),COUNTIF($M$6:$M450,'Mapa do Galpão'!$C$20),"")</f>
        <v/>
      </c>
    </row>
    <row r="451" spans="1:20" ht="14.25" hidden="1" customHeight="1" x14ac:dyDescent="0.3">
      <c r="A451" s="43" t="s">
        <v>1337</v>
      </c>
      <c r="B451" s="44" t="s">
        <v>665</v>
      </c>
      <c r="C451" s="165" t="s">
        <v>429</v>
      </c>
      <c r="D451" s="45" t="str">
        <f t="shared" si="12"/>
        <v>Feminino</v>
      </c>
      <c r="E451" s="43" t="s">
        <v>684</v>
      </c>
      <c r="F451" s="43" t="s">
        <v>1238</v>
      </c>
      <c r="G451" s="43" t="s">
        <v>738</v>
      </c>
      <c r="H451" s="43" t="s">
        <v>675</v>
      </c>
      <c r="I451" s="46">
        <f>SUMIFS(Movimentações!$F$6:$F$4998,Movimentações!$C$6:$C$4998,A451,Movimentações!$M$6:$M$4998,M451)</f>
        <v>0</v>
      </c>
      <c r="J451" s="43" t="s">
        <v>670</v>
      </c>
      <c r="K451" s="43" t="s">
        <v>671</v>
      </c>
      <c r="L451" s="47" t="s">
        <v>1115</v>
      </c>
      <c r="M451" s="43" t="s">
        <v>1239</v>
      </c>
      <c r="N451" s="43" t="str">
        <f t="shared" si="13"/>
        <v>Rua A · Prat 7 · C-101</v>
      </c>
      <c r="P451">
        <f>IF(A451="","",IF(AND(K451&lt;&gt;"",L451&lt;&gt;""),IF(COUNTIFS($K$6:K451,K451,$L$6:L451,L451)=1,1,0),0))</f>
        <v>0</v>
      </c>
      <c r="Q451">
        <f>IF(A451="","",IF(AND(K451&lt;&gt;"",M451&lt;&gt;""),IF(COUNTIFS($K$6:K451,K451,$M$6:M451,M451)=1,1,0),0))</f>
        <v>0</v>
      </c>
      <c r="R451">
        <f>IF(A451="","",IF(M451&lt;&gt;"",IF(COUNTIF($M$6:M451,M451)=1,1,0),0))</f>
        <v>0</v>
      </c>
      <c r="T451" t="str">
        <f>IF(AND($M451&lt;&gt;"",$M451='Mapa do Galpão'!$C$20),COUNTIF($M$6:$M451,'Mapa do Galpão'!$C$20),"")</f>
        <v/>
      </c>
    </row>
    <row r="452" spans="1:20" ht="14.25" hidden="1" customHeight="1" x14ac:dyDescent="0.3">
      <c r="A452" s="43" t="s">
        <v>1338</v>
      </c>
      <c r="B452" s="44" t="s">
        <v>665</v>
      </c>
      <c r="C452" s="165" t="s">
        <v>430</v>
      </c>
      <c r="D452" s="45" t="str">
        <f t="shared" si="12"/>
        <v>Feminino</v>
      </c>
      <c r="E452" s="43" t="s">
        <v>684</v>
      </c>
      <c r="F452" s="43" t="s">
        <v>1238</v>
      </c>
      <c r="G452" s="43" t="s">
        <v>738</v>
      </c>
      <c r="H452" s="43" t="s">
        <v>669</v>
      </c>
      <c r="I452" s="46">
        <f>SUMIFS(Movimentações!$F$6:$F$4998,Movimentações!$C$6:$C$4998,A452,Movimentações!$M$6:$M$4998,M452)</f>
        <v>0</v>
      </c>
      <c r="J452" s="43" t="s">
        <v>670</v>
      </c>
      <c r="K452" s="43" t="s">
        <v>671</v>
      </c>
      <c r="L452" s="47" t="s">
        <v>1115</v>
      </c>
      <c r="M452" s="43" t="s">
        <v>1239</v>
      </c>
      <c r="N452" s="43" t="str">
        <f t="shared" si="13"/>
        <v>Rua A · Prat 7 · C-101</v>
      </c>
      <c r="P452">
        <f>IF(A452="","",IF(AND(K452&lt;&gt;"",L452&lt;&gt;""),IF(COUNTIFS($K$6:K452,K452,$L$6:L452,L452)=1,1,0),0))</f>
        <v>0</v>
      </c>
      <c r="Q452">
        <f>IF(A452="","",IF(AND(K452&lt;&gt;"",M452&lt;&gt;""),IF(COUNTIFS($K$6:K452,K452,$M$6:M452,M452)=1,1,0),0))</f>
        <v>0</v>
      </c>
      <c r="R452">
        <f>IF(A452="","",IF(M452&lt;&gt;"",IF(COUNTIF($M$6:M452,M452)=1,1,0),0))</f>
        <v>0</v>
      </c>
      <c r="T452" t="str">
        <f>IF(AND($M452&lt;&gt;"",$M452='Mapa do Galpão'!$C$20),COUNTIF($M$6:$M452,'Mapa do Galpão'!$C$20),"")</f>
        <v/>
      </c>
    </row>
    <row r="453" spans="1:20" ht="14.25" hidden="1" customHeight="1" x14ac:dyDescent="0.3">
      <c r="A453" s="43" t="s">
        <v>1339</v>
      </c>
      <c r="B453" s="44" t="s">
        <v>665</v>
      </c>
      <c r="C453" s="165" t="s">
        <v>431</v>
      </c>
      <c r="D453" s="45" t="str">
        <f t="shared" si="12"/>
        <v>Feminino</v>
      </c>
      <c r="E453" s="43" t="s">
        <v>684</v>
      </c>
      <c r="F453" s="43" t="s">
        <v>1238</v>
      </c>
      <c r="G453" s="43" t="s">
        <v>738</v>
      </c>
      <c r="H453" s="43" t="s">
        <v>682</v>
      </c>
      <c r="I453" s="46">
        <f>SUMIFS(Movimentações!$F$6:$F$4998,Movimentações!$C$6:$C$4998,A453,Movimentações!$M$6:$M$4998,M453)</f>
        <v>0</v>
      </c>
      <c r="J453" s="43" t="s">
        <v>670</v>
      </c>
      <c r="K453" s="43" t="s">
        <v>671</v>
      </c>
      <c r="L453" s="47" t="s">
        <v>1115</v>
      </c>
      <c r="M453" s="43" t="s">
        <v>1239</v>
      </c>
      <c r="N453" s="43" t="str">
        <f t="shared" si="13"/>
        <v>Rua A · Prat 7 · C-101</v>
      </c>
      <c r="P453">
        <f>IF(A453="","",IF(AND(K453&lt;&gt;"",L453&lt;&gt;""),IF(COUNTIFS($K$6:K453,K453,$L$6:L453,L453)=1,1,0),0))</f>
        <v>0</v>
      </c>
      <c r="Q453">
        <f>IF(A453="","",IF(AND(K453&lt;&gt;"",M453&lt;&gt;""),IF(COUNTIFS($K$6:K453,K453,$M$6:M453,M453)=1,1,0),0))</f>
        <v>0</v>
      </c>
      <c r="R453">
        <f>IF(A453="","",IF(M453&lt;&gt;"",IF(COUNTIF($M$6:M453,M453)=1,1,0),0))</f>
        <v>0</v>
      </c>
      <c r="T453" t="str">
        <f>IF(AND($M453&lt;&gt;"",$M453='Mapa do Galpão'!$C$20),COUNTIF($M$6:$M453,'Mapa do Galpão'!$C$20),"")</f>
        <v/>
      </c>
    </row>
    <row r="454" spans="1:20" ht="14.25" hidden="1" customHeight="1" x14ac:dyDescent="0.3">
      <c r="A454" s="43" t="s">
        <v>1340</v>
      </c>
      <c r="B454" s="44" t="s">
        <v>665</v>
      </c>
      <c r="C454" s="165" t="s">
        <v>432</v>
      </c>
      <c r="D454" s="45" t="str">
        <f t="shared" ref="D454:D485" si="14">IF(C454="","",IFERROR(IF(TRIM(MID(SUBSTITUTE(C454,".",REPT(" ",50)),51,50))="01","Masculino",IF(TRIM(MID(SUBSTITUTE(C454,".",REPT(" ",50)),51,50))="02","Feminino",IF(TRIM(MID(SUBSTITUTE(C454,".",REPT(" ",50)),51,50))="03","Outros","—"))),"—"))</f>
        <v>Feminino</v>
      </c>
      <c r="E454" s="43" t="s">
        <v>684</v>
      </c>
      <c r="F454" s="43" t="s">
        <v>1238</v>
      </c>
      <c r="G454" s="43" t="s">
        <v>738</v>
      </c>
      <c r="H454" s="43" t="s">
        <v>677</v>
      </c>
      <c r="I454" s="46">
        <f>SUMIFS(Movimentações!$F$6:$F$4998,Movimentações!$C$6:$C$4998,A454,Movimentações!$M$6:$M$4998,M454)</f>
        <v>0</v>
      </c>
      <c r="J454" s="43" t="s">
        <v>670</v>
      </c>
      <c r="K454" s="43" t="s">
        <v>671</v>
      </c>
      <c r="L454" s="47" t="s">
        <v>1115</v>
      </c>
      <c r="M454" s="43" t="s">
        <v>1239</v>
      </c>
      <c r="N454" s="43" t="str">
        <f t="shared" ref="N454:N485" si="15">IF(AND(K454="",L454="",M454=""),"⚠ sem endereço","Rua "&amp;K454&amp;IF(L454="",""," · Prat "&amp;L454)&amp;IF(M454="",""," · "&amp;M454))</f>
        <v>Rua A · Prat 7 · C-101</v>
      </c>
      <c r="P454">
        <f>IF(A454="","",IF(AND(K454&lt;&gt;"",L454&lt;&gt;""),IF(COUNTIFS($K$6:K454,K454,$L$6:L454,L454)=1,1,0),0))</f>
        <v>0</v>
      </c>
      <c r="Q454">
        <f>IF(A454="","",IF(AND(K454&lt;&gt;"",M454&lt;&gt;""),IF(COUNTIFS($K$6:K454,K454,$M$6:M454,M454)=1,1,0),0))</f>
        <v>0</v>
      </c>
      <c r="R454">
        <f>IF(A454="","",IF(M454&lt;&gt;"",IF(COUNTIF($M$6:M454,M454)=1,1,0),0))</f>
        <v>0</v>
      </c>
      <c r="T454" t="str">
        <f>IF(AND($M454&lt;&gt;"",$M454='Mapa do Galpão'!$C$20),COUNTIF($M$6:$M454,'Mapa do Galpão'!$C$20),"")</f>
        <v/>
      </c>
    </row>
    <row r="455" spans="1:20" ht="14.25" hidden="1" customHeight="1" x14ac:dyDescent="0.3">
      <c r="A455" s="43" t="s">
        <v>1341</v>
      </c>
      <c r="B455" s="44" t="s">
        <v>665</v>
      </c>
      <c r="C455" s="165" t="s">
        <v>433</v>
      </c>
      <c r="D455" s="45" t="str">
        <f t="shared" si="14"/>
        <v>Feminino</v>
      </c>
      <c r="E455" s="43" t="s">
        <v>684</v>
      </c>
      <c r="F455" s="43" t="s">
        <v>1238</v>
      </c>
      <c r="G455" s="43" t="s">
        <v>798</v>
      </c>
      <c r="H455" s="43" t="s">
        <v>669</v>
      </c>
      <c r="I455" s="46">
        <f>SUMIFS(Movimentações!$F$6:$F$4998,Movimentações!$C$6:$C$4998,A455,Movimentações!$M$6:$M$4998,M455)</f>
        <v>0</v>
      </c>
      <c r="J455" s="43" t="s">
        <v>670</v>
      </c>
      <c r="K455" s="43" t="s">
        <v>671</v>
      </c>
      <c r="L455" s="47" t="s">
        <v>1115</v>
      </c>
      <c r="M455" s="43" t="s">
        <v>1239</v>
      </c>
      <c r="N455" s="43" t="str">
        <f t="shared" si="15"/>
        <v>Rua A · Prat 7 · C-101</v>
      </c>
      <c r="P455">
        <f>IF(A455="","",IF(AND(K455&lt;&gt;"",L455&lt;&gt;""),IF(COUNTIFS($K$6:K455,K455,$L$6:L455,L455)=1,1,0),0))</f>
        <v>0</v>
      </c>
      <c r="Q455">
        <f>IF(A455="","",IF(AND(K455&lt;&gt;"",M455&lt;&gt;""),IF(COUNTIFS($K$6:K455,K455,$M$6:M455,M455)=1,1,0),0))</f>
        <v>0</v>
      </c>
      <c r="R455">
        <f>IF(A455="","",IF(M455&lt;&gt;"",IF(COUNTIF($M$6:M455,M455)=1,1,0),0))</f>
        <v>0</v>
      </c>
      <c r="T455" t="str">
        <f>IF(AND($M455&lt;&gt;"",$M455='Mapa do Galpão'!$C$20),COUNTIF($M$6:$M455,'Mapa do Galpão'!$C$20),"")</f>
        <v/>
      </c>
    </row>
    <row r="456" spans="1:20" ht="14.25" hidden="1" customHeight="1" x14ac:dyDescent="0.3">
      <c r="A456" s="43" t="s">
        <v>1342</v>
      </c>
      <c r="B456" s="44" t="s">
        <v>665</v>
      </c>
      <c r="C456" s="165" t="s">
        <v>434</v>
      </c>
      <c r="D456" s="45" t="str">
        <f t="shared" si="14"/>
        <v>Feminino</v>
      </c>
      <c r="E456" s="43" t="s">
        <v>684</v>
      </c>
      <c r="F456" s="43" t="s">
        <v>1238</v>
      </c>
      <c r="G456" s="43" t="s">
        <v>798</v>
      </c>
      <c r="H456" s="43" t="s">
        <v>677</v>
      </c>
      <c r="I456" s="46">
        <f>SUMIFS(Movimentações!$F$6:$F$4998,Movimentações!$C$6:$C$4998,A456,Movimentações!$M$6:$M$4998,M456)</f>
        <v>0</v>
      </c>
      <c r="J456" s="43" t="s">
        <v>670</v>
      </c>
      <c r="K456" s="43" t="s">
        <v>671</v>
      </c>
      <c r="L456" s="47" t="s">
        <v>1115</v>
      </c>
      <c r="M456" s="43" t="s">
        <v>1239</v>
      </c>
      <c r="N456" s="43" t="str">
        <f t="shared" si="15"/>
        <v>Rua A · Prat 7 · C-101</v>
      </c>
      <c r="P456">
        <f>IF(A456="","",IF(AND(K456&lt;&gt;"",L456&lt;&gt;""),IF(COUNTIFS($K$6:K456,K456,$L$6:L456,L456)=1,1,0),0))</f>
        <v>0</v>
      </c>
      <c r="Q456">
        <f>IF(A456="","",IF(AND(K456&lt;&gt;"",M456&lt;&gt;""),IF(COUNTIFS($K$6:K456,K456,$M$6:M456,M456)=1,1,0),0))</f>
        <v>0</v>
      </c>
      <c r="R456">
        <f>IF(A456="","",IF(M456&lt;&gt;"",IF(COUNTIF($M$6:M456,M456)=1,1,0),0))</f>
        <v>0</v>
      </c>
      <c r="T456" t="str">
        <f>IF(AND($M456&lt;&gt;"",$M456='Mapa do Galpão'!$C$20),COUNTIF($M$6:$M456,'Mapa do Galpão'!$C$20),"")</f>
        <v/>
      </c>
    </row>
    <row r="457" spans="1:20" ht="14.25" hidden="1" customHeight="1" x14ac:dyDescent="0.3">
      <c r="A457" s="43" t="s">
        <v>1343</v>
      </c>
      <c r="B457" s="44" t="s">
        <v>665</v>
      </c>
      <c r="C457" s="165" t="s">
        <v>435</v>
      </c>
      <c r="D457" s="45" t="str">
        <f t="shared" si="14"/>
        <v>—</v>
      </c>
      <c r="E457" s="43" t="s">
        <v>1344</v>
      </c>
      <c r="F457" s="43" t="s">
        <v>1345</v>
      </c>
      <c r="G457" s="43" t="s">
        <v>668</v>
      </c>
      <c r="H457" s="43" t="s">
        <v>1087</v>
      </c>
      <c r="I457" s="46">
        <f>SUMIFS(Movimentações!$F$6:$F$4998,Movimentações!$C$6:$C$4998,A457,Movimentações!$M$6:$M$4998,M457)</f>
        <v>24</v>
      </c>
      <c r="J457" s="43" t="s">
        <v>670</v>
      </c>
      <c r="K457" s="43" t="s">
        <v>671</v>
      </c>
      <c r="L457" s="47">
        <v>15</v>
      </c>
      <c r="M457" s="43" t="s">
        <v>1177</v>
      </c>
      <c r="N457" s="43" t="str">
        <f t="shared" si="15"/>
        <v>Rua A · Prat 15 · C-115</v>
      </c>
      <c r="P457">
        <f>IF(A457="","",IF(AND(K457&lt;&gt;"",L457&lt;&gt;""),IF(COUNTIFS($K$6:K457,K457,$L$6:L457,L457)=1,1,0),0))</f>
        <v>0</v>
      </c>
      <c r="Q457">
        <f>IF(A457="","",IF(AND(K457&lt;&gt;"",M457&lt;&gt;""),IF(COUNTIFS($K$6:K457,K457,$M$6:M457,M457)=1,1,0),0))</f>
        <v>0</v>
      </c>
      <c r="R457">
        <f>IF(A457="","",IF(M457&lt;&gt;"",IF(COUNTIF($M$6:M457,M457)=1,1,0),0))</f>
        <v>0</v>
      </c>
      <c r="T457" t="str">
        <f>IF(AND($M457&lt;&gt;"",$M457='Mapa do Galpão'!$C$20),COUNTIF($M$6:$M457,'Mapa do Galpão'!$C$20),"")</f>
        <v/>
      </c>
    </row>
    <row r="458" spans="1:20" ht="14.25" hidden="1" customHeight="1" x14ac:dyDescent="0.3">
      <c r="A458" s="43" t="s">
        <v>1346</v>
      </c>
      <c r="B458" s="44" t="s">
        <v>665</v>
      </c>
      <c r="C458" s="165" t="s">
        <v>436</v>
      </c>
      <c r="D458" s="45" t="str">
        <f t="shared" si="14"/>
        <v>—</v>
      </c>
      <c r="E458" s="43" t="s">
        <v>1344</v>
      </c>
      <c r="F458" s="43" t="s">
        <v>1345</v>
      </c>
      <c r="G458" s="43" t="s">
        <v>1075</v>
      </c>
      <c r="H458" s="43" t="s">
        <v>1087</v>
      </c>
      <c r="I458" s="46">
        <f>SUMIFS(Movimentações!$F$6:$F$4998,Movimentações!$C$6:$C$4998,A458,Movimentações!$M$6:$M$4998,M458)</f>
        <v>30</v>
      </c>
      <c r="J458" s="43" t="s">
        <v>670</v>
      </c>
      <c r="K458" s="43" t="s">
        <v>671</v>
      </c>
      <c r="L458" s="47">
        <v>15</v>
      </c>
      <c r="M458" s="43" t="s">
        <v>1177</v>
      </c>
      <c r="N458" s="43" t="str">
        <f t="shared" si="15"/>
        <v>Rua A · Prat 15 · C-115</v>
      </c>
      <c r="P458">
        <f>IF(A458="","",IF(AND(K458&lt;&gt;"",L458&lt;&gt;""),IF(COUNTIFS($K$6:K458,K458,$L$6:L458,L458)=1,1,0),0))</f>
        <v>0</v>
      </c>
      <c r="Q458">
        <f>IF(A458="","",IF(AND(K458&lt;&gt;"",M458&lt;&gt;""),IF(COUNTIFS($K$6:K458,K458,$M$6:M458,M458)=1,1,0),0))</f>
        <v>0</v>
      </c>
      <c r="R458">
        <f>IF(A458="","",IF(M458&lt;&gt;"",IF(COUNTIF($M$6:M458,M458)=1,1,0),0))</f>
        <v>0</v>
      </c>
      <c r="T458" t="str">
        <f>IF(AND($M458&lt;&gt;"",$M458='Mapa do Galpão'!$C$20),COUNTIF($M$6:$M458,'Mapa do Galpão'!$C$20),"")</f>
        <v/>
      </c>
    </row>
    <row r="459" spans="1:20" ht="14.25" hidden="1" customHeight="1" x14ac:dyDescent="0.3">
      <c r="A459" s="43" t="s">
        <v>1347</v>
      </c>
      <c r="B459" s="44" t="s">
        <v>665</v>
      </c>
      <c r="C459" s="165" t="s">
        <v>437</v>
      </c>
      <c r="D459" s="45" t="str">
        <f t="shared" si="14"/>
        <v>—</v>
      </c>
      <c r="E459" s="43" t="s">
        <v>1344</v>
      </c>
      <c r="F459" s="43" t="s">
        <v>1345</v>
      </c>
      <c r="G459" s="43" t="s">
        <v>956</v>
      </c>
      <c r="H459" s="43" t="s">
        <v>1087</v>
      </c>
      <c r="I459" s="46">
        <f>SUMIFS(Movimentações!$F$6:$F$4998,Movimentações!$C$6:$C$4998,A459,Movimentações!$M$6:$M$4998,M459)</f>
        <v>0</v>
      </c>
      <c r="J459" s="43" t="s">
        <v>670</v>
      </c>
      <c r="K459" s="43" t="s">
        <v>671</v>
      </c>
      <c r="L459" s="47">
        <v>15</v>
      </c>
      <c r="M459" s="43" t="s">
        <v>1177</v>
      </c>
      <c r="N459" s="43" t="str">
        <f t="shared" si="15"/>
        <v>Rua A · Prat 15 · C-115</v>
      </c>
      <c r="P459">
        <f>IF(A459="","",IF(AND(K459&lt;&gt;"",L459&lt;&gt;""),IF(COUNTIFS($K$6:K459,K459,$L$6:L459,L459)=1,1,0),0))</f>
        <v>0</v>
      </c>
      <c r="Q459">
        <f>IF(A459="","",IF(AND(K459&lt;&gt;"",M459&lt;&gt;""),IF(COUNTIFS($K$6:K459,K459,$M$6:M459,M459)=1,1,0),0))</f>
        <v>0</v>
      </c>
      <c r="R459">
        <f>IF(A459="","",IF(M459&lt;&gt;"",IF(COUNTIF($M$6:M459,M459)=1,1,0),0))</f>
        <v>0</v>
      </c>
      <c r="T459" t="str">
        <f>IF(AND($M459&lt;&gt;"",$M459='Mapa do Galpão'!$C$20),COUNTIF($M$6:$M459,'Mapa do Galpão'!$C$20),"")</f>
        <v/>
      </c>
    </row>
    <row r="460" spans="1:20" ht="14.25" hidden="1" customHeight="1" x14ac:dyDescent="0.3">
      <c r="A460" s="43" t="s">
        <v>1348</v>
      </c>
      <c r="B460" s="44" t="s">
        <v>665</v>
      </c>
      <c r="C460" s="165" t="s">
        <v>438</v>
      </c>
      <c r="D460" s="45" t="str">
        <f t="shared" si="14"/>
        <v>—</v>
      </c>
      <c r="E460" s="43" t="s">
        <v>1344</v>
      </c>
      <c r="F460" s="43" t="s">
        <v>1349</v>
      </c>
      <c r="G460" s="43" t="s">
        <v>1075</v>
      </c>
      <c r="H460" s="43" t="s">
        <v>1087</v>
      </c>
      <c r="I460" s="46">
        <f>SUMIFS(Movimentações!$F$6:$F$4998,Movimentações!$C$6:$C$4998,A460,Movimentações!$M$6:$M$4998,M460)</f>
        <v>47</v>
      </c>
      <c r="J460" s="43" t="s">
        <v>670</v>
      </c>
      <c r="K460" s="43" t="s">
        <v>671</v>
      </c>
      <c r="L460" s="47">
        <v>15</v>
      </c>
      <c r="M460" s="43" t="s">
        <v>1177</v>
      </c>
      <c r="N460" s="43" t="str">
        <f t="shared" si="15"/>
        <v>Rua A · Prat 15 · C-115</v>
      </c>
      <c r="P460">
        <f>IF(A460="","",IF(AND(K460&lt;&gt;"",L460&lt;&gt;""),IF(COUNTIFS($K$6:K460,K460,$L$6:L460,L460)=1,1,0),0))</f>
        <v>0</v>
      </c>
      <c r="Q460">
        <f>IF(A460="","",IF(AND(K460&lt;&gt;"",M460&lt;&gt;""),IF(COUNTIFS($K$6:K460,K460,$M$6:M460,M460)=1,1,0),0))</f>
        <v>0</v>
      </c>
      <c r="R460">
        <f>IF(A460="","",IF(M460&lt;&gt;"",IF(COUNTIF($M$6:M460,M460)=1,1,0),0))</f>
        <v>0</v>
      </c>
      <c r="T460" t="str">
        <f>IF(AND($M460&lt;&gt;"",$M460='Mapa do Galpão'!$C$20),COUNTIF($M$6:$M460,'Mapa do Galpão'!$C$20),"")</f>
        <v/>
      </c>
    </row>
    <row r="461" spans="1:20" ht="14.25" hidden="1" customHeight="1" x14ac:dyDescent="0.3">
      <c r="A461" s="43" t="s">
        <v>1350</v>
      </c>
      <c r="B461" s="44" t="s">
        <v>665</v>
      </c>
      <c r="C461" s="165" t="s">
        <v>439</v>
      </c>
      <c r="D461" s="45" t="str">
        <f t="shared" si="14"/>
        <v>—</v>
      </c>
      <c r="E461" s="43" t="s">
        <v>1351</v>
      </c>
      <c r="F461" s="43" t="s">
        <v>1352</v>
      </c>
      <c r="G461" s="43" t="s">
        <v>1075</v>
      </c>
      <c r="H461" s="43" t="s">
        <v>1087</v>
      </c>
      <c r="I461" s="46">
        <f>SUMIFS(Movimentações!$F$6:$F$4998,Movimentações!$C$6:$C$4998,A461,Movimentações!$M$6:$M$4998,M461)</f>
        <v>14</v>
      </c>
      <c r="J461" s="43" t="s">
        <v>670</v>
      </c>
      <c r="K461" s="43" t="s">
        <v>671</v>
      </c>
      <c r="L461" s="47">
        <v>15</v>
      </c>
      <c r="M461" s="43" t="s">
        <v>1177</v>
      </c>
      <c r="N461" s="43" t="str">
        <f t="shared" si="15"/>
        <v>Rua A · Prat 15 · C-115</v>
      </c>
      <c r="P461">
        <f>IF(A461="","",IF(AND(K461&lt;&gt;"",L461&lt;&gt;""),IF(COUNTIFS($K$6:K461,K461,$L$6:L461,L461)=1,1,0),0))</f>
        <v>0</v>
      </c>
      <c r="Q461">
        <f>IF(A461="","",IF(AND(K461&lt;&gt;"",M461&lt;&gt;""),IF(COUNTIFS($K$6:K461,K461,$M$6:M461,M461)=1,1,0),0))</f>
        <v>0</v>
      </c>
      <c r="R461">
        <f>IF(A461="","",IF(M461&lt;&gt;"",IF(COUNTIF($M$6:M461,M461)=1,1,0),0))</f>
        <v>0</v>
      </c>
      <c r="T461" t="str">
        <f>IF(AND($M461&lt;&gt;"",$M461='Mapa do Galpão'!$C$20),COUNTIF($M$6:$M461,'Mapa do Galpão'!$C$20),"")</f>
        <v/>
      </c>
    </row>
    <row r="462" spans="1:20" ht="14.25" hidden="1" customHeight="1" x14ac:dyDescent="0.3">
      <c r="A462" s="43" t="s">
        <v>1353</v>
      </c>
      <c r="B462" s="44" t="s">
        <v>665</v>
      </c>
      <c r="C462" s="165" t="s">
        <v>440</v>
      </c>
      <c r="D462" s="45" t="str">
        <f t="shared" si="14"/>
        <v>—</v>
      </c>
      <c r="E462" s="43" t="s">
        <v>1351</v>
      </c>
      <c r="F462" s="43" t="s">
        <v>1352</v>
      </c>
      <c r="G462" s="43" t="s">
        <v>668</v>
      </c>
      <c r="H462" s="43" t="s">
        <v>1087</v>
      </c>
      <c r="I462" s="46">
        <f>SUMIFS(Movimentações!$F$6:$F$4998,Movimentações!$C$6:$C$4998,A462,Movimentações!$M$6:$M$4998,M462)</f>
        <v>0</v>
      </c>
      <c r="J462" s="43" t="s">
        <v>670</v>
      </c>
      <c r="K462" s="43" t="s">
        <v>671</v>
      </c>
      <c r="L462" s="47">
        <v>15</v>
      </c>
      <c r="M462" s="43" t="s">
        <v>1177</v>
      </c>
      <c r="N462" s="43" t="str">
        <f t="shared" si="15"/>
        <v>Rua A · Prat 15 · C-115</v>
      </c>
      <c r="P462">
        <f>IF(A462="","",IF(AND(K462&lt;&gt;"",L462&lt;&gt;""),IF(COUNTIFS($K$6:K462,K462,$L$6:L462,L462)=1,1,0),0))</f>
        <v>0</v>
      </c>
      <c r="Q462">
        <f>IF(A462="","",IF(AND(K462&lt;&gt;"",M462&lt;&gt;""),IF(COUNTIFS($K$6:K462,K462,$M$6:M462,M462)=1,1,0),0))</f>
        <v>0</v>
      </c>
      <c r="R462">
        <f>IF(A462="","",IF(M462&lt;&gt;"",IF(COUNTIF($M$6:M462,M462)=1,1,0),0))</f>
        <v>0</v>
      </c>
      <c r="T462" t="str">
        <f>IF(AND($M462&lt;&gt;"",$M462='Mapa do Galpão'!$C$20),COUNTIF($M$6:$M462,'Mapa do Galpão'!$C$20),"")</f>
        <v/>
      </c>
    </row>
    <row r="463" spans="1:20" ht="14.25" hidden="1" customHeight="1" x14ac:dyDescent="0.3">
      <c r="A463" s="43" t="s">
        <v>1354</v>
      </c>
      <c r="B463" s="44" t="s">
        <v>665</v>
      </c>
      <c r="C463" s="165" t="s">
        <v>441</v>
      </c>
      <c r="D463" s="45" t="str">
        <f t="shared" si="14"/>
        <v>—</v>
      </c>
      <c r="E463" s="43" t="s">
        <v>1355</v>
      </c>
      <c r="F463" s="43" t="s">
        <v>1356</v>
      </c>
      <c r="G463" s="43" t="s">
        <v>1131</v>
      </c>
      <c r="H463" s="43" t="s">
        <v>1087</v>
      </c>
      <c r="I463" s="46">
        <f>SUMIFS(Movimentações!$F$6:$F$4998,Movimentações!$C$6:$C$4998,A463,Movimentações!$M$6:$M$4998,M463)</f>
        <v>0</v>
      </c>
      <c r="J463" s="43" t="s">
        <v>670</v>
      </c>
      <c r="K463" s="43" t="s">
        <v>671</v>
      </c>
      <c r="L463" s="47">
        <v>15</v>
      </c>
      <c r="M463" s="43" t="s">
        <v>1177</v>
      </c>
      <c r="N463" s="43" t="str">
        <f t="shared" si="15"/>
        <v>Rua A · Prat 15 · C-115</v>
      </c>
      <c r="P463">
        <f>IF(A463="","",IF(AND(K463&lt;&gt;"",L463&lt;&gt;""),IF(COUNTIFS($K$6:K463,K463,$L$6:L463,L463)=1,1,0),0))</f>
        <v>0</v>
      </c>
      <c r="Q463">
        <f>IF(A463="","",IF(AND(K463&lt;&gt;"",M463&lt;&gt;""),IF(COUNTIFS($K$6:K463,K463,$M$6:M463,M463)=1,1,0),0))</f>
        <v>0</v>
      </c>
      <c r="R463">
        <f>IF(A463="","",IF(M463&lt;&gt;"",IF(COUNTIF($M$6:M463,M463)=1,1,0),0))</f>
        <v>0</v>
      </c>
      <c r="T463" t="str">
        <f>IF(AND($M463&lt;&gt;"",$M463='Mapa do Galpão'!$C$20),COUNTIF($M$6:$M463,'Mapa do Galpão'!$C$20),"")</f>
        <v/>
      </c>
    </row>
    <row r="464" spans="1:20" ht="14.25" hidden="1" customHeight="1" x14ac:dyDescent="0.3">
      <c r="A464" s="43" t="s">
        <v>1357</v>
      </c>
      <c r="B464" s="44" t="s">
        <v>665</v>
      </c>
      <c r="C464" s="165" t="s">
        <v>442</v>
      </c>
      <c r="D464" s="45" t="str">
        <f t="shared" si="14"/>
        <v>—</v>
      </c>
      <c r="E464" s="43" t="s">
        <v>1355</v>
      </c>
      <c r="F464" s="43" t="s">
        <v>1356</v>
      </c>
      <c r="G464" s="43" t="s">
        <v>1075</v>
      </c>
      <c r="H464" s="43" t="s">
        <v>1087</v>
      </c>
      <c r="I464" s="46">
        <f>SUMIFS(Movimentações!$F$6:$F$4998,Movimentações!$C$6:$C$4998,A464,Movimentações!$M$6:$M$4998,M464)</f>
        <v>0</v>
      </c>
      <c r="J464" s="43" t="s">
        <v>670</v>
      </c>
      <c r="K464" s="43" t="s">
        <v>671</v>
      </c>
      <c r="L464" s="47">
        <v>15</v>
      </c>
      <c r="M464" s="43" t="s">
        <v>1177</v>
      </c>
      <c r="N464" s="43" t="str">
        <f t="shared" si="15"/>
        <v>Rua A · Prat 15 · C-115</v>
      </c>
      <c r="P464">
        <f>IF(A464="","",IF(AND(K464&lt;&gt;"",L464&lt;&gt;""),IF(COUNTIFS($K$6:K464,K464,$L$6:L464,L464)=1,1,0),0))</f>
        <v>0</v>
      </c>
      <c r="Q464">
        <f>IF(A464="","",IF(AND(K464&lt;&gt;"",M464&lt;&gt;""),IF(COUNTIFS($K$6:K464,K464,$M$6:M464,M464)=1,1,0),0))</f>
        <v>0</v>
      </c>
      <c r="R464">
        <f>IF(A464="","",IF(M464&lt;&gt;"",IF(COUNTIF($M$6:M464,M464)=1,1,0),0))</f>
        <v>0</v>
      </c>
      <c r="T464" t="str">
        <f>IF(AND($M464&lt;&gt;"",$M464='Mapa do Galpão'!$C$20),COUNTIF($M$6:$M464,'Mapa do Galpão'!$C$20),"")</f>
        <v/>
      </c>
    </row>
    <row r="465" spans="1:20" ht="14.25" hidden="1" customHeight="1" x14ac:dyDescent="0.3">
      <c r="A465" s="43" t="s">
        <v>1358</v>
      </c>
      <c r="B465" s="44" t="s">
        <v>665</v>
      </c>
      <c r="C465" s="165" t="s">
        <v>443</v>
      </c>
      <c r="D465" s="45" t="str">
        <f t="shared" si="14"/>
        <v>—</v>
      </c>
      <c r="E465" s="43" t="s">
        <v>21</v>
      </c>
      <c r="F465" s="43" t="s">
        <v>1359</v>
      </c>
      <c r="G465" s="43" t="s">
        <v>1360</v>
      </c>
      <c r="H465" s="43" t="s">
        <v>1361</v>
      </c>
      <c r="I465" s="46">
        <f>SUMIFS(Movimentações!$F$6:$F$4998,Movimentações!$C$6:$C$4998,A465,Movimentações!$M$6:$M$4998,M465)</f>
        <v>1</v>
      </c>
      <c r="J465" s="43" t="s">
        <v>670</v>
      </c>
      <c r="K465" s="43" t="s">
        <v>671</v>
      </c>
      <c r="L465" s="47">
        <v>12</v>
      </c>
      <c r="M465" s="43" t="s">
        <v>1362</v>
      </c>
      <c r="N465" s="43" t="str">
        <f t="shared" si="15"/>
        <v>Rua A · Prat 12 · C-105</v>
      </c>
      <c r="P465">
        <f>IF(A465="","",IF(AND(K465&lt;&gt;"",L465&lt;&gt;""),IF(COUNTIFS($K$6:K465,K465,$L$6:L465,L465)=1,1,0),0))</f>
        <v>0</v>
      </c>
      <c r="Q465">
        <f>IF(A465="","",IF(AND(K465&lt;&gt;"",M465&lt;&gt;""),IF(COUNTIFS($K$6:K465,K465,$M$6:M465,M465)=1,1,0),0))</f>
        <v>1</v>
      </c>
      <c r="R465">
        <f>IF(A465="","",IF(M465&lt;&gt;"",IF(COUNTIF($M$6:M465,M465)=1,1,0),0))</f>
        <v>1</v>
      </c>
      <c r="T465" t="str">
        <f>IF(AND($M465&lt;&gt;"",$M465='Mapa do Galpão'!$C$20),COUNTIF($M$6:$M465,'Mapa do Galpão'!$C$20),"")</f>
        <v/>
      </c>
    </row>
    <row r="466" spans="1:20" ht="14.25" hidden="1" customHeight="1" x14ac:dyDescent="0.3">
      <c r="A466" s="43" t="s">
        <v>1363</v>
      </c>
      <c r="B466" s="44" t="s">
        <v>665</v>
      </c>
      <c r="C466" s="165" t="s">
        <v>444</v>
      </c>
      <c r="D466" s="45" t="str">
        <f t="shared" si="14"/>
        <v>—</v>
      </c>
      <c r="E466" s="43" t="s">
        <v>21</v>
      </c>
      <c r="F466" s="43" t="s">
        <v>1364</v>
      </c>
      <c r="G466" s="43" t="s">
        <v>1360</v>
      </c>
      <c r="H466" s="43" t="s">
        <v>1365</v>
      </c>
      <c r="I466" s="46">
        <f>SUMIFS(Movimentações!$F$6:$F$4998,Movimentações!$C$6:$C$4998,A466,Movimentações!$M$6:$M$4998,M466)</f>
        <v>4</v>
      </c>
      <c r="J466" s="43" t="s">
        <v>670</v>
      </c>
      <c r="K466" s="43" t="s">
        <v>671</v>
      </c>
      <c r="L466" s="47">
        <v>12</v>
      </c>
      <c r="M466" s="43" t="s">
        <v>1362</v>
      </c>
      <c r="N466" s="43" t="str">
        <f t="shared" si="15"/>
        <v>Rua A · Prat 12 · C-105</v>
      </c>
      <c r="P466">
        <f>IF(A466="","",IF(AND(K466&lt;&gt;"",L466&lt;&gt;""),IF(COUNTIFS($K$6:K466,K466,$L$6:L466,L466)=1,1,0),0))</f>
        <v>0</v>
      </c>
      <c r="Q466">
        <f>IF(A466="","",IF(AND(K466&lt;&gt;"",M466&lt;&gt;""),IF(COUNTIFS($K$6:K466,K466,$M$6:M466,M466)=1,1,0),0))</f>
        <v>0</v>
      </c>
      <c r="R466">
        <f>IF(A466="","",IF(M466&lt;&gt;"",IF(COUNTIF($M$6:M466,M466)=1,1,0),0))</f>
        <v>0</v>
      </c>
      <c r="T466" t="str">
        <f>IF(AND($M466&lt;&gt;"",$M466='Mapa do Galpão'!$C$20),COUNTIF($M$6:$M466,'Mapa do Galpão'!$C$20),"")</f>
        <v/>
      </c>
    </row>
    <row r="467" spans="1:20" ht="14.25" hidden="1" customHeight="1" x14ac:dyDescent="0.3">
      <c r="A467" s="43" t="s">
        <v>1366</v>
      </c>
      <c r="B467" s="44" t="s">
        <v>665</v>
      </c>
      <c r="C467" s="165" t="s">
        <v>445</v>
      </c>
      <c r="D467" s="45" t="str">
        <f t="shared" si="14"/>
        <v>—</v>
      </c>
      <c r="E467" s="43" t="s">
        <v>21</v>
      </c>
      <c r="F467" s="43" t="s">
        <v>1367</v>
      </c>
      <c r="G467" s="43" t="s">
        <v>1360</v>
      </c>
      <c r="H467" s="43" t="s">
        <v>1087</v>
      </c>
      <c r="I467" s="46">
        <f>SUMIFS(Movimentações!$F$6:$F$4998,Movimentações!$C$6:$C$4998,A467,Movimentações!$M$6:$M$4998,M467)</f>
        <v>1</v>
      </c>
      <c r="J467" s="43" t="s">
        <v>670</v>
      </c>
      <c r="K467" s="43" t="s">
        <v>671</v>
      </c>
      <c r="L467" s="47">
        <v>12</v>
      </c>
      <c r="M467" s="43" t="s">
        <v>1362</v>
      </c>
      <c r="N467" s="43" t="str">
        <f t="shared" si="15"/>
        <v>Rua A · Prat 12 · C-105</v>
      </c>
      <c r="P467">
        <f>IF(A467="","",IF(AND(K467&lt;&gt;"",L467&lt;&gt;""),IF(COUNTIFS($K$6:K467,K467,$L$6:L467,L467)=1,1,0),0))</f>
        <v>0</v>
      </c>
      <c r="Q467">
        <f>IF(A467="","",IF(AND(K467&lt;&gt;"",M467&lt;&gt;""),IF(COUNTIFS($K$6:K467,K467,$M$6:M467,M467)=1,1,0),0))</f>
        <v>0</v>
      </c>
      <c r="R467">
        <f>IF(A467="","",IF(M467&lt;&gt;"",IF(COUNTIF($M$6:M467,M467)=1,1,0),0))</f>
        <v>0</v>
      </c>
      <c r="T467" t="str">
        <f>IF(AND($M467&lt;&gt;"",$M467='Mapa do Galpão'!$C$20),COUNTIF($M$6:$M467,'Mapa do Galpão'!$C$20),"")</f>
        <v/>
      </c>
    </row>
    <row r="468" spans="1:20" ht="14.25" hidden="1" customHeight="1" x14ac:dyDescent="0.3">
      <c r="A468" s="43" t="s">
        <v>1368</v>
      </c>
      <c r="B468" s="44" t="s">
        <v>665</v>
      </c>
      <c r="C468" s="165" t="s">
        <v>446</v>
      </c>
      <c r="D468" s="45" t="str">
        <f t="shared" si="14"/>
        <v>—</v>
      </c>
      <c r="E468" s="43" t="s">
        <v>21</v>
      </c>
      <c r="F468" s="43" t="s">
        <v>1369</v>
      </c>
      <c r="G468" s="43" t="s">
        <v>1360</v>
      </c>
      <c r="H468" s="43" t="s">
        <v>1370</v>
      </c>
      <c r="I468" s="46">
        <f>SUMIFS(Movimentações!$F$6:$F$4998,Movimentações!$C$6:$C$4998,A468,Movimentações!$M$6:$M$4998,M468)</f>
        <v>5</v>
      </c>
      <c r="J468" s="43" t="s">
        <v>670</v>
      </c>
      <c r="K468" s="43" t="s">
        <v>671</v>
      </c>
      <c r="L468" s="47">
        <v>12</v>
      </c>
      <c r="M468" s="43" t="s">
        <v>1371</v>
      </c>
      <c r="N468" s="43" t="str">
        <f t="shared" si="15"/>
        <v>Rua A · Prat 12 · C-106</v>
      </c>
      <c r="P468">
        <f>IF(A468="","",IF(AND(K468&lt;&gt;"",L468&lt;&gt;""),IF(COUNTIFS($K$6:K468,K468,$L$6:L468,L468)=1,1,0),0))</f>
        <v>0</v>
      </c>
      <c r="Q468">
        <f>IF(A468="","",IF(AND(K468&lt;&gt;"",M468&lt;&gt;""),IF(COUNTIFS($K$6:K468,K468,$M$6:M468,M468)=1,1,0),0))</f>
        <v>1</v>
      </c>
      <c r="R468">
        <f>IF(A468="","",IF(M468&lt;&gt;"",IF(COUNTIF($M$6:M468,M468)=1,1,0),0))</f>
        <v>1</v>
      </c>
      <c r="T468" t="str">
        <f>IF(AND($M468&lt;&gt;"",$M468='Mapa do Galpão'!$C$20),COUNTIF($M$6:$M468,'Mapa do Galpão'!$C$20),"")</f>
        <v/>
      </c>
    </row>
    <row r="469" spans="1:20" ht="14.25" hidden="1" customHeight="1" x14ac:dyDescent="0.3">
      <c r="A469" s="43" t="s">
        <v>1372</v>
      </c>
      <c r="B469" s="44" t="s">
        <v>665</v>
      </c>
      <c r="C469" s="165" t="s">
        <v>447</v>
      </c>
      <c r="D469" s="45" t="str">
        <f t="shared" si="14"/>
        <v>—</v>
      </c>
      <c r="E469" s="43" t="s">
        <v>21</v>
      </c>
      <c r="F469" s="43" t="s">
        <v>1373</v>
      </c>
      <c r="G469" s="43" t="s">
        <v>1360</v>
      </c>
      <c r="H469" s="43" t="s">
        <v>1087</v>
      </c>
      <c r="I469" s="46">
        <f>SUMIFS(Movimentações!$F$6:$F$4998,Movimentações!$C$6:$C$4998,A469,Movimentações!$M$6:$M$4998,M469)</f>
        <v>1</v>
      </c>
      <c r="J469" s="43" t="s">
        <v>670</v>
      </c>
      <c r="K469" s="43" t="s">
        <v>671</v>
      </c>
      <c r="L469" s="47">
        <v>12</v>
      </c>
      <c r="M469" s="43" t="s">
        <v>1371</v>
      </c>
      <c r="N469" s="43" t="str">
        <f t="shared" si="15"/>
        <v>Rua A · Prat 12 · C-106</v>
      </c>
      <c r="P469">
        <f>IF(A469="","",IF(AND(K469&lt;&gt;"",L469&lt;&gt;""),IF(COUNTIFS($K$6:K469,K469,$L$6:L469,L469)=1,1,0),0))</f>
        <v>0</v>
      </c>
      <c r="Q469">
        <f>IF(A469="","",IF(AND(K469&lt;&gt;"",M469&lt;&gt;""),IF(COUNTIFS($K$6:K469,K469,$M$6:M469,M469)=1,1,0),0))</f>
        <v>0</v>
      </c>
      <c r="R469">
        <f>IF(A469="","",IF(M469&lt;&gt;"",IF(COUNTIF($M$6:M469,M469)=1,1,0),0))</f>
        <v>0</v>
      </c>
      <c r="T469" t="str">
        <f>IF(AND($M469&lt;&gt;"",$M469='Mapa do Galpão'!$C$20),COUNTIF($M$6:$M469,'Mapa do Galpão'!$C$20),"")</f>
        <v/>
      </c>
    </row>
    <row r="470" spans="1:20" ht="14.25" hidden="1" customHeight="1" x14ac:dyDescent="0.3">
      <c r="A470" s="43" t="s">
        <v>1374</v>
      </c>
      <c r="B470" s="44" t="s">
        <v>665</v>
      </c>
      <c r="C470" s="165" t="s">
        <v>448</v>
      </c>
      <c r="D470" s="45" t="str">
        <f t="shared" si="14"/>
        <v>—</v>
      </c>
      <c r="E470" s="43" t="s">
        <v>21</v>
      </c>
      <c r="F470" s="43" t="s">
        <v>1369</v>
      </c>
      <c r="G470" s="43" t="s">
        <v>1075</v>
      </c>
      <c r="H470" s="43" t="s">
        <v>1370</v>
      </c>
      <c r="I470" s="46">
        <f>SUMIFS(Movimentações!$F$6:$F$4998,Movimentações!$C$6:$C$4998,A470,Movimentações!$M$6:$M$4998,M470)</f>
        <v>5</v>
      </c>
      <c r="J470" s="43" t="s">
        <v>670</v>
      </c>
      <c r="K470" s="43" t="s">
        <v>671</v>
      </c>
      <c r="L470" s="47">
        <v>12</v>
      </c>
      <c r="M470" s="43" t="s">
        <v>1375</v>
      </c>
      <c r="N470" s="43" t="str">
        <f t="shared" si="15"/>
        <v>Rua A · Prat 12 · C-107</v>
      </c>
      <c r="P470">
        <f>IF(A470="","",IF(AND(K470&lt;&gt;"",L470&lt;&gt;""),IF(COUNTIFS($K$6:K470,K470,$L$6:L470,L470)=1,1,0),0))</f>
        <v>0</v>
      </c>
      <c r="Q470">
        <f>IF(A470="","",IF(AND(K470&lt;&gt;"",M470&lt;&gt;""),IF(COUNTIFS($K$6:K470,K470,$M$6:M470,M470)=1,1,0),0))</f>
        <v>1</v>
      </c>
      <c r="R470">
        <f>IF(A470="","",IF(M470&lt;&gt;"",IF(COUNTIF($M$6:M470,M470)=1,1,0),0))</f>
        <v>1</v>
      </c>
      <c r="T470" t="str">
        <f>IF(AND($M470&lt;&gt;"",$M470='Mapa do Galpão'!$C$20),COUNTIF($M$6:$M470,'Mapa do Galpão'!$C$20),"")</f>
        <v/>
      </c>
    </row>
    <row r="471" spans="1:20" ht="14.25" hidden="1" customHeight="1" x14ac:dyDescent="0.3">
      <c r="A471" s="43" t="s">
        <v>1376</v>
      </c>
      <c r="B471" s="44" t="s">
        <v>665</v>
      </c>
      <c r="C471" s="165" t="s">
        <v>449</v>
      </c>
      <c r="D471" s="45" t="str">
        <f t="shared" si="14"/>
        <v>—</v>
      </c>
      <c r="E471" s="43" t="s">
        <v>21</v>
      </c>
      <c r="F471" s="43" t="s">
        <v>1373</v>
      </c>
      <c r="G471" s="43" t="s">
        <v>1075</v>
      </c>
      <c r="H471" s="43" t="s">
        <v>1087</v>
      </c>
      <c r="I471" s="46">
        <f>SUMIFS(Movimentações!$F$6:$F$4998,Movimentações!$C$6:$C$4998,A471,Movimentações!$M$6:$M$4998,M471)</f>
        <v>2</v>
      </c>
      <c r="J471" s="43" t="s">
        <v>670</v>
      </c>
      <c r="K471" s="43" t="s">
        <v>671</v>
      </c>
      <c r="L471" s="47">
        <v>12</v>
      </c>
      <c r="M471" s="43" t="s">
        <v>1375</v>
      </c>
      <c r="N471" s="43" t="str">
        <f t="shared" si="15"/>
        <v>Rua A · Prat 12 · C-107</v>
      </c>
      <c r="P471">
        <f>IF(A471="","",IF(AND(K471&lt;&gt;"",L471&lt;&gt;""),IF(COUNTIFS($K$6:K471,K471,$L$6:L471,L471)=1,1,0),0))</f>
        <v>0</v>
      </c>
      <c r="Q471">
        <f>IF(A471="","",IF(AND(K471&lt;&gt;"",M471&lt;&gt;""),IF(COUNTIFS($K$6:K471,K471,$M$6:M471,M471)=1,1,0),0))</f>
        <v>0</v>
      </c>
      <c r="R471">
        <f>IF(A471="","",IF(M471&lt;&gt;"",IF(COUNTIF($M$6:M471,M471)=1,1,0),0))</f>
        <v>0</v>
      </c>
      <c r="T471" t="str">
        <f>IF(AND($M471&lt;&gt;"",$M471='Mapa do Galpão'!$C$20),COUNTIF($M$6:$M471,'Mapa do Galpão'!$C$20),"")</f>
        <v/>
      </c>
    </row>
    <row r="472" spans="1:20" ht="14.25" hidden="1" customHeight="1" x14ac:dyDescent="0.3">
      <c r="A472" s="48" t="s">
        <v>1377</v>
      </c>
      <c r="B472" s="44" t="s">
        <v>665</v>
      </c>
      <c r="C472" s="165" t="s">
        <v>450</v>
      </c>
      <c r="D472" s="45" t="str">
        <f t="shared" si="14"/>
        <v>Feminino</v>
      </c>
      <c r="E472" s="43" t="s">
        <v>1378</v>
      </c>
      <c r="F472" s="43" t="s">
        <v>1379</v>
      </c>
      <c r="G472" s="43" t="s">
        <v>668</v>
      </c>
      <c r="H472" s="43" t="s">
        <v>680</v>
      </c>
      <c r="I472" s="46">
        <f>SUMIFS(Movimentações!$F$6:$F$4998,Movimentações!$C$6:$C$4998,A472,Movimentações!$M$6:$M$4998,M472)</f>
        <v>2</v>
      </c>
      <c r="J472" s="43" t="s">
        <v>670</v>
      </c>
      <c r="K472" s="43" t="s">
        <v>671</v>
      </c>
      <c r="L472" s="47">
        <v>12</v>
      </c>
      <c r="M472" s="43" t="s">
        <v>1380</v>
      </c>
      <c r="N472" s="43" t="str">
        <f t="shared" si="15"/>
        <v>Rua A · Prat 12 · C-224</v>
      </c>
      <c r="P472">
        <f>IF(A472="","",IF(AND(K472&lt;&gt;"",L472&lt;&gt;""),IF(COUNTIFS($K$6:K472,K472,$L$6:L472,L472)=1,1,0),0))</f>
        <v>0</v>
      </c>
      <c r="Q472">
        <f>IF(A472="","",IF(AND(K472&lt;&gt;"",M472&lt;&gt;""),IF(COUNTIFS($K$6:K472,K472,$M$6:M472,M472)=1,1,0),0))</f>
        <v>1</v>
      </c>
      <c r="R472">
        <f>IF(A472="","",IF(M472&lt;&gt;"",IF(COUNTIF($M$6:M472,M472)=1,1,0),0))</f>
        <v>1</v>
      </c>
      <c r="T472" t="str">
        <f>IF(AND($M472&lt;&gt;"",$M472='Mapa do Galpão'!$C$20),COUNTIF($M$6:$M472,'Mapa do Galpão'!$C$20),"")</f>
        <v/>
      </c>
    </row>
    <row r="473" spans="1:20" ht="14.25" hidden="1" customHeight="1" x14ac:dyDescent="0.3">
      <c r="A473" s="43" t="s">
        <v>1381</v>
      </c>
      <c r="B473" s="44" t="s">
        <v>665</v>
      </c>
      <c r="C473" s="165" t="s">
        <v>451</v>
      </c>
      <c r="D473" s="45" t="str">
        <f t="shared" si="14"/>
        <v>Feminino</v>
      </c>
      <c r="E473" s="43" t="s">
        <v>1378</v>
      </c>
      <c r="F473" s="43" t="s">
        <v>1379</v>
      </c>
      <c r="G473" s="43" t="s">
        <v>668</v>
      </c>
      <c r="H473" s="43" t="s">
        <v>675</v>
      </c>
      <c r="I473" s="46">
        <f>SUMIFS(Movimentações!$F$6:$F$4998,Movimentações!$C$6:$C$4998,A473,Movimentações!$M$6:$M$4998,M473)</f>
        <v>6</v>
      </c>
      <c r="J473" s="43" t="s">
        <v>670</v>
      </c>
      <c r="K473" s="43" t="s">
        <v>671</v>
      </c>
      <c r="L473" s="47">
        <v>12</v>
      </c>
      <c r="M473" s="43" t="s">
        <v>1380</v>
      </c>
      <c r="N473" s="43" t="str">
        <f t="shared" si="15"/>
        <v>Rua A · Prat 12 · C-224</v>
      </c>
      <c r="P473">
        <f>IF(A473="","",IF(AND(K473&lt;&gt;"",L473&lt;&gt;""),IF(COUNTIFS($K$6:K473,K473,$L$6:L473,L473)=1,1,0),0))</f>
        <v>0</v>
      </c>
      <c r="Q473">
        <f>IF(A473="","",IF(AND(K473&lt;&gt;"",M473&lt;&gt;""),IF(COUNTIFS($K$6:K473,K473,$M$6:M473,M473)=1,1,0),0))</f>
        <v>0</v>
      </c>
      <c r="R473">
        <f>IF(A473="","",IF(M473&lt;&gt;"",IF(COUNTIF($M$6:M473,M473)=1,1,0),0))</f>
        <v>0</v>
      </c>
      <c r="T473" t="str">
        <f>IF(AND($M473&lt;&gt;"",$M473='Mapa do Galpão'!$C$20),COUNTIF($M$6:$M473,'Mapa do Galpão'!$C$20),"")</f>
        <v/>
      </c>
    </row>
    <row r="474" spans="1:20" ht="14.25" hidden="1" customHeight="1" x14ac:dyDescent="0.3">
      <c r="A474" s="43" t="s">
        <v>1382</v>
      </c>
      <c r="B474" s="44" t="s">
        <v>665</v>
      </c>
      <c r="C474" s="165" t="s">
        <v>452</v>
      </c>
      <c r="D474" s="45" t="str">
        <f t="shared" si="14"/>
        <v>Feminino</v>
      </c>
      <c r="E474" s="43" t="s">
        <v>1378</v>
      </c>
      <c r="F474" s="43" t="s">
        <v>1379</v>
      </c>
      <c r="G474" s="43" t="s">
        <v>668</v>
      </c>
      <c r="H474" s="43" t="s">
        <v>669</v>
      </c>
      <c r="I474" s="46">
        <f>SUMIFS(Movimentações!$F$6:$F$4998,Movimentações!$C$6:$C$4998,A474,Movimentações!$M$6:$M$4998,M474)</f>
        <v>1</v>
      </c>
      <c r="J474" s="43" t="s">
        <v>670</v>
      </c>
      <c r="K474" s="43" t="s">
        <v>671</v>
      </c>
      <c r="L474" s="47">
        <v>12</v>
      </c>
      <c r="M474" s="43" t="s">
        <v>1380</v>
      </c>
      <c r="N474" s="43" t="str">
        <f t="shared" si="15"/>
        <v>Rua A · Prat 12 · C-224</v>
      </c>
      <c r="P474">
        <f>IF(A474="","",IF(AND(K474&lt;&gt;"",L474&lt;&gt;""),IF(COUNTIFS($K$6:K474,K474,$L$6:L474,L474)=1,1,0),0))</f>
        <v>0</v>
      </c>
      <c r="Q474">
        <f>IF(A474="","",IF(AND(K474&lt;&gt;"",M474&lt;&gt;""),IF(COUNTIFS($K$6:K474,K474,$M$6:M474,M474)=1,1,0),0))</f>
        <v>0</v>
      </c>
      <c r="R474">
        <f>IF(A474="","",IF(M474&lt;&gt;"",IF(COUNTIF($M$6:M474,M474)=1,1,0),0))</f>
        <v>0</v>
      </c>
      <c r="T474" t="str">
        <f>IF(AND($M474&lt;&gt;"",$M474='Mapa do Galpão'!$C$20),COUNTIF($M$6:$M474,'Mapa do Galpão'!$C$20),"")</f>
        <v/>
      </c>
    </row>
    <row r="475" spans="1:20" ht="14.25" hidden="1" customHeight="1" x14ac:dyDescent="0.3">
      <c r="A475" s="43" t="s">
        <v>1383</v>
      </c>
      <c r="B475" s="44" t="s">
        <v>665</v>
      </c>
      <c r="C475" s="165" t="s">
        <v>453</v>
      </c>
      <c r="D475" s="45" t="str">
        <f t="shared" si="14"/>
        <v>Feminino</v>
      </c>
      <c r="E475" s="43" t="s">
        <v>1378</v>
      </c>
      <c r="F475" s="43" t="s">
        <v>1379</v>
      </c>
      <c r="G475" s="43" t="s">
        <v>668</v>
      </c>
      <c r="H475" s="43" t="s">
        <v>682</v>
      </c>
      <c r="I475" s="46">
        <f>SUMIFS(Movimentações!$F$6:$F$4998,Movimentações!$C$6:$C$4998,A475,Movimentações!$M$6:$M$4998,M475)</f>
        <v>4</v>
      </c>
      <c r="J475" s="43" t="s">
        <v>670</v>
      </c>
      <c r="K475" s="43" t="s">
        <v>671</v>
      </c>
      <c r="L475" s="47">
        <v>12</v>
      </c>
      <c r="M475" s="43" t="s">
        <v>1380</v>
      </c>
      <c r="N475" s="43" t="str">
        <f t="shared" si="15"/>
        <v>Rua A · Prat 12 · C-224</v>
      </c>
      <c r="P475">
        <f>IF(A475="","",IF(AND(K475&lt;&gt;"",L475&lt;&gt;""),IF(COUNTIFS($K$6:K475,K475,$L$6:L475,L475)=1,1,0),0))</f>
        <v>0</v>
      </c>
      <c r="Q475">
        <f>IF(A475="","",IF(AND(K475&lt;&gt;"",M475&lt;&gt;""),IF(COUNTIFS($K$6:K475,K475,$M$6:M475,M475)=1,1,0),0))</f>
        <v>0</v>
      </c>
      <c r="R475">
        <f>IF(A475="","",IF(M475&lt;&gt;"",IF(COUNTIF($M$6:M475,M475)=1,1,0),0))</f>
        <v>0</v>
      </c>
      <c r="T475" t="str">
        <f>IF(AND($M475&lt;&gt;"",$M475='Mapa do Galpão'!$C$20),COUNTIF($M$6:$M475,'Mapa do Galpão'!$C$20),"")</f>
        <v/>
      </c>
    </row>
    <row r="476" spans="1:20" ht="14.25" hidden="1" customHeight="1" x14ac:dyDescent="0.3">
      <c r="A476" s="43" t="s">
        <v>1384</v>
      </c>
      <c r="B476" s="44" t="s">
        <v>665</v>
      </c>
      <c r="C476" s="165" t="s">
        <v>406</v>
      </c>
      <c r="D476" s="45" t="str">
        <f t="shared" si="14"/>
        <v>—</v>
      </c>
      <c r="E476" s="43" t="s">
        <v>1289</v>
      </c>
      <c r="F476" s="43" t="s">
        <v>1290</v>
      </c>
      <c r="G476" s="43" t="s">
        <v>668</v>
      </c>
      <c r="H476" s="43" t="s">
        <v>680</v>
      </c>
      <c r="I476" s="46">
        <f>SUMIFS(Movimentações!$F$6:$F$4998,Movimentações!$C$6:$C$4998,A476,Movimentações!$M$6:$M$4998,M476)</f>
        <v>0</v>
      </c>
      <c r="J476" s="43" t="s">
        <v>670</v>
      </c>
      <c r="K476" s="43" t="s">
        <v>671</v>
      </c>
      <c r="L476" s="47">
        <v>12</v>
      </c>
      <c r="M476" s="43" t="s">
        <v>1380</v>
      </c>
      <c r="N476" s="43" t="str">
        <f t="shared" si="15"/>
        <v>Rua A · Prat 12 · C-224</v>
      </c>
      <c r="P476">
        <f>IF(A476="","",IF(AND(K476&lt;&gt;"",L476&lt;&gt;""),IF(COUNTIFS($K$6:K476,K476,$L$6:L476,L476)=1,1,0),0))</f>
        <v>0</v>
      </c>
      <c r="Q476">
        <f>IF(A476="","",IF(AND(K476&lt;&gt;"",M476&lt;&gt;""),IF(COUNTIFS($K$6:K476,K476,$M$6:M476,M476)=1,1,0),0))</f>
        <v>0</v>
      </c>
      <c r="R476">
        <f>IF(A476="","",IF(M476&lt;&gt;"",IF(COUNTIF($M$6:M476,M476)=1,1,0),0))</f>
        <v>0</v>
      </c>
      <c r="T476" t="str">
        <f>IF(AND($M476&lt;&gt;"",$M476='Mapa do Galpão'!$C$20),COUNTIF($M$6:$M476,'Mapa do Galpão'!$C$20),"")</f>
        <v/>
      </c>
    </row>
    <row r="477" spans="1:20" ht="14.25" hidden="1" customHeight="1" x14ac:dyDescent="0.3">
      <c r="A477" s="43" t="s">
        <v>1385</v>
      </c>
      <c r="B477" s="44" t="s">
        <v>665</v>
      </c>
      <c r="C477" s="165" t="s">
        <v>407</v>
      </c>
      <c r="D477" s="45" t="str">
        <f t="shared" si="14"/>
        <v>—</v>
      </c>
      <c r="E477" s="43" t="s">
        <v>1289</v>
      </c>
      <c r="F477" s="43" t="s">
        <v>1290</v>
      </c>
      <c r="G477" s="43" t="s">
        <v>668</v>
      </c>
      <c r="H477" s="43" t="s">
        <v>675</v>
      </c>
      <c r="I477" s="46">
        <f>SUMIFS(Movimentações!$F$6:$F$4998,Movimentações!$C$6:$C$4998,A477,Movimentações!$M$6:$M$4998,M477)</f>
        <v>0</v>
      </c>
      <c r="J477" s="43" t="s">
        <v>670</v>
      </c>
      <c r="K477" s="43" t="s">
        <v>671</v>
      </c>
      <c r="L477" s="47">
        <v>12</v>
      </c>
      <c r="M477" s="43" t="s">
        <v>1380</v>
      </c>
      <c r="N477" s="43" t="str">
        <f t="shared" si="15"/>
        <v>Rua A · Prat 12 · C-224</v>
      </c>
      <c r="P477">
        <f>IF(A477="","",IF(AND(K477&lt;&gt;"",L477&lt;&gt;""),IF(COUNTIFS($K$6:K477,K477,$L$6:L477,L477)=1,1,0),0))</f>
        <v>0</v>
      </c>
      <c r="Q477">
        <f>IF(A477="","",IF(AND(K477&lt;&gt;"",M477&lt;&gt;""),IF(COUNTIFS($K$6:K477,K477,$M$6:M477,M477)=1,1,0),0))</f>
        <v>0</v>
      </c>
      <c r="R477">
        <f>IF(A477="","",IF(M477&lt;&gt;"",IF(COUNTIF($M$6:M477,M477)=1,1,0),0))</f>
        <v>0</v>
      </c>
      <c r="T477" t="str">
        <f>IF(AND($M477&lt;&gt;"",$M477='Mapa do Galpão'!$C$20),COUNTIF($M$6:$M477,'Mapa do Galpão'!$C$20),"")</f>
        <v/>
      </c>
    </row>
    <row r="478" spans="1:20" ht="14.25" hidden="1" customHeight="1" x14ac:dyDescent="0.3">
      <c r="A478" s="43" t="s">
        <v>1386</v>
      </c>
      <c r="B478" s="44" t="s">
        <v>665</v>
      </c>
      <c r="C478" s="165" t="s">
        <v>408</v>
      </c>
      <c r="D478" s="45" t="str">
        <f t="shared" si="14"/>
        <v>—</v>
      </c>
      <c r="E478" s="43" t="s">
        <v>1289</v>
      </c>
      <c r="F478" s="43" t="s">
        <v>1290</v>
      </c>
      <c r="G478" s="43" t="s">
        <v>668</v>
      </c>
      <c r="H478" s="43" t="s">
        <v>669</v>
      </c>
      <c r="I478" s="46">
        <f>SUMIFS(Movimentações!$F$6:$F$4998,Movimentações!$C$6:$C$4998,A478,Movimentações!$M$6:$M$4998,M478)</f>
        <v>0</v>
      </c>
      <c r="J478" s="43" t="s">
        <v>670</v>
      </c>
      <c r="K478" s="43" t="s">
        <v>671</v>
      </c>
      <c r="L478" s="47">
        <v>12</v>
      </c>
      <c r="M478" s="43" t="s">
        <v>1380</v>
      </c>
      <c r="N478" s="43" t="str">
        <f t="shared" si="15"/>
        <v>Rua A · Prat 12 · C-224</v>
      </c>
      <c r="P478">
        <f>IF(A478="","",IF(AND(K478&lt;&gt;"",L478&lt;&gt;""),IF(COUNTIFS($K$6:K478,K478,$L$6:L478,L478)=1,1,0),0))</f>
        <v>0</v>
      </c>
      <c r="Q478">
        <f>IF(A478="","",IF(AND(K478&lt;&gt;"",M478&lt;&gt;""),IF(COUNTIFS($K$6:K478,K478,$M$6:M478,M478)=1,1,0),0))</f>
        <v>0</v>
      </c>
      <c r="R478">
        <f>IF(A478="","",IF(M478&lt;&gt;"",IF(COUNTIF($M$6:M478,M478)=1,1,0),0))</f>
        <v>0</v>
      </c>
      <c r="T478" t="str">
        <f>IF(AND($M478&lt;&gt;"",$M478='Mapa do Galpão'!$C$20),COUNTIF($M$6:$M478,'Mapa do Galpão'!$C$20),"")</f>
        <v/>
      </c>
    </row>
    <row r="479" spans="1:20" ht="14.25" hidden="1" customHeight="1" x14ac:dyDescent="0.3">
      <c r="A479" s="43" t="s">
        <v>1387</v>
      </c>
      <c r="B479" s="44" t="s">
        <v>665</v>
      </c>
      <c r="C479" s="165" t="s">
        <v>454</v>
      </c>
      <c r="D479" s="45" t="str">
        <f t="shared" si="14"/>
        <v>—</v>
      </c>
      <c r="E479" s="43" t="s">
        <v>1154</v>
      </c>
      <c r="F479" s="43" t="s">
        <v>1388</v>
      </c>
      <c r="G479" s="43" t="s">
        <v>668</v>
      </c>
      <c r="H479" s="43" t="s">
        <v>1087</v>
      </c>
      <c r="I479" s="46">
        <f>SUMIFS(Movimentações!$F$6:$F$4998,Movimentações!$C$6:$C$4998,A479,Movimentações!$M$6:$M$4998,M479)</f>
        <v>10</v>
      </c>
      <c r="J479" s="43" t="s">
        <v>670</v>
      </c>
      <c r="K479" s="43" t="s">
        <v>671</v>
      </c>
      <c r="L479" s="47">
        <v>12</v>
      </c>
      <c r="M479" s="43" t="s">
        <v>1389</v>
      </c>
      <c r="N479" s="43" t="str">
        <f t="shared" si="15"/>
        <v>Rua A · Prat 12 · C-113</v>
      </c>
      <c r="P479">
        <f>IF(A479="","",IF(AND(K479&lt;&gt;"",L479&lt;&gt;""),IF(COUNTIFS($K$6:K479,K479,$L$6:L479,L479)=1,1,0),0))</f>
        <v>0</v>
      </c>
      <c r="Q479">
        <f>IF(A479="","",IF(AND(K479&lt;&gt;"",M479&lt;&gt;""),IF(COUNTIFS($K$6:K479,K479,$M$6:M479,M479)=1,1,0),0))</f>
        <v>1</v>
      </c>
      <c r="R479">
        <f>IF(A479="","",IF(M479&lt;&gt;"",IF(COUNTIF($M$6:M479,M479)=1,1,0),0))</f>
        <v>1</v>
      </c>
      <c r="T479" t="str">
        <f>IF(AND($M479&lt;&gt;"",$M479='Mapa do Galpão'!$C$20),COUNTIF($M$6:$M479,'Mapa do Galpão'!$C$20),"")</f>
        <v/>
      </c>
    </row>
    <row r="480" spans="1:20" ht="14.25" hidden="1" customHeight="1" x14ac:dyDescent="0.3">
      <c r="A480" s="43" t="s">
        <v>1390</v>
      </c>
      <c r="B480" s="44" t="s">
        <v>665</v>
      </c>
      <c r="C480" s="165" t="s">
        <v>455</v>
      </c>
      <c r="D480" s="45" t="str">
        <f t="shared" si="14"/>
        <v>—</v>
      </c>
      <c r="E480" s="43" t="s">
        <v>21</v>
      </c>
      <c r="F480" s="43" t="s">
        <v>1391</v>
      </c>
      <c r="G480" s="43" t="s">
        <v>738</v>
      </c>
      <c r="H480" s="43" t="s">
        <v>1087</v>
      </c>
      <c r="I480" s="46">
        <f>SUMIFS(Movimentações!$F$6:$F$4998,Movimentações!$C$6:$C$4998,A480,Movimentações!$M$6:$M$4998,M480)</f>
        <v>0</v>
      </c>
      <c r="J480" s="43" t="s">
        <v>670</v>
      </c>
      <c r="K480" s="43" t="s">
        <v>671</v>
      </c>
      <c r="L480" s="47" t="s">
        <v>1392</v>
      </c>
      <c r="M480" s="43" t="s">
        <v>1005</v>
      </c>
      <c r="N480" s="43" t="str">
        <f t="shared" si="15"/>
        <v>Rua A · Prat 2 · PALLET</v>
      </c>
      <c r="P480">
        <f>IF(A480="","",IF(AND(K480&lt;&gt;"",L480&lt;&gt;""),IF(COUNTIFS($K$6:K480,K480,$L$6:L480,L480)=1,1,0),0))</f>
        <v>1</v>
      </c>
      <c r="Q480">
        <f>IF(A480="","",IF(AND(K480&lt;&gt;"",M480&lt;&gt;""),IF(COUNTIFS($K$6:K480,K480,$M$6:M480,M480)=1,1,0),0))</f>
        <v>0</v>
      </c>
      <c r="R480">
        <f>IF(A480="","",IF(M480&lt;&gt;"",IF(COUNTIF($M$6:M480,M480)=1,1,0),0))</f>
        <v>0</v>
      </c>
      <c r="T480" t="str">
        <f>IF(AND($M480&lt;&gt;"",$M480='Mapa do Galpão'!$C$20),COUNTIF($M$6:$M480,'Mapa do Galpão'!$C$20),"")</f>
        <v/>
      </c>
    </row>
    <row r="481" spans="1:20" ht="14.25" hidden="1" customHeight="1" x14ac:dyDescent="0.3">
      <c r="A481" s="43" t="s">
        <v>1393</v>
      </c>
      <c r="B481" s="44" t="s">
        <v>665</v>
      </c>
      <c r="C481" s="165" t="s">
        <v>456</v>
      </c>
      <c r="D481" s="45" t="str">
        <f t="shared" si="14"/>
        <v>—</v>
      </c>
      <c r="E481" s="43" t="s">
        <v>21</v>
      </c>
      <c r="F481" s="43" t="s">
        <v>1394</v>
      </c>
      <c r="G481" s="43" t="s">
        <v>738</v>
      </c>
      <c r="H481" s="43" t="s">
        <v>1087</v>
      </c>
      <c r="I481" s="46">
        <f>SUMIFS(Movimentações!$F$6:$F$4998,Movimentações!$C$6:$C$4998,A481,Movimentações!$M$6:$M$4998,M481)</f>
        <v>0</v>
      </c>
      <c r="J481" s="43" t="s">
        <v>670</v>
      </c>
      <c r="K481" s="43" t="s">
        <v>671</v>
      </c>
      <c r="L481" s="47" t="s">
        <v>1392</v>
      </c>
      <c r="M481" s="43" t="s">
        <v>1005</v>
      </c>
      <c r="N481" s="43" t="str">
        <f t="shared" si="15"/>
        <v>Rua A · Prat 2 · PALLET</v>
      </c>
      <c r="P481">
        <f>IF(A481="","",IF(AND(K481&lt;&gt;"",L481&lt;&gt;""),IF(COUNTIFS($K$6:K481,K481,$L$6:L481,L481)=1,1,0),0))</f>
        <v>0</v>
      </c>
      <c r="Q481">
        <f>IF(A481="","",IF(AND(K481&lt;&gt;"",M481&lt;&gt;""),IF(COUNTIFS($K$6:K481,K481,$M$6:M481,M481)=1,1,0),0))</f>
        <v>0</v>
      </c>
      <c r="R481">
        <f>IF(A481="","",IF(M481&lt;&gt;"",IF(COUNTIF($M$6:M481,M481)=1,1,0),0))</f>
        <v>0</v>
      </c>
      <c r="T481" t="str">
        <f>IF(AND($M481&lt;&gt;"",$M481='Mapa do Galpão'!$C$20),COUNTIF($M$6:$M481,'Mapa do Galpão'!$C$20),"")</f>
        <v/>
      </c>
    </row>
    <row r="482" spans="1:20" ht="14.25" hidden="1" customHeight="1" x14ac:dyDescent="0.3">
      <c r="A482" s="43" t="s">
        <v>1395</v>
      </c>
      <c r="B482" s="44" t="s">
        <v>665</v>
      </c>
      <c r="C482" s="165" t="s">
        <v>457</v>
      </c>
      <c r="D482" s="45" t="str">
        <f t="shared" si="14"/>
        <v>—</v>
      </c>
      <c r="E482" s="43" t="s">
        <v>21</v>
      </c>
      <c r="F482" s="43" t="s">
        <v>1396</v>
      </c>
      <c r="G482" s="43" t="s">
        <v>738</v>
      </c>
      <c r="H482" s="43" t="s">
        <v>1087</v>
      </c>
      <c r="I482" s="46">
        <f>SUMIFS(Movimentações!$F$6:$F$4998,Movimentações!$C$6:$C$4998,A482,Movimentações!$M$6:$M$4998,M482)</f>
        <v>0</v>
      </c>
      <c r="J482" s="43" t="s">
        <v>670</v>
      </c>
      <c r="K482" s="43" t="s">
        <v>671</v>
      </c>
      <c r="L482" s="47" t="s">
        <v>1392</v>
      </c>
      <c r="M482" s="43" t="s">
        <v>1005</v>
      </c>
      <c r="N482" s="43" t="str">
        <f t="shared" si="15"/>
        <v>Rua A · Prat 2 · PALLET</v>
      </c>
      <c r="P482">
        <f>IF(A482="","",IF(AND(K482&lt;&gt;"",L482&lt;&gt;""),IF(COUNTIFS($K$6:K482,K482,$L$6:L482,L482)=1,1,0),0))</f>
        <v>0</v>
      </c>
      <c r="Q482">
        <f>IF(A482="","",IF(AND(K482&lt;&gt;"",M482&lt;&gt;""),IF(COUNTIFS($K$6:K482,K482,$M$6:M482,M482)=1,1,0),0))</f>
        <v>0</v>
      </c>
      <c r="R482">
        <f>IF(A482="","",IF(M482&lt;&gt;"",IF(COUNTIF($M$6:M482,M482)=1,1,0),0))</f>
        <v>0</v>
      </c>
      <c r="T482" t="str">
        <f>IF(AND($M482&lt;&gt;"",$M482='Mapa do Galpão'!$C$20),COUNTIF($M$6:$M482,'Mapa do Galpão'!$C$20),"")</f>
        <v/>
      </c>
    </row>
    <row r="483" spans="1:20" ht="14.25" hidden="1" customHeight="1" x14ac:dyDescent="0.3">
      <c r="A483" s="43" t="s">
        <v>1397</v>
      </c>
      <c r="B483" s="44" t="s">
        <v>665</v>
      </c>
      <c r="C483" s="165" t="s">
        <v>458</v>
      </c>
      <c r="D483" s="45" t="str">
        <f t="shared" si="14"/>
        <v>—</v>
      </c>
      <c r="E483" s="43" t="s">
        <v>21</v>
      </c>
      <c r="F483" s="43" t="s">
        <v>1398</v>
      </c>
      <c r="G483" s="43" t="s">
        <v>1399</v>
      </c>
      <c r="H483" s="43" t="s">
        <v>1087</v>
      </c>
      <c r="I483" s="46">
        <f>SUMIFS(Movimentações!$F$6:$F$4998,Movimentações!$C$6:$C$4998,A483,Movimentações!$M$6:$M$4998,M483)</f>
        <v>1</v>
      </c>
      <c r="J483" s="43" t="s">
        <v>670</v>
      </c>
      <c r="K483" s="43" t="s">
        <v>671</v>
      </c>
      <c r="L483" s="47" t="s">
        <v>1392</v>
      </c>
      <c r="M483" s="43" t="s">
        <v>1005</v>
      </c>
      <c r="N483" s="43" t="str">
        <f t="shared" si="15"/>
        <v>Rua A · Prat 2 · PALLET</v>
      </c>
      <c r="P483">
        <f>IF(A483="","",IF(AND(K483&lt;&gt;"",L483&lt;&gt;""),IF(COUNTIFS($K$6:K483,K483,$L$6:L483,L483)=1,1,0),0))</f>
        <v>0</v>
      </c>
      <c r="Q483">
        <f>IF(A483="","",IF(AND(K483&lt;&gt;"",M483&lt;&gt;""),IF(COUNTIFS($K$6:K483,K483,$M$6:M483,M483)=1,1,0),0))</f>
        <v>0</v>
      </c>
      <c r="R483">
        <f>IF(A483="","",IF(M483&lt;&gt;"",IF(COUNTIF($M$6:M483,M483)=1,1,0),0))</f>
        <v>0</v>
      </c>
      <c r="T483" t="str">
        <f>IF(AND($M483&lt;&gt;"",$M483='Mapa do Galpão'!$C$20),COUNTIF($M$6:$M483,'Mapa do Galpão'!$C$20),"")</f>
        <v/>
      </c>
    </row>
    <row r="484" spans="1:20" ht="14.25" hidden="1" customHeight="1" x14ac:dyDescent="0.3">
      <c r="A484" s="43" t="s">
        <v>1400</v>
      </c>
      <c r="B484" s="44" t="s">
        <v>665</v>
      </c>
      <c r="C484" s="165" t="s">
        <v>459</v>
      </c>
      <c r="D484" s="45" t="str">
        <f t="shared" si="14"/>
        <v>—</v>
      </c>
      <c r="E484" s="43" t="s">
        <v>21</v>
      </c>
      <c r="F484" s="43" t="s">
        <v>1401</v>
      </c>
      <c r="G484" s="43" t="s">
        <v>1402</v>
      </c>
      <c r="H484" s="43" t="s">
        <v>1087</v>
      </c>
      <c r="I484" s="46">
        <f>SUMIFS(Movimentações!$F$6:$F$4998,Movimentações!$C$6:$C$4998,A484,Movimentações!$M$6:$M$4998,M484)</f>
        <v>1</v>
      </c>
      <c r="J484" s="43" t="s">
        <v>1403</v>
      </c>
      <c r="K484" s="43" t="s">
        <v>671</v>
      </c>
      <c r="L484" s="47" t="s">
        <v>1404</v>
      </c>
      <c r="M484" s="43" t="s">
        <v>1005</v>
      </c>
      <c r="N484" s="43" t="str">
        <f t="shared" si="15"/>
        <v>Rua A · Prat 4 · PALLET</v>
      </c>
      <c r="P484">
        <f>IF(A484="","",IF(AND(K484&lt;&gt;"",L484&lt;&gt;""),IF(COUNTIFS($K$6:K484,K484,$L$6:L484,L484)=1,1,0),0))</f>
        <v>1</v>
      </c>
      <c r="Q484">
        <f>IF(A484="","",IF(AND(K484&lt;&gt;"",M484&lt;&gt;""),IF(COUNTIFS($K$6:K484,K484,$M$6:M484,M484)=1,1,0),0))</f>
        <v>0</v>
      </c>
      <c r="R484">
        <f>IF(A484="","",IF(M484&lt;&gt;"",IF(COUNTIF($M$6:M484,M484)=1,1,0),0))</f>
        <v>0</v>
      </c>
      <c r="T484" t="str">
        <f>IF(AND($M484&lt;&gt;"",$M484='Mapa do Galpão'!$C$20),COUNTIF($M$6:$M484,'Mapa do Galpão'!$C$20),"")</f>
        <v/>
      </c>
    </row>
    <row r="485" spans="1:20" ht="14.25" hidden="1" customHeight="1" x14ac:dyDescent="0.3">
      <c r="A485" s="43" t="s">
        <v>1405</v>
      </c>
      <c r="B485" s="44" t="s">
        <v>665</v>
      </c>
      <c r="C485" s="165" t="s">
        <v>460</v>
      </c>
      <c r="D485" s="45" t="str">
        <f t="shared" si="14"/>
        <v>—</v>
      </c>
      <c r="E485" s="43" t="s">
        <v>21</v>
      </c>
      <c r="F485" s="43" t="s">
        <v>1406</v>
      </c>
      <c r="G485" s="43" t="s">
        <v>1407</v>
      </c>
      <c r="H485" s="43" t="s">
        <v>1408</v>
      </c>
      <c r="I485" s="46">
        <f>SUMIFS(Movimentações!$F$6:$F$4998,Movimentações!$C$6:$C$4998,A485,Movimentações!$M$6:$M$4998,M485)</f>
        <v>2</v>
      </c>
      <c r="J485" s="43" t="s">
        <v>670</v>
      </c>
      <c r="K485" s="43" t="s">
        <v>671</v>
      </c>
      <c r="L485" s="47" t="s">
        <v>1409</v>
      </c>
      <c r="M485" s="43" t="s">
        <v>1005</v>
      </c>
      <c r="N485" s="43" t="str">
        <f t="shared" si="15"/>
        <v>Rua A · Prat 3 · PALLET</v>
      </c>
      <c r="P485">
        <f>IF(A485="","",IF(AND(K485&lt;&gt;"",L485&lt;&gt;""),IF(COUNTIFS($K$6:K485,K485,$L$6:L485,L485)=1,1,0),0))</f>
        <v>1</v>
      </c>
      <c r="Q485">
        <f>IF(A485="","",IF(AND(K485&lt;&gt;"",M485&lt;&gt;""),IF(COUNTIFS($K$6:K485,K485,$M$6:M485,M485)=1,1,0),0))</f>
        <v>0</v>
      </c>
      <c r="R485">
        <f>IF(A485="","",IF(M485&lt;&gt;"",IF(COUNTIF($M$6:M485,M485)=1,1,0),0))</f>
        <v>0</v>
      </c>
      <c r="T485" t="str">
        <f>IF(AND($M485&lt;&gt;"",$M485='Mapa do Galpão'!$C$20),COUNTIF($M$6:$M485,'Mapa do Galpão'!$C$20),"")</f>
        <v/>
      </c>
    </row>
    <row r="486" spans="1:20" ht="14.25" hidden="1" customHeight="1" x14ac:dyDescent="0.3">
      <c r="A486" s="43" t="s">
        <v>1410</v>
      </c>
      <c r="B486" s="44" t="s">
        <v>665</v>
      </c>
      <c r="C486" s="165" t="s">
        <v>461</v>
      </c>
      <c r="D486" s="45" t="str">
        <f t="shared" ref="D486:D517" si="16">IF(C486="","",IFERROR(IF(TRIM(MID(SUBSTITUTE(C486,".",REPT(" ",50)),51,50))="01","Masculino",IF(TRIM(MID(SUBSTITUTE(C486,".",REPT(" ",50)),51,50))="02","Feminino",IF(TRIM(MID(SUBSTITUTE(C486,".",REPT(" ",50)),51,50))="03","Outros","—"))),"—"))</f>
        <v>—</v>
      </c>
      <c r="E486" s="43" t="s">
        <v>21</v>
      </c>
      <c r="F486" s="43" t="s">
        <v>1411</v>
      </c>
      <c r="G486" s="43" t="s">
        <v>1407</v>
      </c>
      <c r="H486" s="43" t="s">
        <v>1412</v>
      </c>
      <c r="I486" s="46">
        <f>SUMIFS(Movimentações!$F$6:$F$4998,Movimentações!$C$6:$C$4998,A486,Movimentações!$M$6:$M$4998,M486)</f>
        <v>2</v>
      </c>
      <c r="J486" s="43" t="s">
        <v>670</v>
      </c>
      <c r="K486" s="43" t="s">
        <v>671</v>
      </c>
      <c r="L486" s="47" t="s">
        <v>1404</v>
      </c>
      <c r="M486" s="43" t="s">
        <v>1005</v>
      </c>
      <c r="N486" s="43" t="str">
        <f t="shared" ref="N486:N517" si="17">IF(AND(K486="",L486="",M486=""),"⚠ sem endereço","Rua "&amp;K486&amp;IF(L486="",""," · Prat "&amp;L486)&amp;IF(M486="",""," · "&amp;M486))</f>
        <v>Rua A · Prat 4 · PALLET</v>
      </c>
      <c r="P486">
        <f>IF(A486="","",IF(AND(K486&lt;&gt;"",L486&lt;&gt;""),IF(COUNTIFS($K$6:K486,K486,$L$6:L486,L486)=1,1,0),0))</f>
        <v>0</v>
      </c>
      <c r="Q486">
        <f>IF(A486="","",IF(AND(K486&lt;&gt;"",M486&lt;&gt;""),IF(COUNTIFS($K$6:K486,K486,$M$6:M486,M486)=1,1,0),0))</f>
        <v>0</v>
      </c>
      <c r="R486">
        <f>IF(A486="","",IF(M486&lt;&gt;"",IF(COUNTIF($M$6:M486,M486)=1,1,0),0))</f>
        <v>0</v>
      </c>
      <c r="T486" t="str">
        <f>IF(AND($M486&lt;&gt;"",$M486='Mapa do Galpão'!$C$20),COUNTIF($M$6:$M486,'Mapa do Galpão'!$C$20),"")</f>
        <v/>
      </c>
    </row>
    <row r="487" spans="1:20" ht="14.25" hidden="1" customHeight="1" x14ac:dyDescent="0.3">
      <c r="A487" s="43" t="s">
        <v>1413</v>
      </c>
      <c r="B487" s="44" t="s">
        <v>665</v>
      </c>
      <c r="C487" s="165" t="s">
        <v>462</v>
      </c>
      <c r="D487" s="45" t="str">
        <f t="shared" si="16"/>
        <v>—</v>
      </c>
      <c r="E487" s="43" t="s">
        <v>21</v>
      </c>
      <c r="F487" s="43" t="s">
        <v>1414</v>
      </c>
      <c r="G487" s="43" t="s">
        <v>798</v>
      </c>
      <c r="H487" s="43" t="s">
        <v>1415</v>
      </c>
      <c r="I487" s="46">
        <f>SUMIFS(Movimentações!$F$6:$F$4998,Movimentações!$C$6:$C$4998,A487,Movimentações!$M$6:$M$4998,M487)</f>
        <v>2</v>
      </c>
      <c r="J487" s="43" t="s">
        <v>670</v>
      </c>
      <c r="K487" s="43" t="s">
        <v>671</v>
      </c>
      <c r="L487" s="47" t="s">
        <v>1404</v>
      </c>
      <c r="M487" s="43" t="s">
        <v>1005</v>
      </c>
      <c r="N487" s="43" t="str">
        <f t="shared" si="17"/>
        <v>Rua A · Prat 4 · PALLET</v>
      </c>
      <c r="P487">
        <f>IF(A487="","",IF(AND(K487&lt;&gt;"",L487&lt;&gt;""),IF(COUNTIFS($K$6:K487,K487,$L$6:L487,L487)=1,1,0),0))</f>
        <v>0</v>
      </c>
      <c r="Q487">
        <f>IF(A487="","",IF(AND(K487&lt;&gt;"",M487&lt;&gt;""),IF(COUNTIFS($K$6:K487,K487,$M$6:M487,M487)=1,1,0),0))</f>
        <v>0</v>
      </c>
      <c r="R487">
        <f>IF(A487="","",IF(M487&lt;&gt;"",IF(COUNTIF($M$6:M487,M487)=1,1,0),0))</f>
        <v>0</v>
      </c>
      <c r="T487" t="str">
        <f>IF(AND($M487&lt;&gt;"",$M487='Mapa do Galpão'!$C$20),COUNTIF($M$6:$M487,'Mapa do Galpão'!$C$20),"")</f>
        <v/>
      </c>
    </row>
    <row r="488" spans="1:20" ht="14.25" hidden="1" customHeight="1" x14ac:dyDescent="0.3">
      <c r="A488" s="43" t="s">
        <v>1416</v>
      </c>
      <c r="B488" s="44" t="s">
        <v>665</v>
      </c>
      <c r="C488" s="165" t="s">
        <v>463</v>
      </c>
      <c r="D488" s="45" t="str">
        <f t="shared" si="16"/>
        <v>—</v>
      </c>
      <c r="E488" s="43" t="s">
        <v>21</v>
      </c>
      <c r="F488" s="43" t="s">
        <v>1417</v>
      </c>
      <c r="G488" s="43" t="s">
        <v>1407</v>
      </c>
      <c r="H488" s="43" t="s">
        <v>1418</v>
      </c>
      <c r="I488" s="46">
        <f>SUMIFS(Movimentações!$F$6:$F$4998,Movimentações!$C$6:$C$4998,A488,Movimentações!$M$6:$M$4998,M488)</f>
        <v>2</v>
      </c>
      <c r="J488" s="43" t="s">
        <v>670</v>
      </c>
      <c r="K488" s="43" t="s">
        <v>1419</v>
      </c>
      <c r="L488" s="47">
        <v>7</v>
      </c>
      <c r="M488" s="43" t="s">
        <v>1005</v>
      </c>
      <c r="N488" s="43" t="str">
        <f t="shared" si="17"/>
        <v>Rua B · Prat 7 · PALLET</v>
      </c>
      <c r="P488">
        <f>IF(A488="","",IF(AND(K488&lt;&gt;"",L488&lt;&gt;""),IF(COUNTIFS($K$6:K488,K488,$L$6:L488,L488)=1,1,0),0))</f>
        <v>1</v>
      </c>
      <c r="Q488">
        <f>IF(A488="","",IF(AND(K488&lt;&gt;"",M488&lt;&gt;""),IF(COUNTIFS($K$6:K488,K488,$M$6:M488,M488)=1,1,0),0))</f>
        <v>1</v>
      </c>
      <c r="R488">
        <f>IF(A488="","",IF(M488&lt;&gt;"",IF(COUNTIF($M$6:M488,M488)=1,1,0),0))</f>
        <v>0</v>
      </c>
      <c r="T488" t="str">
        <f>IF(AND($M488&lt;&gt;"",$M488='Mapa do Galpão'!$C$20),COUNTIF($M$6:$M488,'Mapa do Galpão'!$C$20),"")</f>
        <v/>
      </c>
    </row>
    <row r="489" spans="1:20" ht="14.25" hidden="1" customHeight="1" x14ac:dyDescent="0.3">
      <c r="A489" s="43" t="s">
        <v>1416</v>
      </c>
      <c r="B489" s="44" t="s">
        <v>665</v>
      </c>
      <c r="C489" s="165" t="s">
        <v>463</v>
      </c>
      <c r="D489" s="45" t="str">
        <f t="shared" si="16"/>
        <v>—</v>
      </c>
      <c r="E489" s="43" t="s">
        <v>21</v>
      </c>
      <c r="F489" s="43" t="s">
        <v>1417</v>
      </c>
      <c r="G489" s="43" t="s">
        <v>1407</v>
      </c>
      <c r="H489" s="43" t="s">
        <v>1418</v>
      </c>
      <c r="I489" s="46">
        <f>SUMIFS(Movimentações!$F$6:$F$4998,Movimentações!$C$6:$C$4998,A489,Movimentações!$M$6:$M$4998,M489)</f>
        <v>2</v>
      </c>
      <c r="J489" s="43" t="s">
        <v>670</v>
      </c>
      <c r="K489" s="43" t="s">
        <v>1419</v>
      </c>
      <c r="L489" s="47">
        <v>8</v>
      </c>
      <c r="M489" s="43" t="s">
        <v>1005</v>
      </c>
      <c r="N489" s="43" t="str">
        <f t="shared" si="17"/>
        <v>Rua B · Prat 8 · PALLET</v>
      </c>
      <c r="P489">
        <f>IF(A489="","",IF(AND(K489&lt;&gt;"",L489&lt;&gt;""),IF(COUNTIFS($K$6:K489,K489,$L$6:L489,L489)=1,1,0),0))</f>
        <v>1</v>
      </c>
      <c r="Q489">
        <f>IF(A489="","",IF(AND(K489&lt;&gt;"",M489&lt;&gt;""),IF(COUNTIFS($K$6:K489,K489,$M$6:M489,M489)=1,1,0),0))</f>
        <v>0</v>
      </c>
      <c r="R489">
        <f>IF(A489="","",IF(M489&lt;&gt;"",IF(COUNTIF($M$6:M489,M489)=1,1,0),0))</f>
        <v>0</v>
      </c>
      <c r="T489" t="str">
        <f>IF(AND($M489&lt;&gt;"",$M489='Mapa do Galpão'!$C$20),COUNTIF($M$6:$M489,'Mapa do Galpão'!$C$20),"")</f>
        <v/>
      </c>
    </row>
    <row r="490" spans="1:20" ht="14.25" hidden="1" customHeight="1" x14ac:dyDescent="0.3">
      <c r="A490" s="43" t="s">
        <v>1420</v>
      </c>
      <c r="B490" s="44" t="s">
        <v>665</v>
      </c>
      <c r="C490" s="165" t="s">
        <v>464</v>
      </c>
      <c r="D490" s="45" t="str">
        <f t="shared" si="16"/>
        <v>—</v>
      </c>
      <c r="E490" s="43" t="s">
        <v>21</v>
      </c>
      <c r="F490" s="43" t="s">
        <v>1421</v>
      </c>
      <c r="G490" s="43" t="s">
        <v>668</v>
      </c>
      <c r="H490" s="43" t="s">
        <v>1422</v>
      </c>
      <c r="I490" s="46">
        <f>SUMIFS(Movimentações!$F$6:$F$4998,Movimentações!$C$6:$C$4998,A490,Movimentações!$M$6:$M$4998,M490)</f>
        <v>1</v>
      </c>
      <c r="J490" s="43" t="s">
        <v>670</v>
      </c>
      <c r="K490" s="43" t="s">
        <v>671</v>
      </c>
      <c r="L490" s="47" t="s">
        <v>1404</v>
      </c>
      <c r="M490" s="43" t="s">
        <v>1005</v>
      </c>
      <c r="N490" s="43" t="str">
        <f t="shared" si="17"/>
        <v>Rua A · Prat 4 · PALLET</v>
      </c>
      <c r="P490">
        <f>IF(A490="","",IF(AND(K490&lt;&gt;"",L490&lt;&gt;""),IF(COUNTIFS($K$6:K490,K490,$L$6:L490,L490)=1,1,0),0))</f>
        <v>0</v>
      </c>
      <c r="Q490">
        <f>IF(A490="","",IF(AND(K490&lt;&gt;"",M490&lt;&gt;""),IF(COUNTIFS($K$6:K490,K490,$M$6:M490,M490)=1,1,0),0))</f>
        <v>0</v>
      </c>
      <c r="R490">
        <f>IF(A490="","",IF(M490&lt;&gt;"",IF(COUNTIF($M$6:M490,M490)=1,1,0),0))</f>
        <v>0</v>
      </c>
      <c r="T490" t="str">
        <f>IF(AND($M490&lt;&gt;"",$M490='Mapa do Galpão'!$C$20),COUNTIF($M$6:$M490,'Mapa do Galpão'!$C$20),"")</f>
        <v/>
      </c>
    </row>
    <row r="491" spans="1:20" ht="14.25" hidden="1" customHeight="1" x14ac:dyDescent="0.3">
      <c r="A491" s="43" t="s">
        <v>1423</v>
      </c>
      <c r="B491" s="50" t="s">
        <v>1424</v>
      </c>
      <c r="C491" s="165" t="s">
        <v>465</v>
      </c>
      <c r="D491" s="45" t="str">
        <f t="shared" si="16"/>
        <v>Feminino</v>
      </c>
      <c r="E491" s="43" t="s">
        <v>666</v>
      </c>
      <c r="F491" s="43" t="s">
        <v>1425</v>
      </c>
      <c r="G491" s="43" t="s">
        <v>956</v>
      </c>
      <c r="H491" s="43" t="s">
        <v>675</v>
      </c>
      <c r="I491" s="46">
        <f>SUMIFS(Movimentações!$F$6:$F$4998,Movimentações!$C$6:$C$4998,A491,Movimentações!$M$6:$M$4998,M491)</f>
        <v>55</v>
      </c>
      <c r="J491" s="43" t="s">
        <v>670</v>
      </c>
      <c r="K491" s="43" t="s">
        <v>671</v>
      </c>
      <c r="L491" s="47" t="s">
        <v>1426</v>
      </c>
      <c r="M491" s="43" t="s">
        <v>1427</v>
      </c>
      <c r="N491" s="43" t="str">
        <f t="shared" si="17"/>
        <v>Rua A · Prat 16 · C-117</v>
      </c>
      <c r="P491">
        <f>IF(A491="","",IF(AND(K491&lt;&gt;"",L491&lt;&gt;""),IF(COUNTIFS($K$6:K491,K491,$L$6:L491,L491)=1,1,0),0))</f>
        <v>0</v>
      </c>
      <c r="Q491">
        <f>IF(A491="","",IF(AND(K491&lt;&gt;"",M491&lt;&gt;""),IF(COUNTIFS($K$6:K491,K491,$M$6:M491,M491)=1,1,0),0))</f>
        <v>1</v>
      </c>
      <c r="R491">
        <f>IF(A491="","",IF(M491&lt;&gt;"",IF(COUNTIF($M$6:M491,M491)=1,1,0),0))</f>
        <v>1</v>
      </c>
      <c r="T491" t="str">
        <f>IF(AND($M491&lt;&gt;"",$M491='Mapa do Galpão'!$C$20),COUNTIF($M$6:$M491,'Mapa do Galpão'!$C$20),"")</f>
        <v/>
      </c>
    </row>
    <row r="492" spans="1:20" ht="14.25" hidden="1" customHeight="1" x14ac:dyDescent="0.3">
      <c r="A492" s="43" t="s">
        <v>1428</v>
      </c>
      <c r="B492" s="50" t="s">
        <v>1424</v>
      </c>
      <c r="C492" s="165" t="s">
        <v>466</v>
      </c>
      <c r="D492" s="45" t="str">
        <f t="shared" si="16"/>
        <v>Feminino</v>
      </c>
      <c r="E492" s="43" t="s">
        <v>666</v>
      </c>
      <c r="F492" s="43" t="s">
        <v>1425</v>
      </c>
      <c r="G492" s="43" t="s">
        <v>956</v>
      </c>
      <c r="H492" s="43" t="s">
        <v>669</v>
      </c>
      <c r="I492" s="46">
        <f>SUMIFS(Movimentações!$F$6:$F$4998,Movimentações!$C$6:$C$4998,A492,Movimentações!$M$6:$M$4998,M492)</f>
        <v>33</v>
      </c>
      <c r="J492" s="43" t="s">
        <v>670</v>
      </c>
      <c r="K492" s="43" t="s">
        <v>671</v>
      </c>
      <c r="L492" s="47" t="s">
        <v>1426</v>
      </c>
      <c r="M492" s="43" t="s">
        <v>1429</v>
      </c>
      <c r="N492" s="43" t="str">
        <f t="shared" si="17"/>
        <v>Rua A · Prat 16 · C-118</v>
      </c>
      <c r="P492">
        <f>IF(A492="","",IF(AND(K492&lt;&gt;"",L492&lt;&gt;""),IF(COUNTIFS($K$6:K492,K492,$L$6:L492,L492)=1,1,0),0))</f>
        <v>0</v>
      </c>
      <c r="Q492">
        <f>IF(A492="","",IF(AND(K492&lt;&gt;"",M492&lt;&gt;""),IF(COUNTIFS($K$6:K492,K492,$M$6:M492,M492)=1,1,0),0))</f>
        <v>1</v>
      </c>
      <c r="R492">
        <f>IF(A492="","",IF(M492&lt;&gt;"",IF(COUNTIF($M$6:M492,M492)=1,1,0),0))</f>
        <v>1</v>
      </c>
      <c r="T492" t="str">
        <f>IF(AND($M492&lt;&gt;"",$M492='Mapa do Galpão'!$C$20),COUNTIF($M$6:$M492,'Mapa do Galpão'!$C$20),"")</f>
        <v/>
      </c>
    </row>
    <row r="493" spans="1:20" ht="14.25" hidden="1" customHeight="1" x14ac:dyDescent="0.3">
      <c r="A493" s="43" t="s">
        <v>1430</v>
      </c>
      <c r="B493" s="50" t="s">
        <v>1424</v>
      </c>
      <c r="C493" s="165" t="s">
        <v>467</v>
      </c>
      <c r="D493" s="45" t="str">
        <f t="shared" si="16"/>
        <v>Feminino</v>
      </c>
      <c r="E493" s="43" t="s">
        <v>666</v>
      </c>
      <c r="F493" s="43" t="s">
        <v>1425</v>
      </c>
      <c r="G493" s="43" t="s">
        <v>956</v>
      </c>
      <c r="H493" s="43" t="s">
        <v>682</v>
      </c>
      <c r="I493" s="46">
        <f>SUMIFS(Movimentações!$F$6:$F$4998,Movimentações!$C$6:$C$4998,A493,Movimentações!$M$6:$M$4998,M493)</f>
        <v>15</v>
      </c>
      <c r="J493" s="43" t="s">
        <v>670</v>
      </c>
      <c r="K493" s="43" t="s">
        <v>671</v>
      </c>
      <c r="L493" s="47" t="s">
        <v>1426</v>
      </c>
      <c r="M493" s="43" t="s">
        <v>1429</v>
      </c>
      <c r="N493" s="43" t="str">
        <f t="shared" si="17"/>
        <v>Rua A · Prat 16 · C-118</v>
      </c>
      <c r="P493">
        <f>IF(A493="","",IF(AND(K493&lt;&gt;"",L493&lt;&gt;""),IF(COUNTIFS($K$6:K493,K493,$L$6:L493,L493)=1,1,0),0))</f>
        <v>0</v>
      </c>
      <c r="Q493">
        <f>IF(A493="","",IF(AND(K493&lt;&gt;"",M493&lt;&gt;""),IF(COUNTIFS($K$6:K493,K493,$M$6:M493,M493)=1,1,0),0))</f>
        <v>0</v>
      </c>
      <c r="R493">
        <f>IF(A493="","",IF(M493&lt;&gt;"",IF(COUNTIF($M$6:M493,M493)=1,1,0),0))</f>
        <v>0</v>
      </c>
      <c r="T493" t="str">
        <f>IF(AND($M493&lt;&gt;"",$M493='Mapa do Galpão'!$C$20),COUNTIF($M$6:$M493,'Mapa do Galpão'!$C$20),"")</f>
        <v/>
      </c>
    </row>
    <row r="494" spans="1:20" ht="14.25" hidden="1" customHeight="1" x14ac:dyDescent="0.3">
      <c r="A494" s="43" t="s">
        <v>1431</v>
      </c>
      <c r="B494" s="50" t="s">
        <v>1424</v>
      </c>
      <c r="C494" s="165" t="s">
        <v>468</v>
      </c>
      <c r="D494" s="45" t="str">
        <f t="shared" si="16"/>
        <v>Feminino</v>
      </c>
      <c r="E494" s="43" t="s">
        <v>666</v>
      </c>
      <c r="F494" s="43" t="s">
        <v>1425</v>
      </c>
      <c r="G494" s="43" t="s">
        <v>956</v>
      </c>
      <c r="H494" s="43" t="s">
        <v>677</v>
      </c>
      <c r="I494" s="46">
        <f>SUMIFS(Movimentações!$F$6:$F$4998,Movimentações!$C$6:$C$4998,A494,Movimentações!$M$6:$M$4998,M494)</f>
        <v>18</v>
      </c>
      <c r="J494" s="43" t="s">
        <v>670</v>
      </c>
      <c r="K494" s="43" t="s">
        <v>671</v>
      </c>
      <c r="L494" s="47" t="s">
        <v>1426</v>
      </c>
      <c r="M494" s="43" t="s">
        <v>1429</v>
      </c>
      <c r="N494" s="43" t="str">
        <f t="shared" si="17"/>
        <v>Rua A · Prat 16 · C-118</v>
      </c>
      <c r="P494">
        <f>IF(A494="","",IF(AND(K494&lt;&gt;"",L494&lt;&gt;""),IF(COUNTIFS($K$6:K494,K494,$L$6:L494,L494)=1,1,0),0))</f>
        <v>0</v>
      </c>
      <c r="Q494">
        <f>IF(A494="","",IF(AND(K494&lt;&gt;"",M494&lt;&gt;""),IF(COUNTIFS($K$6:K494,K494,$M$6:M494,M494)=1,1,0),0))</f>
        <v>0</v>
      </c>
      <c r="R494">
        <f>IF(A494="","",IF(M494&lt;&gt;"",IF(COUNTIF($M$6:M494,M494)=1,1,0),0))</f>
        <v>0</v>
      </c>
      <c r="T494" t="str">
        <f>IF(AND($M494&lt;&gt;"",$M494='Mapa do Galpão'!$C$20),COUNTIF($M$6:$M494,'Mapa do Galpão'!$C$20),"")</f>
        <v/>
      </c>
    </row>
    <row r="495" spans="1:20" ht="14.25" hidden="1" customHeight="1" x14ac:dyDescent="0.3">
      <c r="A495" s="43" t="s">
        <v>1432</v>
      </c>
      <c r="B495" s="50" t="s">
        <v>1424</v>
      </c>
      <c r="C495" s="165" t="s">
        <v>469</v>
      </c>
      <c r="D495" s="45" t="str">
        <f t="shared" si="16"/>
        <v>Masculino</v>
      </c>
      <c r="E495" s="43" t="s">
        <v>666</v>
      </c>
      <c r="F495" s="43" t="s">
        <v>1433</v>
      </c>
      <c r="G495" s="43" t="s">
        <v>956</v>
      </c>
      <c r="H495" s="43" t="s">
        <v>682</v>
      </c>
      <c r="I495" s="46">
        <f>SUMIFS(Movimentações!$F$6:$F$4998,Movimentações!$C$6:$C$4998,A495,Movimentações!$M$6:$M$4998,M495)</f>
        <v>22</v>
      </c>
      <c r="J495" s="43" t="s">
        <v>670</v>
      </c>
      <c r="K495" s="43" t="s">
        <v>671</v>
      </c>
      <c r="L495" s="47" t="s">
        <v>1426</v>
      </c>
      <c r="M495" s="43" t="s">
        <v>1434</v>
      </c>
      <c r="N495" s="43" t="str">
        <f t="shared" si="17"/>
        <v>Rua A · Prat 16 · C-119</v>
      </c>
      <c r="P495">
        <f>IF(A495="","",IF(AND(K495&lt;&gt;"",L495&lt;&gt;""),IF(COUNTIFS($K$6:K495,K495,$L$6:L495,L495)=1,1,0),0))</f>
        <v>0</v>
      </c>
      <c r="Q495">
        <f>IF(A495="","",IF(AND(K495&lt;&gt;"",M495&lt;&gt;""),IF(COUNTIFS($K$6:K495,K495,$M$6:M495,M495)=1,1,0),0))</f>
        <v>1</v>
      </c>
      <c r="R495">
        <f>IF(A495="","",IF(M495&lt;&gt;"",IF(COUNTIF($M$6:M495,M495)=1,1,0),0))</f>
        <v>1</v>
      </c>
      <c r="T495" t="str">
        <f>IF(AND($M495&lt;&gt;"",$M495='Mapa do Galpão'!$C$20),COUNTIF($M$6:$M495,'Mapa do Galpão'!$C$20),"")</f>
        <v/>
      </c>
    </row>
    <row r="496" spans="1:20" ht="14.25" hidden="1" customHeight="1" x14ac:dyDescent="0.3">
      <c r="A496" s="43" t="s">
        <v>1435</v>
      </c>
      <c r="B496" s="50" t="s">
        <v>1424</v>
      </c>
      <c r="C496" s="165" t="s">
        <v>470</v>
      </c>
      <c r="D496" s="45" t="str">
        <f t="shared" si="16"/>
        <v>Masculino</v>
      </c>
      <c r="E496" s="43" t="s">
        <v>666</v>
      </c>
      <c r="F496" s="43" t="s">
        <v>1433</v>
      </c>
      <c r="G496" s="43" t="s">
        <v>956</v>
      </c>
      <c r="H496" s="43" t="s">
        <v>677</v>
      </c>
      <c r="I496" s="46">
        <f>SUMIFS(Movimentações!$F$6:$F$4998,Movimentações!$C$6:$C$4998,A496,Movimentações!$M$6:$M$4998,M496)</f>
        <v>18</v>
      </c>
      <c r="J496" s="43" t="s">
        <v>670</v>
      </c>
      <c r="K496" s="43" t="s">
        <v>671</v>
      </c>
      <c r="L496" s="47" t="s">
        <v>1426</v>
      </c>
      <c r="M496" s="43" t="s">
        <v>1434</v>
      </c>
      <c r="N496" s="43" t="str">
        <f t="shared" si="17"/>
        <v>Rua A · Prat 16 · C-119</v>
      </c>
      <c r="P496">
        <f>IF(A496="","",IF(AND(K496&lt;&gt;"",L496&lt;&gt;""),IF(COUNTIFS($K$6:K496,K496,$L$6:L496,L496)=1,1,0),0))</f>
        <v>0</v>
      </c>
      <c r="Q496">
        <f>IF(A496="","",IF(AND(K496&lt;&gt;"",M496&lt;&gt;""),IF(COUNTIFS($K$6:K496,K496,$M$6:M496,M496)=1,1,0),0))</f>
        <v>0</v>
      </c>
      <c r="R496">
        <f>IF(A496="","",IF(M496&lt;&gt;"",IF(COUNTIF($M$6:M496,M496)=1,1,0),0))</f>
        <v>0</v>
      </c>
      <c r="T496" t="str">
        <f>IF(AND($M496&lt;&gt;"",$M496='Mapa do Galpão'!$C$20),COUNTIF($M$6:$M496,'Mapa do Galpão'!$C$20),"")</f>
        <v/>
      </c>
    </row>
    <row r="497" spans="1:20" ht="14.25" hidden="1" customHeight="1" x14ac:dyDescent="0.3">
      <c r="A497" s="43" t="s">
        <v>1436</v>
      </c>
      <c r="B497" s="50" t="s">
        <v>1424</v>
      </c>
      <c r="C497" s="165" t="s">
        <v>471</v>
      </c>
      <c r="D497" s="45" t="str">
        <f t="shared" si="16"/>
        <v>Feminino</v>
      </c>
      <c r="E497" s="43" t="s">
        <v>666</v>
      </c>
      <c r="F497" s="43" t="s">
        <v>1425</v>
      </c>
      <c r="G497" s="43" t="s">
        <v>755</v>
      </c>
      <c r="H497" s="43" t="s">
        <v>756</v>
      </c>
      <c r="I497" s="46">
        <f>SUMIFS(Movimentações!$F$6:$F$4998,Movimentações!$C$6:$C$4998,A497,Movimentações!$M$6:$M$4998,M497)</f>
        <v>13</v>
      </c>
      <c r="J497" s="43" t="s">
        <v>670</v>
      </c>
      <c r="K497" s="43" t="s">
        <v>671</v>
      </c>
      <c r="L497" s="47" t="s">
        <v>1437</v>
      </c>
      <c r="M497" s="43" t="s">
        <v>1438</v>
      </c>
      <c r="N497" s="43" t="str">
        <f t="shared" si="17"/>
        <v>Rua A · Prat 15 · C-120</v>
      </c>
      <c r="P497">
        <f>IF(A497="","",IF(AND(K497&lt;&gt;"",L497&lt;&gt;""),IF(COUNTIFS($K$6:K497,K497,$L$6:L497,L497)=1,1,0),0))</f>
        <v>0</v>
      </c>
      <c r="Q497">
        <f>IF(A497="","",IF(AND(K497&lt;&gt;"",M497&lt;&gt;""),IF(COUNTIFS($K$6:K497,K497,$M$6:M497,M497)=1,1,0),0))</f>
        <v>1</v>
      </c>
      <c r="R497">
        <f>IF(A497="","",IF(M497&lt;&gt;"",IF(COUNTIF($M$6:M497,M497)=1,1,0),0))</f>
        <v>1</v>
      </c>
      <c r="T497" t="str">
        <f>IF(AND($M497&lt;&gt;"",$M497='Mapa do Galpão'!$C$20),COUNTIF($M$6:$M497,'Mapa do Galpão'!$C$20),"")</f>
        <v/>
      </c>
    </row>
    <row r="498" spans="1:20" ht="14.25" hidden="1" customHeight="1" x14ac:dyDescent="0.3">
      <c r="A498" s="43" t="s">
        <v>1439</v>
      </c>
      <c r="B498" s="50" t="s">
        <v>1424</v>
      </c>
      <c r="C498" s="165" t="s">
        <v>471</v>
      </c>
      <c r="D498" s="45" t="str">
        <f t="shared" si="16"/>
        <v>Feminino</v>
      </c>
      <c r="E498" s="43" t="s">
        <v>666</v>
      </c>
      <c r="F498" s="43" t="s">
        <v>1425</v>
      </c>
      <c r="G498" s="43" t="s">
        <v>755</v>
      </c>
      <c r="H498" s="43" t="s">
        <v>680</v>
      </c>
      <c r="I498" s="46">
        <f>SUMIFS(Movimentações!$F$6:$F$4998,Movimentações!$C$6:$C$4998,A498,Movimentações!$M$6:$M$4998,M498)</f>
        <v>12</v>
      </c>
      <c r="J498" s="43" t="s">
        <v>670</v>
      </c>
      <c r="K498" s="43" t="s">
        <v>671</v>
      </c>
      <c r="L498" s="47" t="s">
        <v>1437</v>
      </c>
      <c r="M498" s="43" t="s">
        <v>1438</v>
      </c>
      <c r="N498" s="43" t="str">
        <f t="shared" si="17"/>
        <v>Rua A · Prat 15 · C-120</v>
      </c>
      <c r="P498">
        <f>IF(A498="","",IF(AND(K498&lt;&gt;"",L498&lt;&gt;""),IF(COUNTIFS($K$6:K498,K498,$L$6:L498,L498)=1,1,0),0))</f>
        <v>0</v>
      </c>
      <c r="Q498">
        <f>IF(A498="","",IF(AND(K498&lt;&gt;"",M498&lt;&gt;""),IF(COUNTIFS($K$6:K498,K498,$M$6:M498,M498)=1,1,0),0))</f>
        <v>0</v>
      </c>
      <c r="R498">
        <f>IF(A498="","",IF(M498&lt;&gt;"",IF(COUNTIF($M$6:M498,M498)=1,1,0),0))</f>
        <v>0</v>
      </c>
      <c r="T498" t="str">
        <f>IF(AND($M498&lt;&gt;"",$M498='Mapa do Galpão'!$C$20),COUNTIF($M$6:$M498,'Mapa do Galpão'!$C$20),"")</f>
        <v/>
      </c>
    </row>
    <row r="499" spans="1:20" ht="14.25" hidden="1" customHeight="1" x14ac:dyDescent="0.3">
      <c r="A499" s="43" t="s">
        <v>1440</v>
      </c>
      <c r="B499" s="50" t="s">
        <v>1424</v>
      </c>
      <c r="C499" s="165" t="s">
        <v>472</v>
      </c>
      <c r="D499" s="45" t="str">
        <f t="shared" si="16"/>
        <v>Feminino</v>
      </c>
      <c r="E499" s="43" t="s">
        <v>666</v>
      </c>
      <c r="F499" s="43" t="s">
        <v>1425</v>
      </c>
      <c r="G499" s="43" t="s">
        <v>755</v>
      </c>
      <c r="H499" s="43" t="s">
        <v>675</v>
      </c>
      <c r="I499" s="46">
        <f>SUMIFS(Movimentações!$F$6:$F$4998,Movimentações!$C$6:$C$4998,A499,Movimentações!$M$6:$M$4998,M499)</f>
        <v>26</v>
      </c>
      <c r="J499" s="43" t="s">
        <v>670</v>
      </c>
      <c r="K499" s="43" t="s">
        <v>671</v>
      </c>
      <c r="L499" s="47" t="s">
        <v>1437</v>
      </c>
      <c r="M499" s="43" t="s">
        <v>1438</v>
      </c>
      <c r="N499" s="43" t="str">
        <f t="shared" si="17"/>
        <v>Rua A · Prat 15 · C-120</v>
      </c>
      <c r="P499">
        <f>IF(A499="","",IF(AND(K499&lt;&gt;"",L499&lt;&gt;""),IF(COUNTIFS($K$6:K499,K499,$L$6:L499,L499)=1,1,0),0))</f>
        <v>0</v>
      </c>
      <c r="Q499">
        <f>IF(A499="","",IF(AND(K499&lt;&gt;"",M499&lt;&gt;""),IF(COUNTIFS($K$6:K499,K499,$M$6:M499,M499)=1,1,0),0))</f>
        <v>0</v>
      </c>
      <c r="R499">
        <f>IF(A499="","",IF(M499&lt;&gt;"",IF(COUNTIF($M$6:M499,M499)=1,1,0),0))</f>
        <v>0</v>
      </c>
      <c r="T499" t="str">
        <f>IF(AND($M499&lt;&gt;"",$M499='Mapa do Galpão'!$C$20),COUNTIF($M$6:$M499,'Mapa do Galpão'!$C$20),"")</f>
        <v/>
      </c>
    </row>
    <row r="500" spans="1:20" ht="14.25" hidden="1" customHeight="1" x14ac:dyDescent="0.3">
      <c r="A500" s="43" t="s">
        <v>1441</v>
      </c>
      <c r="B500" s="50" t="s">
        <v>1424</v>
      </c>
      <c r="C500" s="165" t="s">
        <v>473</v>
      </c>
      <c r="D500" s="45" t="str">
        <f t="shared" si="16"/>
        <v>Feminino</v>
      </c>
      <c r="E500" s="43" t="s">
        <v>666</v>
      </c>
      <c r="F500" s="43" t="s">
        <v>1425</v>
      </c>
      <c r="G500" s="43" t="s">
        <v>755</v>
      </c>
      <c r="H500" s="43" t="s">
        <v>669</v>
      </c>
      <c r="I500" s="46">
        <f>SUMIFS(Movimentações!$F$6:$F$4998,Movimentações!$C$6:$C$4998,A500,Movimentações!$M$6:$M$4998,M500)</f>
        <v>7</v>
      </c>
      <c r="J500" s="43" t="s">
        <v>670</v>
      </c>
      <c r="K500" s="43" t="s">
        <v>671</v>
      </c>
      <c r="L500" s="47" t="s">
        <v>1437</v>
      </c>
      <c r="M500" s="43" t="s">
        <v>1438</v>
      </c>
      <c r="N500" s="43" t="str">
        <f t="shared" si="17"/>
        <v>Rua A · Prat 15 · C-120</v>
      </c>
      <c r="P500">
        <f>IF(A500="","",IF(AND(K500&lt;&gt;"",L500&lt;&gt;""),IF(COUNTIFS($K$6:K500,K500,$L$6:L500,L500)=1,1,0),0))</f>
        <v>0</v>
      </c>
      <c r="Q500">
        <f>IF(A500="","",IF(AND(K500&lt;&gt;"",M500&lt;&gt;""),IF(COUNTIFS($K$6:K500,K500,$M$6:M500,M500)=1,1,0),0))</f>
        <v>0</v>
      </c>
      <c r="R500">
        <f>IF(A500="","",IF(M500&lt;&gt;"",IF(COUNTIF($M$6:M500,M500)=1,1,0),0))</f>
        <v>0</v>
      </c>
      <c r="T500" t="str">
        <f>IF(AND($M500&lt;&gt;"",$M500='Mapa do Galpão'!$C$20),COUNTIF($M$6:$M500,'Mapa do Galpão'!$C$20),"")</f>
        <v/>
      </c>
    </row>
    <row r="501" spans="1:20" ht="14.25" hidden="1" customHeight="1" x14ac:dyDescent="0.3">
      <c r="A501" s="43" t="s">
        <v>1442</v>
      </c>
      <c r="B501" s="50" t="s">
        <v>1424</v>
      </c>
      <c r="C501" s="165" t="s">
        <v>474</v>
      </c>
      <c r="D501" s="45" t="str">
        <f t="shared" si="16"/>
        <v>Feminino</v>
      </c>
      <c r="E501" s="43" t="s">
        <v>666</v>
      </c>
      <c r="F501" s="43" t="s">
        <v>1425</v>
      </c>
      <c r="G501" s="43" t="s">
        <v>755</v>
      </c>
      <c r="H501" s="43" t="s">
        <v>682</v>
      </c>
      <c r="I501" s="46">
        <f>SUMIFS(Movimentações!$F$6:$F$4998,Movimentações!$C$6:$C$4998,A501,Movimentações!$M$6:$M$4998,M501)</f>
        <v>34</v>
      </c>
      <c r="J501" s="43" t="s">
        <v>670</v>
      </c>
      <c r="K501" s="43" t="s">
        <v>671</v>
      </c>
      <c r="L501" s="47" t="s">
        <v>1437</v>
      </c>
      <c r="M501" s="43" t="s">
        <v>1438</v>
      </c>
      <c r="N501" s="43" t="str">
        <f t="shared" si="17"/>
        <v>Rua A · Prat 15 · C-120</v>
      </c>
      <c r="P501">
        <f>IF(A501="","",IF(AND(K501&lt;&gt;"",L501&lt;&gt;""),IF(COUNTIFS($K$6:K501,K501,$L$6:L501,L501)=1,1,0),0))</f>
        <v>0</v>
      </c>
      <c r="Q501">
        <f>IF(A501="","",IF(AND(K501&lt;&gt;"",M501&lt;&gt;""),IF(COUNTIFS($K$6:K501,K501,$M$6:M501,M501)=1,1,0),0))</f>
        <v>0</v>
      </c>
      <c r="R501">
        <f>IF(A501="","",IF(M501&lt;&gt;"",IF(COUNTIF($M$6:M501,M501)=1,1,0),0))</f>
        <v>0</v>
      </c>
      <c r="T501" t="str">
        <f>IF(AND($M501&lt;&gt;"",$M501='Mapa do Galpão'!$C$20),COUNTIF($M$6:$M501,'Mapa do Galpão'!$C$20),"")</f>
        <v/>
      </c>
    </row>
    <row r="502" spans="1:20" ht="14.25" hidden="1" customHeight="1" x14ac:dyDescent="0.3">
      <c r="A502" s="43" t="s">
        <v>1443</v>
      </c>
      <c r="B502" s="50" t="s">
        <v>1424</v>
      </c>
      <c r="C502" s="165" t="s">
        <v>291</v>
      </c>
      <c r="D502" s="45" t="str">
        <f t="shared" si="16"/>
        <v>Masculino</v>
      </c>
      <c r="E502" s="43" t="s">
        <v>666</v>
      </c>
      <c r="F502" s="43" t="s">
        <v>1444</v>
      </c>
      <c r="G502" s="43" t="s">
        <v>1445</v>
      </c>
      <c r="H502" s="43" t="s">
        <v>756</v>
      </c>
      <c r="I502" s="46">
        <f>SUMIFS(Movimentações!$F$6:$F$4998,Movimentações!$C$6:$C$4998,A502,Movimentações!$M$6:$M$4998,M502)</f>
        <v>10</v>
      </c>
      <c r="J502" s="43" t="s">
        <v>670</v>
      </c>
      <c r="K502" s="43" t="s">
        <v>671</v>
      </c>
      <c r="L502" s="47" t="s">
        <v>1426</v>
      </c>
      <c r="M502" s="43" t="s">
        <v>1446</v>
      </c>
      <c r="N502" s="43" t="str">
        <f t="shared" si="17"/>
        <v>Rua A · Prat 16 · C-121</v>
      </c>
      <c r="P502">
        <f>IF(A502="","",IF(AND(K502&lt;&gt;"",L502&lt;&gt;""),IF(COUNTIFS($K$6:K502,K502,$L$6:L502,L502)=1,1,0),0))</f>
        <v>0</v>
      </c>
      <c r="Q502">
        <f>IF(A502="","",IF(AND(K502&lt;&gt;"",M502&lt;&gt;""),IF(COUNTIFS($K$6:K502,K502,$M$6:M502,M502)=1,1,0),0))</f>
        <v>1</v>
      </c>
      <c r="R502">
        <f>IF(A502="","",IF(M502&lt;&gt;"",IF(COUNTIF($M$6:M502,M502)=1,1,0),0))</f>
        <v>1</v>
      </c>
      <c r="T502" t="str">
        <f>IF(AND($M502&lt;&gt;"",$M502='Mapa do Galpão'!$C$20),COUNTIF($M$6:$M502,'Mapa do Galpão'!$C$20),"")</f>
        <v/>
      </c>
    </row>
    <row r="503" spans="1:20" ht="14.25" hidden="1" customHeight="1" x14ac:dyDescent="0.3">
      <c r="A503" s="43" t="s">
        <v>1447</v>
      </c>
      <c r="B503" s="50" t="s">
        <v>1424</v>
      </c>
      <c r="C503" s="165" t="s">
        <v>293</v>
      </c>
      <c r="D503" s="45" t="str">
        <f t="shared" si="16"/>
        <v>Masculino</v>
      </c>
      <c r="E503" s="43" t="s">
        <v>666</v>
      </c>
      <c r="F503" s="43" t="s">
        <v>1444</v>
      </c>
      <c r="G503" s="43" t="s">
        <v>1445</v>
      </c>
      <c r="H503" s="43" t="s">
        <v>677</v>
      </c>
      <c r="I503" s="46">
        <f>SUMIFS(Movimentações!$F$6:$F$4998,Movimentações!$C$6:$C$4998,A503,Movimentações!$M$6:$M$4998,M503)</f>
        <v>0</v>
      </c>
      <c r="J503" s="43" t="s">
        <v>670</v>
      </c>
      <c r="K503" s="43" t="s">
        <v>671</v>
      </c>
      <c r="L503" s="47" t="s">
        <v>1426</v>
      </c>
      <c r="M503" s="43" t="s">
        <v>1446</v>
      </c>
      <c r="N503" s="43" t="str">
        <f t="shared" si="17"/>
        <v>Rua A · Prat 16 · C-121</v>
      </c>
      <c r="P503">
        <f>IF(A503="","",IF(AND(K503&lt;&gt;"",L503&lt;&gt;""),IF(COUNTIFS($K$6:K503,K503,$L$6:L503,L503)=1,1,0),0))</f>
        <v>0</v>
      </c>
      <c r="Q503">
        <f>IF(A503="","",IF(AND(K503&lt;&gt;"",M503&lt;&gt;""),IF(COUNTIFS($K$6:K503,K503,$M$6:M503,M503)=1,1,0),0))</f>
        <v>0</v>
      </c>
      <c r="R503">
        <f>IF(A503="","",IF(M503&lt;&gt;"",IF(COUNTIF($M$6:M503,M503)=1,1,0),0))</f>
        <v>0</v>
      </c>
      <c r="T503" t="str">
        <f>IF(AND($M503&lt;&gt;"",$M503='Mapa do Galpão'!$C$20),COUNTIF($M$6:$M503,'Mapa do Galpão'!$C$20),"")</f>
        <v/>
      </c>
    </row>
    <row r="504" spans="1:20" ht="14.25" hidden="1" customHeight="1" x14ac:dyDescent="0.3">
      <c r="A504" s="43" t="s">
        <v>1448</v>
      </c>
      <c r="B504" s="50" t="s">
        <v>1424</v>
      </c>
      <c r="C504" s="165" t="s">
        <v>279</v>
      </c>
      <c r="D504" s="45" t="str">
        <f t="shared" si="16"/>
        <v>Feminino</v>
      </c>
      <c r="E504" s="43" t="s">
        <v>666</v>
      </c>
      <c r="F504" s="43" t="s">
        <v>822</v>
      </c>
      <c r="G504" s="43" t="s">
        <v>1445</v>
      </c>
      <c r="H504" s="43" t="s">
        <v>756</v>
      </c>
      <c r="I504" s="46">
        <f>SUMIFS(Movimentações!$F$6:$F$4998,Movimentações!$C$6:$C$4998,A504,Movimentações!$M$6:$M$4998,M504)</f>
        <v>4</v>
      </c>
      <c r="J504" s="43" t="s">
        <v>670</v>
      </c>
      <c r="K504" s="43" t="s">
        <v>671</v>
      </c>
      <c r="L504" s="47">
        <v>11</v>
      </c>
      <c r="M504" s="43" t="s">
        <v>1449</v>
      </c>
      <c r="N504" s="43" t="str">
        <f t="shared" si="17"/>
        <v>Rua A · Prat 11 · C-122</v>
      </c>
      <c r="P504">
        <f>IF(A504="","",IF(AND(K504&lt;&gt;"",L504&lt;&gt;""),IF(COUNTIFS($K$6:K504,K504,$L$6:L504,L504)=1,1,0),0))</f>
        <v>0</v>
      </c>
      <c r="Q504">
        <f>IF(A504="","",IF(AND(K504&lt;&gt;"",M504&lt;&gt;""),IF(COUNTIFS($K$6:K504,K504,$M$6:M504,M504)=1,1,0),0))</f>
        <v>1</v>
      </c>
      <c r="R504">
        <f>IF(A504="","",IF(M504&lt;&gt;"",IF(COUNTIF($M$6:M504,M504)=1,1,0),0))</f>
        <v>1</v>
      </c>
      <c r="T504" t="str">
        <f>IF(AND($M504&lt;&gt;"",$M504='Mapa do Galpão'!$C$20),COUNTIF($M$6:$M504,'Mapa do Galpão'!$C$20),"")</f>
        <v/>
      </c>
    </row>
    <row r="505" spans="1:20" ht="14.25" hidden="1" customHeight="1" x14ac:dyDescent="0.3">
      <c r="A505" s="43" t="s">
        <v>1450</v>
      </c>
      <c r="B505" s="50" t="s">
        <v>1424</v>
      </c>
      <c r="C505" s="165" t="s">
        <v>280</v>
      </c>
      <c r="D505" s="45" t="str">
        <f t="shared" si="16"/>
        <v>Feminino</v>
      </c>
      <c r="E505" s="43" t="s">
        <v>666</v>
      </c>
      <c r="F505" s="43" t="s">
        <v>1451</v>
      </c>
      <c r="G505" s="43" t="s">
        <v>1445</v>
      </c>
      <c r="H505" s="43" t="s">
        <v>680</v>
      </c>
      <c r="I505" s="46">
        <f>SUMIFS(Movimentações!$F$6:$F$4998,Movimentações!$C$6:$C$4998,A505,Movimentações!$M$6:$M$4998,M505)</f>
        <v>4</v>
      </c>
      <c r="J505" s="43" t="s">
        <v>670</v>
      </c>
      <c r="K505" s="43" t="s">
        <v>671</v>
      </c>
      <c r="L505" s="47">
        <v>11</v>
      </c>
      <c r="M505" s="43" t="s">
        <v>1449</v>
      </c>
      <c r="N505" s="43" t="str">
        <f t="shared" si="17"/>
        <v>Rua A · Prat 11 · C-122</v>
      </c>
      <c r="P505">
        <f>IF(A505="","",IF(AND(K505&lt;&gt;"",L505&lt;&gt;""),IF(COUNTIFS($K$6:K505,K505,$L$6:L505,L505)=1,1,0),0))</f>
        <v>0</v>
      </c>
      <c r="Q505">
        <f>IF(A505="","",IF(AND(K505&lt;&gt;"",M505&lt;&gt;""),IF(COUNTIFS($K$6:K505,K505,$M$6:M505,M505)=1,1,0),0))</f>
        <v>0</v>
      </c>
      <c r="R505">
        <f>IF(A505="","",IF(M505&lt;&gt;"",IF(COUNTIF($M$6:M505,M505)=1,1,0),0))</f>
        <v>0</v>
      </c>
      <c r="T505" t="str">
        <f>IF(AND($M505&lt;&gt;"",$M505='Mapa do Galpão'!$C$20),COUNTIF($M$6:$M505,'Mapa do Galpão'!$C$20),"")</f>
        <v/>
      </c>
    </row>
    <row r="506" spans="1:20" ht="14.25" hidden="1" customHeight="1" x14ac:dyDescent="0.3">
      <c r="A506" s="43" t="s">
        <v>1452</v>
      </c>
      <c r="B506" s="50" t="s">
        <v>1424</v>
      </c>
      <c r="C506" s="165" t="s">
        <v>281</v>
      </c>
      <c r="D506" s="45" t="str">
        <f t="shared" si="16"/>
        <v>Feminino</v>
      </c>
      <c r="E506" s="43" t="s">
        <v>666</v>
      </c>
      <c r="F506" s="43" t="s">
        <v>1451</v>
      </c>
      <c r="G506" s="43" t="s">
        <v>1445</v>
      </c>
      <c r="H506" s="43" t="s">
        <v>675</v>
      </c>
      <c r="I506" s="46">
        <f>SUMIFS(Movimentações!$F$6:$F$4998,Movimentações!$C$6:$C$4998,A506,Movimentações!$M$6:$M$4998,M506)</f>
        <v>3</v>
      </c>
      <c r="J506" s="43" t="s">
        <v>670</v>
      </c>
      <c r="K506" s="43" t="s">
        <v>671</v>
      </c>
      <c r="L506" s="47">
        <v>11</v>
      </c>
      <c r="M506" s="43" t="s">
        <v>1449</v>
      </c>
      <c r="N506" s="43" t="str">
        <f t="shared" si="17"/>
        <v>Rua A · Prat 11 · C-122</v>
      </c>
      <c r="P506">
        <f>IF(A506="","",IF(AND(K506&lt;&gt;"",L506&lt;&gt;""),IF(COUNTIFS($K$6:K506,K506,$L$6:L506,L506)=1,1,0),0))</f>
        <v>0</v>
      </c>
      <c r="Q506">
        <f>IF(A506="","",IF(AND(K506&lt;&gt;"",M506&lt;&gt;""),IF(COUNTIFS($K$6:K506,K506,$M$6:M506,M506)=1,1,0),0))</f>
        <v>0</v>
      </c>
      <c r="R506">
        <f>IF(A506="","",IF(M506&lt;&gt;"",IF(COUNTIF($M$6:M506,M506)=1,1,0),0))</f>
        <v>0</v>
      </c>
      <c r="T506" t="str">
        <f>IF(AND($M506&lt;&gt;"",$M506='Mapa do Galpão'!$C$20),COUNTIF($M$6:$M506,'Mapa do Galpão'!$C$20),"")</f>
        <v/>
      </c>
    </row>
    <row r="507" spans="1:20" ht="14.25" hidden="1" customHeight="1" x14ac:dyDescent="0.3">
      <c r="A507" s="43" t="s">
        <v>1453</v>
      </c>
      <c r="B507" s="50" t="s">
        <v>1424</v>
      </c>
      <c r="C507" s="165" t="s">
        <v>282</v>
      </c>
      <c r="D507" s="45" t="str">
        <f t="shared" si="16"/>
        <v>Feminino</v>
      </c>
      <c r="E507" s="43" t="s">
        <v>666</v>
      </c>
      <c r="F507" s="43" t="s">
        <v>1451</v>
      </c>
      <c r="G507" s="43" t="s">
        <v>1445</v>
      </c>
      <c r="H507" s="43" t="s">
        <v>669</v>
      </c>
      <c r="I507" s="46">
        <f>SUMIFS(Movimentações!$F$6:$F$4998,Movimentações!$C$6:$C$4998,A507,Movimentações!$M$6:$M$4998,M507)</f>
        <v>10</v>
      </c>
      <c r="J507" s="43" t="s">
        <v>670</v>
      </c>
      <c r="K507" s="43" t="s">
        <v>671</v>
      </c>
      <c r="L507" s="47">
        <v>11</v>
      </c>
      <c r="M507" s="43" t="s">
        <v>1449</v>
      </c>
      <c r="N507" s="43" t="str">
        <f t="shared" si="17"/>
        <v>Rua A · Prat 11 · C-122</v>
      </c>
      <c r="P507">
        <f>IF(A507="","",IF(AND(K507&lt;&gt;"",L507&lt;&gt;""),IF(COUNTIFS($K$6:K507,K507,$L$6:L507,L507)=1,1,0),0))</f>
        <v>0</v>
      </c>
      <c r="Q507">
        <f>IF(A507="","",IF(AND(K507&lt;&gt;"",M507&lt;&gt;""),IF(COUNTIFS($K$6:K507,K507,$M$6:M507,M507)=1,1,0),0))</f>
        <v>0</v>
      </c>
      <c r="R507">
        <f>IF(A507="","",IF(M507&lt;&gt;"",IF(COUNTIF($M$6:M507,M507)=1,1,0),0))</f>
        <v>0</v>
      </c>
      <c r="T507" t="str">
        <f>IF(AND($M507&lt;&gt;"",$M507='Mapa do Galpão'!$C$20),COUNTIF($M$6:$M507,'Mapa do Galpão'!$C$20),"")</f>
        <v/>
      </c>
    </row>
    <row r="508" spans="1:20" ht="14.25" hidden="1" customHeight="1" x14ac:dyDescent="0.3">
      <c r="A508" s="43" t="s">
        <v>1454</v>
      </c>
      <c r="B508" s="50" t="s">
        <v>1424</v>
      </c>
      <c r="C508" s="165" t="s">
        <v>283</v>
      </c>
      <c r="D508" s="45" t="str">
        <f t="shared" si="16"/>
        <v>Feminino</v>
      </c>
      <c r="E508" s="43" t="s">
        <v>666</v>
      </c>
      <c r="F508" s="43" t="s">
        <v>1451</v>
      </c>
      <c r="G508" s="43" t="s">
        <v>1445</v>
      </c>
      <c r="H508" s="43" t="s">
        <v>682</v>
      </c>
      <c r="I508" s="46">
        <f>SUMIFS(Movimentações!$F$6:$F$4998,Movimentações!$C$6:$C$4998,A508,Movimentações!$M$6:$M$4998,M508)</f>
        <v>17</v>
      </c>
      <c r="J508" s="43" t="s">
        <v>670</v>
      </c>
      <c r="K508" s="43" t="s">
        <v>671</v>
      </c>
      <c r="L508" s="47">
        <v>11</v>
      </c>
      <c r="M508" s="43" t="s">
        <v>1449</v>
      </c>
      <c r="N508" s="43" t="str">
        <f t="shared" si="17"/>
        <v>Rua A · Prat 11 · C-122</v>
      </c>
      <c r="P508">
        <f>IF(A508="","",IF(AND(K508&lt;&gt;"",L508&lt;&gt;""),IF(COUNTIFS($K$6:K508,K508,$L$6:L508,L508)=1,1,0),0))</f>
        <v>0</v>
      </c>
      <c r="Q508">
        <f>IF(A508="","",IF(AND(K508&lt;&gt;"",M508&lt;&gt;""),IF(COUNTIFS($K$6:K508,K508,$M$6:M508,M508)=1,1,0),0))</f>
        <v>0</v>
      </c>
      <c r="R508">
        <f>IF(A508="","",IF(M508&lt;&gt;"",IF(COUNTIF($M$6:M508,M508)=1,1,0),0))</f>
        <v>0</v>
      </c>
      <c r="T508" t="str">
        <f>IF(AND($M508&lt;&gt;"",$M508='Mapa do Galpão'!$C$20),COUNTIF($M$6:$M508,'Mapa do Galpão'!$C$20),"")</f>
        <v/>
      </c>
    </row>
    <row r="509" spans="1:20" ht="14.25" hidden="1" customHeight="1" x14ac:dyDescent="0.3">
      <c r="A509" s="43" t="s">
        <v>1455</v>
      </c>
      <c r="B509" s="50" t="s">
        <v>1424</v>
      </c>
      <c r="C509" s="165" t="s">
        <v>284</v>
      </c>
      <c r="D509" s="45" t="str">
        <f t="shared" si="16"/>
        <v>Feminino</v>
      </c>
      <c r="E509" s="43" t="s">
        <v>666</v>
      </c>
      <c r="F509" s="43" t="s">
        <v>1451</v>
      </c>
      <c r="G509" s="43" t="s">
        <v>1445</v>
      </c>
      <c r="H509" s="43" t="s">
        <v>677</v>
      </c>
      <c r="I509" s="46">
        <f>SUMIFS(Movimentações!$F$6:$F$4998,Movimentações!$C$6:$C$4998,A509,Movimentações!$M$6:$M$4998,M509)</f>
        <v>3</v>
      </c>
      <c r="J509" s="43" t="s">
        <v>670</v>
      </c>
      <c r="K509" s="43" t="s">
        <v>671</v>
      </c>
      <c r="L509" s="47">
        <v>11</v>
      </c>
      <c r="M509" s="43" t="s">
        <v>1449</v>
      </c>
      <c r="N509" s="43" t="str">
        <f t="shared" si="17"/>
        <v>Rua A · Prat 11 · C-122</v>
      </c>
      <c r="P509">
        <f>IF(A509="","",IF(AND(K509&lt;&gt;"",L509&lt;&gt;""),IF(COUNTIFS($K$6:K509,K509,$L$6:L509,L509)=1,1,0),0))</f>
        <v>0</v>
      </c>
      <c r="Q509">
        <f>IF(A509="","",IF(AND(K509&lt;&gt;"",M509&lt;&gt;""),IF(COUNTIFS($K$6:K509,K509,$M$6:M509,M509)=1,1,0),0))</f>
        <v>0</v>
      </c>
      <c r="R509">
        <f>IF(A509="","",IF(M509&lt;&gt;"",IF(COUNTIF($M$6:M509,M509)=1,1,0),0))</f>
        <v>0</v>
      </c>
      <c r="T509" t="str">
        <f>IF(AND($M509&lt;&gt;"",$M509='Mapa do Galpão'!$C$20),COUNTIF($M$6:$M509,'Mapa do Galpão'!$C$20),"")</f>
        <v/>
      </c>
    </row>
    <row r="510" spans="1:20" ht="14.25" hidden="1" customHeight="1" x14ac:dyDescent="0.3">
      <c r="A510" s="43" t="s">
        <v>1456</v>
      </c>
      <c r="B510" s="50" t="s">
        <v>1424</v>
      </c>
      <c r="C510" s="165" t="s">
        <v>475</v>
      </c>
      <c r="D510" s="45" t="str">
        <f t="shared" si="16"/>
        <v>Masculino</v>
      </c>
      <c r="E510" s="43" t="s">
        <v>666</v>
      </c>
      <c r="F510" s="43" t="s">
        <v>1457</v>
      </c>
      <c r="G510" s="43" t="s">
        <v>798</v>
      </c>
      <c r="H510" s="43" t="s">
        <v>756</v>
      </c>
      <c r="I510" s="46">
        <f>SUMIFS(Movimentações!$F$6:$F$4998,Movimentações!$C$6:$C$4998,A510,Movimentações!$M$6:$M$4998,M510)</f>
        <v>35</v>
      </c>
      <c r="J510" s="43" t="s">
        <v>670</v>
      </c>
      <c r="K510" s="43" t="s">
        <v>671</v>
      </c>
      <c r="L510" s="47">
        <v>9</v>
      </c>
      <c r="M510" s="43" t="s">
        <v>1458</v>
      </c>
      <c r="N510" s="43" t="str">
        <f t="shared" si="17"/>
        <v>Rua A · Prat 9 · C-123</v>
      </c>
      <c r="P510">
        <f>IF(A510="","",IF(AND(K510&lt;&gt;"",L510&lt;&gt;""),IF(COUNTIFS($K$6:K510,K510,$L$6:L510,L510)=1,1,0),0))</f>
        <v>0</v>
      </c>
      <c r="Q510">
        <f>IF(A510="","",IF(AND(K510&lt;&gt;"",M510&lt;&gt;""),IF(COUNTIFS($K$6:K510,K510,$M$6:M510,M510)=1,1,0),0))</f>
        <v>1</v>
      </c>
      <c r="R510">
        <f>IF(A510="","",IF(M510&lt;&gt;"",IF(COUNTIF($M$6:M510,M510)=1,1,0),0))</f>
        <v>1</v>
      </c>
      <c r="T510" t="str">
        <f>IF(AND($M510&lt;&gt;"",$M510='Mapa do Galpão'!$C$20),COUNTIF($M$6:$M510,'Mapa do Galpão'!$C$20),"")</f>
        <v/>
      </c>
    </row>
    <row r="511" spans="1:20" ht="14.25" hidden="1" customHeight="1" x14ac:dyDescent="0.3">
      <c r="A511" s="43" t="s">
        <v>1459</v>
      </c>
      <c r="B511" s="50" t="s">
        <v>1424</v>
      </c>
      <c r="C511" s="165" t="s">
        <v>539</v>
      </c>
      <c r="D511" s="45" t="str">
        <f t="shared" si="16"/>
        <v>Feminino</v>
      </c>
      <c r="E511" s="43" t="s">
        <v>666</v>
      </c>
      <c r="F511" s="43" t="s">
        <v>1012</v>
      </c>
      <c r="G511" s="43" t="s">
        <v>798</v>
      </c>
      <c r="H511" s="43" t="s">
        <v>675</v>
      </c>
      <c r="I511" s="46">
        <f>SUMIFS(Movimentações!$F$6:$F$4998,Movimentações!$C$6:$C$4998,A511,Movimentações!$M$6:$M$4998,M511)</f>
        <v>5</v>
      </c>
      <c r="J511" s="43" t="s">
        <v>670</v>
      </c>
      <c r="K511" s="43" t="s">
        <v>671</v>
      </c>
      <c r="L511" s="47">
        <v>9</v>
      </c>
      <c r="M511" s="43" t="s">
        <v>1458</v>
      </c>
      <c r="N511" s="43" t="str">
        <f t="shared" si="17"/>
        <v>Rua A · Prat 9 · C-123</v>
      </c>
      <c r="P511">
        <f>IF(A511="","",IF(AND(K511&lt;&gt;"",L511&lt;&gt;""),IF(COUNTIFS($K$6:K511,K511,$L$6:L511,L511)=1,1,0),0))</f>
        <v>0</v>
      </c>
      <c r="Q511">
        <f>IF(A511="","",IF(AND(K511&lt;&gt;"",M511&lt;&gt;""),IF(COUNTIFS($K$6:K511,K511,$M$6:M511,M511)=1,1,0),0))</f>
        <v>0</v>
      </c>
      <c r="R511">
        <f>IF(A511="","",IF(M511&lt;&gt;"",IF(COUNTIF($M$6:M511,M511)=1,1,0),0))</f>
        <v>0</v>
      </c>
      <c r="T511" t="str">
        <f>IF(AND($M511&lt;&gt;"",$M511='Mapa do Galpão'!$C$20),COUNTIF($M$6:$M511,'Mapa do Galpão'!$C$20),"")</f>
        <v/>
      </c>
    </row>
    <row r="512" spans="1:20" ht="14.25" hidden="1" customHeight="1" x14ac:dyDescent="0.3">
      <c r="A512" s="43" t="s">
        <v>1460</v>
      </c>
      <c r="B512" s="50" t="s">
        <v>1424</v>
      </c>
      <c r="C512" s="165" t="s">
        <v>477</v>
      </c>
      <c r="D512" s="45" t="str">
        <f t="shared" si="16"/>
        <v>Feminino</v>
      </c>
      <c r="E512" s="43" t="s">
        <v>709</v>
      </c>
      <c r="F512" s="43" t="s">
        <v>1461</v>
      </c>
      <c r="G512" s="43" t="s">
        <v>798</v>
      </c>
      <c r="H512" s="43" t="s">
        <v>669</v>
      </c>
      <c r="I512" s="46">
        <f>SUMIFS(Movimentações!$F$6:$F$4998,Movimentações!$C$6:$C$4998,A512,Movimentações!$M$6:$M$4998,M512)</f>
        <v>4</v>
      </c>
      <c r="J512" s="43" t="s">
        <v>670</v>
      </c>
      <c r="K512" s="43" t="s">
        <v>671</v>
      </c>
      <c r="L512" s="47" t="s">
        <v>1426</v>
      </c>
      <c r="M512" s="43" t="s">
        <v>1462</v>
      </c>
      <c r="N512" s="43" t="str">
        <f t="shared" si="17"/>
        <v>Rua A · Prat 16 · C-124</v>
      </c>
      <c r="P512">
        <f>IF(A512="","",IF(AND(K512&lt;&gt;"",L512&lt;&gt;""),IF(COUNTIFS($K$6:K512,K512,$L$6:L512,L512)=1,1,0),0))</f>
        <v>0</v>
      </c>
      <c r="Q512">
        <f>IF(A512="","",IF(AND(K512&lt;&gt;"",M512&lt;&gt;""),IF(COUNTIFS($K$6:K512,K512,$M$6:M512,M512)=1,1,0),0))</f>
        <v>1</v>
      </c>
      <c r="R512">
        <f>IF(A512="","",IF(M512&lt;&gt;"",IF(COUNTIF($M$6:M512,M512)=1,1,0),0))</f>
        <v>1</v>
      </c>
      <c r="T512" t="str">
        <f>IF(AND($M512&lt;&gt;"",$M512='Mapa do Galpão'!$C$20),COUNTIF($M$6:$M512,'Mapa do Galpão'!$C$20),"")</f>
        <v/>
      </c>
    </row>
    <row r="513" spans="1:20" ht="14.25" hidden="1" customHeight="1" x14ac:dyDescent="0.3">
      <c r="A513" s="43" t="s">
        <v>1463</v>
      </c>
      <c r="B513" s="50" t="s">
        <v>1424</v>
      </c>
      <c r="C513" s="165" t="s">
        <v>478</v>
      </c>
      <c r="D513" s="45" t="str">
        <f t="shared" si="16"/>
        <v>Feminino</v>
      </c>
      <c r="E513" s="43" t="s">
        <v>709</v>
      </c>
      <c r="F513" s="43" t="s">
        <v>1461</v>
      </c>
      <c r="G513" s="43" t="s">
        <v>798</v>
      </c>
      <c r="H513" s="43" t="s">
        <v>682</v>
      </c>
      <c r="I513" s="46">
        <f>SUMIFS(Movimentações!$F$6:$F$4998,Movimentações!$C$6:$C$4998,A513,Movimentações!$M$6:$M$4998,M513)</f>
        <v>3</v>
      </c>
      <c r="J513" s="43" t="s">
        <v>670</v>
      </c>
      <c r="K513" s="43" t="s">
        <v>671</v>
      </c>
      <c r="L513" s="47" t="s">
        <v>1426</v>
      </c>
      <c r="M513" s="43" t="s">
        <v>1462</v>
      </c>
      <c r="N513" s="43" t="str">
        <f t="shared" si="17"/>
        <v>Rua A · Prat 16 · C-124</v>
      </c>
      <c r="P513">
        <f>IF(A513="","",IF(AND(K513&lt;&gt;"",L513&lt;&gt;""),IF(COUNTIFS($K$6:K513,K513,$L$6:L513,L513)=1,1,0),0))</f>
        <v>0</v>
      </c>
      <c r="Q513">
        <f>IF(A513="","",IF(AND(K513&lt;&gt;"",M513&lt;&gt;""),IF(COUNTIFS($K$6:K513,K513,$M$6:M513,M513)=1,1,0),0))</f>
        <v>0</v>
      </c>
      <c r="R513">
        <f>IF(A513="","",IF(M513&lt;&gt;"",IF(COUNTIF($M$6:M513,M513)=1,1,0),0))</f>
        <v>0</v>
      </c>
      <c r="T513" t="str">
        <f>IF(AND($M513&lt;&gt;"",$M513='Mapa do Galpão'!$C$20),COUNTIF($M$6:$M513,'Mapa do Galpão'!$C$20),"")</f>
        <v/>
      </c>
    </row>
    <row r="514" spans="1:20" ht="14.25" hidden="1" customHeight="1" x14ac:dyDescent="0.3">
      <c r="A514" s="43" t="s">
        <v>1464</v>
      </c>
      <c r="B514" s="50" t="s">
        <v>1424</v>
      </c>
      <c r="C514" s="165" t="s">
        <v>329</v>
      </c>
      <c r="D514" s="45" t="str">
        <f t="shared" si="16"/>
        <v>Masculino</v>
      </c>
      <c r="E514" s="43" t="s">
        <v>709</v>
      </c>
      <c r="F514" s="43" t="s">
        <v>1465</v>
      </c>
      <c r="G514" s="49" t="s">
        <v>1075</v>
      </c>
      <c r="H514" s="43" t="s">
        <v>669</v>
      </c>
      <c r="I514" s="46">
        <f>SUMIFS(Movimentações!$F$6:$F$4998,Movimentações!$C$6:$C$4998,A514,Movimentações!$M$6:$M$4998,M514)</f>
        <v>1</v>
      </c>
      <c r="J514" s="43" t="s">
        <v>670</v>
      </c>
      <c r="K514" s="43" t="s">
        <v>671</v>
      </c>
      <c r="L514" s="47" t="s">
        <v>1426</v>
      </c>
      <c r="M514" s="43" t="s">
        <v>1466</v>
      </c>
      <c r="N514" s="43" t="str">
        <f t="shared" si="17"/>
        <v>Rua A · Prat 16 · C-125</v>
      </c>
      <c r="P514">
        <f>IF(A514="","",IF(AND(K514&lt;&gt;"",L514&lt;&gt;""),IF(COUNTIFS($K$6:K514,K514,$L$6:L514,L514)=1,1,0),0))</f>
        <v>0</v>
      </c>
      <c r="Q514">
        <f>IF(A514="","",IF(AND(K514&lt;&gt;"",M514&lt;&gt;""),IF(COUNTIFS($K$6:K514,K514,$M$6:M514,M514)=1,1,0),0))</f>
        <v>1</v>
      </c>
      <c r="R514">
        <f>IF(A514="","",IF(M514&lt;&gt;"",IF(COUNTIF($M$6:M514,M514)=1,1,0),0))</f>
        <v>1</v>
      </c>
      <c r="T514" t="str">
        <f>IF(AND($M514&lt;&gt;"",$M514='Mapa do Galpão'!$C$20),COUNTIF($M$6:$M514,'Mapa do Galpão'!$C$20),"")</f>
        <v/>
      </c>
    </row>
    <row r="515" spans="1:20" ht="14.25" hidden="1" customHeight="1" x14ac:dyDescent="0.3">
      <c r="A515" s="43" t="s">
        <v>1467</v>
      </c>
      <c r="B515" s="50" t="s">
        <v>1424</v>
      </c>
      <c r="C515" s="165" t="s">
        <v>330</v>
      </c>
      <c r="D515" s="45" t="str">
        <f t="shared" si="16"/>
        <v>Masculino</v>
      </c>
      <c r="E515" s="43" t="s">
        <v>709</v>
      </c>
      <c r="F515" s="43" t="s">
        <v>1465</v>
      </c>
      <c r="G515" s="49" t="s">
        <v>1075</v>
      </c>
      <c r="H515" s="43" t="s">
        <v>682</v>
      </c>
      <c r="I515" s="46">
        <f>SUMIFS(Movimentações!$F$6:$F$4998,Movimentações!$C$6:$C$4998,A515,Movimentações!$M$6:$M$4998,M515)</f>
        <v>2</v>
      </c>
      <c r="J515" s="43" t="s">
        <v>670</v>
      </c>
      <c r="K515" s="43" t="s">
        <v>671</v>
      </c>
      <c r="L515" s="47" t="s">
        <v>1426</v>
      </c>
      <c r="M515" s="43" t="s">
        <v>1466</v>
      </c>
      <c r="N515" s="43" t="str">
        <f t="shared" si="17"/>
        <v>Rua A · Prat 16 · C-125</v>
      </c>
      <c r="P515">
        <f>IF(A515="","",IF(AND(K515&lt;&gt;"",L515&lt;&gt;""),IF(COUNTIFS($K$6:K515,K515,$L$6:L515,L515)=1,1,0),0))</f>
        <v>0</v>
      </c>
      <c r="Q515">
        <f>IF(A515="","",IF(AND(K515&lt;&gt;"",M515&lt;&gt;""),IF(COUNTIFS($K$6:K515,K515,$M$6:M515,M515)=1,1,0),0))</f>
        <v>0</v>
      </c>
      <c r="R515">
        <f>IF(A515="","",IF(M515&lt;&gt;"",IF(COUNTIF($M$6:M515,M515)=1,1,0),0))</f>
        <v>0</v>
      </c>
      <c r="T515" t="str">
        <f>IF(AND($M515&lt;&gt;"",$M515='Mapa do Galpão'!$C$20),COUNTIF($M$6:$M515,'Mapa do Galpão'!$C$20),"")</f>
        <v/>
      </c>
    </row>
    <row r="516" spans="1:20" ht="14.25" hidden="1" customHeight="1" x14ac:dyDescent="0.3">
      <c r="A516" s="43" t="s">
        <v>1468</v>
      </c>
      <c r="B516" s="50" t="s">
        <v>1424</v>
      </c>
      <c r="C516" s="165" t="s">
        <v>308</v>
      </c>
      <c r="D516" s="45" t="str">
        <f t="shared" si="16"/>
        <v>Feminino</v>
      </c>
      <c r="E516" s="43" t="s">
        <v>709</v>
      </c>
      <c r="F516" s="43" t="s">
        <v>1461</v>
      </c>
      <c r="G516" s="43" t="s">
        <v>956</v>
      </c>
      <c r="H516" s="43" t="s">
        <v>675</v>
      </c>
      <c r="I516" s="46">
        <f>SUMIFS(Movimentações!$F$6:$F$4998,Movimentações!$C$6:$C$4998,A516,Movimentações!$M$6:$M$4998,M516)</f>
        <v>9</v>
      </c>
      <c r="J516" s="43" t="s">
        <v>670</v>
      </c>
      <c r="K516" s="43" t="s">
        <v>671</v>
      </c>
      <c r="L516" s="47" t="s">
        <v>1426</v>
      </c>
      <c r="M516" s="43" t="s">
        <v>1469</v>
      </c>
      <c r="N516" s="43" t="str">
        <f t="shared" si="17"/>
        <v>Rua A · Prat 16 · C-126</v>
      </c>
      <c r="P516">
        <f>IF(A516="","",IF(AND(K516&lt;&gt;"",L516&lt;&gt;""),IF(COUNTIFS($K$6:K516,K516,$L$6:L516,L516)=1,1,0),0))</f>
        <v>0</v>
      </c>
      <c r="Q516">
        <f>IF(A516="","",IF(AND(K516&lt;&gt;"",M516&lt;&gt;""),IF(COUNTIFS($K$6:K516,K516,$M$6:M516,M516)=1,1,0),0))</f>
        <v>1</v>
      </c>
      <c r="R516">
        <f>IF(A516="","",IF(M516&lt;&gt;"",IF(COUNTIF($M$6:M516,M516)=1,1,0),0))</f>
        <v>1</v>
      </c>
      <c r="T516" t="str">
        <f>IF(AND($M516&lt;&gt;"",$M516='Mapa do Galpão'!$C$20),COUNTIF($M$6:$M516,'Mapa do Galpão'!$C$20),"")</f>
        <v/>
      </c>
    </row>
    <row r="517" spans="1:20" ht="14.25" hidden="1" customHeight="1" x14ac:dyDescent="0.3">
      <c r="A517" s="43" t="s">
        <v>1470</v>
      </c>
      <c r="B517" s="50" t="s">
        <v>1424</v>
      </c>
      <c r="C517" s="165" t="s">
        <v>309</v>
      </c>
      <c r="D517" s="45" t="str">
        <f t="shared" si="16"/>
        <v>Feminino</v>
      </c>
      <c r="E517" s="43" t="s">
        <v>709</v>
      </c>
      <c r="F517" s="43" t="s">
        <v>1461</v>
      </c>
      <c r="G517" s="43" t="s">
        <v>956</v>
      </c>
      <c r="H517" s="43" t="s">
        <v>669</v>
      </c>
      <c r="I517" s="46">
        <f>SUMIFS(Movimentações!$F$6:$F$4998,Movimentações!$C$6:$C$4998,A517,Movimentações!$M$6:$M$4998,M517)</f>
        <v>1</v>
      </c>
      <c r="J517" s="43" t="s">
        <v>670</v>
      </c>
      <c r="K517" s="43" t="s">
        <v>671</v>
      </c>
      <c r="L517" s="47" t="s">
        <v>1426</v>
      </c>
      <c r="M517" s="43" t="s">
        <v>1469</v>
      </c>
      <c r="N517" s="43" t="str">
        <f t="shared" si="17"/>
        <v>Rua A · Prat 16 · C-126</v>
      </c>
      <c r="P517">
        <f>IF(A517="","",IF(AND(K517&lt;&gt;"",L517&lt;&gt;""),IF(COUNTIFS($K$6:K517,K517,$L$6:L517,L517)=1,1,0),0))</f>
        <v>0</v>
      </c>
      <c r="Q517">
        <f>IF(A517="","",IF(AND(K517&lt;&gt;"",M517&lt;&gt;""),IF(COUNTIFS($K$6:K517,K517,$M$6:M517,M517)=1,1,0),0))</f>
        <v>0</v>
      </c>
      <c r="R517">
        <f>IF(A517="","",IF(M517&lt;&gt;"",IF(COUNTIF($M$6:M517,M517)=1,1,0),0))</f>
        <v>0</v>
      </c>
      <c r="T517" t="str">
        <f>IF(AND($M517&lt;&gt;"",$M517='Mapa do Galpão'!$C$20),COUNTIF($M$6:$M517,'Mapa do Galpão'!$C$20),"")</f>
        <v/>
      </c>
    </row>
    <row r="518" spans="1:20" ht="14.25" hidden="1" customHeight="1" x14ac:dyDescent="0.3">
      <c r="A518" s="43" t="s">
        <v>1471</v>
      </c>
      <c r="B518" s="50" t="s">
        <v>1424</v>
      </c>
      <c r="C518" s="165" t="s">
        <v>332</v>
      </c>
      <c r="D518" s="45" t="str">
        <f t="shared" ref="D518:D548" si="18">IF(C518="","",IFERROR(IF(TRIM(MID(SUBSTITUTE(C518,".",REPT(" ",50)),51,50))="01","Masculino",IF(TRIM(MID(SUBSTITUTE(C518,".",REPT(" ",50)),51,50))="02","Feminino",IF(TRIM(MID(SUBSTITUTE(C518,".",REPT(" ",50)),51,50))="03","Outros","—"))),"—"))</f>
        <v>Masculino</v>
      </c>
      <c r="E518" s="43" t="s">
        <v>709</v>
      </c>
      <c r="F518" s="43" t="s">
        <v>1055</v>
      </c>
      <c r="G518" s="43" t="s">
        <v>798</v>
      </c>
      <c r="H518" s="43" t="s">
        <v>675</v>
      </c>
      <c r="I518" s="46">
        <f>SUMIFS(Movimentações!$F$6:$F$4998,Movimentações!$C$6:$C$4998,A518,Movimentações!$M$6:$M$4998,M518)</f>
        <v>10</v>
      </c>
      <c r="J518" s="43" t="s">
        <v>670</v>
      </c>
      <c r="K518" s="43" t="s">
        <v>671</v>
      </c>
      <c r="L518" s="47" t="s">
        <v>1437</v>
      </c>
      <c r="M518" s="43" t="s">
        <v>1472</v>
      </c>
      <c r="N518" s="43" t="str">
        <f t="shared" ref="N518:N548" si="19">IF(AND(K518="",L518="",M518=""),"⚠ sem endereço","Rua "&amp;K518&amp;IF(L518="",""," · Prat "&amp;L518)&amp;IF(M518="",""," · "&amp;M518))</f>
        <v>Rua A · Prat 15 · C-127</v>
      </c>
      <c r="P518">
        <f>IF(A518="","",IF(AND(K518&lt;&gt;"",L518&lt;&gt;""),IF(COUNTIFS($K$6:K518,K518,$L$6:L518,L518)=1,1,0),0))</f>
        <v>0</v>
      </c>
      <c r="Q518">
        <f>IF(A518="","",IF(AND(K518&lt;&gt;"",M518&lt;&gt;""),IF(COUNTIFS($K$6:K518,K518,$M$6:M518,M518)=1,1,0),0))</f>
        <v>1</v>
      </c>
      <c r="R518">
        <f>IF(A518="","",IF(M518&lt;&gt;"",IF(COUNTIF($M$6:M518,M518)=1,1,0),0))</f>
        <v>1</v>
      </c>
      <c r="T518" t="str">
        <f>IF(AND($M518&lt;&gt;"",$M518='Mapa do Galpão'!$C$20),COUNTIF($M$6:$M518,'Mapa do Galpão'!$C$20),"")</f>
        <v/>
      </c>
    </row>
    <row r="519" spans="1:20" ht="14.25" hidden="1" customHeight="1" x14ac:dyDescent="0.3">
      <c r="A519" s="43" t="s">
        <v>1473</v>
      </c>
      <c r="B519" s="50" t="s">
        <v>1424</v>
      </c>
      <c r="C519" s="165" t="s">
        <v>320</v>
      </c>
      <c r="D519" s="45" t="str">
        <f t="shared" si="18"/>
        <v>Masculino</v>
      </c>
      <c r="E519" s="43" t="s">
        <v>709</v>
      </c>
      <c r="F519" s="43" t="s">
        <v>1055</v>
      </c>
      <c r="G519" s="43" t="s">
        <v>798</v>
      </c>
      <c r="H519" s="43" t="s">
        <v>680</v>
      </c>
      <c r="I519" s="46">
        <f>SUMIFS(Movimentações!$F$6:$F$4998,Movimentações!$C$6:$C$4998,A519,Movimentações!$M$6:$M$4998,M519)</f>
        <v>1</v>
      </c>
      <c r="J519" s="43" t="s">
        <v>670</v>
      </c>
      <c r="K519" s="43" t="s">
        <v>671</v>
      </c>
      <c r="L519" s="47" t="s">
        <v>1426</v>
      </c>
      <c r="M519" s="43" t="s">
        <v>1474</v>
      </c>
      <c r="N519" s="43" t="str">
        <f t="shared" si="19"/>
        <v>Rua A · Prat 16 · C-128</v>
      </c>
      <c r="P519">
        <f>IF(A519="","",IF(AND(K519&lt;&gt;"",L519&lt;&gt;""),IF(COUNTIFS($K$6:K519,K519,$L$6:L519,L519)=1,1,0),0))</f>
        <v>0</v>
      </c>
      <c r="Q519">
        <f>IF(A519="","",IF(AND(K519&lt;&gt;"",M519&lt;&gt;""),IF(COUNTIFS($K$6:K519,K519,$M$6:M519,M519)=1,1,0),0))</f>
        <v>1</v>
      </c>
      <c r="R519">
        <f>IF(A519="","",IF(M519&lt;&gt;"",IF(COUNTIF($M$6:M519,M519)=1,1,0),0))</f>
        <v>1</v>
      </c>
      <c r="T519" t="str">
        <f>IF(AND($M519&lt;&gt;"",$M519='Mapa do Galpão'!$C$20),COUNTIF($M$6:$M519,'Mapa do Galpão'!$C$20),"")</f>
        <v/>
      </c>
    </row>
    <row r="520" spans="1:20" ht="14.25" hidden="1" customHeight="1" x14ac:dyDescent="0.3">
      <c r="A520" s="43" t="s">
        <v>1475</v>
      </c>
      <c r="B520" s="50" t="s">
        <v>1424</v>
      </c>
      <c r="C520" s="165" t="s">
        <v>333</v>
      </c>
      <c r="D520" s="45" t="str">
        <f t="shared" si="18"/>
        <v>Masculino</v>
      </c>
      <c r="E520" s="43" t="s">
        <v>709</v>
      </c>
      <c r="F520" s="43" t="s">
        <v>1055</v>
      </c>
      <c r="G520" s="43" t="s">
        <v>798</v>
      </c>
      <c r="H520" s="43" t="s">
        <v>669</v>
      </c>
      <c r="I520" s="46">
        <f>SUMIFS(Movimentações!$F$6:$F$4998,Movimentações!$C$6:$C$4998,A520,Movimentações!$M$6:$M$4998,M520)</f>
        <v>3</v>
      </c>
      <c r="J520" s="43" t="s">
        <v>670</v>
      </c>
      <c r="K520" s="43" t="s">
        <v>671</v>
      </c>
      <c r="L520" s="47" t="s">
        <v>1426</v>
      </c>
      <c r="M520" s="43" t="s">
        <v>1474</v>
      </c>
      <c r="N520" s="43" t="str">
        <f t="shared" si="19"/>
        <v>Rua A · Prat 16 · C-128</v>
      </c>
      <c r="P520">
        <f>IF(A520="","",IF(AND(K520&lt;&gt;"",L520&lt;&gt;""),IF(COUNTIFS($K$6:K520,K520,$L$6:L520,L520)=1,1,0),0))</f>
        <v>0</v>
      </c>
      <c r="Q520">
        <f>IF(A520="","",IF(AND(K520&lt;&gt;"",M520&lt;&gt;""),IF(COUNTIFS($K$6:K520,K520,$M$6:M520,M520)=1,1,0),0))</f>
        <v>0</v>
      </c>
      <c r="R520">
        <f>IF(A520="","",IF(M520&lt;&gt;"",IF(COUNTIF($M$6:M520,M520)=1,1,0),0))</f>
        <v>0</v>
      </c>
      <c r="T520" t="str">
        <f>IF(AND($M520&lt;&gt;"",$M520='Mapa do Galpão'!$C$20),COUNTIF($M$6:$M520,'Mapa do Galpão'!$C$20),"")</f>
        <v/>
      </c>
    </row>
    <row r="521" spans="1:20" ht="14.25" hidden="1" customHeight="1" x14ac:dyDescent="0.3">
      <c r="A521" s="43" t="s">
        <v>1460</v>
      </c>
      <c r="B521" s="50" t="s">
        <v>1424</v>
      </c>
      <c r="C521" s="165" t="s">
        <v>477</v>
      </c>
      <c r="D521" s="45" t="str">
        <f t="shared" si="18"/>
        <v>Feminino</v>
      </c>
      <c r="E521" s="43" t="s">
        <v>709</v>
      </c>
      <c r="F521" s="43" t="s">
        <v>1461</v>
      </c>
      <c r="G521" s="43" t="s">
        <v>798</v>
      </c>
      <c r="H521" s="43" t="s">
        <v>669</v>
      </c>
      <c r="I521" s="46">
        <f>SUMIFS(Movimentações!$F$6:$F$4998,Movimentações!$C$6:$C$4998,A521,Movimentações!$M$6:$M$4998,M521)</f>
        <v>8</v>
      </c>
      <c r="J521" s="43" t="s">
        <v>670</v>
      </c>
      <c r="K521" s="43" t="s">
        <v>671</v>
      </c>
      <c r="L521" s="47" t="s">
        <v>1426</v>
      </c>
      <c r="M521" s="43" t="s">
        <v>1476</v>
      </c>
      <c r="N521" s="43" t="str">
        <f t="shared" si="19"/>
        <v>Rua A · Prat 16 · C-129</v>
      </c>
      <c r="P521">
        <f>IF(A521="","",IF(AND(K521&lt;&gt;"",L521&lt;&gt;""),IF(COUNTIFS($K$6:K521,K521,$L$6:L521,L521)=1,1,0),0))</f>
        <v>0</v>
      </c>
      <c r="Q521">
        <f>IF(A521="","",IF(AND(K521&lt;&gt;"",M521&lt;&gt;""),IF(COUNTIFS($K$6:K521,K521,$M$6:M521,M521)=1,1,0),0))</f>
        <v>1</v>
      </c>
      <c r="R521">
        <f>IF(A521="","",IF(M521&lt;&gt;"",IF(COUNTIF($M$6:M521,M521)=1,1,0),0))</f>
        <v>1</v>
      </c>
      <c r="T521" t="str">
        <f>IF(AND($M521&lt;&gt;"",$M521='Mapa do Galpão'!$C$20),COUNTIF($M$6:$M521,'Mapa do Galpão'!$C$20),"")</f>
        <v/>
      </c>
    </row>
    <row r="522" spans="1:20" ht="14.25" hidden="1" customHeight="1" x14ac:dyDescent="0.3">
      <c r="A522" s="43" t="s">
        <v>1463</v>
      </c>
      <c r="B522" s="50" t="s">
        <v>1424</v>
      </c>
      <c r="C522" s="165" t="s">
        <v>478</v>
      </c>
      <c r="D522" s="45" t="str">
        <f t="shared" si="18"/>
        <v>Feminino</v>
      </c>
      <c r="E522" s="43" t="s">
        <v>709</v>
      </c>
      <c r="F522" s="43" t="s">
        <v>1461</v>
      </c>
      <c r="G522" s="43" t="s">
        <v>798</v>
      </c>
      <c r="H522" s="43" t="s">
        <v>682</v>
      </c>
      <c r="I522" s="46">
        <f>SUMIFS(Movimentações!$F$6:$F$4998,Movimentações!$C$6:$C$4998,A522,Movimentações!$M$6:$M$4998,M522)</f>
        <v>2</v>
      </c>
      <c r="J522" s="43" t="s">
        <v>670</v>
      </c>
      <c r="K522" s="43" t="s">
        <v>671</v>
      </c>
      <c r="L522" s="47" t="s">
        <v>1426</v>
      </c>
      <c r="M522" s="43" t="s">
        <v>1476</v>
      </c>
      <c r="N522" s="43" t="str">
        <f t="shared" si="19"/>
        <v>Rua A · Prat 16 · C-129</v>
      </c>
      <c r="P522">
        <f>IF(A522="","",IF(AND(K522&lt;&gt;"",L522&lt;&gt;""),IF(COUNTIFS($K$6:K522,K522,$L$6:L522,L522)=1,1,0),0))</f>
        <v>0</v>
      </c>
      <c r="Q522">
        <f>IF(A522="","",IF(AND(K522&lt;&gt;"",M522&lt;&gt;""),IF(COUNTIFS($K$6:K522,K522,$M$6:M522,M522)=1,1,0),0))</f>
        <v>0</v>
      </c>
      <c r="R522">
        <f>IF(A522="","",IF(M522&lt;&gt;"",IF(COUNTIF($M$6:M522,M522)=1,1,0),0))</f>
        <v>0</v>
      </c>
      <c r="T522" t="str">
        <f>IF(AND($M522&lt;&gt;"",$M522='Mapa do Galpão'!$C$20),COUNTIF($M$6:$M522,'Mapa do Galpão'!$C$20),"")</f>
        <v/>
      </c>
    </row>
    <row r="523" spans="1:20" ht="14.25" hidden="1" customHeight="1" x14ac:dyDescent="0.3">
      <c r="A523" s="43" t="s">
        <v>1477</v>
      </c>
      <c r="B523" s="50" t="s">
        <v>1424</v>
      </c>
      <c r="C523" s="165" t="s">
        <v>479</v>
      </c>
      <c r="D523" s="45" t="str">
        <f t="shared" si="18"/>
        <v>Feminino</v>
      </c>
      <c r="E523" s="43" t="s">
        <v>709</v>
      </c>
      <c r="F523" s="43" t="s">
        <v>1478</v>
      </c>
      <c r="G523" s="43" t="s">
        <v>738</v>
      </c>
      <c r="H523" s="43" t="s">
        <v>669</v>
      </c>
      <c r="I523" s="46">
        <f>SUMIFS(Movimentações!$F$6:$F$4998,Movimentações!$C$6:$C$4998,A523,Movimentações!$M$6:$M$4998,M523)</f>
        <v>1</v>
      </c>
      <c r="J523" s="43" t="s">
        <v>670</v>
      </c>
      <c r="K523" s="43" t="s">
        <v>671</v>
      </c>
      <c r="L523" s="47" t="s">
        <v>1426</v>
      </c>
      <c r="M523" s="43" t="s">
        <v>1476</v>
      </c>
      <c r="N523" s="43" t="str">
        <f t="shared" si="19"/>
        <v>Rua A · Prat 16 · C-129</v>
      </c>
      <c r="P523">
        <f>IF(A523="","",IF(AND(K523&lt;&gt;"",L523&lt;&gt;""),IF(COUNTIFS($K$6:K523,K523,$L$6:L523,L523)=1,1,0),0))</f>
        <v>0</v>
      </c>
      <c r="Q523">
        <f>IF(A523="","",IF(AND(K523&lt;&gt;"",M523&lt;&gt;""),IF(COUNTIFS($K$6:K523,K523,$M$6:M523,M523)=1,1,0),0))</f>
        <v>0</v>
      </c>
      <c r="R523">
        <f>IF(A523="","",IF(M523&lt;&gt;"",IF(COUNTIF($M$6:M523,M523)=1,1,0),0))</f>
        <v>0</v>
      </c>
      <c r="T523" t="str">
        <f>IF(AND($M523&lt;&gt;"",$M523='Mapa do Galpão'!$C$20),COUNTIF($M$6:$M523,'Mapa do Galpão'!$C$20),"")</f>
        <v/>
      </c>
    </row>
    <row r="524" spans="1:20" ht="14.25" hidden="1" customHeight="1" x14ac:dyDescent="0.3">
      <c r="A524" s="43" t="s">
        <v>1468</v>
      </c>
      <c r="B524" s="50" t="s">
        <v>1424</v>
      </c>
      <c r="C524" s="165" t="s">
        <v>308</v>
      </c>
      <c r="D524" s="45" t="str">
        <f t="shared" si="18"/>
        <v>Feminino</v>
      </c>
      <c r="E524" s="43" t="s">
        <v>709</v>
      </c>
      <c r="F524" s="43" t="s">
        <v>1461</v>
      </c>
      <c r="G524" s="43" t="s">
        <v>956</v>
      </c>
      <c r="H524" s="43" t="s">
        <v>675</v>
      </c>
      <c r="I524" s="46">
        <f>SUMIFS(Movimentações!$F$6:$F$4998,Movimentações!$C$6:$C$4998,A524,Movimentações!$M$6:$M$4998,M524)</f>
        <v>3</v>
      </c>
      <c r="J524" s="43" t="s">
        <v>670</v>
      </c>
      <c r="K524" s="43" t="s">
        <v>671</v>
      </c>
      <c r="L524" s="47" t="s">
        <v>1426</v>
      </c>
      <c r="M524" s="43" t="s">
        <v>1479</v>
      </c>
      <c r="N524" s="43" t="str">
        <f t="shared" si="19"/>
        <v>Rua A · Prat 16 · C-130</v>
      </c>
      <c r="P524">
        <f>IF(A524="","",IF(AND(K524&lt;&gt;"",L524&lt;&gt;""),IF(COUNTIFS($K$6:K524,K524,$L$6:L524,L524)=1,1,0),0))</f>
        <v>0</v>
      </c>
      <c r="Q524">
        <f>IF(A524="","",IF(AND(K524&lt;&gt;"",M524&lt;&gt;""),IF(COUNTIFS($K$6:K524,K524,$M$6:M524,M524)=1,1,0),0))</f>
        <v>1</v>
      </c>
      <c r="R524">
        <f>IF(A524="","",IF(M524&lt;&gt;"",IF(COUNTIF($M$6:M524,M524)=1,1,0),0))</f>
        <v>1</v>
      </c>
      <c r="T524" t="str">
        <f>IF(AND($M524&lt;&gt;"",$M524='Mapa do Galpão'!$C$20),COUNTIF($M$6:$M524,'Mapa do Galpão'!$C$20),"")</f>
        <v/>
      </c>
    </row>
    <row r="525" spans="1:20" ht="14.25" hidden="1" customHeight="1" x14ac:dyDescent="0.3">
      <c r="A525" s="43" t="s">
        <v>1470</v>
      </c>
      <c r="B525" s="50" t="s">
        <v>1424</v>
      </c>
      <c r="C525" s="165" t="s">
        <v>309</v>
      </c>
      <c r="D525" s="45" t="str">
        <f t="shared" si="18"/>
        <v>Feminino</v>
      </c>
      <c r="E525" s="43" t="s">
        <v>709</v>
      </c>
      <c r="F525" s="43" t="s">
        <v>1461</v>
      </c>
      <c r="G525" s="43" t="s">
        <v>956</v>
      </c>
      <c r="H525" s="43" t="s">
        <v>669</v>
      </c>
      <c r="I525" s="46">
        <f>SUMIFS(Movimentações!$F$6:$F$4998,Movimentações!$C$6:$C$4998,A525,Movimentações!$M$6:$M$4998,M525)</f>
        <v>4</v>
      </c>
      <c r="J525" s="43" t="s">
        <v>670</v>
      </c>
      <c r="K525" s="43" t="s">
        <v>671</v>
      </c>
      <c r="L525" s="47" t="s">
        <v>1426</v>
      </c>
      <c r="M525" s="43" t="s">
        <v>1479</v>
      </c>
      <c r="N525" s="43" t="str">
        <f t="shared" si="19"/>
        <v>Rua A · Prat 16 · C-130</v>
      </c>
      <c r="P525">
        <f>IF(A525="","",IF(AND(K525&lt;&gt;"",L525&lt;&gt;""),IF(COUNTIFS($K$6:K525,K525,$L$6:L525,L525)=1,1,0),0))</f>
        <v>0</v>
      </c>
      <c r="Q525">
        <f>IF(A525="","",IF(AND(K525&lt;&gt;"",M525&lt;&gt;""),IF(COUNTIFS($K$6:K525,K525,$M$6:M525,M525)=1,1,0),0))</f>
        <v>0</v>
      </c>
      <c r="R525">
        <f>IF(A525="","",IF(M525&lt;&gt;"",IF(COUNTIF($M$6:M525,M525)=1,1,0),0))</f>
        <v>0</v>
      </c>
      <c r="T525" t="str">
        <f>IF(AND($M525&lt;&gt;"",$M525='Mapa do Galpão'!$C$20),COUNTIF($M$6:$M525,'Mapa do Galpão'!$C$20),"")</f>
        <v/>
      </c>
    </row>
    <row r="526" spans="1:20" ht="14.25" hidden="1" customHeight="1" x14ac:dyDescent="0.3">
      <c r="A526" s="43" t="s">
        <v>1470</v>
      </c>
      <c r="B526" s="50" t="s">
        <v>1424</v>
      </c>
      <c r="C526" s="165" t="s">
        <v>309</v>
      </c>
      <c r="D526" s="45" t="str">
        <f t="shared" si="18"/>
        <v>Feminino</v>
      </c>
      <c r="E526" s="43" t="s">
        <v>709</v>
      </c>
      <c r="F526" s="43" t="s">
        <v>1461</v>
      </c>
      <c r="G526" s="43" t="s">
        <v>956</v>
      </c>
      <c r="H526" s="43" t="s">
        <v>669</v>
      </c>
      <c r="I526" s="46">
        <f>SUMIFS(Movimentações!$F$6:$F$4998,Movimentações!$C$6:$C$4998,A526,Movimentações!$M$6:$M$4998,M526)</f>
        <v>7</v>
      </c>
      <c r="J526" s="43" t="s">
        <v>670</v>
      </c>
      <c r="K526" s="43" t="s">
        <v>671</v>
      </c>
      <c r="L526" s="47" t="s">
        <v>1437</v>
      </c>
      <c r="M526" s="43" t="s">
        <v>1480</v>
      </c>
      <c r="N526" s="43" t="str">
        <f t="shared" si="19"/>
        <v>Rua A · Prat 15 · C-131</v>
      </c>
      <c r="P526">
        <f>IF(A526="","",IF(AND(K526&lt;&gt;"",L526&lt;&gt;""),IF(COUNTIFS($K$6:K526,K526,$L$6:L526,L526)=1,1,0),0))</f>
        <v>0</v>
      </c>
      <c r="Q526">
        <f>IF(A526="","",IF(AND(K526&lt;&gt;"",M526&lt;&gt;""),IF(COUNTIFS($K$6:K526,K526,$M$6:M526,M526)=1,1,0),0))</f>
        <v>1</v>
      </c>
      <c r="R526">
        <f>IF(A526="","",IF(M526&lt;&gt;"",IF(COUNTIF($M$6:M526,M526)=1,1,0),0))</f>
        <v>1</v>
      </c>
      <c r="T526" t="str">
        <f>IF(AND($M526&lt;&gt;"",$M526='Mapa do Galpão'!$C$20),COUNTIF($M$6:$M526,'Mapa do Galpão'!$C$20),"")</f>
        <v/>
      </c>
    </row>
    <row r="527" spans="1:20" ht="14.25" hidden="1" customHeight="1" x14ac:dyDescent="0.3">
      <c r="A527" s="43" t="s">
        <v>1470</v>
      </c>
      <c r="B527" s="50" t="s">
        <v>1424</v>
      </c>
      <c r="C527" s="165" t="s">
        <v>309</v>
      </c>
      <c r="D527" s="45" t="str">
        <f t="shared" si="18"/>
        <v>Feminino</v>
      </c>
      <c r="E527" s="43" t="s">
        <v>709</v>
      </c>
      <c r="F527" s="43" t="s">
        <v>1461</v>
      </c>
      <c r="G527" s="43" t="s">
        <v>956</v>
      </c>
      <c r="H527" s="43" t="s">
        <v>669</v>
      </c>
      <c r="I527" s="46">
        <f>SUMIFS(Movimentações!$F$6:$F$4998,Movimentações!$C$6:$C$4998,A527,Movimentações!$M$6:$M$4998,M527)</f>
        <v>7</v>
      </c>
      <c r="J527" s="43" t="s">
        <v>670</v>
      </c>
      <c r="K527" s="43" t="s">
        <v>671</v>
      </c>
      <c r="L527" s="47" t="s">
        <v>1426</v>
      </c>
      <c r="M527" s="43" t="s">
        <v>1481</v>
      </c>
      <c r="N527" s="43" t="str">
        <f t="shared" si="19"/>
        <v>Rua A · Prat 16 · C-132</v>
      </c>
      <c r="P527">
        <f>IF(A527="","",IF(AND(K527&lt;&gt;"",L527&lt;&gt;""),IF(COUNTIFS($K$6:K527,K527,$L$6:L527,L527)=1,1,0),0))</f>
        <v>0</v>
      </c>
      <c r="Q527">
        <f>IF(A527="","",IF(AND(K527&lt;&gt;"",M527&lt;&gt;""),IF(COUNTIFS($K$6:K527,K527,$M$6:M527,M527)=1,1,0),0))</f>
        <v>1</v>
      </c>
      <c r="R527">
        <f>IF(A527="","",IF(M527&lt;&gt;"",IF(COUNTIF($M$6:M527,M527)=1,1,0),0))</f>
        <v>1</v>
      </c>
      <c r="T527" t="str">
        <f>IF(AND($M527&lt;&gt;"",$M527='Mapa do Galpão'!$C$20),COUNTIF($M$6:$M527,'Mapa do Galpão'!$C$20),"")</f>
        <v/>
      </c>
    </row>
    <row r="528" spans="1:20" ht="14.25" hidden="1" customHeight="1" x14ac:dyDescent="0.3">
      <c r="A528" s="43" t="s">
        <v>1482</v>
      </c>
      <c r="B528" s="50" t="s">
        <v>1424</v>
      </c>
      <c r="C528" s="165" t="s">
        <v>310</v>
      </c>
      <c r="D528" s="45" t="str">
        <f t="shared" si="18"/>
        <v>Feminino</v>
      </c>
      <c r="E528" s="43" t="s">
        <v>709</v>
      </c>
      <c r="F528" s="43" t="s">
        <v>1461</v>
      </c>
      <c r="G528" s="43" t="s">
        <v>956</v>
      </c>
      <c r="H528" s="43" t="s">
        <v>682</v>
      </c>
      <c r="I528" s="46">
        <f>SUMIFS(Movimentações!$F$6:$F$4998,Movimentações!$C$6:$C$4998,A528,Movimentações!$M$6:$M$4998,M528)</f>
        <v>6</v>
      </c>
      <c r="J528" s="43" t="s">
        <v>670</v>
      </c>
      <c r="K528" s="43" t="s">
        <v>671</v>
      </c>
      <c r="L528" s="47" t="s">
        <v>1426</v>
      </c>
      <c r="M528" s="43" t="s">
        <v>1483</v>
      </c>
      <c r="N528" s="43" t="str">
        <f t="shared" si="19"/>
        <v>Rua A · Prat 16 · C-133</v>
      </c>
      <c r="P528">
        <f>IF(A528="","",IF(AND(K528&lt;&gt;"",L528&lt;&gt;""),IF(COUNTIFS($K$6:K528,K528,$L$6:L528,L528)=1,1,0),0))</f>
        <v>0</v>
      </c>
      <c r="Q528">
        <f>IF(A528="","",IF(AND(K528&lt;&gt;"",M528&lt;&gt;""),IF(COUNTIFS($K$6:K528,K528,$M$6:M528,M528)=1,1,0),0))</f>
        <v>1</v>
      </c>
      <c r="R528">
        <f>IF(A528="","",IF(M528&lt;&gt;"",IF(COUNTIF($M$6:M528,M528)=1,1,0),0))</f>
        <v>1</v>
      </c>
      <c r="T528" t="str">
        <f>IF(AND($M528&lt;&gt;"",$M528='Mapa do Galpão'!$C$20),COUNTIF($M$6:$M528,'Mapa do Galpão'!$C$20),"")</f>
        <v/>
      </c>
    </row>
    <row r="529" spans="1:20" ht="14.25" hidden="1" customHeight="1" x14ac:dyDescent="0.3">
      <c r="A529" s="43" t="s">
        <v>1484</v>
      </c>
      <c r="B529" s="50" t="s">
        <v>1424</v>
      </c>
      <c r="C529" s="165" t="s">
        <v>480</v>
      </c>
      <c r="D529" s="45" t="str">
        <f t="shared" si="18"/>
        <v>Masculino</v>
      </c>
      <c r="E529" s="43" t="s">
        <v>709</v>
      </c>
      <c r="F529" s="43" t="s">
        <v>1055</v>
      </c>
      <c r="G529" s="43" t="s">
        <v>1079</v>
      </c>
      <c r="H529" s="43" t="s">
        <v>680</v>
      </c>
      <c r="I529" s="46">
        <f>SUMIFS(Movimentações!$F$6:$F$4998,Movimentações!$C$6:$C$4998,A529,Movimentações!$M$6:$M$4998,M529)</f>
        <v>1</v>
      </c>
      <c r="J529" s="43" t="s">
        <v>670</v>
      </c>
      <c r="K529" s="43" t="s">
        <v>671</v>
      </c>
      <c r="L529" s="47" t="s">
        <v>1426</v>
      </c>
      <c r="M529" s="43" t="s">
        <v>1485</v>
      </c>
      <c r="N529" s="43" t="str">
        <f t="shared" si="19"/>
        <v>Rua A · Prat 16 · C-134</v>
      </c>
      <c r="P529">
        <f>IF(A529="","",IF(AND(K529&lt;&gt;"",L529&lt;&gt;""),IF(COUNTIFS($K$6:K529,K529,$L$6:L529,L529)=1,1,0),0))</f>
        <v>0</v>
      </c>
      <c r="Q529">
        <f>IF(A529="","",IF(AND(K529&lt;&gt;"",M529&lt;&gt;""),IF(COUNTIFS($K$6:K529,K529,$M$6:M529,M529)=1,1,0),0))</f>
        <v>1</v>
      </c>
      <c r="R529">
        <f>IF(A529="","",IF(M529&lt;&gt;"",IF(COUNTIF($M$6:M529,M529)=1,1,0),0))</f>
        <v>1</v>
      </c>
      <c r="T529" t="str">
        <f>IF(AND($M529&lt;&gt;"",$M529='Mapa do Galpão'!$C$20),COUNTIF($M$6:$M529,'Mapa do Galpão'!$C$20),"")</f>
        <v/>
      </c>
    </row>
    <row r="530" spans="1:20" ht="14.25" hidden="1" customHeight="1" x14ac:dyDescent="0.3">
      <c r="A530" s="43" t="s">
        <v>1486</v>
      </c>
      <c r="B530" s="50" t="s">
        <v>1424</v>
      </c>
      <c r="C530" s="165" t="s">
        <v>331</v>
      </c>
      <c r="D530" s="45" t="str">
        <f t="shared" si="18"/>
        <v>Masculino</v>
      </c>
      <c r="E530" s="43" t="s">
        <v>709</v>
      </c>
      <c r="F530" s="43" t="s">
        <v>1055</v>
      </c>
      <c r="G530" s="43" t="s">
        <v>1079</v>
      </c>
      <c r="H530" s="43" t="s">
        <v>675</v>
      </c>
      <c r="I530" s="46">
        <f>SUMIFS(Movimentações!$F$6:$F$4998,Movimentações!$C$6:$C$4998,A530,Movimentações!$M$6:$M$4998,M530)</f>
        <v>7</v>
      </c>
      <c r="J530" s="43" t="s">
        <v>670</v>
      </c>
      <c r="K530" s="43" t="s">
        <v>671</v>
      </c>
      <c r="L530" s="47" t="s">
        <v>1426</v>
      </c>
      <c r="M530" s="43" t="s">
        <v>1485</v>
      </c>
      <c r="N530" s="43" t="str">
        <f t="shared" si="19"/>
        <v>Rua A · Prat 16 · C-134</v>
      </c>
      <c r="P530">
        <f>IF(A530="","",IF(AND(K530&lt;&gt;"",L530&lt;&gt;""),IF(COUNTIFS($K$6:K530,K530,$L$6:L530,L530)=1,1,0),0))</f>
        <v>0</v>
      </c>
      <c r="Q530">
        <f>IF(A530="","",IF(AND(K530&lt;&gt;"",M530&lt;&gt;""),IF(COUNTIFS($K$6:K530,K530,$M$6:M530,M530)=1,1,0),0))</f>
        <v>0</v>
      </c>
      <c r="R530">
        <f>IF(A530="","",IF(M530&lt;&gt;"",IF(COUNTIF($M$6:M530,M530)=1,1,0),0))</f>
        <v>0</v>
      </c>
      <c r="T530" t="str">
        <f>IF(AND($M530&lt;&gt;"",$M530='Mapa do Galpão'!$C$20),COUNTIF($M$6:$M530,'Mapa do Galpão'!$C$20),"")</f>
        <v/>
      </c>
    </row>
    <row r="531" spans="1:20" ht="14.25" hidden="1" customHeight="1" x14ac:dyDescent="0.3">
      <c r="A531" s="43" t="s">
        <v>1487</v>
      </c>
      <c r="B531" s="50" t="s">
        <v>1424</v>
      </c>
      <c r="C531" s="165" t="s">
        <v>318</v>
      </c>
      <c r="D531" s="45" t="str">
        <f t="shared" si="18"/>
        <v>Masculino</v>
      </c>
      <c r="E531" s="43" t="s">
        <v>709</v>
      </c>
      <c r="F531" s="43" t="s">
        <v>867</v>
      </c>
      <c r="G531" s="43" t="s">
        <v>798</v>
      </c>
      <c r="H531" s="43" t="s">
        <v>669</v>
      </c>
      <c r="I531" s="46">
        <f>SUMIFS(Movimentações!$F$6:$F$4998,Movimentações!$C$6:$C$4998,A531,Movimentações!$M$6:$M$4998,M531)</f>
        <v>13</v>
      </c>
      <c r="J531" s="43" t="s">
        <v>670</v>
      </c>
      <c r="K531" s="43" t="s">
        <v>671</v>
      </c>
      <c r="L531" s="47" t="s">
        <v>1426</v>
      </c>
      <c r="M531" s="43" t="s">
        <v>1488</v>
      </c>
      <c r="N531" s="43" t="str">
        <f t="shared" si="19"/>
        <v>Rua A · Prat 16 · C-135</v>
      </c>
      <c r="P531">
        <f>IF(A531="","",IF(AND(K531&lt;&gt;"",L531&lt;&gt;""),IF(COUNTIFS($K$6:K531,K531,$L$6:L531,L531)=1,1,0),0))</f>
        <v>0</v>
      </c>
      <c r="Q531">
        <f>IF(A531="","",IF(AND(K531&lt;&gt;"",M531&lt;&gt;""),IF(COUNTIFS($K$6:K531,K531,$M$6:M531,M531)=1,1,0),0))</f>
        <v>1</v>
      </c>
      <c r="R531">
        <f>IF(A531="","",IF(M531&lt;&gt;"",IF(COUNTIF($M$6:M531,M531)=1,1,0),0))</f>
        <v>1</v>
      </c>
      <c r="T531" t="str">
        <f>IF(AND($M531&lt;&gt;"",$M531='Mapa do Galpão'!$C$20),COUNTIF($M$6:$M531,'Mapa do Galpão'!$C$20),"")</f>
        <v/>
      </c>
    </row>
    <row r="532" spans="1:20" ht="14.25" hidden="1" customHeight="1" x14ac:dyDescent="0.3">
      <c r="A532" s="43" t="s">
        <v>1489</v>
      </c>
      <c r="B532" s="50" t="s">
        <v>1424</v>
      </c>
      <c r="C532" s="165" t="s">
        <v>326</v>
      </c>
      <c r="D532" s="45" t="str">
        <f t="shared" si="18"/>
        <v>Masculino</v>
      </c>
      <c r="E532" s="43" t="s">
        <v>709</v>
      </c>
      <c r="F532" s="43" t="s">
        <v>867</v>
      </c>
      <c r="G532" s="43" t="s">
        <v>1131</v>
      </c>
      <c r="H532" s="43" t="s">
        <v>680</v>
      </c>
      <c r="I532" s="46">
        <f>SUMIFS(Movimentações!$F$6:$F$4998,Movimentações!$C$6:$C$4998,A532,Movimentações!$M$6:$M$4998,M532)</f>
        <v>2</v>
      </c>
      <c r="J532" s="43" t="s">
        <v>670</v>
      </c>
      <c r="K532" s="43" t="s">
        <v>671</v>
      </c>
      <c r="L532" s="47" t="s">
        <v>1426</v>
      </c>
      <c r="M532" s="43" t="s">
        <v>1490</v>
      </c>
      <c r="N532" s="43" t="str">
        <f t="shared" si="19"/>
        <v>Rua A · Prat 16 · C-136</v>
      </c>
      <c r="P532">
        <f>IF(A532="","",IF(AND(K532&lt;&gt;"",L532&lt;&gt;""),IF(COUNTIFS($K$6:K532,K532,$L$6:L532,L532)=1,1,0),0))</f>
        <v>0</v>
      </c>
      <c r="Q532">
        <f>IF(A532="","",IF(AND(K532&lt;&gt;"",M532&lt;&gt;""),IF(COUNTIFS($K$6:K532,K532,$M$6:M532,M532)=1,1,0),0))</f>
        <v>1</v>
      </c>
      <c r="R532">
        <f>IF(A532="","",IF(M532&lt;&gt;"",IF(COUNTIF($M$6:M532,M532)=1,1,0),0))</f>
        <v>1</v>
      </c>
      <c r="T532" t="str">
        <f>IF(AND($M532&lt;&gt;"",$M532='Mapa do Galpão'!$C$20),COUNTIF($M$6:$M532,'Mapa do Galpão'!$C$20),"")</f>
        <v/>
      </c>
    </row>
    <row r="533" spans="1:20" ht="14.25" hidden="1" customHeight="1" x14ac:dyDescent="0.3">
      <c r="A533" s="43" t="s">
        <v>1491</v>
      </c>
      <c r="B533" s="50" t="s">
        <v>1424</v>
      </c>
      <c r="C533" s="165" t="s">
        <v>183</v>
      </c>
      <c r="D533" s="45" t="str">
        <f t="shared" si="18"/>
        <v>Masculino</v>
      </c>
      <c r="E533" s="43" t="s">
        <v>709</v>
      </c>
      <c r="F533" s="43" t="s">
        <v>867</v>
      </c>
      <c r="G533" s="43" t="s">
        <v>1131</v>
      </c>
      <c r="H533" s="43" t="s">
        <v>669</v>
      </c>
      <c r="I533" s="46">
        <f>SUMIFS(Movimentações!$F$6:$F$4998,Movimentações!$C$6:$C$4998,A533,Movimentações!$M$6:$M$4998,M533)</f>
        <v>9</v>
      </c>
      <c r="J533" s="43" t="s">
        <v>670</v>
      </c>
      <c r="K533" s="43" t="s">
        <v>671</v>
      </c>
      <c r="L533" s="47" t="s">
        <v>1426</v>
      </c>
      <c r="M533" s="43" t="s">
        <v>1490</v>
      </c>
      <c r="N533" s="43" t="str">
        <f t="shared" si="19"/>
        <v>Rua A · Prat 16 · C-136</v>
      </c>
      <c r="P533">
        <f>IF(A533="","",IF(AND(K533&lt;&gt;"",L533&lt;&gt;""),IF(COUNTIFS($K$6:K533,K533,$L$6:L533,L533)=1,1,0),0))</f>
        <v>0</v>
      </c>
      <c r="Q533">
        <f>IF(A533="","",IF(AND(K533&lt;&gt;"",M533&lt;&gt;""),IF(COUNTIFS($K$6:K533,K533,$M$6:M533,M533)=1,1,0),0))</f>
        <v>0</v>
      </c>
      <c r="R533">
        <f>IF(A533="","",IF(M533&lt;&gt;"",IF(COUNTIF($M$6:M533,M533)=1,1,0),0))</f>
        <v>0</v>
      </c>
      <c r="T533" t="str">
        <f>IF(AND($M533&lt;&gt;"",$M533='Mapa do Galpão'!$C$20),COUNTIF($M$6:$M533,'Mapa do Galpão'!$C$20),"")</f>
        <v/>
      </c>
    </row>
    <row r="534" spans="1:20" ht="14.25" hidden="1" customHeight="1" x14ac:dyDescent="0.3">
      <c r="A534" s="43" t="s">
        <v>1492</v>
      </c>
      <c r="B534" s="50" t="s">
        <v>1424</v>
      </c>
      <c r="C534" s="165" t="s">
        <v>481</v>
      </c>
      <c r="D534" s="45" t="str">
        <f t="shared" si="18"/>
        <v>Masculino</v>
      </c>
      <c r="E534" s="43" t="s">
        <v>684</v>
      </c>
      <c r="F534" s="43" t="s">
        <v>1231</v>
      </c>
      <c r="G534" s="43" t="s">
        <v>755</v>
      </c>
      <c r="H534" s="43" t="s">
        <v>680</v>
      </c>
      <c r="I534" s="46">
        <f>SUMIFS(Movimentações!$F$6:$F$4998,Movimentações!$C$6:$C$4998,A534,Movimentações!$M$6:$M$4998,M534)</f>
        <v>12</v>
      </c>
      <c r="J534" s="43" t="s">
        <v>670</v>
      </c>
      <c r="K534" s="43" t="s">
        <v>671</v>
      </c>
      <c r="L534" s="47" t="s">
        <v>1426</v>
      </c>
      <c r="M534" s="43" t="s">
        <v>1493</v>
      </c>
      <c r="N534" s="43" t="str">
        <f t="shared" si="19"/>
        <v>Rua A · Prat 16 · C-137</v>
      </c>
      <c r="P534">
        <f>IF(A534="","",IF(AND(K534&lt;&gt;"",L534&lt;&gt;""),IF(COUNTIFS($K$6:K534,K534,$L$6:L534,L534)=1,1,0),0))</f>
        <v>0</v>
      </c>
      <c r="Q534">
        <f>IF(A534="","",IF(AND(K534&lt;&gt;"",M534&lt;&gt;""),IF(COUNTIFS($K$6:K534,K534,$M$6:M534,M534)=1,1,0),0))</f>
        <v>1</v>
      </c>
      <c r="R534">
        <f>IF(A534="","",IF(M534&lt;&gt;"",IF(COUNTIF($M$6:M534,M534)=1,1,0),0))</f>
        <v>1</v>
      </c>
      <c r="T534" t="str">
        <f>IF(AND($M534&lt;&gt;"",$M534='Mapa do Galpão'!$C$20),COUNTIF($M$6:$M534,'Mapa do Galpão'!$C$20),"")</f>
        <v/>
      </c>
    </row>
    <row r="535" spans="1:20" ht="14.25" hidden="1" customHeight="1" x14ac:dyDescent="0.3">
      <c r="A535" s="43" t="s">
        <v>1494</v>
      </c>
      <c r="B535" s="50" t="s">
        <v>1424</v>
      </c>
      <c r="C535" s="165" t="s">
        <v>482</v>
      </c>
      <c r="D535" s="45" t="str">
        <f t="shared" si="18"/>
        <v>Masculino</v>
      </c>
      <c r="E535" s="43" t="s">
        <v>684</v>
      </c>
      <c r="F535" s="43" t="s">
        <v>1231</v>
      </c>
      <c r="G535" s="43" t="s">
        <v>755</v>
      </c>
      <c r="H535" s="43" t="s">
        <v>675</v>
      </c>
      <c r="I535" s="46">
        <f>SUMIFS(Movimentações!$F$6:$F$4998,Movimentações!$C$6:$C$4998,A535,Movimentações!$M$6:$M$4998,M535)</f>
        <v>14</v>
      </c>
      <c r="J535" s="43" t="s">
        <v>670</v>
      </c>
      <c r="K535" s="43" t="s">
        <v>671</v>
      </c>
      <c r="L535" s="47" t="s">
        <v>1426</v>
      </c>
      <c r="M535" s="43" t="s">
        <v>1493</v>
      </c>
      <c r="N535" s="43" t="str">
        <f t="shared" si="19"/>
        <v>Rua A · Prat 16 · C-137</v>
      </c>
      <c r="P535">
        <f>IF(A535="","",IF(AND(K535&lt;&gt;"",L535&lt;&gt;""),IF(COUNTIFS($K$6:K535,K535,$L$6:L535,L535)=1,1,0),0))</f>
        <v>0</v>
      </c>
      <c r="Q535">
        <f>IF(A535="","",IF(AND(K535&lt;&gt;"",M535&lt;&gt;""),IF(COUNTIFS($K$6:K535,K535,$M$6:M535,M535)=1,1,0),0))</f>
        <v>0</v>
      </c>
      <c r="R535">
        <f>IF(A535="","",IF(M535&lt;&gt;"",IF(COUNTIF($M$6:M535,M535)=1,1,0),0))</f>
        <v>0</v>
      </c>
      <c r="T535" t="str">
        <f>IF(AND($M535&lt;&gt;"",$M535='Mapa do Galpão'!$C$20),COUNTIF($M$6:$M535,'Mapa do Galpão'!$C$20),"")</f>
        <v/>
      </c>
    </row>
    <row r="536" spans="1:20" ht="14.25" hidden="1" customHeight="1" x14ac:dyDescent="0.3">
      <c r="A536" s="43" t="s">
        <v>1495</v>
      </c>
      <c r="B536" s="50" t="s">
        <v>1424</v>
      </c>
      <c r="C536" s="165" t="s">
        <v>483</v>
      </c>
      <c r="D536" s="45" t="str">
        <f t="shared" si="18"/>
        <v>Masculino</v>
      </c>
      <c r="E536" s="43" t="s">
        <v>684</v>
      </c>
      <c r="F536" s="43" t="s">
        <v>1231</v>
      </c>
      <c r="G536" s="43" t="s">
        <v>755</v>
      </c>
      <c r="H536" s="43" t="s">
        <v>669</v>
      </c>
      <c r="I536" s="46">
        <f>SUMIFS(Movimentações!$F$6:$F$4998,Movimentações!$C$6:$C$4998,A536,Movimentações!$M$6:$M$4998,M536)</f>
        <v>13</v>
      </c>
      <c r="J536" s="43" t="s">
        <v>670</v>
      </c>
      <c r="K536" s="43" t="s">
        <v>671</v>
      </c>
      <c r="L536" s="47" t="s">
        <v>1426</v>
      </c>
      <c r="M536" s="43" t="s">
        <v>1493</v>
      </c>
      <c r="N536" s="43" t="str">
        <f t="shared" si="19"/>
        <v>Rua A · Prat 16 · C-137</v>
      </c>
      <c r="P536">
        <f>IF(A536="","",IF(AND(K536&lt;&gt;"",L536&lt;&gt;""),IF(COUNTIFS($K$6:K536,K536,$L$6:L536,L536)=1,1,0),0))</f>
        <v>0</v>
      </c>
      <c r="Q536">
        <f>IF(A536="","",IF(AND(K536&lt;&gt;"",M536&lt;&gt;""),IF(COUNTIFS($K$6:K536,K536,$M$6:M536,M536)=1,1,0),0))</f>
        <v>0</v>
      </c>
      <c r="R536">
        <f>IF(A536="","",IF(M536&lt;&gt;"",IF(COUNTIF($M$6:M536,M536)=1,1,0),0))</f>
        <v>0</v>
      </c>
      <c r="T536" t="str">
        <f>IF(AND($M536&lt;&gt;"",$M536='Mapa do Galpão'!$C$20),COUNTIF($M$6:$M536,'Mapa do Galpão'!$C$20),"")</f>
        <v/>
      </c>
    </row>
    <row r="537" spans="1:20" ht="14.25" hidden="1" customHeight="1" x14ac:dyDescent="0.3">
      <c r="A537" s="43" t="s">
        <v>1496</v>
      </c>
      <c r="B537" s="50" t="s">
        <v>1424</v>
      </c>
      <c r="C537" s="165" t="s">
        <v>484</v>
      </c>
      <c r="D537" s="45" t="str">
        <f t="shared" si="18"/>
        <v>Masculino</v>
      </c>
      <c r="E537" s="43" t="s">
        <v>684</v>
      </c>
      <c r="F537" s="43" t="s">
        <v>1231</v>
      </c>
      <c r="G537" s="43" t="s">
        <v>755</v>
      </c>
      <c r="H537" s="43" t="s">
        <v>682</v>
      </c>
      <c r="I537" s="46">
        <f>SUMIFS(Movimentações!$F$6:$F$4998,Movimentações!$C$6:$C$4998,A537,Movimentações!$M$6:$M$4998,M537)</f>
        <v>4</v>
      </c>
      <c r="J537" s="43" t="s">
        <v>670</v>
      </c>
      <c r="K537" s="43" t="s">
        <v>671</v>
      </c>
      <c r="L537" s="47" t="s">
        <v>1426</v>
      </c>
      <c r="M537" s="43" t="s">
        <v>1493</v>
      </c>
      <c r="N537" s="43" t="str">
        <f t="shared" si="19"/>
        <v>Rua A · Prat 16 · C-137</v>
      </c>
      <c r="P537">
        <f>IF(A537="","",IF(AND(K537&lt;&gt;"",L537&lt;&gt;""),IF(COUNTIFS($K$6:K537,K537,$L$6:L537,L537)=1,1,0),0))</f>
        <v>0</v>
      </c>
      <c r="Q537">
        <f>IF(A537="","",IF(AND(K537&lt;&gt;"",M537&lt;&gt;""),IF(COUNTIFS($K$6:K537,K537,$M$6:M537,M537)=1,1,0),0))</f>
        <v>0</v>
      </c>
      <c r="R537">
        <f>IF(A537="","",IF(M537&lt;&gt;"",IF(COUNTIF($M$6:M537,M537)=1,1,0),0))</f>
        <v>0</v>
      </c>
      <c r="T537" t="str">
        <f>IF(AND($M537&lt;&gt;"",$M537='Mapa do Galpão'!$C$20),COUNTIF($M$6:$M537,'Mapa do Galpão'!$C$20),"")</f>
        <v/>
      </c>
    </row>
    <row r="538" spans="1:20" ht="14.25" hidden="1" customHeight="1" x14ac:dyDescent="0.3">
      <c r="A538" s="43" t="s">
        <v>1498</v>
      </c>
      <c r="B538" s="50" t="s">
        <v>1424</v>
      </c>
      <c r="C538" s="165" t="s">
        <v>486</v>
      </c>
      <c r="D538" s="45" t="str">
        <f t="shared" si="18"/>
        <v>Masculino</v>
      </c>
      <c r="E538" s="43" t="s">
        <v>982</v>
      </c>
      <c r="F538" s="43" t="s">
        <v>1497</v>
      </c>
      <c r="G538" s="43" t="s">
        <v>755</v>
      </c>
      <c r="H538" s="43" t="s">
        <v>669</v>
      </c>
      <c r="I538" s="46">
        <f>SUMIFS(Movimentações!$F$6:$F$4998,Movimentações!$C$6:$C$4998,A538,Movimentações!$M$6:$M$4998,M538)</f>
        <v>1</v>
      </c>
      <c r="J538" s="43" t="s">
        <v>670</v>
      </c>
      <c r="K538" s="43" t="s">
        <v>671</v>
      </c>
      <c r="L538" s="47" t="s">
        <v>1426</v>
      </c>
      <c r="M538" s="43" t="s">
        <v>1499</v>
      </c>
      <c r="N538" s="43" t="str">
        <f t="shared" si="19"/>
        <v>Rua A · Prat 16 · C-138</v>
      </c>
      <c r="P538">
        <f>IF(A538="","",IF(AND(K538&lt;&gt;"",L538&lt;&gt;""),IF(COUNTIFS($K$6:K538,K538,$L$6:L538,L538)=1,1,0),0))</f>
        <v>0</v>
      </c>
      <c r="Q538">
        <f>IF(A538="","",IF(AND(K538&lt;&gt;"",M538&lt;&gt;""),IF(COUNTIFS($K$6:K538,K538,$M$6:M538,M538)=1,1,0),0))</f>
        <v>1</v>
      </c>
      <c r="R538">
        <f>IF(A538="","",IF(M538&lt;&gt;"",IF(COUNTIF($M$6:M538,M538)=1,1,0),0))</f>
        <v>1</v>
      </c>
      <c r="T538" t="str">
        <f>IF(AND($M538&lt;&gt;"",$M538='Mapa do Galpão'!$C$20),COUNTIF($M$6:$M538,'Mapa do Galpão'!$C$20),"")</f>
        <v/>
      </c>
    </row>
    <row r="539" spans="1:20" ht="14.25" hidden="1" customHeight="1" x14ac:dyDescent="0.3">
      <c r="A539" s="43" t="s">
        <v>1500</v>
      </c>
      <c r="B539" s="50" t="s">
        <v>1424</v>
      </c>
      <c r="C539" s="165" t="s">
        <v>487</v>
      </c>
      <c r="D539" s="45" t="str">
        <f t="shared" si="18"/>
        <v>Masculino</v>
      </c>
      <c r="E539" s="43" t="s">
        <v>982</v>
      </c>
      <c r="F539" s="43" t="s">
        <v>1497</v>
      </c>
      <c r="G539" s="43" t="s">
        <v>755</v>
      </c>
      <c r="H539" s="43" t="s">
        <v>682</v>
      </c>
      <c r="I539" s="46">
        <f>SUMIFS(Movimentações!$F$6:$F$4998,Movimentações!$C$6:$C$4998,A539,Movimentações!$M$6:$M$4998,M539)</f>
        <v>1</v>
      </c>
      <c r="J539" s="43" t="s">
        <v>670</v>
      </c>
      <c r="K539" s="43" t="s">
        <v>671</v>
      </c>
      <c r="L539" s="47" t="s">
        <v>1426</v>
      </c>
      <c r="M539" s="43" t="s">
        <v>1499</v>
      </c>
      <c r="N539" s="43" t="str">
        <f t="shared" si="19"/>
        <v>Rua A · Prat 16 · C-138</v>
      </c>
      <c r="P539">
        <f>IF(A539="","",IF(AND(K539&lt;&gt;"",L539&lt;&gt;""),IF(COUNTIFS($K$6:K539,K539,$L$6:L539,L539)=1,1,0),0))</f>
        <v>0</v>
      </c>
      <c r="Q539">
        <f>IF(A539="","",IF(AND(K539&lt;&gt;"",M539&lt;&gt;""),IF(COUNTIFS($K$6:K539,K539,$M$6:M539,M539)=1,1,0),0))</f>
        <v>0</v>
      </c>
      <c r="R539">
        <f>IF(A539="","",IF(M539&lt;&gt;"",IF(COUNTIF($M$6:M539,M539)=1,1,0),0))</f>
        <v>0</v>
      </c>
      <c r="T539" t="str">
        <f>IF(AND($M539&lt;&gt;"",$M539='Mapa do Galpão'!$C$20),COUNTIF($M$6:$M539,'Mapa do Galpão'!$C$20),"")</f>
        <v/>
      </c>
    </row>
    <row r="540" spans="1:20" ht="14.25" hidden="1" customHeight="1" x14ac:dyDescent="0.3">
      <c r="A540" s="43" t="s">
        <v>1501</v>
      </c>
      <c r="B540" s="50" t="s">
        <v>1424</v>
      </c>
      <c r="C540" s="165" t="s">
        <v>488</v>
      </c>
      <c r="D540" s="45" t="str">
        <f t="shared" si="18"/>
        <v>Masculino</v>
      </c>
      <c r="E540" s="43" t="s">
        <v>982</v>
      </c>
      <c r="F540" s="43" t="s">
        <v>1497</v>
      </c>
      <c r="G540" s="48" t="s">
        <v>1075</v>
      </c>
      <c r="H540" s="43" t="s">
        <v>669</v>
      </c>
      <c r="I540" s="46">
        <f>SUMIFS(Movimentações!$F$6:$F$4998,Movimentações!$C$6:$C$4998,A540,Movimentações!$M$6:$M$4998,M540)</f>
        <v>1</v>
      </c>
      <c r="J540" s="43" t="s">
        <v>670</v>
      </c>
      <c r="K540" s="43" t="s">
        <v>671</v>
      </c>
      <c r="L540" s="47" t="s">
        <v>1426</v>
      </c>
      <c r="M540" s="43" t="s">
        <v>1499</v>
      </c>
      <c r="N540" s="43" t="str">
        <f t="shared" si="19"/>
        <v>Rua A · Prat 16 · C-138</v>
      </c>
      <c r="P540">
        <f>IF(A540="","",IF(AND(K540&lt;&gt;"",L540&lt;&gt;""),IF(COUNTIFS($K$6:K540,K540,$L$6:L540,L540)=1,1,0),0))</f>
        <v>0</v>
      </c>
      <c r="Q540">
        <f>IF(A540="","",IF(AND(K540&lt;&gt;"",M540&lt;&gt;""),IF(COUNTIFS($K$6:K540,K540,$M$6:M540,M540)=1,1,0),0))</f>
        <v>0</v>
      </c>
      <c r="R540">
        <f>IF(A540="","",IF(M540&lt;&gt;"",IF(COUNTIF($M$6:M540,M540)=1,1,0),0))</f>
        <v>0</v>
      </c>
      <c r="T540" t="str">
        <f>IF(AND($M540&lt;&gt;"",$M540='Mapa do Galpão'!$C$20),COUNTIF($M$6:$M540,'Mapa do Galpão'!$C$20),"")</f>
        <v/>
      </c>
    </row>
    <row r="541" spans="1:20" ht="14.25" hidden="1" customHeight="1" x14ac:dyDescent="0.3">
      <c r="A541" s="43" t="s">
        <v>1502</v>
      </c>
      <c r="B541" s="50" t="s">
        <v>1424</v>
      </c>
      <c r="C541" s="165" t="s">
        <v>489</v>
      </c>
      <c r="D541" s="45" t="str">
        <f t="shared" si="18"/>
        <v>Masculino</v>
      </c>
      <c r="E541" s="43" t="s">
        <v>982</v>
      </c>
      <c r="F541" s="43" t="s">
        <v>1497</v>
      </c>
      <c r="G541" s="48" t="s">
        <v>1075</v>
      </c>
      <c r="H541" s="43" t="s">
        <v>682</v>
      </c>
      <c r="I541" s="46">
        <f>SUMIFS(Movimentações!$F$6:$F$4998,Movimentações!$C$6:$C$4998,A541,Movimentações!$M$6:$M$4998,M541)</f>
        <v>2</v>
      </c>
      <c r="J541" s="43" t="s">
        <v>670</v>
      </c>
      <c r="K541" s="43" t="s">
        <v>671</v>
      </c>
      <c r="L541" s="47" t="s">
        <v>1426</v>
      </c>
      <c r="M541" s="43" t="s">
        <v>1499</v>
      </c>
      <c r="N541" s="43" t="str">
        <f t="shared" si="19"/>
        <v>Rua A · Prat 16 · C-138</v>
      </c>
      <c r="P541">
        <f>IF(A541="","",IF(AND(K541&lt;&gt;"",L541&lt;&gt;""),IF(COUNTIFS($K$6:K541,K541,$L$6:L541,L541)=1,1,0),0))</f>
        <v>0</v>
      </c>
      <c r="Q541">
        <f>IF(A541="","",IF(AND(K541&lt;&gt;"",M541&lt;&gt;""),IF(COUNTIFS($K$6:K541,K541,$M$6:M541,M541)=1,1,0),0))</f>
        <v>0</v>
      </c>
      <c r="R541">
        <f>IF(A541="","",IF(M541&lt;&gt;"",IF(COUNTIF($M$6:M541,M541)=1,1,0),0))</f>
        <v>0</v>
      </c>
      <c r="T541" t="str">
        <f>IF(AND($M541&lt;&gt;"",$M541='Mapa do Galpão'!$C$20),COUNTIF($M$6:$M541,'Mapa do Galpão'!$C$20),"")</f>
        <v/>
      </c>
    </row>
    <row r="542" spans="1:20" ht="14.25" hidden="1" customHeight="1" x14ac:dyDescent="0.3">
      <c r="A542" s="43" t="s">
        <v>1503</v>
      </c>
      <c r="B542" s="50" t="s">
        <v>1424</v>
      </c>
      <c r="C542" s="203" t="s">
        <v>624</v>
      </c>
      <c r="D542" s="204" t="str">
        <f t="shared" si="18"/>
        <v>Masculino</v>
      </c>
      <c r="E542" s="47" t="s">
        <v>982</v>
      </c>
      <c r="F542" s="47" t="s">
        <v>1497</v>
      </c>
      <c r="G542" s="205" t="s">
        <v>1079</v>
      </c>
      <c r="H542" s="47" t="s">
        <v>675</v>
      </c>
      <c r="I542" s="206">
        <v>7</v>
      </c>
      <c r="J542" s="43" t="s">
        <v>670</v>
      </c>
      <c r="K542" s="43" t="s">
        <v>671</v>
      </c>
      <c r="L542" s="47" t="s">
        <v>1426</v>
      </c>
      <c r="M542" s="43" t="s">
        <v>1499</v>
      </c>
      <c r="N542" s="43" t="str">
        <f t="shared" si="19"/>
        <v>Rua A · Prat 16 · C-138</v>
      </c>
      <c r="P542">
        <f>IF(A542="","",IF(AND(K542&lt;&gt;"",L542&lt;&gt;""),IF(COUNTIFS($K$6:K542,K542,$L$6:L542,L542)=1,1,0),0))</f>
        <v>0</v>
      </c>
      <c r="Q542">
        <f>IF(A542="","",IF(AND(K542&lt;&gt;"",M542&lt;&gt;""),IF(COUNTIFS($K$6:K542,K542,$M$6:M542,M542)=1,1,0),0))</f>
        <v>0</v>
      </c>
      <c r="R542">
        <f>IF(A542="","",IF(M542&lt;&gt;"",IF(COUNTIF($M$6:M542,M542)=1,1,0),0))</f>
        <v>0</v>
      </c>
      <c r="T542" t="str">
        <f>IF(AND($M542&lt;&gt;"",$M542='Mapa do Galpão'!$C$20),COUNTIF($M$6:$M542,'Mapa do Galpão'!$C$20),"")</f>
        <v/>
      </c>
    </row>
    <row r="543" spans="1:20" ht="14.25" hidden="1" customHeight="1" x14ac:dyDescent="0.3">
      <c r="A543" s="43" t="s">
        <v>1504</v>
      </c>
      <c r="B543" s="50" t="s">
        <v>1424</v>
      </c>
      <c r="C543" s="165" t="s">
        <v>490</v>
      </c>
      <c r="D543" s="45" t="str">
        <f t="shared" si="18"/>
        <v>Masculino</v>
      </c>
      <c r="E543" s="43" t="s">
        <v>982</v>
      </c>
      <c r="F543" s="43" t="s">
        <v>1505</v>
      </c>
      <c r="G543" s="43" t="s">
        <v>1131</v>
      </c>
      <c r="H543" s="43" t="s">
        <v>682</v>
      </c>
      <c r="I543" s="46">
        <f>SUMIFS(Movimentações!$F$6:$F$4998,Movimentações!$C$6:$C$4998,A543,Movimentações!$M$6:$M$4998,M543)</f>
        <v>2</v>
      </c>
      <c r="J543" s="43" t="s">
        <v>670</v>
      </c>
      <c r="K543" s="43" t="s">
        <v>671</v>
      </c>
      <c r="L543" s="47" t="s">
        <v>1426</v>
      </c>
      <c r="M543" s="43" t="s">
        <v>1499</v>
      </c>
      <c r="N543" s="43" t="str">
        <f t="shared" si="19"/>
        <v>Rua A · Prat 16 · C-138</v>
      </c>
      <c r="P543">
        <f>IF(A543="","",IF(AND(K543&lt;&gt;"",L543&lt;&gt;""),IF(COUNTIFS($K$6:K543,K543,$L$6:L543,L543)=1,1,0),0))</f>
        <v>0</v>
      </c>
      <c r="Q543">
        <f>IF(A543="","",IF(AND(K543&lt;&gt;"",M543&lt;&gt;""),IF(COUNTIFS($K$6:K543,K543,$M$6:M543,M543)=1,1,0),0))</f>
        <v>0</v>
      </c>
      <c r="R543">
        <f>IF(A543="","",IF(M543&lt;&gt;"",IF(COUNTIF($M$6:M543,M543)=1,1,0),0))</f>
        <v>0</v>
      </c>
      <c r="T543" t="str">
        <f>IF(AND($M543&lt;&gt;"",$M543='Mapa do Galpão'!$C$20),COUNTIF($M$6:$M543,'Mapa do Galpão'!$C$20),"")</f>
        <v/>
      </c>
    </row>
    <row r="544" spans="1:20" ht="14.25" hidden="1" customHeight="1" x14ac:dyDescent="0.3">
      <c r="A544" s="43" t="s">
        <v>1506</v>
      </c>
      <c r="B544" s="50" t="s">
        <v>1424</v>
      </c>
      <c r="C544" s="165" t="s">
        <v>271</v>
      </c>
      <c r="D544" s="45" t="str">
        <f t="shared" si="18"/>
        <v>Masculino</v>
      </c>
      <c r="E544" s="43" t="s">
        <v>982</v>
      </c>
      <c r="F544" s="43" t="s">
        <v>1505</v>
      </c>
      <c r="G544" s="43" t="s">
        <v>755</v>
      </c>
      <c r="H544" s="43" t="s">
        <v>669</v>
      </c>
      <c r="I544" s="46">
        <f>SUMIFS(Movimentações!$F$6:$F$4998,Movimentações!$C$6:$C$4998,A544,Movimentações!$M$6:$M$4998,M544)</f>
        <v>4</v>
      </c>
      <c r="J544" s="43" t="s">
        <v>670</v>
      </c>
      <c r="K544" s="43" t="s">
        <v>671</v>
      </c>
      <c r="L544" s="47" t="s">
        <v>1426</v>
      </c>
      <c r="M544" s="43" t="s">
        <v>1499</v>
      </c>
      <c r="N544" s="43" t="str">
        <f t="shared" si="19"/>
        <v>Rua A · Prat 16 · C-138</v>
      </c>
      <c r="P544">
        <f>IF(A544="","",IF(AND(K544&lt;&gt;"",L544&lt;&gt;""),IF(COUNTIFS($K$6:K544,K544,$L$6:L544,L544)=1,1,0),0))</f>
        <v>0</v>
      </c>
      <c r="Q544">
        <f>IF(A544="","",IF(AND(K544&lt;&gt;"",M544&lt;&gt;""),IF(COUNTIFS($K$6:K544,K544,$M$6:M544,M544)=1,1,0),0))</f>
        <v>0</v>
      </c>
      <c r="R544">
        <f>IF(A544="","",IF(M544&lt;&gt;"",IF(COUNTIF($M$6:M544,M544)=1,1,0),0))</f>
        <v>0</v>
      </c>
      <c r="T544" t="str">
        <f>IF(AND($M544&lt;&gt;"",$M544='Mapa do Galpão'!$C$20),COUNTIF($M$6:$M544,'Mapa do Galpão'!$C$20),"")</f>
        <v/>
      </c>
    </row>
    <row r="545" spans="1:20" ht="14.25" hidden="1" customHeight="1" x14ac:dyDescent="0.3">
      <c r="A545" s="43" t="s">
        <v>1507</v>
      </c>
      <c r="B545" s="50" t="s">
        <v>1424</v>
      </c>
      <c r="C545" s="165" t="s">
        <v>270</v>
      </c>
      <c r="D545" s="45" t="str">
        <f t="shared" si="18"/>
        <v>Masculino</v>
      </c>
      <c r="E545" s="43" t="s">
        <v>982</v>
      </c>
      <c r="F545" s="43" t="s">
        <v>1505</v>
      </c>
      <c r="G545" s="43" t="s">
        <v>755</v>
      </c>
      <c r="H545" s="43" t="s">
        <v>682</v>
      </c>
      <c r="I545" s="46">
        <f>SUMIFS(Movimentações!$F$6:$F$4998,Movimentações!$C$6:$C$4998,A545,Movimentações!$M$6:$M$4998,M545)</f>
        <v>2</v>
      </c>
      <c r="J545" s="43" t="s">
        <v>670</v>
      </c>
      <c r="K545" s="43" t="s">
        <v>671</v>
      </c>
      <c r="L545" s="47" t="s">
        <v>1426</v>
      </c>
      <c r="M545" s="43" t="s">
        <v>1499</v>
      </c>
      <c r="N545" s="43" t="str">
        <f t="shared" si="19"/>
        <v>Rua A · Prat 16 · C-138</v>
      </c>
      <c r="P545">
        <f>IF(A545="","",IF(AND(K545&lt;&gt;"",L545&lt;&gt;""),IF(COUNTIFS($K$6:K545,K545,$L$6:L545,L545)=1,1,0),0))</f>
        <v>0</v>
      </c>
      <c r="Q545">
        <f>IF(A545="","",IF(AND(K545&lt;&gt;"",M545&lt;&gt;""),IF(COUNTIFS($K$6:K545,K545,$M$6:M545,M545)=1,1,0),0))</f>
        <v>0</v>
      </c>
      <c r="R545">
        <f>IF(A545="","",IF(M545&lt;&gt;"",IF(COUNTIF($M$6:M545,M545)=1,1,0),0))</f>
        <v>0</v>
      </c>
      <c r="T545" t="str">
        <f>IF(AND($M545&lt;&gt;"",$M545='Mapa do Galpão'!$C$20),COUNTIF($M$6:$M545,'Mapa do Galpão'!$C$20),"")</f>
        <v/>
      </c>
    </row>
    <row r="546" spans="1:20" ht="14.25" hidden="1" customHeight="1" x14ac:dyDescent="0.3">
      <c r="A546" s="43" t="s">
        <v>1508</v>
      </c>
      <c r="B546" s="50" t="s">
        <v>1424</v>
      </c>
      <c r="C546" s="165" t="s">
        <v>269</v>
      </c>
      <c r="D546" s="45" t="str">
        <f t="shared" si="18"/>
        <v>Masculino</v>
      </c>
      <c r="E546" s="43" t="s">
        <v>982</v>
      </c>
      <c r="F546" s="43" t="s">
        <v>1505</v>
      </c>
      <c r="G546" s="43" t="s">
        <v>798</v>
      </c>
      <c r="H546" s="43" t="s">
        <v>669</v>
      </c>
      <c r="I546" s="46">
        <f>SUMIFS(Movimentações!$F$6:$F$4998,Movimentações!$C$6:$C$4998,A546,Movimentações!$M$6:$M$4998,M546)</f>
        <v>2</v>
      </c>
      <c r="J546" s="43" t="s">
        <v>670</v>
      </c>
      <c r="K546" s="43" t="s">
        <v>671</v>
      </c>
      <c r="L546" s="47" t="s">
        <v>1426</v>
      </c>
      <c r="M546" s="43" t="s">
        <v>1474</v>
      </c>
      <c r="N546" s="43" t="str">
        <f t="shared" si="19"/>
        <v>Rua A · Prat 16 · C-128</v>
      </c>
      <c r="P546">
        <f>IF(A546="","",IF(AND(K546&lt;&gt;"",L546&lt;&gt;""),IF(COUNTIFS($K$6:K546,K546,$L$6:L546,L546)=1,1,0),0))</f>
        <v>0</v>
      </c>
      <c r="Q546">
        <f>IF(A546="","",IF(AND(K546&lt;&gt;"",M546&lt;&gt;""),IF(COUNTIFS($K$6:K546,K546,$M$6:M546,M546)=1,1,0),0))</f>
        <v>0</v>
      </c>
      <c r="R546">
        <f>IF(A546="","",IF(M546&lt;&gt;"",IF(COUNTIF($M$6:M546,M546)=1,1,0),0))</f>
        <v>0</v>
      </c>
      <c r="T546" t="str">
        <f>IF(AND($M546&lt;&gt;"",$M546='Mapa do Galpão'!$C$20),COUNTIF($M$6:$M546,'Mapa do Galpão'!$C$20),"")</f>
        <v/>
      </c>
    </row>
    <row r="547" spans="1:20" ht="14.25" hidden="1" customHeight="1" x14ac:dyDescent="0.3">
      <c r="A547" s="43" t="s">
        <v>1509</v>
      </c>
      <c r="B547" s="50" t="s">
        <v>1424</v>
      </c>
      <c r="C547" s="165" t="s">
        <v>313</v>
      </c>
      <c r="D547" s="45" t="str">
        <f t="shared" si="18"/>
        <v>Masculino</v>
      </c>
      <c r="E547" s="43" t="s">
        <v>666</v>
      </c>
      <c r="F547" s="43" t="s">
        <v>1043</v>
      </c>
      <c r="G547" s="43" t="s">
        <v>956</v>
      </c>
      <c r="H547" s="43" t="s">
        <v>675</v>
      </c>
      <c r="I547" s="46">
        <f>SUMIFS(Movimentações!$F$6:$F$4998,Movimentações!$C$6:$C$4998,A547,Movimentações!$M$6:$M$4998,M547)</f>
        <v>62</v>
      </c>
      <c r="J547" s="43" t="s">
        <v>670</v>
      </c>
      <c r="K547" s="43" t="s">
        <v>671</v>
      </c>
      <c r="L547" s="47" t="s">
        <v>1437</v>
      </c>
      <c r="M547" s="43" t="s">
        <v>1510</v>
      </c>
      <c r="N547" s="43" t="str">
        <f t="shared" si="19"/>
        <v>Rua A · Prat 15 · C-139</v>
      </c>
      <c r="P547">
        <f>IF(A547="","",IF(AND(K547&lt;&gt;"",L547&lt;&gt;""),IF(COUNTIFS($K$6:K547,K547,$L$6:L547,L547)=1,1,0),0))</f>
        <v>0</v>
      </c>
      <c r="Q547">
        <f>IF(A547="","",IF(AND(K547&lt;&gt;"",M547&lt;&gt;""),IF(COUNTIFS($K$6:K547,K547,$M$6:M547,M547)=1,1,0),0))</f>
        <v>1</v>
      </c>
      <c r="R547">
        <f>IF(A547="","",IF(M547&lt;&gt;"",IF(COUNTIF($M$6:M547,M547)=1,1,0),0))</f>
        <v>1</v>
      </c>
      <c r="T547" t="str">
        <f>IF(AND($M547&lt;&gt;"",$M547='Mapa do Galpão'!$C$20),COUNTIF($M$6:$M547,'Mapa do Galpão'!$C$20),"")</f>
        <v/>
      </c>
    </row>
    <row r="548" spans="1:20" ht="14.25" hidden="1" customHeight="1" x14ac:dyDescent="0.3">
      <c r="A548" s="43" t="s">
        <v>1511</v>
      </c>
      <c r="B548" s="50" t="s">
        <v>1424</v>
      </c>
      <c r="C548" s="165" t="s">
        <v>317</v>
      </c>
      <c r="D548" s="45" t="str">
        <f t="shared" si="18"/>
        <v>Masculino</v>
      </c>
      <c r="E548" s="43" t="s">
        <v>709</v>
      </c>
      <c r="F548" s="43" t="s">
        <v>867</v>
      </c>
      <c r="G548" s="43" t="s">
        <v>798</v>
      </c>
      <c r="H548" s="43" t="s">
        <v>675</v>
      </c>
      <c r="I548" s="46">
        <f>SUMIFS(Movimentações!$F$6:$F$4998,Movimentações!$C$6:$C$4998,A548,Movimentações!$M$6:$M$4998,M548)</f>
        <v>10</v>
      </c>
      <c r="J548" s="43" t="s">
        <v>670</v>
      </c>
      <c r="K548" s="43" t="s">
        <v>671</v>
      </c>
      <c r="L548" s="47" t="s">
        <v>1437</v>
      </c>
      <c r="M548" s="43" t="s">
        <v>1512</v>
      </c>
      <c r="N548" s="43" t="str">
        <f t="shared" si="19"/>
        <v>Rua A · Prat 15 · C-140</v>
      </c>
      <c r="P548">
        <f>IF(A548="","",IF(AND(K548&lt;&gt;"",L548&lt;&gt;""),IF(COUNTIFS($K$6:K548,K548,$L$6:L548,L548)=1,1,0),0))</f>
        <v>0</v>
      </c>
      <c r="Q548">
        <f>IF(A548="","",IF(AND(K548&lt;&gt;"",M548&lt;&gt;""),IF(COUNTIFS($K$6:K548,K548,$M$6:M548,M548)=1,1,0),0))</f>
        <v>1</v>
      </c>
      <c r="R548">
        <f>IF(A548="","",IF(M548&lt;&gt;"",IF(COUNTIF($M$6:M548,M548)=1,1,0),0))</f>
        <v>1</v>
      </c>
      <c r="T548" t="str">
        <f>IF(AND($M548&lt;&gt;"",$M548='Mapa do Galpão'!$C$20),COUNTIF($M$6:$M548,'Mapa do Galpão'!$C$20),"")</f>
        <v/>
      </c>
    </row>
    <row r="549" spans="1:20" ht="14.25" hidden="1" customHeight="1" x14ac:dyDescent="0.3">
      <c r="A549" s="43" t="s">
        <v>1513</v>
      </c>
      <c r="B549" s="50" t="s">
        <v>1424</v>
      </c>
      <c r="C549" s="165" t="s">
        <v>322</v>
      </c>
      <c r="D549" s="45" t="str">
        <f t="shared" ref="D549:D566" si="20">IF(C549="","",IFERROR(IF(TRIM(MID(SUBSTITUTE(C549,".",REPT(" ",50)),51,50))="01","Masculino",IF(TRIM(MID(SUBSTITUTE(C549,".",REPT(" ",50)),51,50))="02","Feminino",IF(TRIM(MID(SUBSTITUTE(C549,".",REPT(" ",50)),51,50))="03","Outros","—"))),"—"))</f>
        <v>Masculino</v>
      </c>
      <c r="E549" s="43" t="s">
        <v>709</v>
      </c>
      <c r="F549" s="43" t="s">
        <v>1059</v>
      </c>
      <c r="G549" s="43" t="s">
        <v>798</v>
      </c>
      <c r="H549" s="43" t="s">
        <v>675</v>
      </c>
      <c r="I549" s="46">
        <f>SUMIFS(Movimentações!$F$6:$F$4998,Movimentações!$C$6:$C$4998,A549,Movimentações!$M$6:$M$4998,M549)</f>
        <v>4</v>
      </c>
      <c r="J549" s="43" t="s">
        <v>670</v>
      </c>
      <c r="K549" s="43" t="s">
        <v>671</v>
      </c>
      <c r="L549" s="47" t="s">
        <v>1437</v>
      </c>
      <c r="M549" s="43" t="s">
        <v>1512</v>
      </c>
      <c r="N549" s="43" t="str">
        <f t="shared" ref="N549:N566" si="21">IF(AND(K549="",L549="",M549=""),"⚠ sem endereço","Rua "&amp;K549&amp;IF(L549="",""," · Prat "&amp;L549)&amp;IF(M549="",""," · "&amp;M549))</f>
        <v>Rua A · Prat 15 · C-140</v>
      </c>
      <c r="P549">
        <f>IF(A549="","",IF(AND(K549&lt;&gt;"",L549&lt;&gt;""),IF(COUNTIFS($K$6:K549,K549,$L$6:L549,L549)=1,1,0),0))</f>
        <v>0</v>
      </c>
      <c r="Q549">
        <f>IF(A549="","",IF(AND(K549&lt;&gt;"",M549&lt;&gt;""),IF(COUNTIFS($K$6:K549,K549,$M$6:M549,M549)=1,1,0),0))</f>
        <v>0</v>
      </c>
      <c r="R549">
        <f>IF(A549="","",IF(M549&lt;&gt;"",IF(COUNTIF($M$6:M549,M549)=1,1,0),0))</f>
        <v>0</v>
      </c>
      <c r="T549" t="str">
        <f>IF(AND($M549&lt;&gt;"",$M549='Mapa do Galpão'!$C$20),COUNTIF($M$6:$M549,'Mapa do Galpão'!$C$20),"")</f>
        <v/>
      </c>
    </row>
    <row r="550" spans="1:20" ht="14.25" hidden="1" customHeight="1" x14ac:dyDescent="0.3">
      <c r="A550" s="43" t="s">
        <v>1514</v>
      </c>
      <c r="B550" s="50" t="s">
        <v>1424</v>
      </c>
      <c r="C550" s="165" t="s">
        <v>491</v>
      </c>
      <c r="D550" s="45" t="str">
        <f t="shared" si="20"/>
        <v>Masculino</v>
      </c>
      <c r="E550" s="43" t="s">
        <v>666</v>
      </c>
      <c r="F550" s="43" t="s">
        <v>1515</v>
      </c>
      <c r="G550" s="43" t="s">
        <v>798</v>
      </c>
      <c r="H550" s="43" t="s">
        <v>680</v>
      </c>
      <c r="I550" s="46">
        <f>SUMIFS(Movimentações!$F$6:$F$4998,Movimentações!$C$6:$C$4998,A550,Movimentações!$M$6:$M$4998,M550)</f>
        <v>17</v>
      </c>
      <c r="J550" s="43" t="s">
        <v>670</v>
      </c>
      <c r="K550" s="43" t="s">
        <v>671</v>
      </c>
      <c r="L550" s="47" t="s">
        <v>1516</v>
      </c>
      <c r="M550" s="43" t="s">
        <v>1517</v>
      </c>
      <c r="N550" s="43" t="str">
        <f t="shared" si="21"/>
        <v>Rua A · Prat 13 · C-141</v>
      </c>
      <c r="P550">
        <f>IF(A550="","",IF(AND(K550&lt;&gt;"",L550&lt;&gt;""),IF(COUNTIFS($K$6:K550,K550,$L$6:L550,L550)=1,1,0),0))</f>
        <v>0</v>
      </c>
      <c r="Q550">
        <f>IF(A550="","",IF(AND(K550&lt;&gt;"",M550&lt;&gt;""),IF(COUNTIFS($K$6:K550,K550,$M$6:M550,M550)=1,1,0),0))</f>
        <v>1</v>
      </c>
      <c r="R550">
        <f>IF(A550="","",IF(M550&lt;&gt;"",IF(COUNTIF($M$6:M550,M550)=1,1,0),0))</f>
        <v>1</v>
      </c>
      <c r="T550" t="str">
        <f>IF(AND($M550&lt;&gt;"",$M550='Mapa do Galpão'!$C$20),COUNTIF($M$6:$M550,'Mapa do Galpão'!$C$20),"")</f>
        <v/>
      </c>
    </row>
    <row r="551" spans="1:20" ht="14.25" hidden="1" customHeight="1" x14ac:dyDescent="0.3">
      <c r="A551" s="43" t="s">
        <v>1518</v>
      </c>
      <c r="B551" s="50" t="s">
        <v>1424</v>
      </c>
      <c r="C551" s="165" t="s">
        <v>377</v>
      </c>
      <c r="D551" s="45" t="str">
        <f t="shared" si="20"/>
        <v>Masculino</v>
      </c>
      <c r="E551" s="43" t="s">
        <v>684</v>
      </c>
      <c r="F551" s="43" t="s">
        <v>1231</v>
      </c>
      <c r="G551" s="43" t="s">
        <v>738</v>
      </c>
      <c r="H551" s="43" t="s">
        <v>680</v>
      </c>
      <c r="I551" s="46">
        <f>SUMIFS(Movimentações!$F$6:$F$4998,Movimentações!$C$6:$C$4998,A551,Movimentações!$M$6:$M$4998,M551)</f>
        <v>52</v>
      </c>
      <c r="J551" s="43" t="s">
        <v>670</v>
      </c>
      <c r="K551" s="43" t="s">
        <v>671</v>
      </c>
      <c r="L551" s="47" t="s">
        <v>1519</v>
      </c>
      <c r="M551" s="43" t="s">
        <v>1520</v>
      </c>
      <c r="N551" s="43" t="str">
        <f t="shared" si="21"/>
        <v>Rua A · Prat 14 · C-142</v>
      </c>
      <c r="P551">
        <f>IF(A551="","",IF(AND(K551&lt;&gt;"",L551&lt;&gt;""),IF(COUNTIFS($K$6:K551,K551,$L$6:L551,L551)=1,1,0),0))</f>
        <v>0</v>
      </c>
      <c r="Q551">
        <f>IF(A551="","",IF(AND(K551&lt;&gt;"",M551&lt;&gt;""),IF(COUNTIFS($K$6:K551,K551,$M$6:M551,M551)=1,1,0),0))</f>
        <v>1</v>
      </c>
      <c r="R551">
        <f>IF(A551="","",IF(M551&lt;&gt;"",IF(COUNTIF($M$6:M551,M551)=1,1,0),0))</f>
        <v>1</v>
      </c>
      <c r="T551" t="str">
        <f>IF(AND($M551&lt;&gt;"",$M551='Mapa do Galpão'!$C$20),COUNTIF($M$6:$M551,'Mapa do Galpão'!$C$20),"")</f>
        <v/>
      </c>
    </row>
    <row r="552" spans="1:20" ht="14.25" hidden="1" customHeight="1" x14ac:dyDescent="0.3">
      <c r="A552" s="43" t="s">
        <v>1521</v>
      </c>
      <c r="B552" s="50" t="s">
        <v>1424</v>
      </c>
      <c r="C552" s="165" t="s">
        <v>378</v>
      </c>
      <c r="D552" s="45" t="str">
        <f t="shared" si="20"/>
        <v>Masculino</v>
      </c>
      <c r="E552" s="43" t="s">
        <v>684</v>
      </c>
      <c r="F552" s="43" t="s">
        <v>1231</v>
      </c>
      <c r="G552" s="43" t="s">
        <v>738</v>
      </c>
      <c r="H552" s="43" t="s">
        <v>675</v>
      </c>
      <c r="I552" s="46">
        <f>SUMIFS(Movimentações!$F$6:$F$4998,Movimentações!$C$6:$C$4998,A552,Movimentações!$M$6:$M$4998,M552)</f>
        <v>15</v>
      </c>
      <c r="J552" s="43" t="s">
        <v>670</v>
      </c>
      <c r="K552" s="43" t="s">
        <v>671</v>
      </c>
      <c r="L552" s="47" t="s">
        <v>1519</v>
      </c>
      <c r="M552" s="43" t="s">
        <v>1520</v>
      </c>
      <c r="N552" s="43" t="str">
        <f t="shared" si="21"/>
        <v>Rua A · Prat 14 · C-142</v>
      </c>
      <c r="P552">
        <f>IF(A552="","",IF(AND(K552&lt;&gt;"",L552&lt;&gt;""),IF(COUNTIFS($K$6:K552,K552,$L$6:L552,L552)=1,1,0),0))</f>
        <v>0</v>
      </c>
      <c r="Q552">
        <f>IF(A552="","",IF(AND(K552&lt;&gt;"",M552&lt;&gt;""),IF(COUNTIFS($K$6:K552,K552,$M$6:M552,M552)=1,1,0),0))</f>
        <v>0</v>
      </c>
      <c r="R552">
        <f>IF(A552="","",IF(M552&lt;&gt;"",IF(COUNTIF($M$6:M552,M552)=1,1,0),0))</f>
        <v>0</v>
      </c>
      <c r="T552" t="str">
        <f>IF(AND($M552&lt;&gt;"",$M552='Mapa do Galpão'!$C$20),COUNTIF($M$6:$M552,'Mapa do Galpão'!$C$20),"")</f>
        <v/>
      </c>
    </row>
    <row r="553" spans="1:20" ht="14.25" hidden="1" customHeight="1" x14ac:dyDescent="0.3">
      <c r="A553" s="43" t="s">
        <v>1522</v>
      </c>
      <c r="B553" s="50" t="s">
        <v>1424</v>
      </c>
      <c r="C553" s="165" t="s">
        <v>492</v>
      </c>
      <c r="D553" s="45" t="str">
        <f t="shared" si="20"/>
        <v>Masculino</v>
      </c>
      <c r="E553" s="43" t="s">
        <v>684</v>
      </c>
      <c r="F553" s="43" t="s">
        <v>1231</v>
      </c>
      <c r="G553" s="43" t="s">
        <v>798</v>
      </c>
      <c r="H553" s="43" t="s">
        <v>680</v>
      </c>
      <c r="I553" s="46">
        <f>SUMIFS(Movimentações!$F$6:$F$4998,Movimentações!$C$6:$C$4998,A553,Movimentações!$M$6:$M$4998,M553)</f>
        <v>76</v>
      </c>
      <c r="J553" s="43" t="s">
        <v>670</v>
      </c>
      <c r="K553" s="43" t="s">
        <v>671</v>
      </c>
      <c r="L553" s="47" t="s">
        <v>1516</v>
      </c>
      <c r="M553" s="43" t="s">
        <v>1523</v>
      </c>
      <c r="N553" s="43" t="str">
        <f t="shared" si="21"/>
        <v>Rua A · Prat 13 · C-143</v>
      </c>
      <c r="P553">
        <f>IF(A553="","",IF(AND(K553&lt;&gt;"",L553&lt;&gt;""),IF(COUNTIFS($K$6:K553,K553,$L$6:L553,L553)=1,1,0),0))</f>
        <v>0</v>
      </c>
      <c r="Q553">
        <f>IF(A553="","",IF(AND(K553&lt;&gt;"",M553&lt;&gt;""),IF(COUNTIFS($K$6:K553,K553,$M$6:M553,M553)=1,1,0),0))</f>
        <v>1</v>
      </c>
      <c r="R553">
        <f>IF(A553="","",IF(M553&lt;&gt;"",IF(COUNTIF($M$6:M553,M553)=1,1,0),0))</f>
        <v>1</v>
      </c>
      <c r="T553" t="str">
        <f>IF(AND($M553&lt;&gt;"",$M553='Mapa do Galpão'!$C$20),COUNTIF($M$6:$M553,'Mapa do Galpão'!$C$20),"")</f>
        <v/>
      </c>
    </row>
    <row r="554" spans="1:20" ht="14.25" hidden="1" customHeight="1" x14ac:dyDescent="0.3">
      <c r="A554" s="43" t="s">
        <v>1494</v>
      </c>
      <c r="B554" s="50" t="s">
        <v>1424</v>
      </c>
      <c r="C554" s="165" t="s">
        <v>482</v>
      </c>
      <c r="D554" s="45" t="str">
        <f t="shared" si="20"/>
        <v>Masculino</v>
      </c>
      <c r="E554" s="43" t="s">
        <v>684</v>
      </c>
      <c r="F554" s="43" t="s">
        <v>1231</v>
      </c>
      <c r="G554" s="43" t="s">
        <v>755</v>
      </c>
      <c r="H554" s="43" t="s">
        <v>675</v>
      </c>
      <c r="I554" s="46">
        <f>SUMIFS(Movimentações!$F$6:$F$4998,Movimentações!$C$6:$C$4998,A554,Movimentações!$M$6:$M$4998,M554)</f>
        <v>41</v>
      </c>
      <c r="J554" s="43" t="s">
        <v>670</v>
      </c>
      <c r="K554" s="43" t="s">
        <v>671</v>
      </c>
      <c r="L554" s="47" t="s">
        <v>1516</v>
      </c>
      <c r="M554" s="43" t="s">
        <v>1524</v>
      </c>
      <c r="N554" s="43" t="str">
        <f t="shared" si="21"/>
        <v>Rua A · Prat 13 · C-144</v>
      </c>
      <c r="P554">
        <f>IF(A554="","",IF(AND(K554&lt;&gt;"",L554&lt;&gt;""),IF(COUNTIFS($K$6:K554,K554,$L$6:L554,L554)=1,1,0),0))</f>
        <v>0</v>
      </c>
      <c r="Q554">
        <f>IF(A554="","",IF(AND(K554&lt;&gt;"",M554&lt;&gt;""),IF(COUNTIFS($K$6:K554,K554,$M$6:M554,M554)=1,1,0),0))</f>
        <v>1</v>
      </c>
      <c r="R554">
        <f>IF(A554="","",IF(M554&lt;&gt;"",IF(COUNTIF($M$6:M554,M554)=1,1,0),0))</f>
        <v>1</v>
      </c>
      <c r="T554" t="str">
        <f>IF(AND($M554&lt;&gt;"",$M554='Mapa do Galpão'!$C$20),COUNTIF($M$6:$M554,'Mapa do Galpão'!$C$20),"")</f>
        <v/>
      </c>
    </row>
    <row r="555" spans="1:20" ht="14.25" hidden="1" customHeight="1" x14ac:dyDescent="0.3">
      <c r="A555" s="43" t="s">
        <v>1525</v>
      </c>
      <c r="B555" s="50" t="s">
        <v>1424</v>
      </c>
      <c r="C555" s="165" t="s">
        <v>493</v>
      </c>
      <c r="D555" s="45" t="str">
        <f t="shared" si="20"/>
        <v>Feminino</v>
      </c>
      <c r="E555" s="43" t="s">
        <v>666</v>
      </c>
      <c r="F555" s="43" t="s">
        <v>1012</v>
      </c>
      <c r="G555" s="43" t="s">
        <v>798</v>
      </c>
      <c r="H555" s="43" t="s">
        <v>756</v>
      </c>
      <c r="I555" s="46">
        <f>SUMIFS(Movimentações!$F$6:$F$4998,Movimentações!$C$6:$C$4998,A555,Movimentações!$M$6:$M$4998,M555)</f>
        <v>28</v>
      </c>
      <c r="J555" s="43" t="s">
        <v>670</v>
      </c>
      <c r="K555" s="43" t="s">
        <v>671</v>
      </c>
      <c r="L555" s="47" t="s">
        <v>1519</v>
      </c>
      <c r="M555" s="48" t="s">
        <v>1517</v>
      </c>
      <c r="N555" s="43" t="str">
        <f t="shared" si="21"/>
        <v>Rua A · Prat 14 · C-141</v>
      </c>
      <c r="P555">
        <f>IF(A555="","",IF(AND(K555&lt;&gt;"",L555&lt;&gt;""),IF(COUNTIFS($K$6:K555,K555,$L$6:L555,L555)=1,1,0),0))</f>
        <v>0</v>
      </c>
      <c r="Q555">
        <f>IF(A555="","",IF(AND(K555&lt;&gt;"",M555&lt;&gt;""),IF(COUNTIFS($K$6:K555,K555,$M$6:M555,M555)=1,1,0),0))</f>
        <v>0</v>
      </c>
      <c r="R555">
        <f>IF(A555="","",IF(M555&lt;&gt;"",IF(COUNTIF($M$6:M555,M555)=1,1,0),0))</f>
        <v>0</v>
      </c>
      <c r="T555" t="str">
        <f>IF(AND($M555&lt;&gt;"",$M555='Mapa do Galpão'!$C$20),COUNTIF($M$6:$M555,'Mapa do Galpão'!$C$20),"")</f>
        <v/>
      </c>
    </row>
    <row r="556" spans="1:20" ht="14.25" hidden="1" customHeight="1" x14ac:dyDescent="0.3">
      <c r="A556" s="43" t="s">
        <v>1526</v>
      </c>
      <c r="B556" s="50" t="s">
        <v>1424</v>
      </c>
      <c r="C556" s="165" t="s">
        <v>494</v>
      </c>
      <c r="D556" s="45" t="str">
        <f t="shared" si="20"/>
        <v>Feminino</v>
      </c>
      <c r="E556" s="43" t="s">
        <v>666</v>
      </c>
      <c r="F556" s="43" t="s">
        <v>1012</v>
      </c>
      <c r="G556" s="43" t="s">
        <v>798</v>
      </c>
      <c r="H556" s="43" t="s">
        <v>680</v>
      </c>
      <c r="I556" s="46">
        <f>SUMIFS(Movimentações!$F$6:$F$4998,Movimentações!$C$6:$C$4998,A556,Movimentações!$M$6:$M$4998,M556)</f>
        <v>35</v>
      </c>
      <c r="J556" s="43" t="s">
        <v>670</v>
      </c>
      <c r="K556" s="43" t="s">
        <v>671</v>
      </c>
      <c r="L556" s="47" t="s">
        <v>1519</v>
      </c>
      <c r="M556" s="48" t="s">
        <v>1517</v>
      </c>
      <c r="N556" s="43" t="str">
        <f t="shared" si="21"/>
        <v>Rua A · Prat 14 · C-141</v>
      </c>
      <c r="P556">
        <f>IF(A556="","",IF(AND(K556&lt;&gt;"",L556&lt;&gt;""),IF(COUNTIFS($K$6:K556,K556,$L$6:L556,L556)=1,1,0),0))</f>
        <v>0</v>
      </c>
      <c r="Q556">
        <f>IF(A556="","",IF(AND(K556&lt;&gt;"",M556&lt;&gt;""),IF(COUNTIFS($K$6:K556,K556,$M$6:M556,M556)=1,1,0),0))</f>
        <v>0</v>
      </c>
      <c r="R556">
        <f>IF(A556="","",IF(M556&lt;&gt;"",IF(COUNTIF($M$6:M556,M556)=1,1,0),0))</f>
        <v>0</v>
      </c>
      <c r="T556" t="str">
        <f>IF(AND($M556&lt;&gt;"",$M556='Mapa do Galpão'!$C$20),COUNTIF($M$6:$M556,'Mapa do Galpão'!$C$20),"")</f>
        <v/>
      </c>
    </row>
    <row r="557" spans="1:20" ht="14.25" hidden="1" customHeight="1" x14ac:dyDescent="0.3">
      <c r="A557" s="43" t="s">
        <v>1527</v>
      </c>
      <c r="B557" s="50" t="s">
        <v>1424</v>
      </c>
      <c r="C557" s="165" t="s">
        <v>381</v>
      </c>
      <c r="D557" s="45" t="str">
        <f t="shared" si="20"/>
        <v>Masculino</v>
      </c>
      <c r="E557" s="43" t="s">
        <v>684</v>
      </c>
      <c r="F557" s="43" t="s">
        <v>1231</v>
      </c>
      <c r="G557" s="43" t="s">
        <v>738</v>
      </c>
      <c r="H557" s="43" t="s">
        <v>677</v>
      </c>
      <c r="I557" s="46">
        <f>SUMIFS(Movimentações!$F$6:$F$4998,Movimentações!$C$6:$C$4998,A557,Movimentações!$M$6:$M$4998,M557)</f>
        <v>0</v>
      </c>
      <c r="J557" s="43" t="s">
        <v>670</v>
      </c>
      <c r="K557" s="43" t="s">
        <v>671</v>
      </c>
      <c r="L557" s="47" t="s">
        <v>1519</v>
      </c>
      <c r="M557" s="43" t="s">
        <v>1520</v>
      </c>
      <c r="N557" s="43" t="str">
        <f t="shared" si="21"/>
        <v>Rua A · Prat 14 · C-142</v>
      </c>
      <c r="P557">
        <f>IF(A557="","",IF(AND(K557&lt;&gt;"",L557&lt;&gt;""),IF(COUNTIFS($K$6:K557,K557,$L$6:L557,L557)=1,1,0),0))</f>
        <v>0</v>
      </c>
      <c r="Q557">
        <f>IF(A557="","",IF(AND(K557&lt;&gt;"",M557&lt;&gt;""),IF(COUNTIFS($K$6:K557,K557,$M$6:M557,M557)=1,1,0),0))</f>
        <v>0</v>
      </c>
      <c r="R557">
        <f>IF(A557="","",IF(M557&lt;&gt;"",IF(COUNTIF($M$6:M557,M557)=1,1,0),0))</f>
        <v>0</v>
      </c>
      <c r="T557" t="str">
        <f>IF(AND($M557&lt;&gt;"",$M557='Mapa do Galpão'!$C$20),COUNTIF($M$6:$M557,'Mapa do Galpão'!$C$20),"")</f>
        <v/>
      </c>
    </row>
    <row r="558" spans="1:20" ht="14.25" hidden="1" customHeight="1" x14ac:dyDescent="0.3">
      <c r="A558" s="43" t="s">
        <v>1528</v>
      </c>
      <c r="B558" s="50" t="s">
        <v>1424</v>
      </c>
      <c r="C558" s="165" t="s">
        <v>495</v>
      </c>
      <c r="D558" s="45" t="str">
        <f t="shared" si="20"/>
        <v>Masculino</v>
      </c>
      <c r="E558" s="43" t="s">
        <v>684</v>
      </c>
      <c r="F558" s="43" t="s">
        <v>1231</v>
      </c>
      <c r="G558" s="43" t="s">
        <v>798</v>
      </c>
      <c r="H558" s="43" t="s">
        <v>675</v>
      </c>
      <c r="I558" s="46">
        <f>SUMIFS(Movimentações!$F$6:$F$4998,Movimentações!$C$6:$C$4998,A558,Movimentações!$M$6:$M$4998,M558)</f>
        <v>0</v>
      </c>
      <c r="J558" s="43" t="s">
        <v>670</v>
      </c>
      <c r="K558" s="43" t="s">
        <v>671</v>
      </c>
      <c r="L558" s="47" t="s">
        <v>1516</v>
      </c>
      <c r="M558" s="43" t="s">
        <v>1523</v>
      </c>
      <c r="N558" s="43" t="str">
        <f t="shared" si="21"/>
        <v>Rua A · Prat 13 · C-143</v>
      </c>
      <c r="P558">
        <f>IF(A558="","",IF(AND(K558&lt;&gt;"",L558&lt;&gt;""),IF(COUNTIFS($K$6:K558,K558,$L$6:L558,L558)=1,1,0),0))</f>
        <v>0</v>
      </c>
      <c r="Q558">
        <f>IF(A558="","",IF(AND(K558&lt;&gt;"",M558&lt;&gt;""),IF(COUNTIFS($K$6:K558,K558,$M$6:M558,M558)=1,1,0),0))</f>
        <v>0</v>
      </c>
      <c r="R558">
        <f>IF(A558="","",IF(M558&lt;&gt;"",IF(COUNTIF($M$6:M558,M558)=1,1,0),0))</f>
        <v>0</v>
      </c>
      <c r="T558" t="str">
        <f>IF(AND($M558&lt;&gt;"",$M558='Mapa do Galpão'!$C$20),COUNTIF($M$6:$M558,'Mapa do Galpão'!$C$20),"")</f>
        <v/>
      </c>
    </row>
    <row r="559" spans="1:20" ht="14.25" hidden="1" customHeight="1" x14ac:dyDescent="0.3">
      <c r="A559" s="43" t="s">
        <v>1529</v>
      </c>
      <c r="B559" s="50" t="s">
        <v>1424</v>
      </c>
      <c r="C559" s="165" t="s">
        <v>496</v>
      </c>
      <c r="D559" s="45" t="str">
        <f t="shared" si="20"/>
        <v>Masculino</v>
      </c>
      <c r="E559" s="43" t="s">
        <v>684</v>
      </c>
      <c r="F559" s="43" t="s">
        <v>1231</v>
      </c>
      <c r="G559" s="43" t="s">
        <v>798</v>
      </c>
      <c r="H559" s="43" t="s">
        <v>669</v>
      </c>
      <c r="I559" s="46">
        <f>SUMIFS(Movimentações!$F$6:$F$4998,Movimentações!$C$6:$C$4998,A559,Movimentações!$M$6:$M$4998,M559)</f>
        <v>0</v>
      </c>
      <c r="J559" s="43" t="s">
        <v>670</v>
      </c>
      <c r="K559" s="43" t="s">
        <v>671</v>
      </c>
      <c r="L559" s="47" t="s">
        <v>1516</v>
      </c>
      <c r="M559" s="43" t="s">
        <v>1523</v>
      </c>
      <c r="N559" s="43" t="str">
        <f t="shared" si="21"/>
        <v>Rua A · Prat 13 · C-143</v>
      </c>
      <c r="P559">
        <f>IF(A559="","",IF(AND(K559&lt;&gt;"",L559&lt;&gt;""),IF(COUNTIFS($K$6:K559,K559,$L$6:L559,L559)=1,1,0),0))</f>
        <v>0</v>
      </c>
      <c r="Q559">
        <f>IF(A559="","",IF(AND(K559&lt;&gt;"",M559&lt;&gt;""),IF(COUNTIFS($K$6:K559,K559,$M$6:M559,M559)=1,1,0),0))</f>
        <v>0</v>
      </c>
      <c r="R559">
        <f>IF(A559="","",IF(M559&lt;&gt;"",IF(COUNTIF($M$6:M559,M559)=1,1,0),0))</f>
        <v>0</v>
      </c>
      <c r="T559" t="str">
        <f>IF(AND($M559&lt;&gt;"",$M559='Mapa do Galpão'!$C$20),COUNTIF($M$6:$M559,'Mapa do Galpão'!$C$20),"")</f>
        <v/>
      </c>
    </row>
    <row r="560" spans="1:20" ht="14.25" hidden="1" customHeight="1" x14ac:dyDescent="0.3">
      <c r="A560" s="43" t="s">
        <v>1494</v>
      </c>
      <c r="B560" s="50" t="s">
        <v>1424</v>
      </c>
      <c r="C560" s="165" t="s">
        <v>482</v>
      </c>
      <c r="D560" s="45" t="str">
        <f t="shared" si="20"/>
        <v>Masculino</v>
      </c>
      <c r="E560" s="43" t="s">
        <v>684</v>
      </c>
      <c r="F560" s="43" t="s">
        <v>1231</v>
      </c>
      <c r="G560" s="43" t="s">
        <v>755</v>
      </c>
      <c r="H560" s="43" t="s">
        <v>675</v>
      </c>
      <c r="I560" s="46">
        <f>SUMIFS(Movimentações!$F$6:$F$4998,Movimentações!$C$6:$C$4998,A560,Movimentações!$M$6:$M$4998,M560)</f>
        <v>60</v>
      </c>
      <c r="J560" s="43" t="s">
        <v>670</v>
      </c>
      <c r="K560" s="43" t="s">
        <v>671</v>
      </c>
      <c r="L560" s="47" t="s">
        <v>1516</v>
      </c>
      <c r="M560" s="43" t="s">
        <v>1530</v>
      </c>
      <c r="N560" s="43" t="str">
        <f t="shared" si="21"/>
        <v>Rua A · Prat 13 · C-146</v>
      </c>
      <c r="P560">
        <f>IF(A560="","",IF(AND(K560&lt;&gt;"",L560&lt;&gt;""),IF(COUNTIFS($K$6:K560,K560,$L$6:L560,L560)=1,1,0),0))</f>
        <v>0</v>
      </c>
      <c r="Q560">
        <f>IF(A560="","",IF(AND(K560&lt;&gt;"",M560&lt;&gt;""),IF(COUNTIFS($K$6:K560,K560,$M$6:M560,M560)=1,1,0),0))</f>
        <v>1</v>
      </c>
      <c r="R560">
        <f>IF(A560="","",IF(M560&lt;&gt;"",IF(COUNTIF($M$6:M560,M560)=1,1,0),0))</f>
        <v>1</v>
      </c>
      <c r="T560" t="str">
        <f>IF(AND($M560&lt;&gt;"",$M560='Mapa do Galpão'!$C$20),COUNTIF($M$6:$M560,'Mapa do Galpão'!$C$20),"")</f>
        <v/>
      </c>
    </row>
    <row r="561" spans="1:20" ht="14.25" hidden="1" customHeight="1" x14ac:dyDescent="0.3">
      <c r="A561" s="43" t="s">
        <v>1495</v>
      </c>
      <c r="B561" s="50" t="s">
        <v>1424</v>
      </c>
      <c r="C561" s="165" t="s">
        <v>483</v>
      </c>
      <c r="D561" s="45" t="str">
        <f t="shared" si="20"/>
        <v>Masculino</v>
      </c>
      <c r="E561" s="43" t="s">
        <v>684</v>
      </c>
      <c r="F561" s="43" t="s">
        <v>1231</v>
      </c>
      <c r="G561" s="43" t="s">
        <v>755</v>
      </c>
      <c r="H561" s="43" t="s">
        <v>669</v>
      </c>
      <c r="I561" s="46">
        <f>SUMIFS(Movimentações!$F$6:$F$4998,Movimentações!$C$6:$C$4998,A561,Movimentações!$M$6:$M$4998,M561)</f>
        <v>50</v>
      </c>
      <c r="J561" s="43" t="s">
        <v>670</v>
      </c>
      <c r="K561" s="43" t="s">
        <v>671</v>
      </c>
      <c r="L561" s="47" t="s">
        <v>1516</v>
      </c>
      <c r="M561" s="43" t="s">
        <v>1531</v>
      </c>
      <c r="N561" s="43" t="str">
        <f t="shared" si="21"/>
        <v>Rua A · Prat 13 · C-147</v>
      </c>
      <c r="P561">
        <f>IF(A561="","",IF(AND(K561&lt;&gt;"",L561&lt;&gt;""),IF(COUNTIFS($K$6:K561,K561,$L$6:L561,L561)=1,1,0),0))</f>
        <v>0</v>
      </c>
      <c r="Q561">
        <f>IF(A561="","",IF(AND(K561&lt;&gt;"",M561&lt;&gt;""),IF(COUNTIFS($K$6:K561,K561,$M$6:M561,M561)=1,1,0),0))</f>
        <v>1</v>
      </c>
      <c r="R561">
        <f>IF(A561="","",IF(M561&lt;&gt;"",IF(COUNTIF($M$6:M561,M561)=1,1,0),0))</f>
        <v>1</v>
      </c>
      <c r="T561" t="str">
        <f>IF(AND($M561&lt;&gt;"",$M561='Mapa do Galpão'!$C$20),COUNTIF($M$6:$M561,'Mapa do Galpão'!$C$20),"")</f>
        <v/>
      </c>
    </row>
    <row r="562" spans="1:20" ht="14.25" hidden="1" customHeight="1" x14ac:dyDescent="0.3">
      <c r="A562" s="43" t="s">
        <v>1532</v>
      </c>
      <c r="B562" s="50" t="s">
        <v>1424</v>
      </c>
      <c r="C562" s="165" t="s">
        <v>497</v>
      </c>
      <c r="D562" s="45" t="str">
        <f t="shared" si="20"/>
        <v>Masculino</v>
      </c>
      <c r="E562" s="43" t="s">
        <v>666</v>
      </c>
      <c r="F562" s="43" t="s">
        <v>1433</v>
      </c>
      <c r="G562" s="43" t="s">
        <v>956</v>
      </c>
      <c r="H562" s="43" t="s">
        <v>680</v>
      </c>
      <c r="I562" s="46">
        <f>SUMIFS(Movimentações!$F$6:$F$4998,Movimentações!$C$6:$C$4998,A562,Movimentações!$M$6:$M$4998,M562)</f>
        <v>11</v>
      </c>
      <c r="J562" s="43" t="s">
        <v>670</v>
      </c>
      <c r="K562" s="43" t="s">
        <v>671</v>
      </c>
      <c r="L562" s="47" t="s">
        <v>1516</v>
      </c>
      <c r="M562" s="43" t="s">
        <v>1533</v>
      </c>
      <c r="N562" s="43" t="str">
        <f t="shared" si="21"/>
        <v>Rua A · Prat 13 · C-148</v>
      </c>
      <c r="P562">
        <f>IF(A562="","",IF(AND(K562&lt;&gt;"",L562&lt;&gt;""),IF(COUNTIFS($K$6:K562,K562,$L$6:L562,L562)=1,1,0),0))</f>
        <v>0</v>
      </c>
      <c r="Q562">
        <f>IF(A562="","",IF(AND(K562&lt;&gt;"",M562&lt;&gt;""),IF(COUNTIFS($K$6:K562,K562,$M$6:M562,M562)=1,1,0),0))</f>
        <v>1</v>
      </c>
      <c r="R562">
        <f>IF(A562="","",IF(M562&lt;&gt;"",IF(COUNTIF($M$6:M562,M562)=1,1,0),0))</f>
        <v>1</v>
      </c>
      <c r="T562" t="str">
        <f>IF(AND($M562&lt;&gt;"",$M562='Mapa do Galpão'!$C$20),COUNTIF($M$6:$M562,'Mapa do Galpão'!$C$20),"")</f>
        <v/>
      </c>
    </row>
    <row r="563" spans="1:20" ht="14.25" hidden="1" customHeight="1" x14ac:dyDescent="0.3">
      <c r="A563" s="43" t="s">
        <v>1534</v>
      </c>
      <c r="B563" s="50" t="s">
        <v>1424</v>
      </c>
      <c r="C563" s="165" t="s">
        <v>498</v>
      </c>
      <c r="D563" s="45" t="str">
        <f t="shared" si="20"/>
        <v>Masculino</v>
      </c>
      <c r="E563" s="43" t="s">
        <v>666</v>
      </c>
      <c r="F563" s="43" t="s">
        <v>1433</v>
      </c>
      <c r="G563" s="43" t="s">
        <v>956</v>
      </c>
      <c r="H563" s="43" t="s">
        <v>675</v>
      </c>
      <c r="I563" s="46">
        <f>SUMIFS(Movimentações!$F$6:$F$4998,Movimentações!$C$6:$C$4998,A563,Movimentações!$M$6:$M$4998,M563)</f>
        <v>30</v>
      </c>
      <c r="J563" s="43" t="s">
        <v>670</v>
      </c>
      <c r="K563" s="43" t="s">
        <v>671</v>
      </c>
      <c r="L563" s="47" t="s">
        <v>1516</v>
      </c>
      <c r="M563" s="43" t="s">
        <v>1533</v>
      </c>
      <c r="N563" s="43" t="str">
        <f t="shared" si="21"/>
        <v>Rua A · Prat 13 · C-148</v>
      </c>
      <c r="P563">
        <f>IF(A563="","",IF(AND(K563&lt;&gt;"",L563&lt;&gt;""),IF(COUNTIFS($K$6:K563,K563,$L$6:L563,L563)=1,1,0),0))</f>
        <v>0</v>
      </c>
      <c r="Q563">
        <f>IF(A563="","",IF(AND(K563&lt;&gt;"",M563&lt;&gt;""),IF(COUNTIFS($K$6:K563,K563,$M$6:M563,M563)=1,1,0),0))</f>
        <v>0</v>
      </c>
      <c r="R563">
        <f>IF(A563="","",IF(M563&lt;&gt;"",IF(COUNTIF($M$6:M563,M563)=1,1,0),0))</f>
        <v>0</v>
      </c>
      <c r="T563" t="str">
        <f>IF(AND($M563&lt;&gt;"",$M563='Mapa do Galpão'!$C$20),COUNTIF($M$6:$M563,'Mapa do Galpão'!$C$20),"")</f>
        <v/>
      </c>
    </row>
    <row r="564" spans="1:20" ht="14.25" hidden="1" customHeight="1" x14ac:dyDescent="0.3">
      <c r="A564" s="43" t="s">
        <v>1535</v>
      </c>
      <c r="B564" s="50" t="s">
        <v>1424</v>
      </c>
      <c r="C564" s="165" t="s">
        <v>299</v>
      </c>
      <c r="D564" s="45" t="str">
        <f t="shared" si="20"/>
        <v>Feminino</v>
      </c>
      <c r="E564" s="43" t="s">
        <v>666</v>
      </c>
      <c r="F564" s="43" t="s">
        <v>1004</v>
      </c>
      <c r="G564" s="43" t="s">
        <v>956</v>
      </c>
      <c r="H564" s="43" t="s">
        <v>756</v>
      </c>
      <c r="I564" s="46">
        <f>SUMIFS(Movimentações!$F$6:$F$4998,Movimentações!$C$6:$C$4998,A564,Movimentações!$M$6:$M$4998,M564)</f>
        <v>23</v>
      </c>
      <c r="J564" s="43" t="s">
        <v>670</v>
      </c>
      <c r="K564" s="43" t="s">
        <v>671</v>
      </c>
      <c r="L564" s="47" t="s">
        <v>1516</v>
      </c>
      <c r="M564" s="43" t="s">
        <v>1536</v>
      </c>
      <c r="N564" s="43" t="str">
        <f t="shared" si="21"/>
        <v>Rua A · Prat 13 · C-149</v>
      </c>
      <c r="P564">
        <f>IF(A564="","",IF(AND(K564&lt;&gt;"",L564&lt;&gt;""),IF(COUNTIFS($K$6:K564,K564,$L$6:L564,L564)=1,1,0),0))</f>
        <v>0</v>
      </c>
      <c r="Q564">
        <f>IF(A564="","",IF(AND(K564&lt;&gt;"",M564&lt;&gt;""),IF(COUNTIFS($K$6:K564,K564,$M$6:M564,M564)=1,1,0),0))</f>
        <v>1</v>
      </c>
      <c r="R564">
        <f>IF(A564="","",IF(M564&lt;&gt;"",IF(COUNTIF($M$6:M564,M564)=1,1,0),0))</f>
        <v>1</v>
      </c>
      <c r="T564" t="str">
        <f>IF(AND($M564&lt;&gt;"",$M564='Mapa do Galpão'!$C$20),COUNTIF($M$6:$M564,'Mapa do Galpão'!$C$20),"")</f>
        <v/>
      </c>
    </row>
    <row r="565" spans="1:20" ht="14.25" hidden="1" customHeight="1" x14ac:dyDescent="0.3">
      <c r="A565" s="43" t="s">
        <v>1537</v>
      </c>
      <c r="B565" s="50" t="s">
        <v>1424</v>
      </c>
      <c r="C565" s="165" t="s">
        <v>285</v>
      </c>
      <c r="D565" s="45" t="str">
        <f t="shared" si="20"/>
        <v>Feminino</v>
      </c>
      <c r="E565" s="43" t="s">
        <v>666</v>
      </c>
      <c r="F565" s="43" t="s">
        <v>1004</v>
      </c>
      <c r="G565" s="43" t="s">
        <v>956</v>
      </c>
      <c r="H565" s="43" t="s">
        <v>680</v>
      </c>
      <c r="I565" s="46">
        <f>SUMIFS(Movimentações!$F$6:$F$4998,Movimentações!$C$6:$C$4998,A565,Movimentações!$M$6:$M$4998,M565)</f>
        <v>2</v>
      </c>
      <c r="J565" s="43" t="s">
        <v>670</v>
      </c>
      <c r="K565" s="43" t="s">
        <v>671</v>
      </c>
      <c r="L565" s="47" t="s">
        <v>1516</v>
      </c>
      <c r="M565" s="43" t="s">
        <v>1536</v>
      </c>
      <c r="N565" s="43" t="str">
        <f t="shared" si="21"/>
        <v>Rua A · Prat 13 · C-149</v>
      </c>
      <c r="P565">
        <f>IF(A565="","",IF(AND(K565&lt;&gt;"",L565&lt;&gt;""),IF(COUNTIFS($K$6:K565,K565,$L$6:L565,L565)=1,1,0),0))</f>
        <v>0</v>
      </c>
      <c r="Q565">
        <f>IF(A565="","",IF(AND(K565&lt;&gt;"",M565&lt;&gt;""),IF(COUNTIFS($K$6:K565,K565,$M$6:M565,M565)=1,1,0),0))</f>
        <v>0</v>
      </c>
      <c r="R565">
        <f>IF(A565="","",IF(M565&lt;&gt;"",IF(COUNTIF($M$6:M565,M565)=1,1,0),0))</f>
        <v>0</v>
      </c>
      <c r="T565" t="str">
        <f>IF(AND($M565&lt;&gt;"",$M565='Mapa do Galpão'!$C$20),COUNTIF($M$6:$M565,'Mapa do Galpão'!$C$20),"")</f>
        <v/>
      </c>
    </row>
    <row r="566" spans="1:20" ht="14.25" hidden="1" customHeight="1" x14ac:dyDescent="0.3">
      <c r="A566" s="43" t="s">
        <v>1538</v>
      </c>
      <c r="B566" s="50" t="s">
        <v>1424</v>
      </c>
      <c r="C566" s="165" t="s">
        <v>312</v>
      </c>
      <c r="D566" s="45" t="str">
        <f t="shared" si="20"/>
        <v>Masculino</v>
      </c>
      <c r="E566" s="43" t="s">
        <v>666</v>
      </c>
      <c r="F566" s="43" t="s">
        <v>1043</v>
      </c>
      <c r="G566" s="43" t="s">
        <v>956</v>
      </c>
      <c r="H566" s="43" t="s">
        <v>680</v>
      </c>
      <c r="I566" s="46">
        <f>SUMIFS(Movimentações!$F$6:$F$4998,Movimentações!$C$6:$C$4998,A566,Movimentações!$M$6:$M$4998,M566)</f>
        <v>53</v>
      </c>
      <c r="J566" s="43" t="s">
        <v>670</v>
      </c>
      <c r="K566" s="43" t="s">
        <v>671</v>
      </c>
      <c r="L566" s="47" t="s">
        <v>1519</v>
      </c>
      <c r="M566" s="43" t="s">
        <v>1539</v>
      </c>
      <c r="N566" s="43" t="str">
        <f t="shared" si="21"/>
        <v>Rua A · Prat 14 · C-150</v>
      </c>
      <c r="P566">
        <f>IF(A566="","",IF(AND(K566&lt;&gt;"",L566&lt;&gt;""),IF(COUNTIFS($K$6:K566,K566,$L$6:L566,L566)=1,1,0),0))</f>
        <v>0</v>
      </c>
      <c r="Q566">
        <f>IF(A566="","",IF(AND(K566&lt;&gt;"",M566&lt;&gt;""),IF(COUNTIFS($K$6:K566,K566,$M$6:M566,M566)=1,1,0),0))</f>
        <v>1</v>
      </c>
      <c r="R566">
        <f>IF(A566="","",IF(M566&lt;&gt;"",IF(COUNTIF($M$6:M566,M566)=1,1,0),0))</f>
        <v>1</v>
      </c>
      <c r="T566" t="str">
        <f>IF(AND($M566&lt;&gt;"",$M566='Mapa do Galpão'!$C$20),COUNTIF($M$6:$M566,'Mapa do Galpão'!$C$20),"")</f>
        <v/>
      </c>
    </row>
    <row r="567" spans="1:20" ht="14.25" hidden="1" customHeight="1" x14ac:dyDescent="0.3">
      <c r="A567" s="43" t="s">
        <v>1540</v>
      </c>
      <c r="B567" s="50" t="s">
        <v>1424</v>
      </c>
      <c r="C567" s="165" t="s">
        <v>379</v>
      </c>
      <c r="D567" s="45" t="str">
        <f t="shared" ref="D567:D630" si="22">IF(C567="","",IFERROR(IF(TRIM(MID(SUBSTITUTE(C567,".",REPT(" ",50)),51,50))="01","Masculino",IF(TRIM(MID(SUBSTITUTE(C567,".",REPT(" ",50)),51,50))="02","Feminino",IF(TRIM(MID(SUBSTITUTE(C567,".",REPT(" ",50)),51,50))="03","Outros","—"))),"—"))</f>
        <v>Masculino</v>
      </c>
      <c r="E567" s="43" t="s">
        <v>684</v>
      </c>
      <c r="F567" s="43" t="s">
        <v>1231</v>
      </c>
      <c r="G567" s="43" t="s">
        <v>738</v>
      </c>
      <c r="H567" s="43" t="s">
        <v>669</v>
      </c>
      <c r="I567" s="46">
        <f>SUMIFS(Movimentações!$F$6:$F$4998,Movimentações!$C$6:$C$4998,A567,Movimentações!$M$6:$M$4998,M567)</f>
        <v>40</v>
      </c>
      <c r="J567" s="43" t="s">
        <v>670</v>
      </c>
      <c r="K567" s="43" t="s">
        <v>671</v>
      </c>
      <c r="L567" s="47" t="s">
        <v>1519</v>
      </c>
      <c r="M567" s="43" t="s">
        <v>1541</v>
      </c>
      <c r="N567" s="43" t="str">
        <f t="shared" ref="N567:N630" si="23">IF(AND(K567="",L567="",M567=""),"⚠ sem endereço","Rua "&amp;K567&amp;IF(L567="",""," · Prat "&amp;L567)&amp;IF(M567="",""," · "&amp;M567))</f>
        <v>Rua A · Prat 14 · C-152</v>
      </c>
      <c r="P567">
        <f>IF(A567="","",IF(AND(K567&lt;&gt;"",L567&lt;&gt;""),IF(COUNTIFS($K$6:K567,K567,$L$6:L567,L567)=1,1,0),0))</f>
        <v>0</v>
      </c>
      <c r="Q567">
        <f>IF(A567="","",IF(AND(K567&lt;&gt;"",M567&lt;&gt;""),IF(COUNTIFS($K$6:K567,K567,$M$6:M567,M567)=1,1,0),0))</f>
        <v>1</v>
      </c>
      <c r="R567">
        <f>IF(A567="","",IF(M567&lt;&gt;"",IF(COUNTIF($M$6:M567,M567)=1,1,0),0))</f>
        <v>1</v>
      </c>
      <c r="T567" t="str">
        <f>IF(AND($M567&lt;&gt;"",$M567='Mapa do Galpão'!$C$20),COUNTIF($M$6:$M567,'Mapa do Galpão'!$C$20),"")</f>
        <v/>
      </c>
    </row>
    <row r="568" spans="1:20" ht="14.25" hidden="1" customHeight="1" x14ac:dyDescent="0.3">
      <c r="A568" s="43" t="s">
        <v>1495</v>
      </c>
      <c r="B568" s="50" t="s">
        <v>1424</v>
      </c>
      <c r="C568" s="165" t="s">
        <v>483</v>
      </c>
      <c r="D568" s="45" t="str">
        <f t="shared" si="22"/>
        <v>Masculino</v>
      </c>
      <c r="E568" s="43" t="s">
        <v>684</v>
      </c>
      <c r="F568" s="43" t="s">
        <v>1231</v>
      </c>
      <c r="G568" s="43" t="s">
        <v>755</v>
      </c>
      <c r="H568" s="43" t="s">
        <v>669</v>
      </c>
      <c r="I568" s="46">
        <f>SUMIFS(Movimentações!$F$6:$F$4998,Movimentações!$C$6:$C$4998,A568,Movimentações!$M$6:$M$4998,M568)</f>
        <v>62</v>
      </c>
      <c r="J568" s="43" t="s">
        <v>670</v>
      </c>
      <c r="K568" s="43" t="s">
        <v>671</v>
      </c>
      <c r="L568" s="47" t="s">
        <v>1519</v>
      </c>
      <c r="M568" s="43" t="s">
        <v>1542</v>
      </c>
      <c r="N568" s="43" t="str">
        <f t="shared" si="23"/>
        <v>Rua A · Prat 14 · C-153</v>
      </c>
      <c r="P568">
        <f>IF(A568="","",IF(AND(K568&lt;&gt;"",L568&lt;&gt;""),IF(COUNTIFS($K$6:K568,K568,$L$6:L568,L568)=1,1,0),0))</f>
        <v>0</v>
      </c>
      <c r="Q568">
        <f>IF(A568="","",IF(AND(K568&lt;&gt;"",M568&lt;&gt;""),IF(COUNTIFS($K$6:K568,K568,$M$6:M568,M568)=1,1,0),0))</f>
        <v>1</v>
      </c>
      <c r="R568">
        <f>IF(A568="","",IF(M568&lt;&gt;"",IF(COUNTIF($M$6:M568,M568)=1,1,0),0))</f>
        <v>1</v>
      </c>
      <c r="T568" t="str">
        <f>IF(AND($M568&lt;&gt;"",$M568='Mapa do Galpão'!$C$20),COUNTIF($M$6:$M568,'Mapa do Galpão'!$C$20),"")</f>
        <v/>
      </c>
    </row>
    <row r="569" spans="1:20" ht="14.25" hidden="1" customHeight="1" x14ac:dyDescent="0.3">
      <c r="A569" s="43" t="s">
        <v>1492</v>
      </c>
      <c r="B569" s="50" t="s">
        <v>1424</v>
      </c>
      <c r="C569" s="165" t="s">
        <v>481</v>
      </c>
      <c r="D569" s="45" t="str">
        <f t="shared" si="22"/>
        <v>Masculino</v>
      </c>
      <c r="E569" s="43" t="s">
        <v>684</v>
      </c>
      <c r="F569" s="43" t="s">
        <v>1231</v>
      </c>
      <c r="G569" s="43" t="s">
        <v>755</v>
      </c>
      <c r="H569" s="43" t="s">
        <v>680</v>
      </c>
      <c r="I569" s="46">
        <f>SUMIFS(Movimentações!$F$6:$F$4998,Movimentações!$C$6:$C$4998,A569,Movimentações!$M$6:$M$4998,M569)</f>
        <v>34</v>
      </c>
      <c r="J569" s="43" t="s">
        <v>670</v>
      </c>
      <c r="K569" s="43" t="s">
        <v>671</v>
      </c>
      <c r="L569" s="47" t="s">
        <v>1516</v>
      </c>
      <c r="M569" s="43" t="s">
        <v>1543</v>
      </c>
      <c r="N569" s="43" t="str">
        <f t="shared" si="23"/>
        <v>Rua A · Prat 13 · C-154</v>
      </c>
      <c r="P569">
        <f>IF(A569="","",IF(AND(K569&lt;&gt;"",L569&lt;&gt;""),IF(COUNTIFS($K$6:K569,K569,$L$6:L569,L569)=1,1,0),0))</f>
        <v>0</v>
      </c>
      <c r="Q569">
        <f>IF(A569="","",IF(AND(K569&lt;&gt;"",M569&lt;&gt;""),IF(COUNTIFS($K$6:K569,K569,$M$6:M569,M569)=1,1,0),0))</f>
        <v>1</v>
      </c>
      <c r="R569">
        <f>IF(A569="","",IF(M569&lt;&gt;"",IF(COUNTIF($M$6:M569,M569)=1,1,0),0))</f>
        <v>1</v>
      </c>
      <c r="T569" t="str">
        <f>IF(AND($M569&lt;&gt;"",$M569='Mapa do Galpão'!$C$20),COUNTIF($M$6:$M569,'Mapa do Galpão'!$C$20),"")</f>
        <v/>
      </c>
    </row>
    <row r="570" spans="1:20" ht="14.25" hidden="1" customHeight="1" x14ac:dyDescent="0.3">
      <c r="A570" s="43" t="s">
        <v>1495</v>
      </c>
      <c r="B570" s="50" t="s">
        <v>1424</v>
      </c>
      <c r="C570" s="165" t="s">
        <v>483</v>
      </c>
      <c r="D570" s="45" t="str">
        <f t="shared" si="22"/>
        <v>Masculino</v>
      </c>
      <c r="E570" s="43" t="s">
        <v>684</v>
      </c>
      <c r="F570" s="43" t="s">
        <v>1231</v>
      </c>
      <c r="G570" s="43" t="s">
        <v>755</v>
      </c>
      <c r="H570" s="43" t="s">
        <v>669</v>
      </c>
      <c r="I570" s="46">
        <f>SUMIFS(Movimentações!$F$6:$F$4998,Movimentações!$C$6:$C$4998,A570,Movimentações!$M$6:$M$4998,M570)</f>
        <v>59</v>
      </c>
      <c r="J570" s="43" t="s">
        <v>670</v>
      </c>
      <c r="K570" s="43" t="s">
        <v>671</v>
      </c>
      <c r="L570" s="47" t="s">
        <v>1519</v>
      </c>
      <c r="M570" s="43" t="s">
        <v>1544</v>
      </c>
      <c r="N570" s="43" t="str">
        <f t="shared" si="23"/>
        <v>Rua A · Prat 14 · C-155</v>
      </c>
      <c r="P570">
        <f>IF(A570="","",IF(AND(K570&lt;&gt;"",L570&lt;&gt;""),IF(COUNTIFS($K$6:K570,K570,$L$6:L570,L570)=1,1,0),0))</f>
        <v>0</v>
      </c>
      <c r="Q570">
        <f>IF(A570="","",IF(AND(K570&lt;&gt;"",M570&lt;&gt;""),IF(COUNTIFS($K$6:K570,K570,$M$6:M570,M570)=1,1,0),0))</f>
        <v>1</v>
      </c>
      <c r="R570">
        <f>IF(A570="","",IF(M570&lt;&gt;"",IF(COUNTIF($M$6:M570,M570)=1,1,0),0))</f>
        <v>1</v>
      </c>
      <c r="T570" t="str">
        <f>IF(AND($M570&lt;&gt;"",$M570='Mapa do Galpão'!$C$20),COUNTIF($M$6:$M570,'Mapa do Galpão'!$C$20),"")</f>
        <v/>
      </c>
    </row>
    <row r="571" spans="1:20" ht="14.25" hidden="1" customHeight="1" x14ac:dyDescent="0.3">
      <c r="A571" s="43" t="s">
        <v>1492</v>
      </c>
      <c r="B571" s="50" t="s">
        <v>1424</v>
      </c>
      <c r="C571" s="165" t="s">
        <v>481</v>
      </c>
      <c r="D571" s="45" t="str">
        <f t="shared" si="22"/>
        <v>Masculino</v>
      </c>
      <c r="E571" s="43" t="s">
        <v>684</v>
      </c>
      <c r="F571" s="43" t="s">
        <v>1231</v>
      </c>
      <c r="G571" s="43" t="s">
        <v>755</v>
      </c>
      <c r="H571" s="43" t="s">
        <v>680</v>
      </c>
      <c r="I571" s="46">
        <f>SUMIFS(Movimentações!$F$6:$F$4998,Movimentações!$C$6:$C$4998,A571,Movimentações!$M$6:$M$4998,M571)</f>
        <v>28</v>
      </c>
      <c r="J571" s="43" t="s">
        <v>670</v>
      </c>
      <c r="K571" s="43" t="s">
        <v>671</v>
      </c>
      <c r="L571" s="47" t="s">
        <v>1519</v>
      </c>
      <c r="M571" s="48" t="s">
        <v>1530</v>
      </c>
      <c r="N571" s="43" t="str">
        <f t="shared" si="23"/>
        <v>Rua A · Prat 14 · C-146</v>
      </c>
      <c r="P571">
        <f>IF(A571="","",IF(AND(K571&lt;&gt;"",L571&lt;&gt;""),IF(COUNTIFS($K$6:K571,K571,$L$6:L571,L571)=1,1,0),0))</f>
        <v>0</v>
      </c>
      <c r="Q571">
        <f>IF(A571="","",IF(AND(K571&lt;&gt;"",M571&lt;&gt;""),IF(COUNTIFS($K$6:K571,K571,$M$6:M571,M571)=1,1,0),0))</f>
        <v>0</v>
      </c>
      <c r="R571">
        <f>IF(A571="","",IF(M571&lt;&gt;"",IF(COUNTIF($M$6:M571,M571)=1,1,0),0))</f>
        <v>0</v>
      </c>
      <c r="T571" t="str">
        <f>IF(AND($M571&lt;&gt;"",$M571='Mapa do Galpão'!$C$20),COUNTIF($M$6:$M571,'Mapa do Galpão'!$C$20),"")</f>
        <v/>
      </c>
    </row>
    <row r="572" spans="1:20" ht="14.25" hidden="1" customHeight="1" x14ac:dyDescent="0.3">
      <c r="A572" s="43" t="s">
        <v>1496</v>
      </c>
      <c r="B572" s="50" t="s">
        <v>1424</v>
      </c>
      <c r="C572" s="165" t="s">
        <v>484</v>
      </c>
      <c r="D572" s="45" t="str">
        <f t="shared" si="22"/>
        <v>Masculino</v>
      </c>
      <c r="E572" s="43" t="s">
        <v>684</v>
      </c>
      <c r="F572" s="43" t="s">
        <v>1231</v>
      </c>
      <c r="G572" s="43" t="s">
        <v>755</v>
      </c>
      <c r="H572" s="43" t="s">
        <v>682</v>
      </c>
      <c r="I572" s="46">
        <f>SUMIFS(Movimentações!$F$6:$F$4998,Movimentações!$C$6:$C$4998,A572,Movimentações!$M$6:$M$4998,M572)</f>
        <v>9</v>
      </c>
      <c r="J572" s="43" t="s">
        <v>670</v>
      </c>
      <c r="K572" s="43" t="s">
        <v>671</v>
      </c>
      <c r="L572" s="47" t="s">
        <v>1519</v>
      </c>
      <c r="M572" s="48" t="s">
        <v>1530</v>
      </c>
      <c r="N572" s="43" t="str">
        <f t="shared" si="23"/>
        <v>Rua A · Prat 14 · C-146</v>
      </c>
      <c r="P572">
        <f>IF(A572="","",IF(AND(K572&lt;&gt;"",L572&lt;&gt;""),IF(COUNTIFS($K$6:K572,K572,$L$6:L572,L572)=1,1,0),0))</f>
        <v>0</v>
      </c>
      <c r="Q572">
        <f>IF(A572="","",IF(AND(K572&lt;&gt;"",M572&lt;&gt;""),IF(COUNTIFS($K$6:K572,K572,$M$6:M572,M572)=1,1,0),0))</f>
        <v>0</v>
      </c>
      <c r="R572">
        <f>IF(A572="","",IF(M572&lt;&gt;"",IF(COUNTIF($M$6:M572,M572)=1,1,0),0))</f>
        <v>0</v>
      </c>
      <c r="T572" t="str">
        <f>IF(AND($M572&lt;&gt;"",$M572='Mapa do Galpão'!$C$20),COUNTIF($M$6:$M572,'Mapa do Galpão'!$C$20),"")</f>
        <v/>
      </c>
    </row>
    <row r="573" spans="1:20" ht="14.25" hidden="1" customHeight="1" x14ac:dyDescent="0.3">
      <c r="A573" s="43" t="s">
        <v>1518</v>
      </c>
      <c r="B573" s="50" t="s">
        <v>1424</v>
      </c>
      <c r="C573" s="165" t="s">
        <v>377</v>
      </c>
      <c r="D573" s="45" t="str">
        <f t="shared" si="22"/>
        <v>Masculino</v>
      </c>
      <c r="E573" s="43" t="s">
        <v>684</v>
      </c>
      <c r="F573" s="43" t="s">
        <v>1231</v>
      </c>
      <c r="G573" s="43" t="s">
        <v>738</v>
      </c>
      <c r="H573" s="43" t="s">
        <v>680</v>
      </c>
      <c r="I573" s="46">
        <f>SUMIFS(Movimentações!$F$6:$F$4998,Movimentações!$C$6:$C$4998,A573,Movimentações!$M$6:$M$4998,M573)</f>
        <v>32</v>
      </c>
      <c r="J573" s="43" t="s">
        <v>670</v>
      </c>
      <c r="K573" s="43" t="s">
        <v>671</v>
      </c>
      <c r="L573" s="47" t="s">
        <v>1519</v>
      </c>
      <c r="M573" s="43" t="s">
        <v>1545</v>
      </c>
      <c r="N573" s="43" t="str">
        <f t="shared" si="23"/>
        <v>Rua A · Prat 14 · C-157</v>
      </c>
      <c r="P573">
        <f>IF(A573="","",IF(AND(K573&lt;&gt;"",L573&lt;&gt;""),IF(COUNTIFS($K$6:K573,K573,$L$6:L573,L573)=1,1,0),0))</f>
        <v>0</v>
      </c>
      <c r="Q573">
        <f>IF(A573="","",IF(AND(K573&lt;&gt;"",M573&lt;&gt;""),IF(COUNTIFS($K$6:K573,K573,$M$6:M573,M573)=1,1,0),0))</f>
        <v>1</v>
      </c>
      <c r="R573">
        <f>IF(A573="","",IF(M573&lt;&gt;"",IF(COUNTIF($M$6:M573,M573)=1,1,0),0))</f>
        <v>1</v>
      </c>
      <c r="T573" t="str">
        <f>IF(AND($M573&lt;&gt;"",$M573='Mapa do Galpão'!$C$20),COUNTIF($M$6:$M573,'Mapa do Galpão'!$C$20),"")</f>
        <v/>
      </c>
    </row>
    <row r="574" spans="1:20" ht="14.25" hidden="1" customHeight="1" x14ac:dyDescent="0.3">
      <c r="A574" s="48" t="s">
        <v>1546</v>
      </c>
      <c r="B574" s="50" t="s">
        <v>1424</v>
      </c>
      <c r="C574" s="166" t="s">
        <v>380</v>
      </c>
      <c r="D574" s="45" t="str">
        <f t="shared" si="22"/>
        <v>Masculino</v>
      </c>
      <c r="E574" s="43" t="s">
        <v>684</v>
      </c>
      <c r="F574" s="43" t="s">
        <v>1231</v>
      </c>
      <c r="G574" s="43" t="s">
        <v>738</v>
      </c>
      <c r="H574" s="43" t="s">
        <v>682</v>
      </c>
      <c r="I574" s="46">
        <f>SUMIFS(Movimentações!$F$6:$F$4998,Movimentações!$C$6:$C$4998,A574,Movimentações!$M$6:$M$4998,M574)</f>
        <v>6</v>
      </c>
      <c r="J574" s="43" t="s">
        <v>670</v>
      </c>
      <c r="K574" s="43" t="s">
        <v>671</v>
      </c>
      <c r="L574" s="47" t="s">
        <v>1519</v>
      </c>
      <c r="M574" s="43" t="s">
        <v>1545</v>
      </c>
      <c r="N574" s="43" t="str">
        <f t="shared" si="23"/>
        <v>Rua A · Prat 14 · C-157</v>
      </c>
      <c r="P574">
        <f>IF(A574="","",IF(AND(K574&lt;&gt;"",L574&lt;&gt;""),IF(COUNTIFS($K$6:K574,K574,$L$6:L574,L574)=1,1,0),0))</f>
        <v>0</v>
      </c>
      <c r="Q574">
        <f>IF(A574="","",IF(AND(K574&lt;&gt;"",M574&lt;&gt;""),IF(COUNTIFS($K$6:K574,K574,$M$6:M574,M574)=1,1,0),0))</f>
        <v>0</v>
      </c>
      <c r="R574">
        <f>IF(A574="","",IF(M574&lt;&gt;"",IF(COUNTIF($M$6:M574,M574)=1,1,0),0))</f>
        <v>0</v>
      </c>
      <c r="T574" t="str">
        <f>IF(AND($M574&lt;&gt;"",$M574='Mapa do Galpão'!$C$20),COUNTIF($M$6:$M574,'Mapa do Galpão'!$C$20),"")</f>
        <v/>
      </c>
    </row>
    <row r="575" spans="1:20" ht="14.25" hidden="1" customHeight="1" x14ac:dyDescent="0.3">
      <c r="A575" s="43" t="s">
        <v>1443</v>
      </c>
      <c r="B575" s="50" t="s">
        <v>1424</v>
      </c>
      <c r="C575" s="165" t="s">
        <v>291</v>
      </c>
      <c r="D575" s="45" t="str">
        <f t="shared" si="22"/>
        <v>Masculino</v>
      </c>
      <c r="E575" s="43" t="s">
        <v>666</v>
      </c>
      <c r="F575" s="43" t="s">
        <v>1444</v>
      </c>
      <c r="G575" s="43" t="s">
        <v>1445</v>
      </c>
      <c r="H575" s="43" t="s">
        <v>756</v>
      </c>
      <c r="I575" s="46">
        <f>SUMIFS(Movimentações!$F$6:$F$4998,Movimentações!$C$6:$C$4998,A575,Movimentações!$M$6:$M$4998,M575)</f>
        <v>10</v>
      </c>
      <c r="J575" s="43" t="s">
        <v>670</v>
      </c>
      <c r="K575" s="43" t="s">
        <v>671</v>
      </c>
      <c r="L575" s="47" t="s">
        <v>1519</v>
      </c>
      <c r="M575" s="43" t="s">
        <v>1547</v>
      </c>
      <c r="N575" s="43" t="str">
        <f t="shared" si="23"/>
        <v>Rua A · Prat 14 · C-159</v>
      </c>
      <c r="P575">
        <f>IF(A575="","",IF(AND(K575&lt;&gt;"",L575&lt;&gt;""),IF(COUNTIFS($K$6:K575,K575,$L$6:L575,L575)=1,1,0),0))</f>
        <v>0</v>
      </c>
      <c r="Q575">
        <f>IF(A575="","",IF(AND(K575&lt;&gt;"",M575&lt;&gt;""),IF(COUNTIFS($K$6:K575,K575,$M$6:M575,M575)=1,1,0),0))</f>
        <v>1</v>
      </c>
      <c r="R575">
        <f>IF(A575="","",IF(M575&lt;&gt;"",IF(COUNTIF($M$6:M575,M575)=1,1,0),0))</f>
        <v>1</v>
      </c>
      <c r="T575" t="str">
        <f>IF(AND($M575&lt;&gt;"",$M575='Mapa do Galpão'!$C$20),COUNTIF($M$6:$M575,'Mapa do Galpão'!$C$20),"")</f>
        <v/>
      </c>
    </row>
    <row r="576" spans="1:20" ht="14.25" hidden="1" customHeight="1" x14ac:dyDescent="0.3">
      <c r="A576" s="43" t="s">
        <v>1447</v>
      </c>
      <c r="B576" s="50" t="s">
        <v>1424</v>
      </c>
      <c r="C576" s="165" t="s">
        <v>293</v>
      </c>
      <c r="D576" s="45" t="str">
        <f t="shared" si="22"/>
        <v>Masculino</v>
      </c>
      <c r="E576" s="43" t="s">
        <v>666</v>
      </c>
      <c r="F576" s="43" t="s">
        <v>1444</v>
      </c>
      <c r="G576" s="43" t="s">
        <v>1445</v>
      </c>
      <c r="H576" s="43" t="s">
        <v>677</v>
      </c>
      <c r="I576" s="46">
        <f>SUMIFS(Movimentações!$F$6:$F$4998,Movimentações!$C$6:$C$4998,A576,Movimentações!$M$6:$M$4998,M576)</f>
        <v>3</v>
      </c>
      <c r="J576" s="43" t="s">
        <v>670</v>
      </c>
      <c r="K576" s="43" t="s">
        <v>671</v>
      </c>
      <c r="L576" s="47" t="s">
        <v>1519</v>
      </c>
      <c r="M576" s="43" t="s">
        <v>1547</v>
      </c>
      <c r="N576" s="43" t="str">
        <f t="shared" si="23"/>
        <v>Rua A · Prat 14 · C-159</v>
      </c>
      <c r="P576">
        <f>IF(A576="","",IF(AND(K576&lt;&gt;"",L576&lt;&gt;""),IF(COUNTIFS($K$6:K576,K576,$L$6:L576,L576)=1,1,0),0))</f>
        <v>0</v>
      </c>
      <c r="Q576">
        <f>IF(A576="","",IF(AND(K576&lt;&gt;"",M576&lt;&gt;""),IF(COUNTIFS($K$6:K576,K576,$M$6:M576,M576)=1,1,0),0))</f>
        <v>0</v>
      </c>
      <c r="R576">
        <f>IF(A576="","",IF(M576&lt;&gt;"",IF(COUNTIF($M$6:M576,M576)=1,1,0),0))</f>
        <v>0</v>
      </c>
      <c r="T576" t="str">
        <f>IF(AND($M576&lt;&gt;"",$M576='Mapa do Galpão'!$C$20),COUNTIF($M$6:$M576,'Mapa do Galpão'!$C$20),"")</f>
        <v/>
      </c>
    </row>
    <row r="577" spans="1:20" ht="14.25" hidden="1" customHeight="1" x14ac:dyDescent="0.3">
      <c r="A577" s="43" t="s">
        <v>1548</v>
      </c>
      <c r="B577" s="50" t="s">
        <v>1424</v>
      </c>
      <c r="C577" s="165" t="s">
        <v>294</v>
      </c>
      <c r="D577" s="45" t="str">
        <f t="shared" si="22"/>
        <v>Masculino</v>
      </c>
      <c r="E577" s="43" t="s">
        <v>666</v>
      </c>
      <c r="F577" s="43" t="s">
        <v>1444</v>
      </c>
      <c r="G577" s="43" t="s">
        <v>1445</v>
      </c>
      <c r="H577" s="43" t="s">
        <v>675</v>
      </c>
      <c r="I577" s="46">
        <f>SUMIFS(Movimentações!$F$6:$F$4998,Movimentações!$C$6:$C$4998,A577,Movimentações!$M$6:$M$4998,M577)</f>
        <v>50</v>
      </c>
      <c r="J577" s="43" t="s">
        <v>670</v>
      </c>
      <c r="K577" s="43" t="s">
        <v>671</v>
      </c>
      <c r="L577" s="47" t="s">
        <v>1519</v>
      </c>
      <c r="M577" s="43" t="s">
        <v>1549</v>
      </c>
      <c r="N577" s="43" t="str">
        <f t="shared" si="23"/>
        <v>Rua A · Prat 14 · C-160</v>
      </c>
      <c r="P577">
        <f>IF(A577="","",IF(AND(K577&lt;&gt;"",L577&lt;&gt;""),IF(COUNTIFS($K$6:K577,K577,$L$6:L577,L577)=1,1,0),0))</f>
        <v>0</v>
      </c>
      <c r="Q577">
        <f>IF(A577="","",IF(AND(K577&lt;&gt;"",M577&lt;&gt;""),IF(COUNTIFS($K$6:K577,K577,$M$6:M577,M577)=1,1,0),0))</f>
        <v>1</v>
      </c>
      <c r="R577">
        <f>IF(A577="","",IF(M577&lt;&gt;"",IF(COUNTIF($M$6:M577,M577)=1,1,0),0))</f>
        <v>1</v>
      </c>
      <c r="T577" t="str">
        <f>IF(AND($M577&lt;&gt;"",$M577='Mapa do Galpão'!$C$20),COUNTIF($M$6:$M577,'Mapa do Galpão'!$C$20),"")</f>
        <v/>
      </c>
    </row>
    <row r="578" spans="1:20" ht="14.25" hidden="1" customHeight="1" x14ac:dyDescent="0.3">
      <c r="A578" s="43" t="s">
        <v>1548</v>
      </c>
      <c r="B578" s="50" t="s">
        <v>1424</v>
      </c>
      <c r="C578" s="165" t="s">
        <v>294</v>
      </c>
      <c r="D578" s="45" t="str">
        <f t="shared" si="22"/>
        <v>Masculino</v>
      </c>
      <c r="E578" s="43" t="s">
        <v>666</v>
      </c>
      <c r="F578" s="43" t="s">
        <v>1444</v>
      </c>
      <c r="G578" s="43" t="s">
        <v>1445</v>
      </c>
      <c r="H578" s="43" t="s">
        <v>675</v>
      </c>
      <c r="I578" s="46">
        <f>SUMIFS(Movimentações!$F$6:$F$4998,Movimentações!$C$6:$C$4998,A578,Movimentações!$M$6:$M$4998,M578)</f>
        <v>36</v>
      </c>
      <c r="J578" s="43" t="s">
        <v>670</v>
      </c>
      <c r="K578" s="43" t="s">
        <v>671</v>
      </c>
      <c r="L578" s="47" t="s">
        <v>1519</v>
      </c>
      <c r="M578" s="43" t="s">
        <v>1550</v>
      </c>
      <c r="N578" s="43" t="str">
        <f t="shared" si="23"/>
        <v>Rua A · Prat 14 · C-161</v>
      </c>
      <c r="P578">
        <f>IF(A578="","",IF(AND(K578&lt;&gt;"",L578&lt;&gt;""),IF(COUNTIFS($K$6:K578,K578,$L$6:L578,L578)=1,1,0),0))</f>
        <v>0</v>
      </c>
      <c r="Q578">
        <f>IF(A578="","",IF(AND(K578&lt;&gt;"",M578&lt;&gt;""),IF(COUNTIFS($K$6:K578,K578,$M$6:M578,M578)=1,1,0),0))</f>
        <v>1</v>
      </c>
      <c r="R578">
        <f>IF(A578="","",IF(M578&lt;&gt;"",IF(COUNTIF($M$6:M578,M578)=1,1,0),0))</f>
        <v>1</v>
      </c>
      <c r="T578" t="str">
        <f>IF(AND($M578&lt;&gt;"",$M578='Mapa do Galpão'!$C$20),COUNTIF($M$6:$M578,'Mapa do Galpão'!$C$20),"")</f>
        <v/>
      </c>
    </row>
    <row r="579" spans="1:20" ht="14.25" hidden="1" customHeight="1" x14ac:dyDescent="0.3">
      <c r="A579" s="43" t="s">
        <v>1548</v>
      </c>
      <c r="B579" s="50" t="s">
        <v>1424</v>
      </c>
      <c r="C579" s="165" t="s">
        <v>294</v>
      </c>
      <c r="D579" s="45" t="str">
        <f t="shared" si="22"/>
        <v>Masculino</v>
      </c>
      <c r="E579" s="43" t="s">
        <v>666</v>
      </c>
      <c r="F579" s="43" t="s">
        <v>1444</v>
      </c>
      <c r="G579" s="43" t="s">
        <v>1445</v>
      </c>
      <c r="H579" s="43" t="s">
        <v>675</v>
      </c>
      <c r="I579" s="46">
        <f>SUMIFS(Movimentações!$F$6:$F$4998,Movimentações!$C$6:$C$4998,A579,Movimentações!$M$6:$M$4998,M579)</f>
        <v>17</v>
      </c>
      <c r="J579" s="43" t="s">
        <v>670</v>
      </c>
      <c r="K579" s="43" t="s">
        <v>671</v>
      </c>
      <c r="L579" s="47" t="s">
        <v>1519</v>
      </c>
      <c r="M579" s="43" t="s">
        <v>1551</v>
      </c>
      <c r="N579" s="43" t="str">
        <f t="shared" si="23"/>
        <v>Rua A · Prat 14 · C-162</v>
      </c>
      <c r="P579">
        <f>IF(A579="","",IF(AND(K579&lt;&gt;"",L579&lt;&gt;""),IF(COUNTIFS($K$6:K579,K579,$L$6:L579,L579)=1,1,0),0))</f>
        <v>0</v>
      </c>
      <c r="Q579">
        <f>IF(A579="","",IF(AND(K579&lt;&gt;"",M579&lt;&gt;""),IF(COUNTIFS($K$6:K579,K579,$M$6:M579,M579)=1,1,0),0))</f>
        <v>1</v>
      </c>
      <c r="R579">
        <f>IF(A579="","",IF(M579&lt;&gt;"",IF(COUNTIF($M$6:M579,M579)=1,1,0),0))</f>
        <v>1</v>
      </c>
      <c r="T579" t="str">
        <f>IF(AND($M579&lt;&gt;"",$M579='Mapa do Galpão'!$C$20),COUNTIF($M$6:$M579,'Mapa do Galpão'!$C$20),"")</f>
        <v/>
      </c>
    </row>
    <row r="580" spans="1:20" ht="14.25" hidden="1" customHeight="1" x14ac:dyDescent="0.3">
      <c r="A580" s="43" t="s">
        <v>1552</v>
      </c>
      <c r="B580" s="50" t="s">
        <v>1424</v>
      </c>
      <c r="C580" s="165" t="s">
        <v>292</v>
      </c>
      <c r="D580" s="45" t="str">
        <f t="shared" si="22"/>
        <v>Masculino</v>
      </c>
      <c r="E580" s="43" t="s">
        <v>666</v>
      </c>
      <c r="F580" s="43" t="s">
        <v>1444</v>
      </c>
      <c r="G580" s="43" t="s">
        <v>1445</v>
      </c>
      <c r="H580" s="43" t="s">
        <v>680</v>
      </c>
      <c r="I580" s="46">
        <f>SUMIFS(Movimentações!$F$6:$F$4998,Movimentações!$C$6:$C$4998,A580,Movimentações!$M$6:$M$4998,M580)</f>
        <v>40</v>
      </c>
      <c r="J580" s="43" t="s">
        <v>670</v>
      </c>
      <c r="K580" s="43" t="s">
        <v>671</v>
      </c>
      <c r="L580" s="47" t="s">
        <v>1519</v>
      </c>
      <c r="M580" s="43" t="s">
        <v>1551</v>
      </c>
      <c r="N580" s="43" t="str">
        <f t="shared" si="23"/>
        <v>Rua A · Prat 14 · C-162</v>
      </c>
      <c r="P580">
        <f>IF(A580="","",IF(AND(K580&lt;&gt;"",L580&lt;&gt;""),IF(COUNTIFS($K$6:K580,K580,$L$6:L580,L580)=1,1,0),0))</f>
        <v>0</v>
      </c>
      <c r="Q580">
        <f>IF(A580="","",IF(AND(K580&lt;&gt;"",M580&lt;&gt;""),IF(COUNTIFS($K$6:K580,K580,$M$6:M580,M580)=1,1,0),0))</f>
        <v>0</v>
      </c>
      <c r="R580">
        <f>IF(A580="","",IF(M580&lt;&gt;"",IF(COUNTIF($M$6:M580,M580)=1,1,0),0))</f>
        <v>0</v>
      </c>
      <c r="T580" t="str">
        <f>IF(AND($M580&lt;&gt;"",$M580='Mapa do Galpão'!$C$20),COUNTIF($M$6:$M580,'Mapa do Galpão'!$C$20),"")</f>
        <v/>
      </c>
    </row>
    <row r="581" spans="1:20" ht="14.25" hidden="1" customHeight="1" x14ac:dyDescent="0.3">
      <c r="A581" s="43" t="s">
        <v>1552</v>
      </c>
      <c r="B581" s="50" t="s">
        <v>1424</v>
      </c>
      <c r="C581" s="165" t="s">
        <v>292</v>
      </c>
      <c r="D581" s="45" t="str">
        <f t="shared" si="22"/>
        <v>Masculino</v>
      </c>
      <c r="E581" s="43" t="s">
        <v>666</v>
      </c>
      <c r="F581" s="43" t="s">
        <v>1444</v>
      </c>
      <c r="G581" s="43" t="s">
        <v>1445</v>
      </c>
      <c r="H581" s="43" t="s">
        <v>680</v>
      </c>
      <c r="I581" s="46">
        <f>SUMIFS(Movimentações!$F$6:$F$4998,Movimentações!$C$6:$C$4998,A581,Movimentações!$M$6:$M$4998,M581)</f>
        <v>36</v>
      </c>
      <c r="J581" s="43" t="s">
        <v>670</v>
      </c>
      <c r="K581" s="43" t="s">
        <v>671</v>
      </c>
      <c r="L581" s="47" t="s">
        <v>1437</v>
      </c>
      <c r="M581" s="43" t="s">
        <v>1553</v>
      </c>
      <c r="N581" s="43" t="str">
        <f t="shared" si="23"/>
        <v>Rua A · Prat 15 · C-163</v>
      </c>
      <c r="P581">
        <f>IF(A581="","",IF(AND(K581&lt;&gt;"",L581&lt;&gt;""),IF(COUNTIFS($K$6:K581,K581,$L$6:L581,L581)=1,1,0),0))</f>
        <v>0</v>
      </c>
      <c r="Q581">
        <f>IF(A581="","",IF(AND(K581&lt;&gt;"",M581&lt;&gt;""),IF(COUNTIFS($K$6:K581,K581,$M$6:M581,M581)=1,1,0),0))</f>
        <v>1</v>
      </c>
      <c r="R581">
        <f>IF(A581="","",IF(M581&lt;&gt;"",IF(COUNTIF($M$6:M581,M581)=1,1,0),0))</f>
        <v>1</v>
      </c>
      <c r="T581" t="str">
        <f>IF(AND($M581&lt;&gt;"",$M581='Mapa do Galpão'!$C$20),COUNTIF($M$6:$M581,'Mapa do Galpão'!$C$20),"")</f>
        <v/>
      </c>
    </row>
    <row r="582" spans="1:20" ht="14.25" hidden="1" customHeight="1" x14ac:dyDescent="0.3">
      <c r="A582" s="43" t="s">
        <v>1554</v>
      </c>
      <c r="B582" s="50" t="s">
        <v>1424</v>
      </c>
      <c r="C582" s="165" t="s">
        <v>491</v>
      </c>
      <c r="D582" s="45" t="str">
        <f t="shared" si="22"/>
        <v>Masculino</v>
      </c>
      <c r="E582" s="43" t="s">
        <v>666</v>
      </c>
      <c r="F582" s="43" t="s">
        <v>1457</v>
      </c>
      <c r="G582" s="43" t="s">
        <v>798</v>
      </c>
      <c r="H582" s="43" t="s">
        <v>680</v>
      </c>
      <c r="I582" s="46">
        <f>SUMIFS(Movimentações!$F$6:$F$4998,Movimentações!$C$6:$C$4998,A582,Movimentações!$M$6:$M$4998,M582)</f>
        <v>54</v>
      </c>
      <c r="J582" s="43" t="s">
        <v>670</v>
      </c>
      <c r="K582" s="43" t="s">
        <v>671</v>
      </c>
      <c r="L582" s="47" t="s">
        <v>1519</v>
      </c>
      <c r="M582" s="43" t="s">
        <v>1555</v>
      </c>
      <c r="N582" s="43" t="str">
        <f t="shared" si="23"/>
        <v>Rua A · Prat 14 · C-164</v>
      </c>
      <c r="P582">
        <f>IF(A582="","",IF(AND(K582&lt;&gt;"",L582&lt;&gt;""),IF(COUNTIFS($K$6:K582,K582,$L$6:L582,L582)=1,1,0),0))</f>
        <v>0</v>
      </c>
      <c r="Q582">
        <f>IF(A582="","",IF(AND(K582&lt;&gt;"",M582&lt;&gt;""),IF(COUNTIFS($K$6:K582,K582,$M$6:M582,M582)=1,1,0),0))</f>
        <v>1</v>
      </c>
      <c r="R582">
        <f>IF(A582="","",IF(M582&lt;&gt;"",IF(COUNTIF($M$6:M582,M582)=1,1,0),0))</f>
        <v>1</v>
      </c>
      <c r="T582" t="str">
        <f>IF(AND($M582&lt;&gt;"",$M582='Mapa do Galpão'!$C$20),COUNTIF($M$6:$M582,'Mapa do Galpão'!$C$20),"")</f>
        <v/>
      </c>
    </row>
    <row r="583" spans="1:20" ht="14.25" hidden="1" customHeight="1" x14ac:dyDescent="0.3">
      <c r="A583" s="43" t="s">
        <v>1556</v>
      </c>
      <c r="B583" s="50" t="s">
        <v>1424</v>
      </c>
      <c r="C583" s="165" t="s">
        <v>499</v>
      </c>
      <c r="D583" s="45" t="str">
        <f t="shared" si="22"/>
        <v>Masculino</v>
      </c>
      <c r="E583" s="43" t="s">
        <v>666</v>
      </c>
      <c r="F583" s="43" t="s">
        <v>1457</v>
      </c>
      <c r="G583" s="43" t="s">
        <v>798</v>
      </c>
      <c r="H583" s="43" t="s">
        <v>682</v>
      </c>
      <c r="I583" s="46">
        <f>SUMIFS(Movimentações!$F$6:$F$4998,Movimentações!$C$6:$C$4998,A583,Movimentações!$M$6:$M$4998,M583)</f>
        <v>1</v>
      </c>
      <c r="J583" s="43" t="s">
        <v>670</v>
      </c>
      <c r="K583" s="43" t="s">
        <v>671</v>
      </c>
      <c r="L583" s="47" t="s">
        <v>1519</v>
      </c>
      <c r="M583" s="43" t="s">
        <v>1555</v>
      </c>
      <c r="N583" s="43" t="str">
        <f t="shared" si="23"/>
        <v>Rua A · Prat 14 · C-164</v>
      </c>
      <c r="P583">
        <f>IF(A583="","",IF(AND(K583&lt;&gt;"",L583&lt;&gt;""),IF(COUNTIFS($K$6:K583,K583,$L$6:L583,L583)=1,1,0),0))</f>
        <v>0</v>
      </c>
      <c r="Q583">
        <f>IF(A583="","",IF(AND(K583&lt;&gt;"",M583&lt;&gt;""),IF(COUNTIFS($K$6:K583,K583,$M$6:M583,M583)=1,1,0),0))</f>
        <v>0</v>
      </c>
      <c r="R583">
        <f>IF(A583="","",IF(M583&lt;&gt;"",IF(COUNTIF($M$6:M583,M583)=1,1,0),0))</f>
        <v>0</v>
      </c>
      <c r="T583" t="str">
        <f>IF(AND($M583&lt;&gt;"",$M583='Mapa do Galpão'!$C$20),COUNTIF($M$6:$M583,'Mapa do Galpão'!$C$20),"")</f>
        <v/>
      </c>
    </row>
    <row r="584" spans="1:20" ht="14.25" hidden="1" customHeight="1" x14ac:dyDescent="0.3">
      <c r="A584" s="43" t="s">
        <v>1557</v>
      </c>
      <c r="B584" s="50" t="s">
        <v>1424</v>
      </c>
      <c r="C584" s="165" t="s">
        <v>500</v>
      </c>
      <c r="D584" s="45" t="str">
        <f t="shared" si="22"/>
        <v>Masculino</v>
      </c>
      <c r="E584" s="43" t="s">
        <v>666</v>
      </c>
      <c r="F584" s="43" t="s">
        <v>1457</v>
      </c>
      <c r="G584" s="43" t="s">
        <v>798</v>
      </c>
      <c r="H584" s="43" t="s">
        <v>677</v>
      </c>
      <c r="I584" s="46">
        <f>SUMIFS(Movimentações!$F$6:$F$4998,Movimentações!$C$6:$C$4998,A584,Movimentações!$M$6:$M$4998,M584)</f>
        <v>0</v>
      </c>
      <c r="J584" s="43" t="s">
        <v>670</v>
      </c>
      <c r="K584" s="43" t="s">
        <v>671</v>
      </c>
      <c r="L584" s="47" t="s">
        <v>1519</v>
      </c>
      <c r="M584" s="43" t="s">
        <v>1555</v>
      </c>
      <c r="N584" s="43" t="str">
        <f t="shared" si="23"/>
        <v>Rua A · Prat 14 · C-164</v>
      </c>
      <c r="P584">
        <f>IF(A584="","",IF(AND(K584&lt;&gt;"",L584&lt;&gt;""),IF(COUNTIFS($K$6:K584,K584,$L$6:L584,L584)=1,1,0),0))</f>
        <v>0</v>
      </c>
      <c r="Q584">
        <f>IF(A584="","",IF(AND(K584&lt;&gt;"",M584&lt;&gt;""),IF(COUNTIFS($K$6:K584,K584,$M$6:M584,M584)=1,1,0),0))</f>
        <v>0</v>
      </c>
      <c r="R584">
        <f>IF(A584="","",IF(M584&lt;&gt;"",IF(COUNTIF($M$6:M584,M584)=1,1,0),0))</f>
        <v>0</v>
      </c>
      <c r="T584" t="str">
        <f>IF(AND($M584&lt;&gt;"",$M584='Mapa do Galpão'!$C$20),COUNTIF($M$6:$M584,'Mapa do Galpão'!$C$20),"")</f>
        <v/>
      </c>
    </row>
    <row r="585" spans="1:20" ht="14.25" hidden="1" customHeight="1" x14ac:dyDescent="0.3">
      <c r="A585" s="43" t="s">
        <v>1558</v>
      </c>
      <c r="B585" s="50" t="s">
        <v>1424</v>
      </c>
      <c r="C585" s="165" t="s">
        <v>289</v>
      </c>
      <c r="D585" s="45" t="str">
        <f t="shared" si="22"/>
        <v>Feminino</v>
      </c>
      <c r="E585" s="43" t="s">
        <v>666</v>
      </c>
      <c r="F585" s="43" t="s">
        <v>1012</v>
      </c>
      <c r="G585" s="43" t="s">
        <v>798</v>
      </c>
      <c r="H585" s="43" t="s">
        <v>669</v>
      </c>
      <c r="I585" s="46">
        <f>SUMIFS(Movimentações!$F$6:$F$4998,Movimentações!$C$6:$C$4998,A585,Movimentações!$M$6:$M$4998,M585)</f>
        <v>1</v>
      </c>
      <c r="J585" s="43" t="s">
        <v>670</v>
      </c>
      <c r="K585" s="43" t="s">
        <v>671</v>
      </c>
      <c r="L585" s="47" t="s">
        <v>1519</v>
      </c>
      <c r="M585" s="43" t="s">
        <v>1559</v>
      </c>
      <c r="N585" s="43" t="str">
        <f t="shared" si="23"/>
        <v>Rua A · Prat 14 · C-165</v>
      </c>
      <c r="P585">
        <f>IF(A585="","",IF(AND(K585&lt;&gt;"",L585&lt;&gt;""),IF(COUNTIFS($K$6:K585,K585,$L$6:L585,L585)=1,1,0),0))</f>
        <v>0</v>
      </c>
      <c r="Q585">
        <f>IF(A585="","",IF(AND(K585&lt;&gt;"",M585&lt;&gt;""),IF(COUNTIFS($K$6:K585,K585,$M$6:M585,M585)=1,1,0),0))</f>
        <v>1</v>
      </c>
      <c r="R585">
        <f>IF(A585="","",IF(M585&lt;&gt;"",IF(COUNTIF($M$6:M585,M585)=1,1,0),0))</f>
        <v>1</v>
      </c>
      <c r="T585" t="str">
        <f>IF(AND($M585&lt;&gt;"",$M585='Mapa do Galpão'!$C$20),COUNTIF($M$6:$M585,'Mapa do Galpão'!$C$20),"")</f>
        <v/>
      </c>
    </row>
    <row r="586" spans="1:20" ht="14.25" hidden="1" customHeight="1" x14ac:dyDescent="0.3">
      <c r="A586" s="43" t="s">
        <v>1560</v>
      </c>
      <c r="B586" s="50" t="s">
        <v>1424</v>
      </c>
      <c r="C586" s="166" t="s">
        <v>290</v>
      </c>
      <c r="D586" s="45" t="str">
        <f t="shared" si="22"/>
        <v>Feminino</v>
      </c>
      <c r="E586" s="43" t="s">
        <v>666</v>
      </c>
      <c r="F586" s="43" t="s">
        <v>1012</v>
      </c>
      <c r="G586" s="43" t="s">
        <v>798</v>
      </c>
      <c r="H586" s="48" t="s">
        <v>677</v>
      </c>
      <c r="I586" s="46">
        <f>SUMIFS(Movimentações!$F$6:$F$4998,Movimentações!$C$6:$C$4998,A586,Movimentações!$M$6:$M$4998,M586)</f>
        <v>13</v>
      </c>
      <c r="J586" s="43" t="s">
        <v>670</v>
      </c>
      <c r="K586" s="43" t="s">
        <v>671</v>
      </c>
      <c r="L586" s="47" t="s">
        <v>1519</v>
      </c>
      <c r="M586" s="43" t="s">
        <v>1559</v>
      </c>
      <c r="N586" s="43" t="str">
        <f t="shared" si="23"/>
        <v>Rua A · Prat 14 · C-165</v>
      </c>
      <c r="P586">
        <f>IF(A586="","",IF(AND(K586&lt;&gt;"",L586&lt;&gt;""),IF(COUNTIFS($K$6:K586,K586,$L$6:L586,L586)=1,1,0),0))</f>
        <v>0</v>
      </c>
      <c r="Q586">
        <f>IF(A586="","",IF(AND(K586&lt;&gt;"",M586&lt;&gt;""),IF(COUNTIFS($K$6:K586,K586,$M$6:M586,M586)=1,1,0),0))</f>
        <v>0</v>
      </c>
      <c r="R586">
        <f>IF(A586="","",IF(M586&lt;&gt;"",IF(COUNTIF($M$6:M586,M586)=1,1,0),0))</f>
        <v>0</v>
      </c>
      <c r="T586" t="str">
        <f>IF(AND($M586&lt;&gt;"",$M586='Mapa do Galpão'!$C$20),COUNTIF($M$6:$M586,'Mapa do Galpão'!$C$20),"")</f>
        <v/>
      </c>
    </row>
    <row r="587" spans="1:20" ht="14.25" hidden="1" customHeight="1" x14ac:dyDescent="0.3">
      <c r="A587" s="43" t="s">
        <v>1525</v>
      </c>
      <c r="B587" s="50" t="s">
        <v>1424</v>
      </c>
      <c r="C587" s="165" t="s">
        <v>493</v>
      </c>
      <c r="D587" s="45" t="str">
        <f t="shared" si="22"/>
        <v>Feminino</v>
      </c>
      <c r="E587" s="43" t="s">
        <v>666</v>
      </c>
      <c r="F587" s="43" t="s">
        <v>1012</v>
      </c>
      <c r="G587" s="43" t="s">
        <v>798</v>
      </c>
      <c r="H587" s="43" t="s">
        <v>756</v>
      </c>
      <c r="I587" s="46">
        <f>SUMIFS(Movimentações!$F$6:$F$4998,Movimentações!$C$6:$C$4998,A587,Movimentações!$M$6:$M$4998,M587)</f>
        <v>15</v>
      </c>
      <c r="J587" s="43" t="s">
        <v>670</v>
      </c>
      <c r="K587" s="43" t="s">
        <v>671</v>
      </c>
      <c r="L587" s="47" t="s">
        <v>1519</v>
      </c>
      <c r="M587" s="43" t="s">
        <v>1561</v>
      </c>
      <c r="N587" s="43" t="str">
        <f t="shared" si="23"/>
        <v>Rua A · Prat 14 · C-166</v>
      </c>
      <c r="P587">
        <f>IF(A587="","",IF(AND(K587&lt;&gt;"",L587&lt;&gt;""),IF(COUNTIFS($K$6:K587,K587,$L$6:L587,L587)=1,1,0),0))</f>
        <v>0</v>
      </c>
      <c r="Q587">
        <f>IF(A587="","",IF(AND(K587&lt;&gt;"",M587&lt;&gt;""),IF(COUNTIFS($K$6:K587,K587,$M$6:M587,M587)=1,1,0),0))</f>
        <v>1</v>
      </c>
      <c r="R587">
        <f>IF(A587="","",IF(M587&lt;&gt;"",IF(COUNTIF($M$6:M587,M587)=1,1,0),0))</f>
        <v>1</v>
      </c>
      <c r="T587" t="str">
        <f>IF(AND($M587&lt;&gt;"",$M587='Mapa do Galpão'!$C$20),COUNTIF($M$6:$M587,'Mapa do Galpão'!$C$20),"")</f>
        <v/>
      </c>
    </row>
    <row r="588" spans="1:20" ht="14.25" hidden="1" customHeight="1" x14ac:dyDescent="0.3">
      <c r="A588" s="43" t="s">
        <v>1526</v>
      </c>
      <c r="B588" s="50" t="s">
        <v>1424</v>
      </c>
      <c r="C588" s="165" t="s">
        <v>494</v>
      </c>
      <c r="D588" s="45" t="str">
        <f t="shared" si="22"/>
        <v>Feminino</v>
      </c>
      <c r="E588" s="43" t="s">
        <v>666</v>
      </c>
      <c r="F588" s="43" t="s">
        <v>1012</v>
      </c>
      <c r="G588" s="43" t="s">
        <v>798</v>
      </c>
      <c r="H588" s="43" t="s">
        <v>680</v>
      </c>
      <c r="I588" s="46">
        <f>SUMIFS(Movimentações!$F$6:$F$4998,Movimentações!$C$6:$C$4998,A588,Movimentações!$M$6:$M$4998,M588)</f>
        <v>35</v>
      </c>
      <c r="J588" s="43" t="s">
        <v>670</v>
      </c>
      <c r="K588" s="43" t="s">
        <v>671</v>
      </c>
      <c r="L588" s="47" t="s">
        <v>1519</v>
      </c>
      <c r="M588" s="43" t="s">
        <v>1561</v>
      </c>
      <c r="N588" s="43" t="str">
        <f t="shared" si="23"/>
        <v>Rua A · Prat 14 · C-166</v>
      </c>
      <c r="P588">
        <f>IF(A588="","",IF(AND(K588&lt;&gt;"",L588&lt;&gt;""),IF(COUNTIFS($K$6:K588,K588,$L$6:L588,L588)=1,1,0),0))</f>
        <v>0</v>
      </c>
      <c r="Q588">
        <f>IF(A588="","",IF(AND(K588&lt;&gt;"",M588&lt;&gt;""),IF(COUNTIFS($K$6:K588,K588,$M$6:M588,M588)=1,1,0),0))</f>
        <v>0</v>
      </c>
      <c r="R588">
        <f>IF(A588="","",IF(M588&lt;&gt;"",IF(COUNTIF($M$6:M588,M588)=1,1,0),0))</f>
        <v>0</v>
      </c>
      <c r="T588" t="str">
        <f>IF(AND($M588&lt;&gt;"",$M588='Mapa do Galpão'!$C$20),COUNTIF($M$6:$M588,'Mapa do Galpão'!$C$20),"")</f>
        <v/>
      </c>
    </row>
    <row r="589" spans="1:20" ht="14.25" hidden="1" customHeight="1" x14ac:dyDescent="0.3">
      <c r="A589" s="43" t="s">
        <v>1525</v>
      </c>
      <c r="B589" s="50" t="s">
        <v>1424</v>
      </c>
      <c r="C589" s="165" t="s">
        <v>493</v>
      </c>
      <c r="D589" s="45" t="str">
        <f t="shared" si="22"/>
        <v>Feminino</v>
      </c>
      <c r="E589" s="43" t="s">
        <v>666</v>
      </c>
      <c r="F589" s="43" t="s">
        <v>1012</v>
      </c>
      <c r="G589" s="43" t="s">
        <v>798</v>
      </c>
      <c r="H589" s="43" t="s">
        <v>756</v>
      </c>
      <c r="I589" s="46">
        <f>SUMIFS(Movimentações!$F$6:$F$4998,Movimentações!$C$6:$C$4998,A589,Movimentações!$M$6:$M$4998,M589)</f>
        <v>21</v>
      </c>
      <c r="J589" s="43" t="s">
        <v>670</v>
      </c>
      <c r="K589" s="43" t="s">
        <v>671</v>
      </c>
      <c r="L589" s="47" t="s">
        <v>1519</v>
      </c>
      <c r="M589" s="43" t="s">
        <v>1562</v>
      </c>
      <c r="N589" s="43" t="str">
        <f t="shared" si="23"/>
        <v>Rua A · Prat 14 · C-167</v>
      </c>
      <c r="P589">
        <f>IF(A589="","",IF(AND(K589&lt;&gt;"",L589&lt;&gt;""),IF(COUNTIFS($K$6:K589,K589,$L$6:L589,L589)=1,1,0),0))</f>
        <v>0</v>
      </c>
      <c r="Q589">
        <f>IF(A589="","",IF(AND(K589&lt;&gt;"",M589&lt;&gt;""),IF(COUNTIFS($K$6:K589,K589,$M$6:M589,M589)=1,1,0),0))</f>
        <v>1</v>
      </c>
      <c r="R589">
        <f>IF(A589="","",IF(M589&lt;&gt;"",IF(COUNTIF($M$6:M589,M589)=1,1,0),0))</f>
        <v>1</v>
      </c>
      <c r="T589" t="str">
        <f>IF(AND($M589&lt;&gt;"",$M589='Mapa do Galpão'!$C$20),COUNTIF($M$6:$M589,'Mapa do Galpão'!$C$20),"")</f>
        <v/>
      </c>
    </row>
    <row r="590" spans="1:20" ht="14.25" hidden="1" customHeight="1" x14ac:dyDescent="0.3">
      <c r="A590" s="43" t="s">
        <v>1563</v>
      </c>
      <c r="B590" s="50" t="s">
        <v>1424</v>
      </c>
      <c r="C590" s="165" t="s">
        <v>378</v>
      </c>
      <c r="D590" s="45" t="str">
        <f t="shared" si="22"/>
        <v>Masculino</v>
      </c>
      <c r="E590" s="43" t="s">
        <v>684</v>
      </c>
      <c r="F590" s="43" t="s">
        <v>1564</v>
      </c>
      <c r="G590" s="43" t="s">
        <v>738</v>
      </c>
      <c r="H590" s="43" t="s">
        <v>675</v>
      </c>
      <c r="I590" s="46">
        <f>SUMIFS(Movimentações!$F$6:$F$4998,Movimentações!$C$6:$C$4998,A590,Movimentações!$M$6:$M$4998,M590)</f>
        <v>34</v>
      </c>
      <c r="J590" s="43" t="s">
        <v>670</v>
      </c>
      <c r="K590" s="43" t="s">
        <v>671</v>
      </c>
      <c r="L590" s="47" t="s">
        <v>1437</v>
      </c>
      <c r="M590" s="43" t="s">
        <v>1565</v>
      </c>
      <c r="N590" s="43" t="str">
        <f t="shared" si="23"/>
        <v>Rua A · Prat 15 · C-168</v>
      </c>
      <c r="P590">
        <f>IF(A590="","",IF(AND(K590&lt;&gt;"",L590&lt;&gt;""),IF(COUNTIFS($K$6:K590,K590,$L$6:L590,L590)=1,1,0),0))</f>
        <v>0</v>
      </c>
      <c r="Q590">
        <f>IF(A590="","",IF(AND(K590&lt;&gt;"",M590&lt;&gt;""),IF(COUNTIFS($K$6:K590,K590,$M$6:M590,M590)=1,1,0),0))</f>
        <v>1</v>
      </c>
      <c r="R590">
        <f>IF(A590="","",IF(M590&lt;&gt;"",IF(COUNTIF($M$6:M590,M590)=1,1,0),0))</f>
        <v>1</v>
      </c>
      <c r="T590" t="str">
        <f>IF(AND($M590&lt;&gt;"",$M590='Mapa do Galpão'!$C$20),COUNTIF($M$6:$M590,'Mapa do Galpão'!$C$20),"")</f>
        <v/>
      </c>
    </row>
    <row r="591" spans="1:20" ht="14.25" hidden="1" customHeight="1" x14ac:dyDescent="0.3">
      <c r="A591" s="43" t="s">
        <v>1566</v>
      </c>
      <c r="B591" s="50" t="s">
        <v>1424</v>
      </c>
      <c r="C591" s="165" t="s">
        <v>379</v>
      </c>
      <c r="D591" s="45" t="str">
        <f t="shared" si="22"/>
        <v>Masculino</v>
      </c>
      <c r="E591" s="43" t="s">
        <v>684</v>
      </c>
      <c r="F591" s="43" t="s">
        <v>1564</v>
      </c>
      <c r="G591" s="43" t="s">
        <v>738</v>
      </c>
      <c r="H591" s="43" t="s">
        <v>669</v>
      </c>
      <c r="I591" s="46">
        <f>SUMIFS(Movimentações!$F$6:$F$4998,Movimentações!$C$6:$C$4998,A591,Movimentações!$M$6:$M$4998,M591)</f>
        <v>22</v>
      </c>
      <c r="J591" s="43" t="s">
        <v>670</v>
      </c>
      <c r="K591" s="43" t="s">
        <v>671</v>
      </c>
      <c r="L591" s="47" t="s">
        <v>1437</v>
      </c>
      <c r="M591" s="43" t="s">
        <v>1565</v>
      </c>
      <c r="N591" s="43" t="str">
        <f t="shared" si="23"/>
        <v>Rua A · Prat 15 · C-168</v>
      </c>
      <c r="P591">
        <f>IF(A591="","",IF(AND(K591&lt;&gt;"",L591&lt;&gt;""),IF(COUNTIFS($K$6:K591,K591,$L$6:L591,L591)=1,1,0),0))</f>
        <v>0</v>
      </c>
      <c r="Q591">
        <f>IF(A591="","",IF(AND(K591&lt;&gt;"",M591&lt;&gt;""),IF(COUNTIFS($K$6:K591,K591,$M$6:M591,M591)=1,1,0),0))</f>
        <v>0</v>
      </c>
      <c r="R591">
        <f>IF(A591="","",IF(M591&lt;&gt;"",IF(COUNTIF($M$6:M591,M591)=1,1,0),0))</f>
        <v>0</v>
      </c>
      <c r="T591" t="str">
        <f>IF(AND($M591&lt;&gt;"",$M591='Mapa do Galpão'!$C$20),COUNTIF($M$6:$M591,'Mapa do Galpão'!$C$20),"")</f>
        <v/>
      </c>
    </row>
    <row r="592" spans="1:20" ht="14.25" hidden="1" customHeight="1" x14ac:dyDescent="0.3">
      <c r="A592" s="43" t="s">
        <v>1567</v>
      </c>
      <c r="B592" s="50" t="s">
        <v>1424</v>
      </c>
      <c r="C592" s="165" t="s">
        <v>501</v>
      </c>
      <c r="D592" s="45" t="str">
        <f t="shared" si="22"/>
        <v>Masculino</v>
      </c>
      <c r="E592" s="43" t="s">
        <v>666</v>
      </c>
      <c r="F592" s="43" t="s">
        <v>1568</v>
      </c>
      <c r="G592" s="43" t="s">
        <v>668</v>
      </c>
      <c r="H592" s="43" t="s">
        <v>675</v>
      </c>
      <c r="I592" s="46">
        <f>SUMIFS(Movimentações!$F$6:$F$4998,Movimentações!$C$6:$C$4998,A592,Movimentações!$M$6:$M$4998,M592)</f>
        <v>33</v>
      </c>
      <c r="J592" s="43" t="s">
        <v>670</v>
      </c>
      <c r="K592" s="43" t="s">
        <v>671</v>
      </c>
      <c r="L592" s="47" t="s">
        <v>1519</v>
      </c>
      <c r="M592" s="43" t="s">
        <v>1569</v>
      </c>
      <c r="N592" s="43" t="str">
        <f t="shared" si="23"/>
        <v>Rua A · Prat 14 · C-169</v>
      </c>
      <c r="P592">
        <f>IF(A592="","",IF(AND(K592&lt;&gt;"",L592&lt;&gt;""),IF(COUNTIFS($K$6:K592,K592,$L$6:L592,L592)=1,1,0),0))</f>
        <v>0</v>
      </c>
      <c r="Q592">
        <f>IF(A592="","",IF(AND(K592&lt;&gt;"",M592&lt;&gt;""),IF(COUNTIFS($K$6:K592,K592,$M$6:M592,M592)=1,1,0),0))</f>
        <v>1</v>
      </c>
      <c r="R592">
        <f>IF(A592="","",IF(M592&lt;&gt;"",IF(COUNTIF($M$6:M592,M592)=1,1,0),0))</f>
        <v>1</v>
      </c>
      <c r="T592" t="str">
        <f>IF(AND($M592&lt;&gt;"",$M592='Mapa do Galpão'!$C$20),COUNTIF($M$6:$M592,'Mapa do Galpão'!$C$20),"")</f>
        <v/>
      </c>
    </row>
    <row r="593" spans="1:20" ht="14.25" hidden="1" customHeight="1" x14ac:dyDescent="0.3">
      <c r="A593" s="43" t="s">
        <v>1570</v>
      </c>
      <c r="B593" s="50" t="s">
        <v>1424</v>
      </c>
      <c r="C593" s="165" t="s">
        <v>502</v>
      </c>
      <c r="D593" s="45" t="str">
        <f t="shared" si="22"/>
        <v>Masculino</v>
      </c>
      <c r="E593" s="43" t="s">
        <v>666</v>
      </c>
      <c r="F593" s="43" t="s">
        <v>1568</v>
      </c>
      <c r="G593" s="43" t="s">
        <v>668</v>
      </c>
      <c r="H593" s="43" t="s">
        <v>756</v>
      </c>
      <c r="I593" s="46">
        <f>SUMIFS(Movimentações!$F$6:$F$4998,Movimentações!$C$6:$C$4998,A593,Movimentações!$M$6:$M$4998,M593)</f>
        <v>24</v>
      </c>
      <c r="J593" s="43" t="s">
        <v>670</v>
      </c>
      <c r="K593" s="43" t="s">
        <v>671</v>
      </c>
      <c r="L593" s="47" t="s">
        <v>1437</v>
      </c>
      <c r="M593" s="43" t="s">
        <v>1571</v>
      </c>
      <c r="N593" s="43" t="str">
        <f t="shared" si="23"/>
        <v>Rua A · Prat 15 · C-170</v>
      </c>
      <c r="P593">
        <f>IF(A593="","",IF(AND(K593&lt;&gt;"",L593&lt;&gt;""),IF(COUNTIFS($K$6:K593,K593,$L$6:L593,L593)=1,1,0),0))</f>
        <v>0</v>
      </c>
      <c r="Q593">
        <f>IF(A593="","",IF(AND(K593&lt;&gt;"",M593&lt;&gt;""),IF(COUNTIFS($K$6:K593,K593,$M$6:M593,M593)=1,1,0),0))</f>
        <v>1</v>
      </c>
      <c r="R593">
        <f>IF(A593="","",IF(M593&lt;&gt;"",IF(COUNTIF($M$6:M593,M593)=1,1,0),0))</f>
        <v>1</v>
      </c>
      <c r="T593" t="str">
        <f>IF(AND($M593&lt;&gt;"",$M593='Mapa do Galpão'!$C$20),COUNTIF($M$6:$M593,'Mapa do Galpão'!$C$20),"")</f>
        <v/>
      </c>
    </row>
    <row r="594" spans="1:20" ht="14.25" hidden="1" customHeight="1" x14ac:dyDescent="0.3">
      <c r="A594" s="43" t="s">
        <v>1572</v>
      </c>
      <c r="B594" s="50" t="s">
        <v>1424</v>
      </c>
      <c r="C594" s="165" t="s">
        <v>503</v>
      </c>
      <c r="D594" s="45" t="str">
        <f t="shared" si="22"/>
        <v>Masculino</v>
      </c>
      <c r="E594" s="43" t="s">
        <v>666</v>
      </c>
      <c r="F594" s="43" t="s">
        <v>1568</v>
      </c>
      <c r="G594" s="43" t="s">
        <v>668</v>
      </c>
      <c r="H594" s="43" t="s">
        <v>680</v>
      </c>
      <c r="I594" s="46">
        <f>SUMIFS(Movimentações!$F$6:$F$4998,Movimentações!$C$6:$C$4998,A594,Movimentações!$M$6:$M$4998,M594)</f>
        <v>20</v>
      </c>
      <c r="J594" s="43" t="s">
        <v>670</v>
      </c>
      <c r="K594" s="43" t="s">
        <v>671</v>
      </c>
      <c r="L594" s="47" t="s">
        <v>1437</v>
      </c>
      <c r="M594" s="43" t="s">
        <v>1571</v>
      </c>
      <c r="N594" s="43" t="str">
        <f t="shared" si="23"/>
        <v>Rua A · Prat 15 · C-170</v>
      </c>
      <c r="P594">
        <f>IF(A594="","",IF(AND(K594&lt;&gt;"",L594&lt;&gt;""),IF(COUNTIFS($K$6:K594,K594,$L$6:L594,L594)=1,1,0),0))</f>
        <v>0</v>
      </c>
      <c r="Q594">
        <f>IF(A594="","",IF(AND(K594&lt;&gt;"",M594&lt;&gt;""),IF(COUNTIFS($K$6:K594,K594,$M$6:M594,M594)=1,1,0),0))</f>
        <v>0</v>
      </c>
      <c r="R594">
        <f>IF(A594="","",IF(M594&lt;&gt;"",IF(COUNTIF($M$6:M594,M594)=1,1,0),0))</f>
        <v>0</v>
      </c>
      <c r="T594" t="str">
        <f>IF(AND($M594&lt;&gt;"",$M594='Mapa do Galpão'!$C$20),COUNTIF($M$6:$M594,'Mapa do Galpão'!$C$20),"")</f>
        <v/>
      </c>
    </row>
    <row r="595" spans="1:20" ht="14.25" hidden="1" customHeight="1" x14ac:dyDescent="0.3">
      <c r="A595" s="43" t="s">
        <v>1572</v>
      </c>
      <c r="B595" s="50" t="s">
        <v>1424</v>
      </c>
      <c r="C595" s="165" t="s">
        <v>503</v>
      </c>
      <c r="D595" s="45" t="str">
        <f t="shared" si="22"/>
        <v>Masculino</v>
      </c>
      <c r="E595" s="43" t="s">
        <v>666</v>
      </c>
      <c r="F595" s="43" t="s">
        <v>1568</v>
      </c>
      <c r="G595" s="43" t="s">
        <v>668</v>
      </c>
      <c r="H595" s="43" t="s">
        <v>680</v>
      </c>
      <c r="I595" s="46">
        <f>SUMIFS(Movimentações!$F$6:$F$4998,Movimentações!$C$6:$C$4998,A595,Movimentações!$M$6:$M$4998,M595)</f>
        <v>55</v>
      </c>
      <c r="J595" s="43" t="s">
        <v>670</v>
      </c>
      <c r="K595" s="43" t="s">
        <v>671</v>
      </c>
      <c r="L595" s="47" t="s">
        <v>1437</v>
      </c>
      <c r="M595" s="43" t="s">
        <v>1573</v>
      </c>
      <c r="N595" s="43" t="str">
        <f t="shared" si="23"/>
        <v>Rua A · Prat 15 · C-171</v>
      </c>
      <c r="P595">
        <f>IF(A595="","",IF(AND(K595&lt;&gt;"",L595&lt;&gt;""),IF(COUNTIFS($K$6:K595,K595,$L$6:L595,L595)=1,1,0),0))</f>
        <v>0</v>
      </c>
      <c r="Q595">
        <f>IF(A595="","",IF(AND(K595&lt;&gt;"",M595&lt;&gt;""),IF(COUNTIFS($K$6:K595,K595,$M$6:M595,M595)=1,1,0),0))</f>
        <v>1</v>
      </c>
      <c r="R595">
        <f>IF(A595="","",IF(M595&lt;&gt;"",IF(COUNTIF($M$6:M595,M595)=1,1,0),0))</f>
        <v>1</v>
      </c>
      <c r="T595" t="str">
        <f>IF(AND($M595&lt;&gt;"",$M595='Mapa do Galpão'!$C$20),COUNTIF($M$6:$M595,'Mapa do Galpão'!$C$20),"")</f>
        <v/>
      </c>
    </row>
    <row r="596" spans="1:20" ht="14.25" hidden="1" customHeight="1" x14ac:dyDescent="0.3">
      <c r="A596" s="43" t="s">
        <v>1535</v>
      </c>
      <c r="B596" s="50" t="s">
        <v>1424</v>
      </c>
      <c r="C596" s="165" t="s">
        <v>299</v>
      </c>
      <c r="D596" s="45" t="str">
        <f t="shared" si="22"/>
        <v>Feminino</v>
      </c>
      <c r="E596" s="43" t="s">
        <v>666</v>
      </c>
      <c r="F596" s="43" t="s">
        <v>1004</v>
      </c>
      <c r="G596" s="43" t="s">
        <v>956</v>
      </c>
      <c r="H596" s="43" t="s">
        <v>756</v>
      </c>
      <c r="I596" s="46">
        <f>SUMIFS(Movimentações!$F$6:$F$4998,Movimentações!$C$6:$C$4998,A596,Movimentações!$M$6:$M$4998,M596)</f>
        <v>31</v>
      </c>
      <c r="J596" s="43" t="s">
        <v>670</v>
      </c>
      <c r="K596" s="43" t="s">
        <v>671</v>
      </c>
      <c r="L596" s="47" t="s">
        <v>1437</v>
      </c>
      <c r="M596" s="43" t="s">
        <v>1574</v>
      </c>
      <c r="N596" s="43" t="str">
        <f t="shared" si="23"/>
        <v>Rua A · Prat 15 · C-172</v>
      </c>
      <c r="P596">
        <f>IF(A596="","",IF(AND(K596&lt;&gt;"",L596&lt;&gt;""),IF(COUNTIFS($K$6:K596,K596,$L$6:L596,L596)=1,1,0),0))</f>
        <v>0</v>
      </c>
      <c r="Q596">
        <f>IF(A596="","",IF(AND(K596&lt;&gt;"",M596&lt;&gt;""),IF(COUNTIFS($K$6:K596,K596,$M$6:M596,M596)=1,1,0),0))</f>
        <v>1</v>
      </c>
      <c r="R596">
        <f>IF(A596="","",IF(M596&lt;&gt;"",IF(COUNTIF($M$6:M596,M596)=1,1,0),0))</f>
        <v>1</v>
      </c>
      <c r="T596" t="str">
        <f>IF(AND($M596&lt;&gt;"",$M596='Mapa do Galpão'!$C$20),COUNTIF($M$6:$M596,'Mapa do Galpão'!$C$20),"")</f>
        <v/>
      </c>
    </row>
    <row r="597" spans="1:20" ht="14.25" hidden="1" customHeight="1" x14ac:dyDescent="0.3">
      <c r="A597" s="43" t="s">
        <v>1537</v>
      </c>
      <c r="B597" s="50" t="s">
        <v>1424</v>
      </c>
      <c r="C597" s="165" t="s">
        <v>285</v>
      </c>
      <c r="D597" s="45" t="str">
        <f t="shared" si="22"/>
        <v>Feminino</v>
      </c>
      <c r="E597" s="43" t="s">
        <v>666</v>
      </c>
      <c r="F597" s="43" t="s">
        <v>1004</v>
      </c>
      <c r="G597" s="43" t="s">
        <v>956</v>
      </c>
      <c r="H597" s="43" t="s">
        <v>680</v>
      </c>
      <c r="I597" s="46">
        <f>SUMIFS(Movimentações!$F$6:$F$4998,Movimentações!$C$6:$C$4998,A597,Movimentações!$M$6:$M$4998,M597)</f>
        <v>25</v>
      </c>
      <c r="J597" s="43" t="s">
        <v>670</v>
      </c>
      <c r="K597" s="43" t="s">
        <v>671</v>
      </c>
      <c r="L597" s="47" t="s">
        <v>1437</v>
      </c>
      <c r="M597" s="43" t="s">
        <v>1574</v>
      </c>
      <c r="N597" s="43" t="str">
        <f t="shared" si="23"/>
        <v>Rua A · Prat 15 · C-172</v>
      </c>
      <c r="P597">
        <f>IF(A597="","",IF(AND(K597&lt;&gt;"",L597&lt;&gt;""),IF(COUNTIFS($K$6:K597,K597,$L$6:L597,L597)=1,1,0),0))</f>
        <v>0</v>
      </c>
      <c r="Q597">
        <f>IF(A597="","",IF(AND(K597&lt;&gt;"",M597&lt;&gt;""),IF(COUNTIFS($K$6:K597,K597,$M$6:M597,M597)=1,1,0),0))</f>
        <v>0</v>
      </c>
      <c r="R597">
        <f>IF(A597="","",IF(M597&lt;&gt;"",IF(COUNTIF($M$6:M597,M597)=1,1,0),0))</f>
        <v>0</v>
      </c>
      <c r="T597" t="str">
        <f>IF(AND($M597&lt;&gt;"",$M597='Mapa do Galpão'!$C$20),COUNTIF($M$6:$M597,'Mapa do Galpão'!$C$20),"")</f>
        <v/>
      </c>
    </row>
    <row r="598" spans="1:20" ht="14.25" hidden="1" customHeight="1" x14ac:dyDescent="0.3">
      <c r="A598" s="43" t="s">
        <v>1575</v>
      </c>
      <c r="B598" s="50" t="s">
        <v>1424</v>
      </c>
      <c r="C598" s="165" t="s">
        <v>286</v>
      </c>
      <c r="D598" s="45" t="str">
        <f t="shared" si="22"/>
        <v>Feminino</v>
      </c>
      <c r="E598" s="43" t="s">
        <v>666</v>
      </c>
      <c r="F598" s="43" t="s">
        <v>1004</v>
      </c>
      <c r="G598" s="43" t="s">
        <v>956</v>
      </c>
      <c r="H598" s="43" t="s">
        <v>669</v>
      </c>
      <c r="I598" s="46">
        <f>SUMIFS(Movimentações!$F$6:$F$4998,Movimentações!$C$6:$C$4998,A598,Movimentações!$M$6:$M$4998,M598)</f>
        <v>63</v>
      </c>
      <c r="J598" s="43" t="s">
        <v>670</v>
      </c>
      <c r="K598" s="43" t="s">
        <v>671</v>
      </c>
      <c r="L598" s="47" t="s">
        <v>1437</v>
      </c>
      <c r="M598" s="43" t="s">
        <v>1576</v>
      </c>
      <c r="N598" s="43" t="str">
        <f t="shared" si="23"/>
        <v>Rua A · Prat 15 · C-173</v>
      </c>
      <c r="P598">
        <f>IF(A598="","",IF(AND(K598&lt;&gt;"",L598&lt;&gt;""),IF(COUNTIFS($K$6:K598,K598,$L$6:L598,L598)=1,1,0),0))</f>
        <v>0</v>
      </c>
      <c r="Q598">
        <f>IF(A598="","",IF(AND(K598&lt;&gt;"",M598&lt;&gt;""),IF(COUNTIFS($K$6:K598,K598,$M$6:M598,M598)=1,1,0),0))</f>
        <v>1</v>
      </c>
      <c r="R598">
        <f>IF(A598="","",IF(M598&lt;&gt;"",IF(COUNTIF($M$6:M598,M598)=1,1,0),0))</f>
        <v>1</v>
      </c>
      <c r="T598" t="str">
        <f>IF(AND($M598&lt;&gt;"",$M598='Mapa do Galpão'!$C$20),COUNTIF($M$6:$M598,'Mapa do Galpão'!$C$20),"")</f>
        <v/>
      </c>
    </row>
    <row r="599" spans="1:20" ht="14.25" hidden="1" customHeight="1" x14ac:dyDescent="0.3">
      <c r="A599" s="43" t="s">
        <v>1577</v>
      </c>
      <c r="B599" s="50" t="s">
        <v>1424</v>
      </c>
      <c r="C599" s="165" t="s">
        <v>504</v>
      </c>
      <c r="D599" s="45" t="str">
        <f t="shared" si="22"/>
        <v>Masculino</v>
      </c>
      <c r="E599" s="43" t="s">
        <v>666</v>
      </c>
      <c r="F599" s="43" t="s">
        <v>1043</v>
      </c>
      <c r="G599" s="43" t="s">
        <v>956</v>
      </c>
      <c r="H599" s="43" t="s">
        <v>669</v>
      </c>
      <c r="I599" s="46">
        <f>SUMIFS(Movimentações!$F$6:$F$4998,Movimentações!$C$6:$C$4998,A599,Movimentações!$M$6:$M$4998,M599)</f>
        <v>23</v>
      </c>
      <c r="J599" s="43" t="s">
        <v>670</v>
      </c>
      <c r="K599" s="43" t="s">
        <v>671</v>
      </c>
      <c r="L599" s="47" t="s">
        <v>1437</v>
      </c>
      <c r="M599" s="43" t="s">
        <v>1578</v>
      </c>
      <c r="N599" s="43" t="str">
        <f t="shared" si="23"/>
        <v>Rua A · Prat 15 · C-174</v>
      </c>
      <c r="P599">
        <f>IF(A599="","",IF(AND(K599&lt;&gt;"",L599&lt;&gt;""),IF(COUNTIFS($K$6:K599,K599,$L$6:L599,L599)=1,1,0),0))</f>
        <v>0</v>
      </c>
      <c r="Q599">
        <f>IF(A599="","",IF(AND(K599&lt;&gt;"",M599&lt;&gt;""),IF(COUNTIFS($K$6:K599,K599,$M$6:M599,M599)=1,1,0),0))</f>
        <v>1</v>
      </c>
      <c r="R599">
        <f>IF(A599="","",IF(M599&lt;&gt;"",IF(COUNTIF($M$6:M599,M599)=1,1,0),0))</f>
        <v>1</v>
      </c>
      <c r="T599" t="str">
        <f>IF(AND($M599&lt;&gt;"",$M599='Mapa do Galpão'!$C$20),COUNTIF($M$6:$M599,'Mapa do Galpão'!$C$20),"")</f>
        <v/>
      </c>
    </row>
    <row r="600" spans="1:20" ht="14.25" hidden="1" customHeight="1" x14ac:dyDescent="0.3">
      <c r="A600" s="43" t="s">
        <v>1579</v>
      </c>
      <c r="B600" s="50" t="s">
        <v>1424</v>
      </c>
      <c r="C600" s="165" t="s">
        <v>315</v>
      </c>
      <c r="D600" s="45" t="str">
        <f t="shared" si="22"/>
        <v>Masculino</v>
      </c>
      <c r="E600" s="43" t="s">
        <v>666</v>
      </c>
      <c r="F600" s="43" t="s">
        <v>1043</v>
      </c>
      <c r="G600" s="43" t="s">
        <v>956</v>
      </c>
      <c r="H600" s="43" t="s">
        <v>677</v>
      </c>
      <c r="I600" s="46">
        <f>SUMIFS(Movimentações!$F$6:$F$4998,Movimentações!$C$6:$C$4998,A600,Movimentações!$M$6:$M$4998,M600)</f>
        <v>39</v>
      </c>
      <c r="J600" s="43" t="s">
        <v>670</v>
      </c>
      <c r="K600" s="43" t="s">
        <v>671</v>
      </c>
      <c r="L600" s="47" t="s">
        <v>1437</v>
      </c>
      <c r="M600" s="43" t="s">
        <v>1578</v>
      </c>
      <c r="N600" s="43" t="str">
        <f t="shared" si="23"/>
        <v>Rua A · Prat 15 · C-174</v>
      </c>
      <c r="P600">
        <f>IF(A600="","",IF(AND(K600&lt;&gt;"",L600&lt;&gt;""),IF(COUNTIFS($K$6:K600,K600,$L$6:L600,L600)=1,1,0),0))</f>
        <v>0</v>
      </c>
      <c r="Q600">
        <f>IF(A600="","",IF(AND(K600&lt;&gt;"",M600&lt;&gt;""),IF(COUNTIFS($K$6:K600,K600,$M$6:M600,M600)=1,1,0),0))</f>
        <v>0</v>
      </c>
      <c r="R600">
        <f>IF(A600="","",IF(M600&lt;&gt;"",IF(COUNTIF($M$6:M600,M600)=1,1,0),0))</f>
        <v>0</v>
      </c>
      <c r="T600" t="str">
        <f>IF(AND($M600&lt;&gt;"",$M600='Mapa do Galpão'!$C$20),COUNTIF($M$6:$M600,'Mapa do Galpão'!$C$20),"")</f>
        <v/>
      </c>
    </row>
    <row r="601" spans="1:20" ht="14.25" hidden="1" customHeight="1" x14ac:dyDescent="0.3">
      <c r="A601" s="43" t="s">
        <v>1580</v>
      </c>
      <c r="B601" s="50" t="s">
        <v>1424</v>
      </c>
      <c r="C601" s="165" t="s">
        <v>505</v>
      </c>
      <c r="D601" s="45" t="str">
        <f t="shared" si="22"/>
        <v>Feminino</v>
      </c>
      <c r="E601" s="43" t="s">
        <v>666</v>
      </c>
      <c r="F601" s="43" t="s">
        <v>1425</v>
      </c>
      <c r="G601" s="43" t="s">
        <v>956</v>
      </c>
      <c r="H601" s="43" t="s">
        <v>680</v>
      </c>
      <c r="I601" s="46">
        <f>SUMIFS(Movimentações!$F$6:$F$4998,Movimentações!$C$6:$C$4998,A601,Movimentações!$M$6:$M$4998,M601)</f>
        <v>60</v>
      </c>
      <c r="J601" s="43" t="s">
        <v>670</v>
      </c>
      <c r="K601" s="43" t="s">
        <v>671</v>
      </c>
      <c r="L601" s="47" t="s">
        <v>1437</v>
      </c>
      <c r="M601" s="43" t="s">
        <v>1581</v>
      </c>
      <c r="N601" s="43" t="str">
        <f t="shared" si="23"/>
        <v>Rua A · Prat 15 · C-175</v>
      </c>
      <c r="P601">
        <f>IF(A601="","",IF(AND(K601&lt;&gt;"",L601&lt;&gt;""),IF(COUNTIFS($K$6:K601,K601,$L$6:L601,L601)=1,1,0),0))</f>
        <v>0</v>
      </c>
      <c r="Q601">
        <f>IF(A601="","",IF(AND(K601&lt;&gt;"",M601&lt;&gt;""),IF(COUNTIFS($K$6:K601,K601,$M$6:M601,M601)=1,1,0),0))</f>
        <v>1</v>
      </c>
      <c r="R601">
        <f>IF(A601="","",IF(M601&lt;&gt;"",IF(COUNTIF($M$6:M601,M601)=1,1,0),0))</f>
        <v>1</v>
      </c>
      <c r="T601" t="str">
        <f>IF(AND($M601&lt;&gt;"",$M601='Mapa do Galpão'!$C$20),COUNTIF($M$6:$M601,'Mapa do Galpão'!$C$20),"")</f>
        <v/>
      </c>
    </row>
    <row r="602" spans="1:20" ht="14.25" hidden="1" customHeight="1" x14ac:dyDescent="0.3">
      <c r="A602" s="43" t="s">
        <v>1428</v>
      </c>
      <c r="B602" s="50" t="s">
        <v>1424</v>
      </c>
      <c r="C602" s="165" t="s">
        <v>466</v>
      </c>
      <c r="D602" s="45" t="str">
        <f t="shared" si="22"/>
        <v>Feminino</v>
      </c>
      <c r="E602" s="43" t="s">
        <v>666</v>
      </c>
      <c r="F602" s="43" t="s">
        <v>1425</v>
      </c>
      <c r="G602" s="43" t="s">
        <v>956</v>
      </c>
      <c r="H602" s="43" t="s">
        <v>669</v>
      </c>
      <c r="I602" s="46">
        <f>SUMIFS(Movimentações!$F$6:$F$4998,Movimentações!$C$6:$C$4998,A602,Movimentações!$M$6:$M$4998,M602)</f>
        <v>20</v>
      </c>
      <c r="J602" s="43" t="s">
        <v>670</v>
      </c>
      <c r="K602" s="43" t="s">
        <v>671</v>
      </c>
      <c r="L602" s="47" t="s">
        <v>1437</v>
      </c>
      <c r="M602" s="43" t="s">
        <v>1581</v>
      </c>
      <c r="N602" s="43" t="str">
        <f t="shared" si="23"/>
        <v>Rua A · Prat 15 · C-175</v>
      </c>
      <c r="P602">
        <f>IF(A602="","",IF(AND(K602&lt;&gt;"",L602&lt;&gt;""),IF(COUNTIFS($K$6:K602,K602,$L$6:L602,L602)=1,1,0),0))</f>
        <v>0</v>
      </c>
      <c r="Q602">
        <f>IF(A602="","",IF(AND(K602&lt;&gt;"",M602&lt;&gt;""),IF(COUNTIFS($K$6:K602,K602,$M$6:M602,M602)=1,1,0),0))</f>
        <v>0</v>
      </c>
      <c r="R602">
        <f>IF(A602="","",IF(M602&lt;&gt;"",IF(COUNTIF($M$6:M602,M602)=1,1,0),0))</f>
        <v>0</v>
      </c>
      <c r="T602" t="str">
        <f>IF(AND($M602&lt;&gt;"",$M602='Mapa do Galpão'!$C$20),COUNTIF($M$6:$M602,'Mapa do Galpão'!$C$20),"")</f>
        <v/>
      </c>
    </row>
    <row r="603" spans="1:20" ht="14.25" hidden="1" customHeight="1" x14ac:dyDescent="0.3">
      <c r="A603" s="43" t="s">
        <v>1428</v>
      </c>
      <c r="B603" s="50" t="s">
        <v>1424</v>
      </c>
      <c r="C603" s="165" t="s">
        <v>466</v>
      </c>
      <c r="D603" s="45" t="str">
        <f t="shared" si="22"/>
        <v>Feminino</v>
      </c>
      <c r="E603" s="43" t="s">
        <v>666</v>
      </c>
      <c r="F603" s="43" t="s">
        <v>1425</v>
      </c>
      <c r="G603" s="43" t="s">
        <v>956</v>
      </c>
      <c r="H603" s="43" t="s">
        <v>669</v>
      </c>
      <c r="I603" s="46">
        <f>SUMIFS(Movimentações!$F$6:$F$4998,Movimentações!$C$6:$C$4998,A603,Movimentações!$M$6:$M$4998,M603)</f>
        <v>10</v>
      </c>
      <c r="J603" s="43" t="s">
        <v>670</v>
      </c>
      <c r="K603" s="43" t="s">
        <v>671</v>
      </c>
      <c r="L603" s="47" t="s">
        <v>1437</v>
      </c>
      <c r="M603" s="43" t="s">
        <v>1582</v>
      </c>
      <c r="N603" s="43" t="str">
        <f t="shared" si="23"/>
        <v>Rua A · Prat 15 · C-176</v>
      </c>
      <c r="P603">
        <f>IF(A603="","",IF(AND(K603&lt;&gt;"",L603&lt;&gt;""),IF(COUNTIFS($K$6:K603,K603,$L$6:L603,L603)=1,1,0),0))</f>
        <v>0</v>
      </c>
      <c r="Q603">
        <f>IF(A603="","",IF(AND(K603&lt;&gt;"",M603&lt;&gt;""),IF(COUNTIFS($K$6:K603,K603,$M$6:M603,M603)=1,1,0),0))</f>
        <v>1</v>
      </c>
      <c r="R603">
        <f>IF(A603="","",IF(M603&lt;&gt;"",IF(COUNTIF($M$6:M603,M603)=1,1,0),0))</f>
        <v>1</v>
      </c>
      <c r="T603" t="str">
        <f>IF(AND($M603&lt;&gt;"",$M603='Mapa do Galpão'!$C$20),COUNTIF($M$6:$M603,'Mapa do Galpão'!$C$20),"")</f>
        <v/>
      </c>
    </row>
    <row r="604" spans="1:20" ht="14.25" hidden="1" customHeight="1" x14ac:dyDescent="0.3">
      <c r="A604" s="43" t="s">
        <v>1583</v>
      </c>
      <c r="B604" s="50" t="s">
        <v>1424</v>
      </c>
      <c r="C604" s="165" t="s">
        <v>506</v>
      </c>
      <c r="D604" s="45" t="str">
        <f t="shared" si="22"/>
        <v>Feminino</v>
      </c>
      <c r="E604" s="43" t="s">
        <v>666</v>
      </c>
      <c r="F604" s="43" t="s">
        <v>1425</v>
      </c>
      <c r="G604" s="43" t="s">
        <v>956</v>
      </c>
      <c r="H604" s="43" t="s">
        <v>756</v>
      </c>
      <c r="I604" s="46">
        <f>SUMIFS(Movimentações!$F$6:$F$4998,Movimentações!$C$6:$C$4998,A604,Movimentações!$M$6:$M$4998,M604)</f>
        <v>42</v>
      </c>
      <c r="J604" s="43" t="s">
        <v>670</v>
      </c>
      <c r="K604" s="43" t="s">
        <v>671</v>
      </c>
      <c r="L604" s="47" t="s">
        <v>1437</v>
      </c>
      <c r="M604" s="43" t="s">
        <v>1582</v>
      </c>
      <c r="N604" s="43" t="str">
        <f t="shared" si="23"/>
        <v>Rua A · Prat 15 · C-176</v>
      </c>
      <c r="P604">
        <f>IF(A604="","",IF(AND(K604&lt;&gt;"",L604&lt;&gt;""),IF(COUNTIFS($K$6:K604,K604,$L$6:L604,L604)=1,1,0),0))</f>
        <v>0</v>
      </c>
      <c r="Q604">
        <f>IF(A604="","",IF(AND(K604&lt;&gt;"",M604&lt;&gt;""),IF(COUNTIFS($K$6:K604,K604,$M$6:M604,M604)=1,1,0),0))</f>
        <v>0</v>
      </c>
      <c r="R604">
        <f>IF(A604="","",IF(M604&lt;&gt;"",IF(COUNTIF($M$6:M604,M604)=1,1,0),0))</f>
        <v>0</v>
      </c>
      <c r="T604" t="str">
        <f>IF(AND($M604&lt;&gt;"",$M604='Mapa do Galpão'!$C$20),COUNTIF($M$6:$M604,'Mapa do Galpão'!$C$20),"")</f>
        <v/>
      </c>
    </row>
    <row r="605" spans="1:20" ht="14.25" hidden="1" customHeight="1" x14ac:dyDescent="0.3">
      <c r="A605" s="43" t="s">
        <v>1584</v>
      </c>
      <c r="B605" s="50" t="s">
        <v>1424</v>
      </c>
      <c r="C605" s="165" t="s">
        <v>507</v>
      </c>
      <c r="D605" s="45" t="str">
        <f t="shared" si="22"/>
        <v>Masculino</v>
      </c>
      <c r="E605" s="43" t="s">
        <v>666</v>
      </c>
      <c r="F605" s="43" t="s">
        <v>1585</v>
      </c>
      <c r="G605" s="43" t="s">
        <v>755</v>
      </c>
      <c r="H605" s="43" t="s">
        <v>675</v>
      </c>
      <c r="I605" s="46">
        <f>SUMIFS(Movimentações!$F$6:$F$4998,Movimentações!$C$6:$C$4998,A605,Movimentações!$M$6:$M$4998,M605)</f>
        <v>45</v>
      </c>
      <c r="J605" s="43" t="s">
        <v>670</v>
      </c>
      <c r="K605" s="43" t="s">
        <v>671</v>
      </c>
      <c r="L605" s="47" t="s">
        <v>1437</v>
      </c>
      <c r="M605" s="43" t="s">
        <v>1586</v>
      </c>
      <c r="N605" s="43" t="str">
        <f t="shared" si="23"/>
        <v>Rua A · Prat 15 · C-177</v>
      </c>
      <c r="P605">
        <f>IF(A605="","",IF(AND(K605&lt;&gt;"",L605&lt;&gt;""),IF(COUNTIFS($K$6:K605,K605,$L$6:L605,L605)=1,1,0),0))</f>
        <v>0</v>
      </c>
      <c r="Q605">
        <f>IF(A605="","",IF(AND(K605&lt;&gt;"",M605&lt;&gt;""),IF(COUNTIFS($K$6:K605,K605,$M$6:M605,M605)=1,1,0),0))</f>
        <v>1</v>
      </c>
      <c r="R605">
        <f>IF(A605="","",IF(M605&lt;&gt;"",IF(COUNTIF($M$6:M605,M605)=1,1,0),0))</f>
        <v>1</v>
      </c>
      <c r="T605" t="str">
        <f>IF(AND($M605&lt;&gt;"",$M605='Mapa do Galpão'!$C$20),COUNTIF($M$6:$M605,'Mapa do Galpão'!$C$20),"")</f>
        <v/>
      </c>
    </row>
    <row r="606" spans="1:20" ht="14.25" hidden="1" customHeight="1" x14ac:dyDescent="0.3">
      <c r="A606" s="43" t="s">
        <v>1584</v>
      </c>
      <c r="B606" s="50" t="s">
        <v>1424</v>
      </c>
      <c r="C606" s="165" t="s">
        <v>507</v>
      </c>
      <c r="D606" s="45" t="str">
        <f t="shared" si="22"/>
        <v>Masculino</v>
      </c>
      <c r="E606" s="43" t="s">
        <v>666</v>
      </c>
      <c r="F606" s="43" t="s">
        <v>1585</v>
      </c>
      <c r="G606" s="43" t="s">
        <v>755</v>
      </c>
      <c r="H606" s="43" t="s">
        <v>675</v>
      </c>
      <c r="I606" s="46">
        <f>SUMIFS(Movimentações!$F$6:$F$4998,Movimentações!$C$6:$C$4998,A606,Movimentações!$M$6:$M$4998,M606)</f>
        <v>46</v>
      </c>
      <c r="J606" s="43" t="s">
        <v>670</v>
      </c>
      <c r="K606" s="43" t="s">
        <v>671</v>
      </c>
      <c r="L606" s="47" t="s">
        <v>1437</v>
      </c>
      <c r="M606" s="43" t="s">
        <v>1587</v>
      </c>
      <c r="N606" s="43" t="str">
        <f t="shared" si="23"/>
        <v>Rua A · Prat 15 · C-178</v>
      </c>
      <c r="P606">
        <f>IF(A606="","",IF(AND(K606&lt;&gt;"",L606&lt;&gt;""),IF(COUNTIFS($K$6:K606,K606,$L$6:L606,L606)=1,1,0),0))</f>
        <v>0</v>
      </c>
      <c r="Q606">
        <f>IF(A606="","",IF(AND(K606&lt;&gt;"",M606&lt;&gt;""),IF(COUNTIFS($K$6:K606,K606,$M$6:M606,M606)=1,1,0),0))</f>
        <v>1</v>
      </c>
      <c r="R606">
        <f>IF(A606="","",IF(M606&lt;&gt;"",IF(COUNTIF($M$6:M606,M606)=1,1,0),0))</f>
        <v>1</v>
      </c>
      <c r="T606" t="str">
        <f>IF(AND($M606&lt;&gt;"",$M606='Mapa do Galpão'!$C$20),COUNTIF($M$6:$M606,'Mapa do Galpão'!$C$20),"")</f>
        <v/>
      </c>
    </row>
    <row r="607" spans="1:20" ht="14.25" hidden="1" customHeight="1" x14ac:dyDescent="0.3">
      <c r="A607" s="43" t="s">
        <v>1588</v>
      </c>
      <c r="B607" s="50" t="s">
        <v>1424</v>
      </c>
      <c r="C607" s="165" t="s">
        <v>508</v>
      </c>
      <c r="D607" s="45" t="str">
        <f t="shared" si="22"/>
        <v>Masculino</v>
      </c>
      <c r="E607" s="43" t="s">
        <v>666</v>
      </c>
      <c r="F607" s="43" t="s">
        <v>1585</v>
      </c>
      <c r="G607" s="43" t="s">
        <v>755</v>
      </c>
      <c r="H607" s="43" t="s">
        <v>677</v>
      </c>
      <c r="I607" s="46">
        <f>SUMIFS(Movimentações!$F$6:$F$4998,Movimentações!$C$6:$C$4998,A607,Movimentações!$M$6:$M$4998,M607)</f>
        <v>0</v>
      </c>
      <c r="J607" s="43" t="s">
        <v>670</v>
      </c>
      <c r="K607" s="43" t="s">
        <v>671</v>
      </c>
      <c r="L607" s="47" t="s">
        <v>1437</v>
      </c>
      <c r="M607" s="43" t="s">
        <v>1587</v>
      </c>
      <c r="N607" s="43" t="str">
        <f t="shared" si="23"/>
        <v>Rua A · Prat 15 · C-178</v>
      </c>
      <c r="P607">
        <f>IF(A607="","",IF(AND(K607&lt;&gt;"",L607&lt;&gt;""),IF(COUNTIFS($K$6:K607,K607,$L$6:L607,L607)=1,1,0),0))</f>
        <v>0</v>
      </c>
      <c r="Q607">
        <f>IF(A607="","",IF(AND(K607&lt;&gt;"",M607&lt;&gt;""),IF(COUNTIFS($K$6:K607,K607,$M$6:M607,M607)=1,1,0),0))</f>
        <v>0</v>
      </c>
      <c r="R607">
        <f>IF(A607="","",IF(M607&lt;&gt;"",IF(COUNTIF($M$6:M607,M607)=1,1,0),0))</f>
        <v>0</v>
      </c>
      <c r="T607" t="str">
        <f>IF(AND($M607&lt;&gt;"",$M607='Mapa do Galpão'!$C$20),COUNTIF($M$6:$M607,'Mapa do Galpão'!$C$20),"")</f>
        <v/>
      </c>
    </row>
    <row r="608" spans="1:20" ht="14.25" hidden="1" customHeight="1" x14ac:dyDescent="0.3">
      <c r="A608" s="43" t="s">
        <v>1589</v>
      </c>
      <c r="B608" s="50" t="s">
        <v>1424</v>
      </c>
      <c r="C608" s="165" t="s">
        <v>509</v>
      </c>
      <c r="D608" s="45" t="str">
        <f t="shared" si="22"/>
        <v>Masculino</v>
      </c>
      <c r="E608" s="43" t="s">
        <v>666</v>
      </c>
      <c r="F608" s="43" t="s">
        <v>1585</v>
      </c>
      <c r="G608" s="43" t="s">
        <v>755</v>
      </c>
      <c r="H608" s="43" t="s">
        <v>680</v>
      </c>
      <c r="I608" s="46">
        <f>SUMIFS(Movimentações!$F$6:$F$4998,Movimentações!$C$6:$C$4998,A608,Movimentações!$M$6:$M$4998,M608)</f>
        <v>50</v>
      </c>
      <c r="J608" s="43" t="s">
        <v>670</v>
      </c>
      <c r="K608" s="43" t="s">
        <v>671</v>
      </c>
      <c r="L608" s="47" t="s">
        <v>1437</v>
      </c>
      <c r="M608" s="43" t="s">
        <v>1590</v>
      </c>
      <c r="N608" s="43" t="str">
        <f t="shared" si="23"/>
        <v>Rua A · Prat 15 · C-179</v>
      </c>
      <c r="P608">
        <f>IF(A608="","",IF(AND(K608&lt;&gt;"",L608&lt;&gt;""),IF(COUNTIFS($K$6:K608,K608,$L$6:L608,L608)=1,1,0),0))</f>
        <v>0</v>
      </c>
      <c r="Q608">
        <f>IF(A608="","",IF(AND(K608&lt;&gt;"",M608&lt;&gt;""),IF(COUNTIFS($K$6:K608,K608,$M$6:M608,M608)=1,1,0),0))</f>
        <v>1</v>
      </c>
      <c r="R608">
        <f>IF(A608="","",IF(M608&lt;&gt;"",IF(COUNTIF($M$6:M608,M608)=1,1,0),0))</f>
        <v>1</v>
      </c>
      <c r="T608" t="str">
        <f>IF(AND($M608&lt;&gt;"",$M608='Mapa do Galpão'!$C$20),COUNTIF($M$6:$M608,'Mapa do Galpão'!$C$20),"")</f>
        <v/>
      </c>
    </row>
    <row r="609" spans="1:20" ht="14.25" hidden="1" customHeight="1" x14ac:dyDescent="0.3">
      <c r="A609" s="43" t="s">
        <v>1591</v>
      </c>
      <c r="B609" s="50" t="s">
        <v>1424</v>
      </c>
      <c r="C609" s="165" t="s">
        <v>510</v>
      </c>
      <c r="D609" s="45" t="str">
        <f t="shared" si="22"/>
        <v>Masculino</v>
      </c>
      <c r="E609" s="43" t="s">
        <v>666</v>
      </c>
      <c r="F609" s="43" t="s">
        <v>1585</v>
      </c>
      <c r="G609" s="43" t="s">
        <v>755</v>
      </c>
      <c r="H609" s="43" t="s">
        <v>756</v>
      </c>
      <c r="I609" s="46">
        <f>SUMIFS(Movimentações!$F$6:$F$4998,Movimentações!$C$6:$C$4998,A609,Movimentações!$M$6:$M$4998,M609)</f>
        <v>20</v>
      </c>
      <c r="J609" s="43" t="s">
        <v>670</v>
      </c>
      <c r="K609" s="43" t="s">
        <v>671</v>
      </c>
      <c r="L609" s="47" t="s">
        <v>1437</v>
      </c>
      <c r="M609" s="43" t="s">
        <v>1592</v>
      </c>
      <c r="N609" s="43" t="str">
        <f t="shared" si="23"/>
        <v>Rua A · Prat 15 · C-180</v>
      </c>
      <c r="P609">
        <f>IF(A609="","",IF(AND(K609&lt;&gt;"",L609&lt;&gt;""),IF(COUNTIFS($K$6:K609,K609,$L$6:L609,L609)=1,1,0),0))</f>
        <v>0</v>
      </c>
      <c r="Q609">
        <f>IF(A609="","",IF(AND(K609&lt;&gt;"",M609&lt;&gt;""),IF(COUNTIFS($K$6:K609,K609,$M$6:M609,M609)=1,1,0),0))</f>
        <v>1</v>
      </c>
      <c r="R609">
        <f>IF(A609="","",IF(M609&lt;&gt;"",IF(COUNTIF($M$6:M609,M609)=1,1,0),0))</f>
        <v>1</v>
      </c>
      <c r="T609" t="str">
        <f>IF(AND($M609&lt;&gt;"",$M609='Mapa do Galpão'!$C$20),COUNTIF($M$6:$M609,'Mapa do Galpão'!$C$20),"")</f>
        <v/>
      </c>
    </row>
    <row r="610" spans="1:20" ht="14.25" hidden="1" customHeight="1" x14ac:dyDescent="0.3">
      <c r="A610" s="43" t="s">
        <v>1593</v>
      </c>
      <c r="B610" s="50" t="s">
        <v>1424</v>
      </c>
      <c r="C610" s="165" t="s">
        <v>341</v>
      </c>
      <c r="D610" s="45" t="str">
        <f t="shared" si="22"/>
        <v>—</v>
      </c>
      <c r="E610" s="43" t="s">
        <v>1108</v>
      </c>
      <c r="F610" s="43" t="s">
        <v>1594</v>
      </c>
      <c r="G610" s="43" t="s">
        <v>738</v>
      </c>
      <c r="H610" s="43" t="s">
        <v>1113</v>
      </c>
      <c r="I610" s="46">
        <f>SUMIFS(Movimentações!$F$6:$F$4998,Movimentações!$C$6:$C$4998,A610,Movimentações!$M$6:$M$4998,M610)</f>
        <v>300</v>
      </c>
      <c r="J610" s="43" t="s">
        <v>670</v>
      </c>
      <c r="K610" s="43" t="s">
        <v>1419</v>
      </c>
      <c r="L610" s="47">
        <v>14</v>
      </c>
      <c r="M610" s="43" t="s">
        <v>1595</v>
      </c>
      <c r="N610" s="43" t="str">
        <f t="shared" si="23"/>
        <v>Rua B · Prat 14 · C-181</v>
      </c>
      <c r="P610">
        <f>IF(A610="","",IF(AND(K610&lt;&gt;"",L610&lt;&gt;""),IF(COUNTIFS($K$6:K610,K610,$L$6:L610,L610)=1,1,0),0))</f>
        <v>1</v>
      </c>
      <c r="Q610">
        <f>IF(A610="","",IF(AND(K610&lt;&gt;"",M610&lt;&gt;""),IF(COUNTIFS($K$6:K610,K610,$M$6:M610,M610)=1,1,0),0))</f>
        <v>1</v>
      </c>
      <c r="R610">
        <f>IF(A610="","",IF(M610&lt;&gt;"",IF(COUNTIF($M$6:M610,M610)=1,1,0),0))</f>
        <v>1</v>
      </c>
      <c r="T610" t="str">
        <f>IF(AND($M610&lt;&gt;"",$M610='Mapa do Galpão'!$C$20),COUNTIF($M$6:$M610,'Mapa do Galpão'!$C$20),"")</f>
        <v/>
      </c>
    </row>
    <row r="611" spans="1:20" ht="14.25" hidden="1" customHeight="1" x14ac:dyDescent="0.3">
      <c r="A611" s="43" t="s">
        <v>1593</v>
      </c>
      <c r="B611" s="50" t="s">
        <v>1424</v>
      </c>
      <c r="C611" s="165" t="s">
        <v>341</v>
      </c>
      <c r="D611" s="45" t="str">
        <f t="shared" si="22"/>
        <v>—</v>
      </c>
      <c r="E611" s="43" t="s">
        <v>1108</v>
      </c>
      <c r="F611" s="43" t="s">
        <v>1594</v>
      </c>
      <c r="G611" s="43" t="s">
        <v>738</v>
      </c>
      <c r="H611" s="43" t="s">
        <v>1113</v>
      </c>
      <c r="I611" s="46">
        <f>SUMIFS(Movimentações!$F$6:$F$4998,Movimentações!$C$6:$C$4998,A611,Movimentações!$M$6:$M$4998,M611)</f>
        <v>250</v>
      </c>
      <c r="J611" s="43" t="s">
        <v>670</v>
      </c>
      <c r="K611" s="43" t="s">
        <v>1419</v>
      </c>
      <c r="L611" s="47">
        <v>14</v>
      </c>
      <c r="M611" s="43" t="s">
        <v>1596</v>
      </c>
      <c r="N611" s="43" t="str">
        <f t="shared" si="23"/>
        <v>Rua B · Prat 14 · C-182</v>
      </c>
      <c r="P611">
        <f>IF(A611="","",IF(AND(K611&lt;&gt;"",L611&lt;&gt;""),IF(COUNTIFS($K$6:K611,K611,$L$6:L611,L611)=1,1,0),0))</f>
        <v>0</v>
      </c>
      <c r="Q611">
        <f>IF(A611="","",IF(AND(K611&lt;&gt;"",M611&lt;&gt;""),IF(COUNTIFS($K$6:K611,K611,$M$6:M611,M611)=1,1,0),0))</f>
        <v>1</v>
      </c>
      <c r="R611">
        <f>IF(A611="","",IF(M611&lt;&gt;"",IF(COUNTIF($M$6:M611,M611)=1,1,0),0))</f>
        <v>1</v>
      </c>
      <c r="T611" t="str">
        <f>IF(AND($M611&lt;&gt;"",$M611='Mapa do Galpão'!$C$20),COUNTIF($M$6:$M611,'Mapa do Galpão'!$C$20),"")</f>
        <v/>
      </c>
    </row>
    <row r="612" spans="1:20" ht="14.25" hidden="1" customHeight="1" x14ac:dyDescent="0.3">
      <c r="A612" s="43" t="s">
        <v>1597</v>
      </c>
      <c r="B612" s="50" t="s">
        <v>1424</v>
      </c>
      <c r="C612" s="165" t="s">
        <v>100</v>
      </c>
      <c r="D612" s="45" t="str">
        <f t="shared" si="22"/>
        <v>Masculino</v>
      </c>
      <c r="E612" s="43" t="s">
        <v>666</v>
      </c>
      <c r="F612" s="43" t="s">
        <v>754</v>
      </c>
      <c r="G612" s="43" t="s">
        <v>755</v>
      </c>
      <c r="H612" s="43" t="s">
        <v>756</v>
      </c>
      <c r="I612" s="46">
        <f>SUMIFS(Movimentações!$F$6:$F$4998,Movimentações!$C$6:$C$4998,A612,Movimentações!$M$6:$M$4998,M612)</f>
        <v>0</v>
      </c>
      <c r="J612" s="43" t="s">
        <v>670</v>
      </c>
      <c r="K612" s="43" t="s">
        <v>671</v>
      </c>
      <c r="L612" s="47" t="s">
        <v>1516</v>
      </c>
      <c r="M612" s="43" t="s">
        <v>1598</v>
      </c>
      <c r="N612" s="43" t="str">
        <f t="shared" si="23"/>
        <v>Rua A · Prat 13 · C-183</v>
      </c>
      <c r="P612">
        <f>IF(A612="","",IF(AND(K612&lt;&gt;"",L612&lt;&gt;""),IF(COUNTIFS($K$6:K612,K612,$L$6:L612,L612)=1,1,0),0))</f>
        <v>0</v>
      </c>
      <c r="Q612">
        <f>IF(A612="","",IF(AND(K612&lt;&gt;"",M612&lt;&gt;""),IF(COUNTIFS($K$6:K612,K612,$M$6:M612,M612)=1,1,0),0))</f>
        <v>1</v>
      </c>
      <c r="R612">
        <f>IF(A612="","",IF(M612&lt;&gt;"",IF(COUNTIF($M$6:M612,M612)=1,1,0),0))</f>
        <v>1</v>
      </c>
      <c r="T612" t="str">
        <f>IF(AND($M612&lt;&gt;"",$M612='Mapa do Galpão'!$C$20),COUNTIF($M$6:$M612,'Mapa do Galpão'!$C$20),"")</f>
        <v/>
      </c>
    </row>
    <row r="613" spans="1:20" ht="14.25" hidden="1" customHeight="1" x14ac:dyDescent="0.3">
      <c r="A613" s="43" t="s">
        <v>1599</v>
      </c>
      <c r="B613" s="50" t="s">
        <v>1424</v>
      </c>
      <c r="C613" s="165" t="s">
        <v>101</v>
      </c>
      <c r="D613" s="45" t="str">
        <f t="shared" si="22"/>
        <v>Masculino</v>
      </c>
      <c r="E613" s="43" t="s">
        <v>666</v>
      </c>
      <c r="F613" s="43" t="s">
        <v>754</v>
      </c>
      <c r="G613" s="43" t="s">
        <v>755</v>
      </c>
      <c r="H613" s="43" t="s">
        <v>680</v>
      </c>
      <c r="I613" s="46">
        <f>SUMIFS(Movimentações!$F$6:$F$4998,Movimentações!$C$6:$C$4998,A613,Movimentações!$M$6:$M$4998,M613)</f>
        <v>48</v>
      </c>
      <c r="J613" s="43" t="s">
        <v>670</v>
      </c>
      <c r="K613" s="43" t="s">
        <v>671</v>
      </c>
      <c r="L613" s="47" t="s">
        <v>1516</v>
      </c>
      <c r="M613" s="43" t="s">
        <v>1598</v>
      </c>
      <c r="N613" s="43" t="str">
        <f t="shared" si="23"/>
        <v>Rua A · Prat 13 · C-183</v>
      </c>
      <c r="P613">
        <f>IF(A613="","",IF(AND(K613&lt;&gt;"",L613&lt;&gt;""),IF(COUNTIFS($K$6:K613,K613,$L$6:L613,L613)=1,1,0),0))</f>
        <v>0</v>
      </c>
      <c r="Q613">
        <f>IF(A613="","",IF(AND(K613&lt;&gt;"",M613&lt;&gt;""),IF(COUNTIFS($K$6:K613,K613,$M$6:M613,M613)=1,1,0),0))</f>
        <v>0</v>
      </c>
      <c r="R613">
        <f>IF(A613="","",IF(M613&lt;&gt;"",IF(COUNTIF($M$6:M613,M613)=1,1,0),0))</f>
        <v>0</v>
      </c>
      <c r="T613" t="str">
        <f>IF(AND($M613&lt;&gt;"",$M613='Mapa do Galpão'!$C$20),COUNTIF($M$6:$M613,'Mapa do Galpão'!$C$20),"")</f>
        <v/>
      </c>
    </row>
    <row r="614" spans="1:20" ht="14.25" hidden="1" customHeight="1" x14ac:dyDescent="0.3">
      <c r="A614" s="43" t="s">
        <v>1600</v>
      </c>
      <c r="B614" s="50" t="s">
        <v>1424</v>
      </c>
      <c r="C614" s="165" t="s">
        <v>102</v>
      </c>
      <c r="D614" s="45" t="str">
        <f t="shared" si="22"/>
        <v>Masculino</v>
      </c>
      <c r="E614" s="43" t="s">
        <v>666</v>
      </c>
      <c r="F614" s="43" t="s">
        <v>754</v>
      </c>
      <c r="G614" s="43" t="s">
        <v>755</v>
      </c>
      <c r="H614" s="43" t="s">
        <v>675</v>
      </c>
      <c r="I614" s="46">
        <f>SUMIFS(Movimentações!$F$6:$F$4998,Movimentações!$C$6:$C$4998,A614,Movimentações!$M$6:$M$4998,M614)</f>
        <v>14</v>
      </c>
      <c r="J614" s="43" t="s">
        <v>670</v>
      </c>
      <c r="K614" s="43" t="s">
        <v>671</v>
      </c>
      <c r="L614" s="47" t="s">
        <v>1516</v>
      </c>
      <c r="M614" s="43" t="s">
        <v>1601</v>
      </c>
      <c r="N614" s="43" t="str">
        <f t="shared" si="23"/>
        <v>Rua A · Prat 13 · C-184</v>
      </c>
      <c r="P614">
        <f>IF(A614="","",IF(AND(K614&lt;&gt;"",L614&lt;&gt;""),IF(COUNTIFS($K$6:K614,K614,$L$6:L614,L614)=1,1,0),0))</f>
        <v>0</v>
      </c>
      <c r="Q614">
        <f>IF(A614="","",IF(AND(K614&lt;&gt;"",M614&lt;&gt;""),IF(COUNTIFS($K$6:K614,K614,$M$6:M614,M614)=1,1,0),0))</f>
        <v>1</v>
      </c>
      <c r="R614">
        <f>IF(A614="","",IF(M614&lt;&gt;"",IF(COUNTIF($M$6:M614,M614)=1,1,0),0))</f>
        <v>1</v>
      </c>
      <c r="T614" t="str">
        <f>IF(AND($M614&lt;&gt;"",$M614='Mapa do Galpão'!$C$20),COUNTIF($M$6:$M614,'Mapa do Galpão'!$C$20),"")</f>
        <v/>
      </c>
    </row>
    <row r="615" spans="1:20" ht="14.25" hidden="1" customHeight="1" x14ac:dyDescent="0.3">
      <c r="A615" s="43" t="s">
        <v>1602</v>
      </c>
      <c r="B615" s="50" t="s">
        <v>1424</v>
      </c>
      <c r="C615" s="165" t="s">
        <v>103</v>
      </c>
      <c r="D615" s="45" t="str">
        <f t="shared" si="22"/>
        <v>Masculino</v>
      </c>
      <c r="E615" s="43" t="s">
        <v>666</v>
      </c>
      <c r="F615" s="43" t="s">
        <v>754</v>
      </c>
      <c r="G615" s="43" t="s">
        <v>755</v>
      </c>
      <c r="H615" s="43" t="s">
        <v>669</v>
      </c>
      <c r="I615" s="46">
        <f>SUMIFS(Movimentações!$F$6:$F$4998,Movimentações!$C$6:$C$4998,A615,Movimentações!$M$6:$M$4998,M615)</f>
        <v>30</v>
      </c>
      <c r="J615" s="43" t="s">
        <v>670</v>
      </c>
      <c r="K615" s="43" t="s">
        <v>671</v>
      </c>
      <c r="L615" s="47" t="s">
        <v>1516</v>
      </c>
      <c r="M615" s="43" t="s">
        <v>1601</v>
      </c>
      <c r="N615" s="43" t="str">
        <f t="shared" si="23"/>
        <v>Rua A · Prat 13 · C-184</v>
      </c>
      <c r="P615">
        <f>IF(A615="","",IF(AND(K615&lt;&gt;"",L615&lt;&gt;""),IF(COUNTIFS($K$6:K615,K615,$L$6:L615,L615)=1,1,0),0))</f>
        <v>0</v>
      </c>
      <c r="Q615">
        <f>IF(A615="","",IF(AND(K615&lt;&gt;"",M615&lt;&gt;""),IF(COUNTIFS($K$6:K615,K615,$M$6:M615,M615)=1,1,0),0))</f>
        <v>0</v>
      </c>
      <c r="R615">
        <f>IF(A615="","",IF(M615&lt;&gt;"",IF(COUNTIF($M$6:M615,M615)=1,1,0),0))</f>
        <v>0</v>
      </c>
      <c r="T615" t="str">
        <f>IF(AND($M615&lt;&gt;"",$M615='Mapa do Galpão'!$C$20),COUNTIF($M$6:$M615,'Mapa do Galpão'!$C$20),"")</f>
        <v/>
      </c>
    </row>
    <row r="616" spans="1:20" ht="14.25" hidden="1" customHeight="1" x14ac:dyDescent="0.3">
      <c r="A616" s="43" t="s">
        <v>1603</v>
      </c>
      <c r="B616" s="50" t="s">
        <v>1424</v>
      </c>
      <c r="C616" s="165" t="s">
        <v>107</v>
      </c>
      <c r="D616" s="45" t="str">
        <f t="shared" si="22"/>
        <v>Masculino</v>
      </c>
      <c r="E616" s="43" t="s">
        <v>666</v>
      </c>
      <c r="F616" s="43" t="s">
        <v>1585</v>
      </c>
      <c r="G616" s="43" t="s">
        <v>1079</v>
      </c>
      <c r="H616" s="43" t="s">
        <v>680</v>
      </c>
      <c r="I616" s="46">
        <f>SUMIFS(Movimentações!$F$6:$F$4998,Movimentações!$C$6:$C$4998,A616,Movimentações!$M$6:$M$4998,M616)</f>
        <v>60</v>
      </c>
      <c r="J616" s="43" t="s">
        <v>670</v>
      </c>
      <c r="K616" s="43" t="s">
        <v>671</v>
      </c>
      <c r="L616" s="47" t="s">
        <v>1516</v>
      </c>
      <c r="M616" s="43" t="s">
        <v>1604</v>
      </c>
      <c r="N616" s="43" t="str">
        <f t="shared" si="23"/>
        <v>Rua A · Prat 13 · C-185</v>
      </c>
      <c r="P616">
        <f>IF(A616="","",IF(AND(K616&lt;&gt;"",L616&lt;&gt;""),IF(COUNTIFS($K$6:K616,K616,$L$6:L616,L616)=1,1,0),0))</f>
        <v>0</v>
      </c>
      <c r="Q616">
        <f>IF(A616="","",IF(AND(K616&lt;&gt;"",M616&lt;&gt;""),IF(COUNTIFS($K$6:K616,K616,$M$6:M616,M616)=1,1,0),0))</f>
        <v>1</v>
      </c>
      <c r="R616">
        <f>IF(A616="","",IF(M616&lt;&gt;"",IF(COUNTIF($M$6:M616,M616)=1,1,0),0))</f>
        <v>1</v>
      </c>
      <c r="T616" t="str">
        <f>IF(AND($M616&lt;&gt;"",$M616='Mapa do Galpão'!$C$20),COUNTIF($M$6:$M616,'Mapa do Galpão'!$C$20),"")</f>
        <v/>
      </c>
    </row>
    <row r="617" spans="1:20" ht="14.25" hidden="1" customHeight="1" x14ac:dyDescent="0.3">
      <c r="A617" s="43" t="s">
        <v>1605</v>
      </c>
      <c r="B617" s="50" t="s">
        <v>1424</v>
      </c>
      <c r="C617" s="165" t="s">
        <v>108</v>
      </c>
      <c r="D617" s="45" t="str">
        <f t="shared" si="22"/>
        <v>Masculino</v>
      </c>
      <c r="E617" s="43" t="s">
        <v>666</v>
      </c>
      <c r="F617" s="43" t="s">
        <v>1585</v>
      </c>
      <c r="G617" s="43" t="s">
        <v>1079</v>
      </c>
      <c r="H617" s="43" t="s">
        <v>675</v>
      </c>
      <c r="I617" s="46">
        <f>SUMIFS(Movimentações!$F$6:$F$4998,Movimentações!$C$6:$C$4998,A617,Movimentações!$M$6:$M$4998,M617)</f>
        <v>2</v>
      </c>
      <c r="J617" s="43" t="s">
        <v>670</v>
      </c>
      <c r="K617" s="43" t="s">
        <v>671</v>
      </c>
      <c r="L617" s="47" t="s">
        <v>1516</v>
      </c>
      <c r="M617" s="43" t="s">
        <v>1604</v>
      </c>
      <c r="N617" s="43" t="str">
        <f t="shared" si="23"/>
        <v>Rua A · Prat 13 · C-185</v>
      </c>
      <c r="P617">
        <f>IF(A617="","",IF(AND(K617&lt;&gt;"",L617&lt;&gt;""),IF(COUNTIFS($K$6:K617,K617,$L$6:L617,L617)=1,1,0),0))</f>
        <v>0</v>
      </c>
      <c r="Q617">
        <f>IF(A617="","",IF(AND(K617&lt;&gt;"",M617&lt;&gt;""),IF(COUNTIFS($K$6:K617,K617,$M$6:M617,M617)=1,1,0),0))</f>
        <v>0</v>
      </c>
      <c r="R617">
        <f>IF(A617="","",IF(M617&lt;&gt;"",IF(COUNTIF($M$6:M617,M617)=1,1,0),0))</f>
        <v>0</v>
      </c>
      <c r="T617" t="str">
        <f>IF(AND($M617&lt;&gt;"",$M617='Mapa do Galpão'!$C$20),COUNTIF($M$6:$M617,'Mapa do Galpão'!$C$20),"")</f>
        <v/>
      </c>
    </row>
    <row r="618" spans="1:20" ht="14.25" hidden="1" customHeight="1" x14ac:dyDescent="0.3">
      <c r="A618" s="43" t="s">
        <v>1606</v>
      </c>
      <c r="B618" s="50" t="s">
        <v>1424</v>
      </c>
      <c r="C618" s="165" t="s">
        <v>109</v>
      </c>
      <c r="D618" s="45" t="str">
        <f t="shared" si="22"/>
        <v>Masculino</v>
      </c>
      <c r="E618" s="43" t="s">
        <v>666</v>
      </c>
      <c r="F618" s="43" t="s">
        <v>1585</v>
      </c>
      <c r="G618" s="43" t="s">
        <v>1079</v>
      </c>
      <c r="H618" s="43" t="s">
        <v>669</v>
      </c>
      <c r="I618" s="46">
        <f>SUMIFS(Movimentações!$F$6:$F$4998,Movimentações!$C$6:$C$4998,A618,Movimentações!$M$6:$M$4998,M618)</f>
        <v>9</v>
      </c>
      <c r="J618" s="43" t="s">
        <v>670</v>
      </c>
      <c r="K618" s="43" t="s">
        <v>671</v>
      </c>
      <c r="L618" s="47" t="s">
        <v>1516</v>
      </c>
      <c r="M618" s="43" t="s">
        <v>1604</v>
      </c>
      <c r="N618" s="43" t="str">
        <f t="shared" si="23"/>
        <v>Rua A · Prat 13 · C-185</v>
      </c>
      <c r="P618">
        <f>IF(A618="","",IF(AND(K618&lt;&gt;"",L618&lt;&gt;""),IF(COUNTIFS($K$6:K618,K618,$L$6:L618,L618)=1,1,0),0))</f>
        <v>0</v>
      </c>
      <c r="Q618">
        <f>IF(A618="","",IF(AND(K618&lt;&gt;"",M618&lt;&gt;""),IF(COUNTIFS($K$6:K618,K618,$M$6:M618,M618)=1,1,0),0))</f>
        <v>0</v>
      </c>
      <c r="R618">
        <f>IF(A618="","",IF(M618&lt;&gt;"",IF(COUNTIF($M$6:M618,M618)=1,1,0),0))</f>
        <v>0</v>
      </c>
      <c r="T618" t="str">
        <f>IF(AND($M618&lt;&gt;"",$M618='Mapa do Galpão'!$C$20),COUNTIF($M$6:$M618,'Mapa do Galpão'!$C$20),"")</f>
        <v/>
      </c>
    </row>
    <row r="619" spans="1:20" ht="14.25" hidden="1" customHeight="1" x14ac:dyDescent="0.3">
      <c r="A619" s="43" t="s">
        <v>1607</v>
      </c>
      <c r="B619" s="50" t="s">
        <v>1424</v>
      </c>
      <c r="C619" s="165" t="s">
        <v>110</v>
      </c>
      <c r="D619" s="45" t="str">
        <f t="shared" si="22"/>
        <v>Masculino</v>
      </c>
      <c r="E619" s="43" t="s">
        <v>666</v>
      </c>
      <c r="F619" s="43" t="s">
        <v>1585</v>
      </c>
      <c r="G619" s="43" t="s">
        <v>1079</v>
      </c>
      <c r="H619" s="43" t="s">
        <v>682</v>
      </c>
      <c r="I619" s="46">
        <f>SUMIFS(Movimentações!$F$6:$F$4998,Movimentações!$C$6:$C$4998,A619,Movimentações!$M$6:$M$4998,M619)</f>
        <v>0</v>
      </c>
      <c r="J619" s="43" t="s">
        <v>670</v>
      </c>
      <c r="K619" s="43" t="s">
        <v>671</v>
      </c>
      <c r="L619" s="47" t="s">
        <v>1516</v>
      </c>
      <c r="M619" s="43" t="s">
        <v>1604</v>
      </c>
      <c r="N619" s="43" t="str">
        <f t="shared" si="23"/>
        <v>Rua A · Prat 13 · C-185</v>
      </c>
      <c r="P619">
        <f>IF(A619="","",IF(AND(K619&lt;&gt;"",L619&lt;&gt;""),IF(COUNTIFS($K$6:K619,K619,$L$6:L619,L619)=1,1,0),0))</f>
        <v>0</v>
      </c>
      <c r="Q619">
        <f>IF(A619="","",IF(AND(K619&lt;&gt;"",M619&lt;&gt;""),IF(COUNTIFS($K$6:K619,K619,$M$6:M619,M619)=1,1,0),0))</f>
        <v>0</v>
      </c>
      <c r="R619">
        <f>IF(A619="","",IF(M619&lt;&gt;"",IF(COUNTIF($M$6:M619,M619)=1,1,0),0))</f>
        <v>0</v>
      </c>
      <c r="T619" t="str">
        <f>IF(AND($M619&lt;&gt;"",$M619='Mapa do Galpão'!$C$20),COUNTIF($M$6:$M619,'Mapa do Galpão'!$C$20),"")</f>
        <v/>
      </c>
    </row>
    <row r="620" spans="1:20" ht="14.25" hidden="1" customHeight="1" x14ac:dyDescent="0.3">
      <c r="A620" s="43" t="s">
        <v>1605</v>
      </c>
      <c r="B620" s="50" t="s">
        <v>1424</v>
      </c>
      <c r="C620" s="165" t="s">
        <v>108</v>
      </c>
      <c r="D620" s="45" t="str">
        <f t="shared" si="22"/>
        <v>Masculino</v>
      </c>
      <c r="E620" s="43" t="s">
        <v>666</v>
      </c>
      <c r="F620" s="43" t="s">
        <v>1585</v>
      </c>
      <c r="G620" s="43" t="s">
        <v>1079</v>
      </c>
      <c r="H620" s="43" t="s">
        <v>675</v>
      </c>
      <c r="I620" s="46">
        <f>SUMIFS(Movimentações!$F$6:$F$4998,Movimentações!$C$6:$C$4998,A620,Movimentações!$M$6:$M$4998,M620)</f>
        <v>80</v>
      </c>
      <c r="J620" s="43" t="s">
        <v>670</v>
      </c>
      <c r="K620" s="43" t="s">
        <v>1419</v>
      </c>
      <c r="L620" s="47" t="s">
        <v>1516</v>
      </c>
      <c r="M620" s="43" t="s">
        <v>1608</v>
      </c>
      <c r="N620" s="43" t="str">
        <f t="shared" si="23"/>
        <v>Rua B · Prat 13 · C-186</v>
      </c>
      <c r="P620">
        <f>IF(A620="","",IF(AND(K620&lt;&gt;"",L620&lt;&gt;""),IF(COUNTIFS($K$6:K620,K620,$L$6:L620,L620)=1,1,0),0))</f>
        <v>1</v>
      </c>
      <c r="Q620">
        <f>IF(A620="","",IF(AND(K620&lt;&gt;"",M620&lt;&gt;""),IF(COUNTIFS($K$6:K620,K620,$M$6:M620,M620)=1,1,0),0))</f>
        <v>1</v>
      </c>
      <c r="R620">
        <f>IF(A620="","",IF(M620&lt;&gt;"",IF(COUNTIF($M$6:M620,M620)=1,1,0),0))</f>
        <v>1</v>
      </c>
      <c r="T620" t="str">
        <f>IF(AND($M620&lt;&gt;"",$M620='Mapa do Galpão'!$C$20),COUNTIF($M$6:$M620,'Mapa do Galpão'!$C$20),"")</f>
        <v/>
      </c>
    </row>
    <row r="621" spans="1:20" ht="14.25" hidden="1" customHeight="1" x14ac:dyDescent="0.3">
      <c r="A621" s="43" t="s">
        <v>1605</v>
      </c>
      <c r="B621" s="50" t="s">
        <v>1424</v>
      </c>
      <c r="C621" s="165" t="s">
        <v>108</v>
      </c>
      <c r="D621" s="45" t="str">
        <f t="shared" si="22"/>
        <v>Masculino</v>
      </c>
      <c r="E621" s="43" t="s">
        <v>666</v>
      </c>
      <c r="F621" s="43" t="s">
        <v>1585</v>
      </c>
      <c r="G621" s="43" t="s">
        <v>1079</v>
      </c>
      <c r="H621" s="43" t="s">
        <v>675</v>
      </c>
      <c r="I621" s="46">
        <f>SUMIFS(Movimentações!$F$6:$F$4998,Movimentações!$C$6:$C$4998,A621,Movimentações!$M$6:$M$4998,M621)</f>
        <v>60</v>
      </c>
      <c r="J621" s="43" t="s">
        <v>670</v>
      </c>
      <c r="K621" s="43" t="s">
        <v>1419</v>
      </c>
      <c r="L621" s="47">
        <v>14</v>
      </c>
      <c r="M621" s="43" t="s">
        <v>1609</v>
      </c>
      <c r="N621" s="43" t="str">
        <f t="shared" si="23"/>
        <v>Rua B · Prat 14 · C-187</v>
      </c>
      <c r="P621">
        <f>IF(A621="","",IF(AND(K621&lt;&gt;"",L621&lt;&gt;""),IF(COUNTIFS($K$6:K621,K621,$L$6:L621,L621)=1,1,0),0))</f>
        <v>0</v>
      </c>
      <c r="Q621">
        <f>IF(A621="","",IF(AND(K621&lt;&gt;"",M621&lt;&gt;""),IF(COUNTIFS($K$6:K621,K621,$M$6:M621,M621)=1,1,0),0))</f>
        <v>1</v>
      </c>
      <c r="R621">
        <f>IF(A621="","",IF(M621&lt;&gt;"",IF(COUNTIF($M$6:M621,M621)=1,1,0),0))</f>
        <v>1</v>
      </c>
      <c r="T621" t="str">
        <f>IF(AND($M621&lt;&gt;"",$M621='Mapa do Galpão'!$C$20),COUNTIF($M$6:$M621,'Mapa do Galpão'!$C$20),"")</f>
        <v/>
      </c>
    </row>
    <row r="622" spans="1:20" ht="14.25" hidden="1" customHeight="1" x14ac:dyDescent="0.3">
      <c r="A622" s="43" t="s">
        <v>1605</v>
      </c>
      <c r="B622" s="50" t="s">
        <v>1424</v>
      </c>
      <c r="C622" s="165" t="s">
        <v>108</v>
      </c>
      <c r="D622" s="45" t="str">
        <f t="shared" si="22"/>
        <v>Masculino</v>
      </c>
      <c r="E622" s="43" t="s">
        <v>666</v>
      </c>
      <c r="F622" s="43" t="s">
        <v>1585</v>
      </c>
      <c r="G622" s="43" t="s">
        <v>1079</v>
      </c>
      <c r="H622" s="43" t="s">
        <v>675</v>
      </c>
      <c r="I622" s="46">
        <f>SUMIFS(Movimentações!$F$6:$F$4998,Movimentações!$C$6:$C$4998,A622,Movimentações!$M$6:$M$4998,M622)</f>
        <v>43</v>
      </c>
      <c r="J622" s="43" t="s">
        <v>670</v>
      </c>
      <c r="K622" s="43" t="s">
        <v>1419</v>
      </c>
      <c r="L622" s="47" t="s">
        <v>1516</v>
      </c>
      <c r="M622" s="43" t="s">
        <v>1610</v>
      </c>
      <c r="N622" s="43" t="str">
        <f t="shared" si="23"/>
        <v>Rua B · Prat 13 · C-188</v>
      </c>
      <c r="P622">
        <f>IF(A622="","",IF(AND(K622&lt;&gt;"",L622&lt;&gt;""),IF(COUNTIFS($K$6:K622,K622,$L$6:L622,L622)=1,1,0),0))</f>
        <v>0</v>
      </c>
      <c r="Q622">
        <f>IF(A622="","",IF(AND(K622&lt;&gt;"",M622&lt;&gt;""),IF(COUNTIFS($K$6:K622,K622,$M$6:M622,M622)=1,1,0),0))</f>
        <v>1</v>
      </c>
      <c r="R622">
        <f>IF(A622="","",IF(M622&lt;&gt;"",IF(COUNTIF($M$6:M622,M622)=1,1,0),0))</f>
        <v>1</v>
      </c>
      <c r="T622" t="str">
        <f>IF(AND($M622&lt;&gt;"",$M622='Mapa do Galpão'!$C$20),COUNTIF($M$6:$M622,'Mapa do Galpão'!$C$20),"")</f>
        <v/>
      </c>
    </row>
    <row r="623" spans="1:20" ht="14.25" hidden="1" customHeight="1" x14ac:dyDescent="0.3">
      <c r="A623" s="43" t="s">
        <v>1607</v>
      </c>
      <c r="B623" s="50" t="s">
        <v>1424</v>
      </c>
      <c r="C623" s="165" t="s">
        <v>110</v>
      </c>
      <c r="D623" s="45" t="str">
        <f t="shared" si="22"/>
        <v>Masculino</v>
      </c>
      <c r="E623" s="43" t="s">
        <v>666</v>
      </c>
      <c r="F623" s="43" t="s">
        <v>1585</v>
      </c>
      <c r="G623" s="43" t="s">
        <v>1079</v>
      </c>
      <c r="H623" s="43" t="s">
        <v>682</v>
      </c>
      <c r="I623" s="46">
        <f>SUMIFS(Movimentações!$F$6:$F$4998,Movimentações!$C$6:$C$4998,A623,Movimentações!$M$6:$M$4998,M623)</f>
        <v>0</v>
      </c>
      <c r="J623" s="43" t="s">
        <v>670</v>
      </c>
      <c r="K623" s="43" t="s">
        <v>1419</v>
      </c>
      <c r="L623" s="47">
        <v>14</v>
      </c>
      <c r="M623" s="43" t="s">
        <v>1611</v>
      </c>
      <c r="N623" s="43" t="str">
        <f t="shared" si="23"/>
        <v>Rua B · Prat 14 · C-189</v>
      </c>
      <c r="P623">
        <f>IF(A623="","",IF(AND(K623&lt;&gt;"",L623&lt;&gt;""),IF(COUNTIFS($K$6:K623,K623,$L$6:L623,L623)=1,1,0),0))</f>
        <v>0</v>
      </c>
      <c r="Q623">
        <f>IF(A623="","",IF(AND(K623&lt;&gt;"",M623&lt;&gt;""),IF(COUNTIFS($K$6:K623,K623,$M$6:M623,M623)=1,1,0),0))</f>
        <v>1</v>
      </c>
      <c r="R623">
        <f>IF(A623="","",IF(M623&lt;&gt;"",IF(COUNTIF($M$6:M623,M623)=1,1,0),0))</f>
        <v>1</v>
      </c>
      <c r="T623" t="str">
        <f>IF(AND($M623&lt;&gt;"",$M623='Mapa do Galpão'!$C$20),COUNTIF($M$6:$M623,'Mapa do Galpão'!$C$20),"")</f>
        <v/>
      </c>
    </row>
    <row r="624" spans="1:20" ht="14.25" hidden="1" customHeight="1" x14ac:dyDescent="0.3">
      <c r="A624" s="43" t="s">
        <v>1606</v>
      </c>
      <c r="B624" s="50" t="s">
        <v>1424</v>
      </c>
      <c r="C624" s="165" t="s">
        <v>109</v>
      </c>
      <c r="D624" s="45" t="str">
        <f t="shared" si="22"/>
        <v>Masculino</v>
      </c>
      <c r="E624" s="43" t="s">
        <v>666</v>
      </c>
      <c r="F624" s="43" t="s">
        <v>1585</v>
      </c>
      <c r="G624" s="43" t="s">
        <v>1079</v>
      </c>
      <c r="H624" s="43" t="s">
        <v>669</v>
      </c>
      <c r="I624" s="46">
        <f>SUMIFS(Movimentações!$F$6:$F$4998,Movimentações!$C$6:$C$4998,A624,Movimentações!$M$6:$M$4998,M624)</f>
        <v>24</v>
      </c>
      <c r="J624" s="43" t="s">
        <v>670</v>
      </c>
      <c r="K624" s="43" t="s">
        <v>1419</v>
      </c>
      <c r="L624" s="47">
        <v>14</v>
      </c>
      <c r="M624" s="43" t="s">
        <v>1611</v>
      </c>
      <c r="N624" s="43" t="str">
        <f t="shared" si="23"/>
        <v>Rua B · Prat 14 · C-189</v>
      </c>
      <c r="P624">
        <f>IF(A624="","",IF(AND(K624&lt;&gt;"",L624&lt;&gt;""),IF(COUNTIFS($K$6:K624,K624,$L$6:L624,L624)=1,1,0),0))</f>
        <v>0</v>
      </c>
      <c r="Q624">
        <f>IF(A624="","",IF(AND(K624&lt;&gt;"",M624&lt;&gt;""),IF(COUNTIFS($K$6:K624,K624,$M$6:M624,M624)=1,1,0),0))</f>
        <v>0</v>
      </c>
      <c r="R624">
        <f>IF(A624="","",IF(M624&lt;&gt;"",IF(COUNTIF($M$6:M624,M624)=1,1,0),0))</f>
        <v>0</v>
      </c>
      <c r="T624" t="str">
        <f>IF(AND($M624&lt;&gt;"",$M624='Mapa do Galpão'!$C$20),COUNTIF($M$6:$M624,'Mapa do Galpão'!$C$20),"")</f>
        <v/>
      </c>
    </row>
    <row r="625" spans="1:20" ht="14.25" hidden="1" customHeight="1" x14ac:dyDescent="0.3">
      <c r="A625" s="43" t="s">
        <v>1612</v>
      </c>
      <c r="B625" s="50" t="s">
        <v>1424</v>
      </c>
      <c r="C625" s="165" t="s">
        <v>111</v>
      </c>
      <c r="D625" s="45" t="str">
        <f t="shared" si="22"/>
        <v>Masculino</v>
      </c>
      <c r="E625" s="43" t="s">
        <v>666</v>
      </c>
      <c r="F625" s="43" t="s">
        <v>1585</v>
      </c>
      <c r="G625" s="43" t="s">
        <v>1079</v>
      </c>
      <c r="H625" s="43" t="s">
        <v>677</v>
      </c>
      <c r="I625" s="46">
        <f>SUMIFS(Movimentações!$F$6:$F$4998,Movimentações!$C$6:$C$4998,A625,Movimentações!$M$6:$M$4998,M625)</f>
        <v>0</v>
      </c>
      <c r="J625" s="43" t="s">
        <v>670</v>
      </c>
      <c r="K625" s="43" t="s">
        <v>1419</v>
      </c>
      <c r="L625" s="47" t="s">
        <v>1516</v>
      </c>
      <c r="M625" s="43" t="s">
        <v>1613</v>
      </c>
      <c r="N625" s="43" t="str">
        <f t="shared" si="23"/>
        <v>Rua B · Prat 13 · C-190</v>
      </c>
      <c r="P625">
        <f>IF(A625="","",IF(AND(K625&lt;&gt;"",L625&lt;&gt;""),IF(COUNTIFS($K$6:K625,K625,$L$6:L625,L625)=1,1,0),0))</f>
        <v>0</v>
      </c>
      <c r="Q625">
        <f>IF(A625="","",IF(AND(K625&lt;&gt;"",M625&lt;&gt;""),IF(COUNTIFS($K$6:K625,K625,$M$6:M625,M625)=1,1,0),0))</f>
        <v>1</v>
      </c>
      <c r="R625">
        <f>IF(A625="","",IF(M625&lt;&gt;"",IF(COUNTIF($M$6:M625,M625)=1,1,0),0))</f>
        <v>1</v>
      </c>
      <c r="T625" t="str">
        <f>IF(AND($M625&lt;&gt;"",$M625='Mapa do Galpão'!$C$20),COUNTIF($M$6:$M625,'Mapa do Galpão'!$C$20),"")</f>
        <v/>
      </c>
    </row>
    <row r="626" spans="1:20" ht="14.25" hidden="1" customHeight="1" x14ac:dyDescent="0.3">
      <c r="A626" s="43" t="s">
        <v>1600</v>
      </c>
      <c r="B626" s="50" t="s">
        <v>1424</v>
      </c>
      <c r="C626" s="165" t="s">
        <v>102</v>
      </c>
      <c r="D626" s="45" t="str">
        <f t="shared" si="22"/>
        <v>Masculino</v>
      </c>
      <c r="E626" s="43" t="s">
        <v>666</v>
      </c>
      <c r="F626" s="43" t="s">
        <v>754</v>
      </c>
      <c r="G626" s="43" t="s">
        <v>755</v>
      </c>
      <c r="H626" s="43" t="s">
        <v>675</v>
      </c>
      <c r="I626" s="46">
        <f>SUMIFS(Movimentações!$F$6:$F$4998,Movimentações!$C$6:$C$4998,A626,Movimentações!$M$6:$M$4998,M626)</f>
        <v>90</v>
      </c>
      <c r="J626" s="43" t="s">
        <v>670</v>
      </c>
      <c r="K626" s="43" t="s">
        <v>1419</v>
      </c>
      <c r="L626" s="47" t="s">
        <v>1516</v>
      </c>
      <c r="M626" s="43" t="s">
        <v>1614</v>
      </c>
      <c r="N626" s="43" t="str">
        <f t="shared" si="23"/>
        <v>Rua B · Prat 13 · C-191</v>
      </c>
      <c r="P626">
        <f>IF(A626="","",IF(AND(K626&lt;&gt;"",L626&lt;&gt;""),IF(COUNTIFS($K$6:K626,K626,$L$6:L626,L626)=1,1,0),0))</f>
        <v>0</v>
      </c>
      <c r="Q626">
        <f>IF(A626="","",IF(AND(K626&lt;&gt;"",M626&lt;&gt;""),IF(COUNTIFS($K$6:K626,K626,$M$6:M626,M626)=1,1,0),0))</f>
        <v>1</v>
      </c>
      <c r="R626">
        <f>IF(A626="","",IF(M626&lt;&gt;"",IF(COUNTIF($M$6:M626,M626)=1,1,0),0))</f>
        <v>1</v>
      </c>
      <c r="T626" t="str">
        <f>IF(AND($M626&lt;&gt;"",$M626='Mapa do Galpão'!$C$20),COUNTIF($M$6:$M626,'Mapa do Galpão'!$C$20),"")</f>
        <v/>
      </c>
    </row>
    <row r="627" spans="1:20" ht="14.25" hidden="1" customHeight="1" x14ac:dyDescent="0.3">
      <c r="A627" s="43" t="s">
        <v>1597</v>
      </c>
      <c r="B627" s="50" t="s">
        <v>1424</v>
      </c>
      <c r="C627" s="166" t="s">
        <v>100</v>
      </c>
      <c r="D627" s="45" t="str">
        <f t="shared" si="22"/>
        <v>Masculino</v>
      </c>
      <c r="E627" s="43" t="s">
        <v>666</v>
      </c>
      <c r="F627" s="43" t="s">
        <v>754</v>
      </c>
      <c r="G627" s="43" t="s">
        <v>755</v>
      </c>
      <c r="H627" s="43" t="s">
        <v>680</v>
      </c>
      <c r="I627" s="46">
        <f>SUMIFS(Movimentações!$F$6:$F$4998,Movimentações!$C$6:$C$4998,A627,Movimentações!$M$6:$M$4998,M627)</f>
        <v>0</v>
      </c>
      <c r="J627" s="43" t="s">
        <v>670</v>
      </c>
      <c r="K627" s="43" t="s">
        <v>1419</v>
      </c>
      <c r="L627" s="47">
        <v>14</v>
      </c>
      <c r="M627" s="43" t="s">
        <v>1615</v>
      </c>
      <c r="N627" s="43" t="str">
        <f t="shared" si="23"/>
        <v>Rua B · Prat 14 · C-192</v>
      </c>
      <c r="P627">
        <f>IF(A627="","",IF(AND(K627&lt;&gt;"",L627&lt;&gt;""),IF(COUNTIFS($K$6:K627,K627,$L$6:L627,L627)=1,1,0),0))</f>
        <v>0</v>
      </c>
      <c r="Q627">
        <f>IF(A627="","",IF(AND(K627&lt;&gt;"",M627&lt;&gt;""),IF(COUNTIFS($K$6:K627,K627,$M$6:M627,M627)=1,1,0),0))</f>
        <v>1</v>
      </c>
      <c r="R627">
        <f>IF(A627="","",IF(M627&lt;&gt;"",IF(COUNTIF($M$6:M627,M627)=1,1,0),0))</f>
        <v>1</v>
      </c>
      <c r="T627" t="str">
        <f>IF(AND($M627&lt;&gt;"",$M627='Mapa do Galpão'!$C$20),COUNTIF($M$6:$M627,'Mapa do Galpão'!$C$20),"")</f>
        <v/>
      </c>
    </row>
    <row r="628" spans="1:20" ht="14.25" hidden="1" customHeight="1" x14ac:dyDescent="0.3">
      <c r="A628" s="43" t="s">
        <v>1602</v>
      </c>
      <c r="B628" s="50" t="s">
        <v>1424</v>
      </c>
      <c r="C628" s="165" t="s">
        <v>103</v>
      </c>
      <c r="D628" s="45" t="str">
        <f t="shared" si="22"/>
        <v>Masculino</v>
      </c>
      <c r="E628" s="43" t="s">
        <v>666</v>
      </c>
      <c r="F628" s="43" t="s">
        <v>754</v>
      </c>
      <c r="G628" s="43" t="s">
        <v>755</v>
      </c>
      <c r="H628" s="43" t="s">
        <v>669</v>
      </c>
      <c r="I628" s="46">
        <f>SUMIFS(Movimentações!$F$6:$F$4998,Movimentações!$C$6:$C$4998,A628,Movimentações!$M$6:$M$4998,M628)</f>
        <v>20</v>
      </c>
      <c r="J628" s="43" t="s">
        <v>670</v>
      </c>
      <c r="K628" s="43" t="s">
        <v>1419</v>
      </c>
      <c r="L628" s="47">
        <v>14</v>
      </c>
      <c r="M628" s="43" t="s">
        <v>1615</v>
      </c>
      <c r="N628" s="43" t="str">
        <f t="shared" si="23"/>
        <v>Rua B · Prat 14 · C-192</v>
      </c>
      <c r="P628">
        <f>IF(A628="","",IF(AND(K628&lt;&gt;"",L628&lt;&gt;""),IF(COUNTIFS($K$6:K628,K628,$L$6:L628,L628)=1,1,0),0))</f>
        <v>0</v>
      </c>
      <c r="Q628">
        <f>IF(A628="","",IF(AND(K628&lt;&gt;"",M628&lt;&gt;""),IF(COUNTIFS($K$6:K628,K628,$M$6:M628,M628)=1,1,0),0))</f>
        <v>0</v>
      </c>
      <c r="R628">
        <f>IF(A628="","",IF(M628&lt;&gt;"",IF(COUNTIF($M$6:M628,M628)=1,1,0),0))</f>
        <v>0</v>
      </c>
      <c r="T628" t="str">
        <f>IF(AND($M628&lt;&gt;"",$M628='Mapa do Galpão'!$C$20),COUNTIF($M$6:$M628,'Mapa do Galpão'!$C$20),"")</f>
        <v/>
      </c>
    </row>
    <row r="629" spans="1:20" ht="14.25" hidden="1" customHeight="1" x14ac:dyDescent="0.3">
      <c r="A629" s="43" t="s">
        <v>1616</v>
      </c>
      <c r="B629" s="50" t="s">
        <v>1424</v>
      </c>
      <c r="C629" s="165" t="s">
        <v>104</v>
      </c>
      <c r="D629" s="45" t="str">
        <f t="shared" si="22"/>
        <v>Masculino</v>
      </c>
      <c r="E629" s="43" t="s">
        <v>666</v>
      </c>
      <c r="F629" s="43" t="s">
        <v>754</v>
      </c>
      <c r="G629" s="43" t="s">
        <v>755</v>
      </c>
      <c r="H629" s="43" t="s">
        <v>682</v>
      </c>
      <c r="I629" s="46">
        <f>SUMIFS(Movimentações!$F$6:$F$4998,Movimentações!$C$6:$C$4998,A629,Movimentações!$M$6:$M$4998,M629)</f>
        <v>0</v>
      </c>
      <c r="J629" s="43" t="s">
        <v>670</v>
      </c>
      <c r="K629" s="43" t="s">
        <v>1419</v>
      </c>
      <c r="L629" s="47">
        <v>14</v>
      </c>
      <c r="M629" s="43" t="s">
        <v>1615</v>
      </c>
      <c r="N629" s="43" t="str">
        <f t="shared" si="23"/>
        <v>Rua B · Prat 14 · C-192</v>
      </c>
      <c r="P629">
        <f>IF(A629="","",IF(AND(K629&lt;&gt;"",L629&lt;&gt;""),IF(COUNTIFS($K$6:K629,K629,$L$6:L629,L629)=1,1,0),0))</f>
        <v>0</v>
      </c>
      <c r="Q629">
        <f>IF(A629="","",IF(AND(K629&lt;&gt;"",M629&lt;&gt;""),IF(COUNTIFS($K$6:K629,K629,$M$6:M629,M629)=1,1,0),0))</f>
        <v>0</v>
      </c>
      <c r="R629">
        <f>IF(A629="","",IF(M629&lt;&gt;"",IF(COUNTIF($M$6:M629,M629)=1,1,0),0))</f>
        <v>0</v>
      </c>
      <c r="T629" t="str">
        <f>IF(AND($M629&lt;&gt;"",$M629='Mapa do Galpão'!$C$20),COUNTIF($M$6:$M629,'Mapa do Galpão'!$C$20),"")</f>
        <v/>
      </c>
    </row>
    <row r="630" spans="1:20" ht="14.25" hidden="1" customHeight="1" x14ac:dyDescent="0.3">
      <c r="A630" s="43" t="s">
        <v>1617</v>
      </c>
      <c r="B630" s="50" t="s">
        <v>1424</v>
      </c>
      <c r="C630" s="165" t="s">
        <v>509</v>
      </c>
      <c r="D630" s="45" t="str">
        <f t="shared" si="22"/>
        <v>Masculino</v>
      </c>
      <c r="E630" s="43" t="s">
        <v>666</v>
      </c>
      <c r="F630" s="43" t="s">
        <v>1585</v>
      </c>
      <c r="G630" s="43" t="s">
        <v>755</v>
      </c>
      <c r="H630" s="43" t="s">
        <v>680</v>
      </c>
      <c r="I630" s="46">
        <f>SUMIFS(Movimentações!$F$6:$F$4998,Movimentações!$C$6:$C$4998,A630,Movimentações!$M$6:$M$4998,M630)</f>
        <v>15</v>
      </c>
      <c r="J630" s="43" t="s">
        <v>670</v>
      </c>
      <c r="K630" s="43" t="s">
        <v>1419</v>
      </c>
      <c r="L630" s="47" t="s">
        <v>1516</v>
      </c>
      <c r="M630" s="43" t="s">
        <v>1618</v>
      </c>
      <c r="N630" s="43" t="str">
        <f t="shared" si="23"/>
        <v>Rua B · Prat 13 · C-193</v>
      </c>
      <c r="P630">
        <f>IF(A630="","",IF(AND(K630&lt;&gt;"",L630&lt;&gt;""),IF(COUNTIFS($K$6:K630,K630,$L$6:L630,L630)=1,1,0),0))</f>
        <v>0</v>
      </c>
      <c r="Q630">
        <f>IF(A630="","",IF(AND(K630&lt;&gt;"",M630&lt;&gt;""),IF(COUNTIFS($K$6:K630,K630,$M$6:M630,M630)=1,1,0),0))</f>
        <v>1</v>
      </c>
      <c r="R630">
        <f>IF(A630="","",IF(M630&lt;&gt;"",IF(COUNTIF($M$6:M630,M630)=1,1,0),0))</f>
        <v>1</v>
      </c>
      <c r="T630" t="str">
        <f>IF(AND($M630&lt;&gt;"",$M630='Mapa do Galpão'!$C$20),COUNTIF($M$6:$M630,'Mapa do Galpão'!$C$20),"")</f>
        <v/>
      </c>
    </row>
    <row r="631" spans="1:20" ht="14.25" hidden="1" customHeight="1" x14ac:dyDescent="0.3">
      <c r="A631" s="43" t="s">
        <v>1619</v>
      </c>
      <c r="B631" s="50" t="s">
        <v>1424</v>
      </c>
      <c r="C631" s="165" t="s">
        <v>507</v>
      </c>
      <c r="D631" s="45" t="str">
        <f t="shared" ref="D631:D694" si="24">IF(C631="","",IFERROR(IF(TRIM(MID(SUBSTITUTE(C631,".",REPT(" ",50)),51,50))="01","Masculino",IF(TRIM(MID(SUBSTITUTE(C631,".",REPT(" ",50)),51,50))="02","Feminino",IF(TRIM(MID(SUBSTITUTE(C631,".",REPT(" ",50)),51,50))="03","Outros","—"))),"—"))</f>
        <v>Masculino</v>
      </c>
      <c r="E631" s="43" t="s">
        <v>666</v>
      </c>
      <c r="F631" s="43" t="s">
        <v>1585</v>
      </c>
      <c r="G631" s="43" t="s">
        <v>755</v>
      </c>
      <c r="H631" s="43" t="s">
        <v>675</v>
      </c>
      <c r="I631" s="46">
        <f>SUMIFS(Movimentações!$F$6:$F$4998,Movimentações!$C$6:$C$4998,A631,Movimentações!$M$6:$M$4998,M631)</f>
        <v>52</v>
      </c>
      <c r="J631" s="43" t="s">
        <v>670</v>
      </c>
      <c r="K631" s="43" t="s">
        <v>1419</v>
      </c>
      <c r="L631" s="47" t="s">
        <v>1516</v>
      </c>
      <c r="M631" s="43" t="s">
        <v>1618</v>
      </c>
      <c r="N631" s="43" t="str">
        <f t="shared" ref="N631:N694" si="25">IF(AND(K631="",L631="",M631=""),"⚠ sem endereço","Rua "&amp;K631&amp;IF(L631="",""," · Prat "&amp;L631)&amp;IF(M631="",""," · "&amp;M631))</f>
        <v>Rua B · Prat 13 · C-193</v>
      </c>
      <c r="P631">
        <f>IF(A631="","",IF(AND(K631&lt;&gt;"",L631&lt;&gt;""),IF(COUNTIFS($K$6:K631,K631,$L$6:L631,L631)=1,1,0),0))</f>
        <v>0</v>
      </c>
      <c r="Q631">
        <f>IF(A631="","",IF(AND(K631&lt;&gt;"",M631&lt;&gt;""),IF(COUNTIFS($K$6:K631,K631,$M$6:M631,M631)=1,1,0),0))</f>
        <v>0</v>
      </c>
      <c r="R631">
        <f>IF(A631="","",IF(M631&lt;&gt;"",IF(COUNTIF($M$6:M631,M631)=1,1,0),0))</f>
        <v>0</v>
      </c>
      <c r="T631" t="str">
        <f>IF(AND($M631&lt;&gt;"",$M631='Mapa do Galpão'!$C$20),COUNTIF($M$6:$M631,'Mapa do Galpão'!$C$20),"")</f>
        <v/>
      </c>
    </row>
    <row r="632" spans="1:20" ht="14.25" hidden="1" customHeight="1" x14ac:dyDescent="0.3">
      <c r="A632" s="43" t="s">
        <v>1620</v>
      </c>
      <c r="B632" s="50" t="s">
        <v>1424</v>
      </c>
      <c r="C632" s="165" t="s">
        <v>511</v>
      </c>
      <c r="D632" s="45" t="str">
        <f t="shared" si="24"/>
        <v>Masculino</v>
      </c>
      <c r="E632" s="43" t="s">
        <v>684</v>
      </c>
      <c r="F632" s="43" t="s">
        <v>1621</v>
      </c>
      <c r="G632" s="43" t="s">
        <v>668</v>
      </c>
      <c r="H632" s="43" t="s">
        <v>680</v>
      </c>
      <c r="I632" s="46">
        <f>SUMIFS(Movimentações!$F$6:$F$4998,Movimentações!$C$6:$C$4998,A632,Movimentações!$M$6:$M$4998,M632)</f>
        <v>28</v>
      </c>
      <c r="J632" s="43" t="s">
        <v>670</v>
      </c>
      <c r="K632" s="43" t="s">
        <v>1419</v>
      </c>
      <c r="L632" s="47" t="s">
        <v>1516</v>
      </c>
      <c r="M632" s="43" t="s">
        <v>1622</v>
      </c>
      <c r="N632" s="43" t="str">
        <f t="shared" si="25"/>
        <v>Rua B · Prat 13 · C-194</v>
      </c>
      <c r="P632">
        <f>IF(A632="","",IF(AND(K632&lt;&gt;"",L632&lt;&gt;""),IF(COUNTIFS($K$6:K632,K632,$L$6:L632,L632)=1,1,0),0))</f>
        <v>0</v>
      </c>
      <c r="Q632">
        <f>IF(A632="","",IF(AND(K632&lt;&gt;"",M632&lt;&gt;""),IF(COUNTIFS($K$6:K632,K632,$M$6:M632,M632)=1,1,0),0))</f>
        <v>1</v>
      </c>
      <c r="R632">
        <f>IF(A632="","",IF(M632&lt;&gt;"",IF(COUNTIF($M$6:M632,M632)=1,1,0),0))</f>
        <v>1</v>
      </c>
      <c r="T632" t="str">
        <f>IF(AND($M632&lt;&gt;"",$M632='Mapa do Galpão'!$C$20),COUNTIF($M$6:$M632,'Mapa do Galpão'!$C$20),"")</f>
        <v/>
      </c>
    </row>
    <row r="633" spans="1:20" ht="14.25" hidden="1" customHeight="1" x14ac:dyDescent="0.3">
      <c r="A633" s="43" t="s">
        <v>1623</v>
      </c>
      <c r="B633" s="50" t="s">
        <v>1424</v>
      </c>
      <c r="C633" s="165" t="s">
        <v>512</v>
      </c>
      <c r="D633" s="45" t="str">
        <f t="shared" si="24"/>
        <v>Masculino</v>
      </c>
      <c r="E633" s="43" t="s">
        <v>684</v>
      </c>
      <c r="F633" s="43" t="s">
        <v>1621</v>
      </c>
      <c r="G633" s="43" t="s">
        <v>668</v>
      </c>
      <c r="H633" s="43" t="s">
        <v>675</v>
      </c>
      <c r="I633" s="46">
        <f>SUMIFS(Movimentações!$F$6:$F$4998,Movimentações!$C$6:$C$4998,A633,Movimentações!$M$6:$M$4998,M633)</f>
        <v>13</v>
      </c>
      <c r="J633" s="43" t="s">
        <v>670</v>
      </c>
      <c r="K633" s="43" t="s">
        <v>1419</v>
      </c>
      <c r="L633" s="47" t="s">
        <v>1516</v>
      </c>
      <c r="M633" s="43" t="s">
        <v>1622</v>
      </c>
      <c r="N633" s="43" t="str">
        <f t="shared" si="25"/>
        <v>Rua B · Prat 13 · C-194</v>
      </c>
      <c r="P633">
        <f>IF(A633="","",IF(AND(K633&lt;&gt;"",L633&lt;&gt;""),IF(COUNTIFS($K$6:K633,K633,$L$6:L633,L633)=1,1,0),0))</f>
        <v>0</v>
      </c>
      <c r="Q633">
        <f>IF(A633="","",IF(AND(K633&lt;&gt;"",M633&lt;&gt;""),IF(COUNTIFS($K$6:K633,K633,$M$6:M633,M633)=1,1,0),0))</f>
        <v>0</v>
      </c>
      <c r="R633">
        <f>IF(A633="","",IF(M633&lt;&gt;"",IF(COUNTIF($M$6:M633,M633)=1,1,0),0))</f>
        <v>0</v>
      </c>
      <c r="T633" t="str">
        <f>IF(AND($M633&lt;&gt;"",$M633='Mapa do Galpão'!$C$20),COUNTIF($M$6:$M633,'Mapa do Galpão'!$C$20),"")</f>
        <v/>
      </c>
    </row>
    <row r="634" spans="1:20" ht="14.25" hidden="1" customHeight="1" x14ac:dyDescent="0.3">
      <c r="A634" s="43" t="s">
        <v>1624</v>
      </c>
      <c r="B634" s="50" t="s">
        <v>1424</v>
      </c>
      <c r="C634" s="165" t="s">
        <v>513</v>
      </c>
      <c r="D634" s="45" t="str">
        <f t="shared" si="24"/>
        <v>Masculino</v>
      </c>
      <c r="E634" s="43" t="s">
        <v>684</v>
      </c>
      <c r="F634" s="43" t="s">
        <v>1621</v>
      </c>
      <c r="G634" s="43" t="s">
        <v>668</v>
      </c>
      <c r="H634" s="43" t="s">
        <v>669</v>
      </c>
      <c r="I634" s="46">
        <f>SUMIFS(Movimentações!$F$6:$F$4998,Movimentações!$C$6:$C$4998,A634,Movimentações!$M$6:$M$4998,M634)</f>
        <v>5</v>
      </c>
      <c r="J634" s="43" t="s">
        <v>670</v>
      </c>
      <c r="K634" s="43" t="s">
        <v>1419</v>
      </c>
      <c r="L634" s="47" t="s">
        <v>1516</v>
      </c>
      <c r="M634" s="43" t="s">
        <v>1622</v>
      </c>
      <c r="N634" s="43" t="str">
        <f t="shared" si="25"/>
        <v>Rua B · Prat 13 · C-194</v>
      </c>
      <c r="P634">
        <f>IF(A634="","",IF(AND(K634&lt;&gt;"",L634&lt;&gt;""),IF(COUNTIFS($K$6:K634,K634,$L$6:L634,L634)=1,1,0),0))</f>
        <v>0</v>
      </c>
      <c r="Q634">
        <f>IF(A634="","",IF(AND(K634&lt;&gt;"",M634&lt;&gt;""),IF(COUNTIFS($K$6:K634,K634,$M$6:M634,M634)=1,1,0),0))</f>
        <v>0</v>
      </c>
      <c r="R634">
        <f>IF(A634="","",IF(M634&lt;&gt;"",IF(COUNTIF($M$6:M634,M634)=1,1,0),0))</f>
        <v>0</v>
      </c>
      <c r="T634" t="str">
        <f>IF(AND($M634&lt;&gt;"",$M634='Mapa do Galpão'!$C$20),COUNTIF($M$6:$M634,'Mapa do Galpão'!$C$20),"")</f>
        <v/>
      </c>
    </row>
    <row r="635" spans="1:20" ht="14.25" hidden="1" customHeight="1" x14ac:dyDescent="0.3">
      <c r="A635" s="43" t="s">
        <v>1625</v>
      </c>
      <c r="B635" s="50" t="s">
        <v>1424</v>
      </c>
      <c r="C635" s="165" t="s">
        <v>514</v>
      </c>
      <c r="D635" s="45" t="str">
        <f t="shared" si="24"/>
        <v>Masculino</v>
      </c>
      <c r="E635" s="43" t="s">
        <v>684</v>
      </c>
      <c r="F635" s="43" t="s">
        <v>1621</v>
      </c>
      <c r="G635" s="43" t="s">
        <v>668</v>
      </c>
      <c r="H635" s="43" t="s">
        <v>682</v>
      </c>
      <c r="I635" s="46">
        <f>SUMIFS(Movimentações!$F$6:$F$4998,Movimentações!$C$6:$C$4998,A635,Movimentações!$M$6:$M$4998,M635)</f>
        <v>25</v>
      </c>
      <c r="J635" s="43" t="s">
        <v>670</v>
      </c>
      <c r="K635" s="43" t="s">
        <v>1419</v>
      </c>
      <c r="L635" s="47" t="s">
        <v>1516</v>
      </c>
      <c r="M635" s="43" t="s">
        <v>1622</v>
      </c>
      <c r="N635" s="43" t="str">
        <f t="shared" si="25"/>
        <v>Rua B · Prat 13 · C-194</v>
      </c>
      <c r="P635">
        <f>IF(A635="","",IF(AND(K635&lt;&gt;"",L635&lt;&gt;""),IF(COUNTIFS($K$6:K635,K635,$L$6:L635,L635)=1,1,0),0))</f>
        <v>0</v>
      </c>
      <c r="Q635">
        <f>IF(A635="","",IF(AND(K635&lt;&gt;"",M635&lt;&gt;""),IF(COUNTIFS($K$6:K635,K635,$M$6:M635,M635)=1,1,0),0))</f>
        <v>0</v>
      </c>
      <c r="R635">
        <f>IF(A635="","",IF(M635&lt;&gt;"",IF(COUNTIF($M$6:M635,M635)=1,1,0),0))</f>
        <v>0</v>
      </c>
      <c r="T635" t="str">
        <f>IF(AND($M635&lt;&gt;"",$M635='Mapa do Galpão'!$C$20),COUNTIF($M$6:$M635,'Mapa do Galpão'!$C$20),"")</f>
        <v/>
      </c>
    </row>
    <row r="636" spans="1:20" ht="14.25" hidden="1" customHeight="1" x14ac:dyDescent="0.3">
      <c r="A636" s="43" t="s">
        <v>1626</v>
      </c>
      <c r="B636" s="50" t="s">
        <v>1424</v>
      </c>
      <c r="C636" s="165" t="s">
        <v>515</v>
      </c>
      <c r="D636" s="45" t="str">
        <f t="shared" si="24"/>
        <v>Masculino</v>
      </c>
      <c r="E636" s="43" t="s">
        <v>684</v>
      </c>
      <c r="F636" s="43" t="s">
        <v>1621</v>
      </c>
      <c r="G636" s="43" t="s">
        <v>668</v>
      </c>
      <c r="H636" s="43" t="s">
        <v>677</v>
      </c>
      <c r="I636" s="46">
        <f>SUMIFS(Movimentações!$F$6:$F$4998,Movimentações!$C$6:$C$4998,A636,Movimentações!$M$6:$M$4998,M636)</f>
        <v>15</v>
      </c>
      <c r="J636" s="43" t="s">
        <v>670</v>
      </c>
      <c r="K636" s="43" t="s">
        <v>1419</v>
      </c>
      <c r="L636" s="47" t="s">
        <v>1516</v>
      </c>
      <c r="M636" s="43" t="s">
        <v>1622</v>
      </c>
      <c r="N636" s="43" t="str">
        <f t="shared" si="25"/>
        <v>Rua B · Prat 13 · C-194</v>
      </c>
      <c r="P636">
        <f>IF(A636="","",IF(AND(K636&lt;&gt;"",L636&lt;&gt;""),IF(COUNTIFS($K$6:K636,K636,$L$6:L636,L636)=1,1,0),0))</f>
        <v>0</v>
      </c>
      <c r="Q636">
        <f>IF(A636="","",IF(AND(K636&lt;&gt;"",M636&lt;&gt;""),IF(COUNTIFS($K$6:K636,K636,$M$6:M636,M636)=1,1,0),0))</f>
        <v>0</v>
      </c>
      <c r="R636">
        <f>IF(A636="","",IF(M636&lt;&gt;"",IF(COUNTIF($M$6:M636,M636)=1,1,0),0))</f>
        <v>0</v>
      </c>
      <c r="T636" t="str">
        <f>IF(AND($M636&lt;&gt;"",$M636='Mapa do Galpão'!$C$20),COUNTIF($M$6:$M636,'Mapa do Galpão'!$C$20),"")</f>
        <v/>
      </c>
    </row>
    <row r="637" spans="1:20" ht="14.25" hidden="1" customHeight="1" x14ac:dyDescent="0.3">
      <c r="A637" s="43" t="s">
        <v>1627</v>
      </c>
      <c r="B637" s="50" t="s">
        <v>1424</v>
      </c>
      <c r="C637" s="165" t="s">
        <v>131</v>
      </c>
      <c r="D637" s="45" t="str">
        <f t="shared" si="24"/>
        <v>Masculino</v>
      </c>
      <c r="E637" s="43" t="s">
        <v>666</v>
      </c>
      <c r="F637" s="43" t="s">
        <v>1628</v>
      </c>
      <c r="G637" s="43" t="s">
        <v>798</v>
      </c>
      <c r="H637" s="43" t="s">
        <v>680</v>
      </c>
      <c r="I637" s="46">
        <f>SUMIFS(Movimentações!$F$6:$F$4998,Movimentações!$C$6:$C$4998,A637,Movimentações!$M$6:$M$4998,M637)</f>
        <v>50</v>
      </c>
      <c r="J637" s="43" t="s">
        <v>670</v>
      </c>
      <c r="K637" s="43" t="s">
        <v>1419</v>
      </c>
      <c r="L637" s="47" t="s">
        <v>1519</v>
      </c>
      <c r="M637" s="43" t="s">
        <v>1629</v>
      </c>
      <c r="N637" s="43" t="str">
        <f t="shared" si="25"/>
        <v>Rua B · Prat 14 · C-195</v>
      </c>
      <c r="P637">
        <f>IF(A637="","",IF(AND(K637&lt;&gt;"",L637&lt;&gt;""),IF(COUNTIFS($K$6:K637,K637,$L$6:L637,L637)=1,1,0),0))</f>
        <v>0</v>
      </c>
      <c r="Q637">
        <f>IF(A637="","",IF(AND(K637&lt;&gt;"",M637&lt;&gt;""),IF(COUNTIFS($K$6:K637,K637,$M$6:M637,M637)=1,1,0),0))</f>
        <v>1</v>
      </c>
      <c r="R637">
        <f>IF(A637="","",IF(M637&lt;&gt;"",IF(COUNTIF($M$6:M637,M637)=1,1,0),0))</f>
        <v>1</v>
      </c>
      <c r="T637" t="str">
        <f>IF(AND($M637&lt;&gt;"",$M637='Mapa do Galpão'!$C$20),COUNTIF($M$6:$M637,'Mapa do Galpão'!$C$20),"")</f>
        <v/>
      </c>
    </row>
    <row r="638" spans="1:20" ht="14.25" hidden="1" customHeight="1" x14ac:dyDescent="0.3">
      <c r="A638" s="43" t="s">
        <v>1630</v>
      </c>
      <c r="B638" s="50" t="s">
        <v>1424</v>
      </c>
      <c r="C638" s="165" t="s">
        <v>132</v>
      </c>
      <c r="D638" s="45" t="str">
        <f t="shared" si="24"/>
        <v>Masculino</v>
      </c>
      <c r="E638" s="43" t="s">
        <v>666</v>
      </c>
      <c r="F638" s="43" t="s">
        <v>1628</v>
      </c>
      <c r="G638" s="43" t="s">
        <v>798</v>
      </c>
      <c r="H638" s="43" t="s">
        <v>675</v>
      </c>
      <c r="I638" s="46">
        <f>SUMIFS(Movimentações!$F$6:$F$4998,Movimentações!$C$6:$C$4998,A638,Movimentações!$M$6:$M$4998,M638)</f>
        <v>50</v>
      </c>
      <c r="J638" s="43" t="s">
        <v>670</v>
      </c>
      <c r="K638" s="43" t="s">
        <v>1419</v>
      </c>
      <c r="L638" s="47" t="s">
        <v>1519</v>
      </c>
      <c r="M638" s="43" t="s">
        <v>1631</v>
      </c>
      <c r="N638" s="43" t="str">
        <f t="shared" si="25"/>
        <v>Rua B · Prat 14 · C-196</v>
      </c>
      <c r="P638">
        <f>IF(A638="","",IF(AND(K638&lt;&gt;"",L638&lt;&gt;""),IF(COUNTIFS($K$6:K638,K638,$L$6:L638,L638)=1,1,0),0))</f>
        <v>0</v>
      </c>
      <c r="Q638">
        <f>IF(A638="","",IF(AND(K638&lt;&gt;"",M638&lt;&gt;""),IF(COUNTIFS($K$6:K638,K638,$M$6:M638,M638)=1,1,0),0))</f>
        <v>1</v>
      </c>
      <c r="R638">
        <f>IF(A638="","",IF(M638&lt;&gt;"",IF(COUNTIF($M$6:M638,M638)=1,1,0),0))</f>
        <v>1</v>
      </c>
      <c r="T638" t="str">
        <f>IF(AND($M638&lt;&gt;"",$M638='Mapa do Galpão'!$C$20),COUNTIF($M$6:$M638,'Mapa do Galpão'!$C$20),"")</f>
        <v/>
      </c>
    </row>
    <row r="639" spans="1:20" ht="14.25" hidden="1" customHeight="1" x14ac:dyDescent="0.3">
      <c r="A639" s="43" t="s">
        <v>1630</v>
      </c>
      <c r="B639" s="50" t="s">
        <v>1424</v>
      </c>
      <c r="C639" s="165" t="s">
        <v>132</v>
      </c>
      <c r="D639" s="45" t="str">
        <f t="shared" si="24"/>
        <v>Masculino</v>
      </c>
      <c r="E639" s="43" t="s">
        <v>666</v>
      </c>
      <c r="F639" s="43" t="s">
        <v>1628</v>
      </c>
      <c r="G639" s="43" t="s">
        <v>798</v>
      </c>
      <c r="H639" s="43" t="s">
        <v>675</v>
      </c>
      <c r="I639" s="46">
        <f>SUMIFS(Movimentações!$F$6:$F$4998,Movimentações!$C$6:$C$4998,A639,Movimentações!$M$6:$M$4998,M639)</f>
        <v>26</v>
      </c>
      <c r="J639" s="43" t="s">
        <v>670</v>
      </c>
      <c r="K639" s="43" t="s">
        <v>1419</v>
      </c>
      <c r="L639" s="47">
        <v>11</v>
      </c>
      <c r="M639" s="48" t="s">
        <v>801</v>
      </c>
      <c r="N639" s="43" t="str">
        <f t="shared" si="25"/>
        <v>Rua B · Prat 11 · C-24</v>
      </c>
      <c r="P639">
        <f>IF(A639="","",IF(AND(K639&lt;&gt;"",L639&lt;&gt;""),IF(COUNTIFS($K$6:K639,K639,$L$6:L639,L639)=1,1,0),0))</f>
        <v>1</v>
      </c>
      <c r="Q639">
        <f>IF(A639="","",IF(AND(K639&lt;&gt;"",M639&lt;&gt;""),IF(COUNTIFS($K$6:K639,K639,$M$6:M639,M639)=1,1,0),0))</f>
        <v>1</v>
      </c>
      <c r="R639">
        <f>IF(A639="","",IF(M639&lt;&gt;"",IF(COUNTIF($M$6:M639,M639)=1,1,0),0))</f>
        <v>0</v>
      </c>
      <c r="T639" t="str">
        <f>IF(AND($M639&lt;&gt;"",$M639='Mapa do Galpão'!$C$20),COUNTIF($M$6:$M639,'Mapa do Galpão'!$C$20),"")</f>
        <v/>
      </c>
    </row>
    <row r="640" spans="1:20" ht="14.25" hidden="1" customHeight="1" x14ac:dyDescent="0.3">
      <c r="A640" s="43" t="s">
        <v>1632</v>
      </c>
      <c r="B640" s="50" t="s">
        <v>1424</v>
      </c>
      <c r="C640" s="165" t="s">
        <v>134</v>
      </c>
      <c r="D640" s="45" t="str">
        <f t="shared" si="24"/>
        <v>Masculino</v>
      </c>
      <c r="E640" s="43" t="s">
        <v>666</v>
      </c>
      <c r="F640" s="43" t="s">
        <v>1628</v>
      </c>
      <c r="G640" s="43" t="s">
        <v>798</v>
      </c>
      <c r="H640" s="43" t="s">
        <v>682</v>
      </c>
      <c r="I640" s="46">
        <f>SUMIFS(Movimentações!$F$6:$F$4998,Movimentações!$C$6:$C$4998,A640,Movimentações!$M$6:$M$4998,M640)</f>
        <v>0</v>
      </c>
      <c r="J640" s="43" t="s">
        <v>670</v>
      </c>
      <c r="K640" s="43" t="s">
        <v>1419</v>
      </c>
      <c r="L640" s="47" t="s">
        <v>1519</v>
      </c>
      <c r="M640" s="43" t="s">
        <v>1633</v>
      </c>
      <c r="N640" s="43" t="str">
        <f t="shared" si="25"/>
        <v>Rua B · Prat 14 · C-197</v>
      </c>
      <c r="P640">
        <f>IF(A640="","",IF(AND(K640&lt;&gt;"",L640&lt;&gt;""),IF(COUNTIFS($K$6:K640,K640,$L$6:L640,L640)=1,1,0),0))</f>
        <v>0</v>
      </c>
      <c r="Q640">
        <f>IF(A640="","",IF(AND(K640&lt;&gt;"",M640&lt;&gt;""),IF(COUNTIFS($K$6:K640,K640,$M$6:M640,M640)=1,1,0),0))</f>
        <v>1</v>
      </c>
      <c r="R640">
        <f>IF(A640="","",IF(M640&lt;&gt;"",IF(COUNTIF($M$6:M640,M640)=1,1,0),0))</f>
        <v>1</v>
      </c>
      <c r="T640" t="str">
        <f>IF(AND($M640&lt;&gt;"",$M640='Mapa do Galpão'!$C$20),COUNTIF($M$6:$M640,'Mapa do Galpão'!$C$20),"")</f>
        <v/>
      </c>
    </row>
    <row r="641" spans="1:20" ht="14.25" hidden="1" customHeight="1" x14ac:dyDescent="0.3">
      <c r="A641" s="43" t="s">
        <v>1634</v>
      </c>
      <c r="B641" s="50" t="s">
        <v>1424</v>
      </c>
      <c r="C641" s="165" t="s">
        <v>119</v>
      </c>
      <c r="D641" s="45" t="str">
        <f t="shared" si="24"/>
        <v>Masculino</v>
      </c>
      <c r="E641" s="43" t="s">
        <v>666</v>
      </c>
      <c r="F641" s="43" t="s">
        <v>754</v>
      </c>
      <c r="G641" s="43" t="s">
        <v>1635</v>
      </c>
      <c r="H641" s="43" t="s">
        <v>680</v>
      </c>
      <c r="I641" s="46">
        <f>SUMIFS(Movimentações!$F$6:$F$4998,Movimentações!$C$6:$C$4998,A641,Movimentações!$M$6:$M$4998,M641)</f>
        <v>0</v>
      </c>
      <c r="J641" s="43" t="s">
        <v>670</v>
      </c>
      <c r="K641" s="43" t="s">
        <v>1419</v>
      </c>
      <c r="L641" s="47" t="s">
        <v>1519</v>
      </c>
      <c r="M641" s="43" t="s">
        <v>1636</v>
      </c>
      <c r="N641" s="43" t="str">
        <f t="shared" si="25"/>
        <v>Rua B · Prat 14 · C-198</v>
      </c>
      <c r="P641">
        <f>IF(A641="","",IF(AND(K641&lt;&gt;"",L641&lt;&gt;""),IF(COUNTIFS($K$6:K641,K641,$L$6:L641,L641)=1,1,0),0))</f>
        <v>0</v>
      </c>
      <c r="Q641">
        <f>IF(A641="","",IF(AND(K641&lt;&gt;"",M641&lt;&gt;""),IF(COUNTIFS($K$6:K641,K641,$M$6:M641,M641)=1,1,0),0))</f>
        <v>1</v>
      </c>
      <c r="R641">
        <f>IF(A641="","",IF(M641&lt;&gt;"",IF(COUNTIF($M$6:M641,M641)=1,1,0),0))</f>
        <v>1</v>
      </c>
      <c r="T641" t="str">
        <f>IF(AND($M641&lt;&gt;"",$M641='Mapa do Galpão'!$C$20),COUNTIF($M$6:$M641,'Mapa do Galpão'!$C$20),"")</f>
        <v/>
      </c>
    </row>
    <row r="642" spans="1:20" ht="14.25" hidden="1" customHeight="1" x14ac:dyDescent="0.3">
      <c r="A642" s="43" t="s">
        <v>1637</v>
      </c>
      <c r="B642" s="50" t="s">
        <v>1424</v>
      </c>
      <c r="C642" s="165" t="s">
        <v>120</v>
      </c>
      <c r="D642" s="45" t="str">
        <f t="shared" si="24"/>
        <v>Masculino</v>
      </c>
      <c r="E642" s="43" t="s">
        <v>666</v>
      </c>
      <c r="F642" s="43" t="s">
        <v>754</v>
      </c>
      <c r="G642" s="43" t="s">
        <v>1635</v>
      </c>
      <c r="H642" s="43" t="s">
        <v>675</v>
      </c>
      <c r="I642" s="46">
        <f>SUMIFS(Movimentações!$F$6:$F$4998,Movimentações!$C$6:$C$4998,A642,Movimentações!$M$6:$M$4998,M642)</f>
        <v>25</v>
      </c>
      <c r="J642" s="43" t="s">
        <v>670</v>
      </c>
      <c r="K642" s="43" t="s">
        <v>671</v>
      </c>
      <c r="L642" s="47">
        <v>13</v>
      </c>
      <c r="M642" s="48" t="s">
        <v>1638</v>
      </c>
      <c r="N642" s="43" t="str">
        <f t="shared" si="25"/>
        <v>Rua A · Prat 13 · C-21</v>
      </c>
      <c r="P642">
        <f>IF(A642="","",IF(AND(K642&lt;&gt;"",L642&lt;&gt;""),IF(COUNTIFS($K$6:K642,K642,$L$6:L642,L642)=1,1,0),0))</f>
        <v>0</v>
      </c>
      <c r="Q642">
        <f>IF(A642="","",IF(AND(K642&lt;&gt;"",M642&lt;&gt;""),IF(COUNTIFS($K$6:K642,K642,$M$6:M642,M642)=1,1,0),0))</f>
        <v>1</v>
      </c>
      <c r="R642">
        <f>IF(A642="","",IF(M642&lt;&gt;"",IF(COUNTIF($M$6:M642,M642)=1,1,0),0))</f>
        <v>1</v>
      </c>
      <c r="T642">
        <f>IF(AND($M642&lt;&gt;"",$M642='Mapa do Galpão'!$C$20),COUNTIF($M$6:$M642,'Mapa do Galpão'!$C$20),"")</f>
        <v>1</v>
      </c>
    </row>
    <row r="643" spans="1:20" ht="14.25" hidden="1" customHeight="1" x14ac:dyDescent="0.3">
      <c r="A643" s="43" t="s">
        <v>1639</v>
      </c>
      <c r="B643" s="50" t="s">
        <v>1424</v>
      </c>
      <c r="C643" s="165" t="s">
        <v>481</v>
      </c>
      <c r="D643" s="45" t="str">
        <f t="shared" si="24"/>
        <v>Masculino</v>
      </c>
      <c r="E643" s="43" t="s">
        <v>684</v>
      </c>
      <c r="F643" s="43" t="s">
        <v>1231</v>
      </c>
      <c r="G643" s="43" t="s">
        <v>755</v>
      </c>
      <c r="H643" s="43" t="s">
        <v>680</v>
      </c>
      <c r="I643" s="46">
        <f>SUMIFS(Movimentações!$F$6:$F$4998,Movimentações!$C$6:$C$4998,A643,Movimentações!$M$6:$M$4998,M643)</f>
        <v>90</v>
      </c>
      <c r="J643" s="43" t="s">
        <v>670</v>
      </c>
      <c r="K643" s="43" t="s">
        <v>1419</v>
      </c>
      <c r="L643" s="47" t="s">
        <v>1519</v>
      </c>
      <c r="M643" s="43" t="s">
        <v>1640</v>
      </c>
      <c r="N643" s="43" t="str">
        <f t="shared" si="25"/>
        <v>Rua B · Prat 14 · C-199</v>
      </c>
      <c r="P643">
        <f>IF(A643="","",IF(AND(K643&lt;&gt;"",L643&lt;&gt;""),IF(COUNTIFS($K$6:K643,K643,$L$6:L643,L643)=1,1,0),0))</f>
        <v>0</v>
      </c>
      <c r="Q643">
        <f>IF(A643="","",IF(AND(K643&lt;&gt;"",M643&lt;&gt;""),IF(COUNTIFS($K$6:K643,K643,$M$6:M643,M643)=1,1,0),0))</f>
        <v>1</v>
      </c>
      <c r="R643">
        <f>IF(A643="","",IF(M643&lt;&gt;"",IF(COUNTIF($M$6:M643,M643)=1,1,0),0))</f>
        <v>1</v>
      </c>
      <c r="T643" t="str">
        <f>IF(AND($M643&lt;&gt;"",$M643='Mapa do Galpão'!$C$20),COUNTIF($M$6:$M643,'Mapa do Galpão'!$C$20),"")</f>
        <v/>
      </c>
    </row>
    <row r="644" spans="1:20" ht="14.25" hidden="1" customHeight="1" x14ac:dyDescent="0.3">
      <c r="A644" s="43" t="s">
        <v>1627</v>
      </c>
      <c r="B644" s="50" t="s">
        <v>1424</v>
      </c>
      <c r="C644" s="165" t="s">
        <v>131</v>
      </c>
      <c r="D644" s="45" t="str">
        <f t="shared" si="24"/>
        <v>Masculino</v>
      </c>
      <c r="E644" s="43" t="s">
        <v>666</v>
      </c>
      <c r="F644" s="43" t="s">
        <v>1628</v>
      </c>
      <c r="G644" s="43" t="s">
        <v>798</v>
      </c>
      <c r="H644" s="43" t="s">
        <v>680</v>
      </c>
      <c r="I644" s="46">
        <f>SUMIFS(Movimentações!$F$6:$F$4998,Movimentações!$C$6:$C$4998,A644,Movimentações!$M$6:$M$4998,M644)</f>
        <v>11</v>
      </c>
      <c r="J644" s="43" t="s">
        <v>670</v>
      </c>
      <c r="K644" s="43" t="s">
        <v>1419</v>
      </c>
      <c r="L644" s="47" t="s">
        <v>807</v>
      </c>
      <c r="M644" s="43" t="s">
        <v>1641</v>
      </c>
      <c r="N644" s="43" t="str">
        <f t="shared" si="25"/>
        <v>Rua B · Prat 9 · C-200</v>
      </c>
      <c r="P644">
        <f>IF(A644="","",IF(AND(K644&lt;&gt;"",L644&lt;&gt;""),IF(COUNTIFS($K$6:K644,K644,$L$6:L644,L644)=1,1,0),0))</f>
        <v>1</v>
      </c>
      <c r="Q644">
        <f>IF(A644="","",IF(AND(K644&lt;&gt;"",M644&lt;&gt;""),IF(COUNTIFS($K$6:K644,K644,$M$6:M644,M644)=1,1,0),0))</f>
        <v>1</v>
      </c>
      <c r="R644">
        <f>IF(A644="","",IF(M644&lt;&gt;"",IF(COUNTIF($M$6:M644,M644)=1,1,0),0))</f>
        <v>1</v>
      </c>
      <c r="T644" t="str">
        <f>IF(AND($M644&lt;&gt;"",$M644='Mapa do Galpão'!$C$20),COUNTIF($M$6:$M644,'Mapa do Galpão'!$C$20),"")</f>
        <v/>
      </c>
    </row>
    <row r="645" spans="1:20" ht="14.25" hidden="1" customHeight="1" x14ac:dyDescent="0.3">
      <c r="A645" s="43" t="s">
        <v>1642</v>
      </c>
      <c r="B645" s="50" t="s">
        <v>1424</v>
      </c>
      <c r="C645" s="165" t="s">
        <v>135</v>
      </c>
      <c r="D645" s="45" t="str">
        <f t="shared" si="24"/>
        <v>Masculino</v>
      </c>
      <c r="E645" s="43" t="s">
        <v>666</v>
      </c>
      <c r="F645" s="43" t="s">
        <v>1628</v>
      </c>
      <c r="G645" s="43" t="s">
        <v>798</v>
      </c>
      <c r="H645" s="43" t="s">
        <v>677</v>
      </c>
      <c r="I645" s="46">
        <f>SUMIFS(Movimentações!$F$6:$F$4998,Movimentações!$C$6:$C$4998,A645,Movimentações!$M$6:$M$4998,M645)</f>
        <v>0</v>
      </c>
      <c r="J645" s="43" t="s">
        <v>670</v>
      </c>
      <c r="K645" s="43" t="s">
        <v>1419</v>
      </c>
      <c r="L645" s="47" t="s">
        <v>807</v>
      </c>
      <c r="M645" s="43" t="s">
        <v>1641</v>
      </c>
      <c r="N645" s="43" t="str">
        <f t="shared" si="25"/>
        <v>Rua B · Prat 9 · C-200</v>
      </c>
      <c r="P645">
        <f>IF(A645="","",IF(AND(K645&lt;&gt;"",L645&lt;&gt;""),IF(COUNTIFS($K$6:K645,K645,$L$6:L645,L645)=1,1,0),0))</f>
        <v>0</v>
      </c>
      <c r="Q645">
        <f>IF(A645="","",IF(AND(K645&lt;&gt;"",M645&lt;&gt;""),IF(COUNTIFS($K$6:K645,K645,$M$6:M645,M645)=1,1,0),0))</f>
        <v>0</v>
      </c>
      <c r="R645">
        <f>IF(A645="","",IF(M645&lt;&gt;"",IF(COUNTIF($M$6:M645,M645)=1,1,0),0))</f>
        <v>0</v>
      </c>
      <c r="T645" t="str">
        <f>IF(AND($M645&lt;&gt;"",$M645='Mapa do Galpão'!$C$20),COUNTIF($M$6:$M645,'Mapa do Galpão'!$C$20),"")</f>
        <v/>
      </c>
    </row>
    <row r="646" spans="1:20" ht="14.25" hidden="1" customHeight="1" x14ac:dyDescent="0.3">
      <c r="A646" s="43" t="s">
        <v>1643</v>
      </c>
      <c r="B646" s="50" t="s">
        <v>1424</v>
      </c>
      <c r="C646" s="165" t="s">
        <v>133</v>
      </c>
      <c r="D646" s="45" t="str">
        <f t="shared" si="24"/>
        <v>Masculino</v>
      </c>
      <c r="E646" s="43" t="s">
        <v>666</v>
      </c>
      <c r="F646" s="43" t="s">
        <v>1628</v>
      </c>
      <c r="G646" s="43" t="s">
        <v>798</v>
      </c>
      <c r="H646" s="43" t="s">
        <v>669</v>
      </c>
      <c r="I646" s="46">
        <f>SUMIFS(Movimentações!$F$6:$F$4998,Movimentações!$C$6:$C$4998,A646,Movimentações!$M$6:$M$4998,M646)</f>
        <v>57</v>
      </c>
      <c r="J646" s="43" t="s">
        <v>670</v>
      </c>
      <c r="K646" s="43" t="s">
        <v>1419</v>
      </c>
      <c r="L646" s="47" t="s">
        <v>807</v>
      </c>
      <c r="M646" s="43" t="s">
        <v>1644</v>
      </c>
      <c r="N646" s="43" t="str">
        <f t="shared" si="25"/>
        <v>Rua B · Prat 9 · C-201</v>
      </c>
      <c r="P646">
        <f>IF(A646="","",IF(AND(K646&lt;&gt;"",L646&lt;&gt;""),IF(COUNTIFS($K$6:K646,K646,$L$6:L646,L646)=1,1,0),0))</f>
        <v>0</v>
      </c>
      <c r="Q646">
        <f>IF(A646="","",IF(AND(K646&lt;&gt;"",M646&lt;&gt;""),IF(COUNTIFS($K$6:K646,K646,$M$6:M646,M646)=1,1,0),0))</f>
        <v>1</v>
      </c>
      <c r="R646">
        <f>IF(A646="","",IF(M646&lt;&gt;"",IF(COUNTIF($M$6:M646,M646)=1,1,0),0))</f>
        <v>1</v>
      </c>
      <c r="T646" t="str">
        <f>IF(AND($M646&lt;&gt;"",$M646='Mapa do Galpão'!$C$20),COUNTIF($M$6:$M646,'Mapa do Galpão'!$C$20),"")</f>
        <v/>
      </c>
    </row>
    <row r="647" spans="1:20" ht="14.25" hidden="1" customHeight="1" x14ac:dyDescent="0.3">
      <c r="A647" s="43" t="s">
        <v>1643</v>
      </c>
      <c r="B647" s="50" t="s">
        <v>1424</v>
      </c>
      <c r="C647" s="165" t="s">
        <v>133</v>
      </c>
      <c r="D647" s="45" t="str">
        <f t="shared" si="24"/>
        <v>Masculino</v>
      </c>
      <c r="E647" s="43" t="s">
        <v>666</v>
      </c>
      <c r="F647" s="43" t="s">
        <v>1628</v>
      </c>
      <c r="G647" s="43" t="s">
        <v>798</v>
      </c>
      <c r="H647" s="43" t="s">
        <v>669</v>
      </c>
      <c r="I647" s="46">
        <f>SUMIFS(Movimentações!$F$6:$F$4998,Movimentações!$C$6:$C$4998,A647,Movimentações!$M$6:$M$4998,M647)</f>
        <v>10</v>
      </c>
      <c r="J647" s="43" t="s">
        <v>670</v>
      </c>
      <c r="K647" s="43" t="s">
        <v>1419</v>
      </c>
      <c r="L647" s="47" t="s">
        <v>807</v>
      </c>
      <c r="M647" s="43" t="s">
        <v>1645</v>
      </c>
      <c r="N647" s="43" t="str">
        <f t="shared" si="25"/>
        <v>Rua B · Prat 9 · C-202</v>
      </c>
      <c r="P647">
        <f>IF(A647="","",IF(AND(K647&lt;&gt;"",L647&lt;&gt;""),IF(COUNTIFS($K$6:K647,K647,$L$6:L647,L647)=1,1,0),0))</f>
        <v>0</v>
      </c>
      <c r="Q647">
        <f>IF(A647="","",IF(AND(K647&lt;&gt;"",M647&lt;&gt;""),IF(COUNTIFS($K$6:K647,K647,$M$6:M647,M647)=1,1,0),0))</f>
        <v>1</v>
      </c>
      <c r="R647">
        <f>IF(A647="","",IF(M647&lt;&gt;"",IF(COUNTIF($M$6:M647,M647)=1,1,0),0))</f>
        <v>1</v>
      </c>
      <c r="T647" t="str">
        <f>IF(AND($M647&lt;&gt;"",$M647='Mapa do Galpão'!$C$20),COUNTIF($M$6:$M647,'Mapa do Galpão'!$C$20),"")</f>
        <v/>
      </c>
    </row>
    <row r="648" spans="1:20" ht="14.25" hidden="1" customHeight="1" x14ac:dyDescent="0.3">
      <c r="A648" s="43" t="s">
        <v>1630</v>
      </c>
      <c r="B648" s="50" t="s">
        <v>1424</v>
      </c>
      <c r="C648" s="165" t="s">
        <v>132</v>
      </c>
      <c r="D648" s="45" t="str">
        <f t="shared" si="24"/>
        <v>Masculino</v>
      </c>
      <c r="E648" s="43" t="s">
        <v>666</v>
      </c>
      <c r="F648" s="43" t="s">
        <v>1628</v>
      </c>
      <c r="G648" s="43" t="s">
        <v>798</v>
      </c>
      <c r="H648" s="43" t="s">
        <v>675</v>
      </c>
      <c r="I648" s="46">
        <f>SUMIFS(Movimentações!$F$6:$F$4998,Movimentações!$C$6:$C$4998,A648,Movimentações!$M$6:$M$4998,M648)</f>
        <v>40</v>
      </c>
      <c r="J648" s="43" t="s">
        <v>670</v>
      </c>
      <c r="K648" s="43" t="s">
        <v>1419</v>
      </c>
      <c r="L648" s="47" t="s">
        <v>807</v>
      </c>
      <c r="M648" s="43" t="s">
        <v>1645</v>
      </c>
      <c r="N648" s="43" t="str">
        <f t="shared" si="25"/>
        <v>Rua B · Prat 9 · C-202</v>
      </c>
      <c r="P648">
        <f>IF(A648="","",IF(AND(K648&lt;&gt;"",L648&lt;&gt;""),IF(COUNTIFS($K$6:K648,K648,$L$6:L648,L648)=1,1,0),0))</f>
        <v>0</v>
      </c>
      <c r="Q648">
        <f>IF(A648="","",IF(AND(K648&lt;&gt;"",M648&lt;&gt;""),IF(COUNTIFS($K$6:K648,K648,$M$6:M648,M648)=1,1,0),0))</f>
        <v>0</v>
      </c>
      <c r="R648">
        <f>IF(A648="","",IF(M648&lt;&gt;"",IF(COUNTIF($M$6:M648,M648)=1,1,0),0))</f>
        <v>0</v>
      </c>
      <c r="T648" t="str">
        <f>IF(AND($M648&lt;&gt;"",$M648='Mapa do Galpão'!$C$20),COUNTIF($M$6:$M648,'Mapa do Galpão'!$C$20),"")</f>
        <v/>
      </c>
    </row>
    <row r="649" spans="1:20" ht="14.25" hidden="1" customHeight="1" x14ac:dyDescent="0.3">
      <c r="A649" s="43" t="s">
        <v>1630</v>
      </c>
      <c r="B649" s="50" t="s">
        <v>1424</v>
      </c>
      <c r="C649" s="165" t="s">
        <v>132</v>
      </c>
      <c r="D649" s="45" t="str">
        <f t="shared" si="24"/>
        <v>Masculino</v>
      </c>
      <c r="E649" s="43" t="s">
        <v>666</v>
      </c>
      <c r="F649" s="43" t="s">
        <v>1628</v>
      </c>
      <c r="G649" s="43" t="s">
        <v>798</v>
      </c>
      <c r="H649" s="43" t="s">
        <v>675</v>
      </c>
      <c r="I649" s="46">
        <f>SUMIFS(Movimentações!$F$6:$F$4998,Movimentações!$C$6:$C$4998,A649,Movimentações!$M$6:$M$4998,M649)</f>
        <v>30</v>
      </c>
      <c r="J649" s="43" t="s">
        <v>670</v>
      </c>
      <c r="K649" s="43" t="s">
        <v>1419</v>
      </c>
      <c r="L649" s="47" t="s">
        <v>807</v>
      </c>
      <c r="M649" s="43" t="s">
        <v>1646</v>
      </c>
      <c r="N649" s="43" t="str">
        <f t="shared" si="25"/>
        <v>Rua B · Prat 9 · C-203</v>
      </c>
      <c r="P649">
        <f>IF(A649="","",IF(AND(K649&lt;&gt;"",L649&lt;&gt;""),IF(COUNTIFS($K$6:K649,K649,$L$6:L649,L649)=1,1,0),0))</f>
        <v>0</v>
      </c>
      <c r="Q649">
        <f>IF(A649="","",IF(AND(K649&lt;&gt;"",M649&lt;&gt;""),IF(COUNTIFS($K$6:K649,K649,$M$6:M649,M649)=1,1,0),0))</f>
        <v>1</v>
      </c>
      <c r="R649">
        <f>IF(A649="","",IF(M649&lt;&gt;"",IF(COUNTIF($M$6:M649,M649)=1,1,0),0))</f>
        <v>1</v>
      </c>
      <c r="T649" t="str">
        <f>IF(AND($M649&lt;&gt;"",$M649='Mapa do Galpão'!$C$20),COUNTIF($M$6:$M649,'Mapa do Galpão'!$C$20),"")</f>
        <v/>
      </c>
    </row>
    <row r="650" spans="1:20" ht="14.25" hidden="1" customHeight="1" x14ac:dyDescent="0.3">
      <c r="A650" s="43" t="s">
        <v>1647</v>
      </c>
      <c r="B650" s="50" t="s">
        <v>1424</v>
      </c>
      <c r="C650" s="165" t="s">
        <v>428</v>
      </c>
      <c r="D650" s="45" t="str">
        <f t="shared" si="24"/>
        <v>Feminino</v>
      </c>
      <c r="E650" s="43" t="s">
        <v>684</v>
      </c>
      <c r="F650" s="43" t="s">
        <v>1238</v>
      </c>
      <c r="G650" s="43" t="s">
        <v>738</v>
      </c>
      <c r="H650" s="43" t="s">
        <v>680</v>
      </c>
      <c r="I650" s="46">
        <f>SUMIFS(Movimentações!$F$6:$F$4998,Movimentações!$C$6:$C$4998,A650,Movimentações!$M$6:$M$4998,M650)</f>
        <v>0</v>
      </c>
      <c r="J650" s="43" t="s">
        <v>670</v>
      </c>
      <c r="K650" s="43" t="s">
        <v>1419</v>
      </c>
      <c r="L650" s="47" t="s">
        <v>807</v>
      </c>
      <c r="M650" s="43" t="s">
        <v>1648</v>
      </c>
      <c r="N650" s="43" t="str">
        <f t="shared" si="25"/>
        <v>Rua B · Prat 9 · C-204</v>
      </c>
      <c r="P650">
        <f>IF(A650="","",IF(AND(K650&lt;&gt;"",L650&lt;&gt;""),IF(COUNTIFS($K$6:K650,K650,$L$6:L650,L650)=1,1,0),0))</f>
        <v>0</v>
      </c>
      <c r="Q650">
        <f>IF(A650="","",IF(AND(K650&lt;&gt;"",M650&lt;&gt;""),IF(COUNTIFS($K$6:K650,K650,$M$6:M650,M650)=1,1,0),0))</f>
        <v>1</v>
      </c>
      <c r="R650">
        <f>IF(A650="","",IF(M650&lt;&gt;"",IF(COUNTIF($M$6:M650,M650)=1,1,0),0))</f>
        <v>1</v>
      </c>
      <c r="T650" t="str">
        <f>IF(AND($M650&lt;&gt;"",$M650='Mapa do Galpão'!$C$20),COUNTIF($M$6:$M650,'Mapa do Galpão'!$C$20),"")</f>
        <v/>
      </c>
    </row>
    <row r="651" spans="1:20" ht="14.25" hidden="1" customHeight="1" x14ac:dyDescent="0.3">
      <c r="A651" s="43" t="s">
        <v>1649</v>
      </c>
      <c r="B651" s="50" t="s">
        <v>1424</v>
      </c>
      <c r="C651" s="165" t="s">
        <v>516</v>
      </c>
      <c r="D651" s="45" t="str">
        <f t="shared" si="24"/>
        <v>Feminino</v>
      </c>
      <c r="E651" s="43" t="s">
        <v>684</v>
      </c>
      <c r="F651" s="43" t="s">
        <v>1650</v>
      </c>
      <c r="G651" s="43" t="s">
        <v>738</v>
      </c>
      <c r="H651" s="43" t="s">
        <v>1651</v>
      </c>
      <c r="I651" s="46">
        <f>SUMIFS(Movimentações!$F$6:$F$4998,Movimentações!$C$6:$C$4998,A651,Movimentações!$M$6:$M$4998,M651)</f>
        <v>15</v>
      </c>
      <c r="J651" s="43" t="s">
        <v>670</v>
      </c>
      <c r="K651" s="43" t="s">
        <v>1419</v>
      </c>
      <c r="L651" s="47" t="s">
        <v>807</v>
      </c>
      <c r="M651" s="43" t="s">
        <v>1648</v>
      </c>
      <c r="N651" s="43" t="str">
        <f t="shared" si="25"/>
        <v>Rua B · Prat 9 · C-204</v>
      </c>
      <c r="P651">
        <f>IF(A651="","",IF(AND(K651&lt;&gt;"",L651&lt;&gt;""),IF(COUNTIFS($K$6:K651,K651,$L$6:L651,L651)=1,1,0),0))</f>
        <v>0</v>
      </c>
      <c r="Q651">
        <f>IF(A651="","",IF(AND(K651&lt;&gt;"",M651&lt;&gt;""),IF(COUNTIFS($K$6:K651,K651,$M$6:M651,M651)=1,1,0),0))</f>
        <v>0</v>
      </c>
      <c r="R651">
        <f>IF(A651="","",IF(M651&lt;&gt;"",IF(COUNTIF($M$6:M651,M651)=1,1,0),0))</f>
        <v>0</v>
      </c>
      <c r="T651" t="str">
        <f>IF(AND($M651&lt;&gt;"",$M651='Mapa do Galpão'!$C$20),COUNTIF($M$6:$M651,'Mapa do Galpão'!$C$20),"")</f>
        <v/>
      </c>
    </row>
    <row r="652" spans="1:20" ht="14.25" hidden="1" customHeight="1" x14ac:dyDescent="0.3">
      <c r="A652" s="43" t="s">
        <v>1652</v>
      </c>
      <c r="B652" s="50" t="s">
        <v>1424</v>
      </c>
      <c r="C652" s="165" t="s">
        <v>517</v>
      </c>
      <c r="D652" s="45" t="str">
        <f t="shared" si="24"/>
        <v>Feminino</v>
      </c>
      <c r="E652" s="43" t="s">
        <v>684</v>
      </c>
      <c r="F652" s="43" t="s">
        <v>1650</v>
      </c>
      <c r="G652" s="43" t="s">
        <v>738</v>
      </c>
      <c r="H652" s="43" t="s">
        <v>669</v>
      </c>
      <c r="I652" s="46">
        <f>SUMIFS(Movimentações!$F$6:$F$4998,Movimentações!$C$6:$C$4998,A652,Movimentações!$M$6:$M$4998,M652)</f>
        <v>34</v>
      </c>
      <c r="J652" s="43" t="s">
        <v>670</v>
      </c>
      <c r="K652" s="43" t="s">
        <v>1419</v>
      </c>
      <c r="L652" s="47" t="s">
        <v>807</v>
      </c>
      <c r="M652" s="43" t="s">
        <v>1648</v>
      </c>
      <c r="N652" s="43" t="str">
        <f t="shared" si="25"/>
        <v>Rua B · Prat 9 · C-204</v>
      </c>
      <c r="P652">
        <f>IF(A652="","",IF(AND(K652&lt;&gt;"",L652&lt;&gt;""),IF(COUNTIFS($K$6:K652,K652,$L$6:L652,L652)=1,1,0),0))</f>
        <v>0</v>
      </c>
      <c r="Q652">
        <f>IF(A652="","",IF(AND(K652&lt;&gt;"",M652&lt;&gt;""),IF(COUNTIFS($K$6:K652,K652,$M$6:M652,M652)=1,1,0),0))</f>
        <v>0</v>
      </c>
      <c r="R652">
        <f>IF(A652="","",IF(M652&lt;&gt;"",IF(COUNTIF($M$6:M652,M652)=1,1,0),0))</f>
        <v>0</v>
      </c>
      <c r="T652" t="str">
        <f>IF(AND($M652&lt;&gt;"",$M652='Mapa do Galpão'!$C$20),COUNTIF($M$6:$M652,'Mapa do Galpão'!$C$20),"")</f>
        <v/>
      </c>
    </row>
    <row r="653" spans="1:20" ht="14.25" hidden="1" customHeight="1" x14ac:dyDescent="0.3">
      <c r="A653" s="43" t="s">
        <v>1653</v>
      </c>
      <c r="B653" s="50" t="s">
        <v>1424</v>
      </c>
      <c r="C653" s="165" t="s">
        <v>518</v>
      </c>
      <c r="D653" s="45" t="str">
        <f t="shared" si="24"/>
        <v>Feminino</v>
      </c>
      <c r="E653" s="43" t="s">
        <v>684</v>
      </c>
      <c r="F653" s="43" t="s">
        <v>1650</v>
      </c>
      <c r="G653" s="43" t="s">
        <v>738</v>
      </c>
      <c r="H653" s="43" t="s">
        <v>682</v>
      </c>
      <c r="I653" s="46">
        <f>SUMIFS(Movimentações!$F$6:$F$4998,Movimentações!$C$6:$C$4998,A653,Movimentações!$M$6:$M$4998,M653)</f>
        <v>21</v>
      </c>
      <c r="J653" s="43" t="s">
        <v>670</v>
      </c>
      <c r="K653" s="43" t="s">
        <v>1419</v>
      </c>
      <c r="L653" s="47" t="s">
        <v>807</v>
      </c>
      <c r="M653" s="43" t="s">
        <v>1648</v>
      </c>
      <c r="N653" s="43" t="str">
        <f t="shared" si="25"/>
        <v>Rua B · Prat 9 · C-204</v>
      </c>
      <c r="P653">
        <f>IF(A653="","",IF(AND(K653&lt;&gt;"",L653&lt;&gt;""),IF(COUNTIFS($K$6:K653,K653,$L$6:L653,L653)=1,1,0),0))</f>
        <v>0</v>
      </c>
      <c r="Q653">
        <f>IF(A653="","",IF(AND(K653&lt;&gt;"",M653&lt;&gt;""),IF(COUNTIFS($K$6:K653,K653,$M$6:M653,M653)=1,1,0),0))</f>
        <v>0</v>
      </c>
      <c r="R653">
        <f>IF(A653="","",IF(M653&lt;&gt;"",IF(COUNTIF($M$6:M653,M653)=1,1,0),0))</f>
        <v>0</v>
      </c>
      <c r="T653" t="str">
        <f>IF(AND($M653&lt;&gt;"",$M653='Mapa do Galpão'!$C$20),COUNTIF($M$6:$M653,'Mapa do Galpão'!$C$20),"")</f>
        <v/>
      </c>
    </row>
    <row r="654" spans="1:20" ht="14.25" hidden="1" customHeight="1" x14ac:dyDescent="0.3">
      <c r="A654" s="43" t="s">
        <v>1654</v>
      </c>
      <c r="B654" s="50" t="s">
        <v>1424</v>
      </c>
      <c r="C654" s="165" t="s">
        <v>519</v>
      </c>
      <c r="D654" s="45" t="str">
        <f t="shared" si="24"/>
        <v>Feminino</v>
      </c>
      <c r="E654" s="43" t="s">
        <v>684</v>
      </c>
      <c r="F654" s="43" t="s">
        <v>1650</v>
      </c>
      <c r="G654" s="43" t="s">
        <v>738</v>
      </c>
      <c r="H654" s="43" t="s">
        <v>677</v>
      </c>
      <c r="I654" s="46">
        <f>SUMIFS(Movimentações!$F$6:$F$4998,Movimentações!$C$6:$C$4998,A654,Movimentações!$M$6:$M$4998,M654)</f>
        <v>12</v>
      </c>
      <c r="J654" s="43" t="s">
        <v>670</v>
      </c>
      <c r="K654" s="43" t="s">
        <v>1419</v>
      </c>
      <c r="L654" s="47" t="s">
        <v>807</v>
      </c>
      <c r="M654" s="43" t="s">
        <v>1648</v>
      </c>
      <c r="N654" s="43" t="str">
        <f t="shared" si="25"/>
        <v>Rua B · Prat 9 · C-204</v>
      </c>
      <c r="P654">
        <f>IF(A654="","",IF(AND(K654&lt;&gt;"",L654&lt;&gt;""),IF(COUNTIFS($K$6:K654,K654,$L$6:L654,L654)=1,1,0),0))</f>
        <v>0</v>
      </c>
      <c r="Q654">
        <f>IF(A654="","",IF(AND(K654&lt;&gt;"",M654&lt;&gt;""),IF(COUNTIFS($K$6:K654,K654,$M$6:M654,M654)=1,1,0),0))</f>
        <v>0</v>
      </c>
      <c r="R654">
        <f>IF(A654="","",IF(M654&lt;&gt;"",IF(COUNTIF($M$6:M654,M654)=1,1,0),0))</f>
        <v>0</v>
      </c>
      <c r="T654" t="str">
        <f>IF(AND($M654&lt;&gt;"",$M654='Mapa do Galpão'!$C$20),COUNTIF($M$6:$M654,'Mapa do Galpão'!$C$20),"")</f>
        <v/>
      </c>
    </row>
    <row r="655" spans="1:20" ht="14.25" hidden="1" customHeight="1" x14ac:dyDescent="0.3">
      <c r="A655" s="43" t="s">
        <v>1655</v>
      </c>
      <c r="B655" s="50" t="s">
        <v>1424</v>
      </c>
      <c r="C655" s="165" t="s">
        <v>520</v>
      </c>
      <c r="D655" s="45" t="str">
        <f t="shared" si="24"/>
        <v>Masculino</v>
      </c>
      <c r="E655" s="43" t="s">
        <v>684</v>
      </c>
      <c r="F655" s="43" t="s">
        <v>1621</v>
      </c>
      <c r="G655" s="43" t="s">
        <v>738</v>
      </c>
      <c r="H655" s="43" t="s">
        <v>680</v>
      </c>
      <c r="I655" s="46">
        <f>SUMIFS(Movimentações!$F$6:$F$4998,Movimentações!$C$6:$C$4998,A655,Movimentações!$M$6:$M$4998,M655)</f>
        <v>22</v>
      </c>
      <c r="J655" s="43" t="s">
        <v>670</v>
      </c>
      <c r="K655" s="43" t="s">
        <v>1419</v>
      </c>
      <c r="L655" s="47" t="s">
        <v>807</v>
      </c>
      <c r="M655" s="43" t="s">
        <v>1656</v>
      </c>
      <c r="N655" s="43" t="str">
        <f t="shared" si="25"/>
        <v>Rua B · Prat 9 · C-205</v>
      </c>
      <c r="P655">
        <f>IF(A655="","",IF(AND(K655&lt;&gt;"",L655&lt;&gt;""),IF(COUNTIFS($K$6:K655,K655,$L$6:L655,L655)=1,1,0),0))</f>
        <v>0</v>
      </c>
      <c r="Q655">
        <f>IF(A655="","",IF(AND(K655&lt;&gt;"",M655&lt;&gt;""),IF(COUNTIFS($K$6:K655,K655,$M$6:M655,M655)=1,1,0),0))</f>
        <v>1</v>
      </c>
      <c r="R655">
        <f>IF(A655="","",IF(M655&lt;&gt;"",IF(COUNTIF($M$6:M655,M655)=1,1,0),0))</f>
        <v>1</v>
      </c>
      <c r="T655" t="str">
        <f>IF(AND($M655&lt;&gt;"",$M655='Mapa do Galpão'!$C$20),COUNTIF($M$6:$M655,'Mapa do Galpão'!$C$20),"")</f>
        <v/>
      </c>
    </row>
    <row r="656" spans="1:20" ht="14.25" hidden="1" customHeight="1" x14ac:dyDescent="0.3">
      <c r="A656" s="43" t="s">
        <v>1657</v>
      </c>
      <c r="B656" s="50" t="s">
        <v>1424</v>
      </c>
      <c r="C656" s="165" t="s">
        <v>521</v>
      </c>
      <c r="D656" s="45" t="str">
        <f t="shared" si="24"/>
        <v>Masculino</v>
      </c>
      <c r="E656" s="43" t="s">
        <v>684</v>
      </c>
      <c r="F656" s="43" t="s">
        <v>1621</v>
      </c>
      <c r="G656" s="43" t="s">
        <v>738</v>
      </c>
      <c r="H656" s="43" t="s">
        <v>675</v>
      </c>
      <c r="I656" s="46">
        <f>SUMIFS(Movimentações!$F$6:$F$4998,Movimentações!$C$6:$C$4998,A656,Movimentações!$M$6:$M$4998,M656)</f>
        <v>52</v>
      </c>
      <c r="J656" s="43" t="s">
        <v>670</v>
      </c>
      <c r="K656" s="43" t="s">
        <v>1419</v>
      </c>
      <c r="L656" s="47" t="s">
        <v>807</v>
      </c>
      <c r="M656" s="43" t="s">
        <v>1656</v>
      </c>
      <c r="N656" s="43" t="str">
        <f t="shared" si="25"/>
        <v>Rua B · Prat 9 · C-205</v>
      </c>
      <c r="P656">
        <f>IF(A656="","",IF(AND(K656&lt;&gt;"",L656&lt;&gt;""),IF(COUNTIFS($K$6:K656,K656,$L$6:L656,L656)=1,1,0),0))</f>
        <v>0</v>
      </c>
      <c r="Q656">
        <f>IF(A656="","",IF(AND(K656&lt;&gt;"",M656&lt;&gt;""),IF(COUNTIFS($K$6:K656,K656,$M$6:M656,M656)=1,1,0),0))</f>
        <v>0</v>
      </c>
      <c r="R656">
        <f>IF(A656="","",IF(M656&lt;&gt;"",IF(COUNTIF($M$6:M656,M656)=1,1,0),0))</f>
        <v>0</v>
      </c>
      <c r="T656" t="str">
        <f>IF(AND($M656&lt;&gt;"",$M656='Mapa do Galpão'!$C$20),COUNTIF($M$6:$M656,'Mapa do Galpão'!$C$20),"")</f>
        <v/>
      </c>
    </row>
    <row r="657" spans="1:20" ht="14.25" hidden="1" customHeight="1" x14ac:dyDescent="0.3">
      <c r="A657" s="43" t="s">
        <v>1658</v>
      </c>
      <c r="B657" s="50" t="s">
        <v>1424</v>
      </c>
      <c r="C657" s="165" t="s">
        <v>522</v>
      </c>
      <c r="D657" s="45" t="str">
        <f t="shared" si="24"/>
        <v>Masculino</v>
      </c>
      <c r="E657" s="43" t="s">
        <v>684</v>
      </c>
      <c r="F657" s="43" t="s">
        <v>1621</v>
      </c>
      <c r="G657" s="43" t="s">
        <v>798</v>
      </c>
      <c r="H657" s="43" t="s">
        <v>680</v>
      </c>
      <c r="I657" s="46">
        <f>SUMIFS(Movimentações!$F$6:$F$4998,Movimentações!$C$6:$C$4998,A657,Movimentações!$M$6:$M$4998,M657)</f>
        <v>21</v>
      </c>
      <c r="J657" s="43" t="s">
        <v>670</v>
      </c>
      <c r="K657" s="43" t="s">
        <v>1419</v>
      </c>
      <c r="L657" s="47" t="s">
        <v>807</v>
      </c>
      <c r="M657" s="43" t="s">
        <v>1659</v>
      </c>
      <c r="N657" s="43" t="str">
        <f t="shared" si="25"/>
        <v>Rua B · Prat 9 · C-206</v>
      </c>
      <c r="P657">
        <f>IF(A657="","",IF(AND(K657&lt;&gt;"",L657&lt;&gt;""),IF(COUNTIFS($K$6:K657,K657,$L$6:L657,L657)=1,1,0),0))</f>
        <v>0</v>
      </c>
      <c r="Q657">
        <f>IF(A657="","",IF(AND(K657&lt;&gt;"",M657&lt;&gt;""),IF(COUNTIFS($K$6:K657,K657,$M$6:M657,M657)=1,1,0),0))</f>
        <v>1</v>
      </c>
      <c r="R657">
        <f>IF(A657="","",IF(M657&lt;&gt;"",IF(COUNTIF($M$6:M657,M657)=1,1,0),0))</f>
        <v>1</v>
      </c>
      <c r="T657" t="str">
        <f>IF(AND($M657&lt;&gt;"",$M657='Mapa do Galpão'!$C$20),COUNTIF($M$6:$M657,'Mapa do Galpão'!$C$20),"")</f>
        <v/>
      </c>
    </row>
    <row r="658" spans="1:20" ht="14.25" hidden="1" customHeight="1" x14ac:dyDescent="0.3">
      <c r="A658" s="43" t="s">
        <v>1660</v>
      </c>
      <c r="B658" s="50" t="s">
        <v>1424</v>
      </c>
      <c r="C658" s="165" t="s">
        <v>523</v>
      </c>
      <c r="D658" s="45" t="str">
        <f t="shared" si="24"/>
        <v>Masculino</v>
      </c>
      <c r="E658" s="43" t="s">
        <v>684</v>
      </c>
      <c r="F658" s="43" t="s">
        <v>1621</v>
      </c>
      <c r="G658" s="43" t="s">
        <v>798</v>
      </c>
      <c r="H658" s="43" t="s">
        <v>675</v>
      </c>
      <c r="I658" s="46">
        <f>SUMIFS(Movimentações!$F$6:$F$4998,Movimentações!$C$6:$C$4998,A658,Movimentações!$M$6:$M$4998,M658)</f>
        <v>49</v>
      </c>
      <c r="J658" s="43" t="s">
        <v>670</v>
      </c>
      <c r="K658" s="43" t="s">
        <v>1419</v>
      </c>
      <c r="L658" s="47" t="s">
        <v>807</v>
      </c>
      <c r="M658" s="43" t="s">
        <v>1659</v>
      </c>
      <c r="N658" s="43" t="str">
        <f t="shared" si="25"/>
        <v>Rua B · Prat 9 · C-206</v>
      </c>
      <c r="P658">
        <f>IF(A658="","",IF(AND(K658&lt;&gt;"",L658&lt;&gt;""),IF(COUNTIFS($K$6:K658,K658,$L$6:L658,L658)=1,1,0),0))</f>
        <v>0</v>
      </c>
      <c r="Q658">
        <f>IF(A658="","",IF(AND(K658&lt;&gt;"",M658&lt;&gt;""),IF(COUNTIFS($K$6:K658,K658,$M$6:M658,M658)=1,1,0),0))</f>
        <v>0</v>
      </c>
      <c r="R658">
        <f>IF(A658="","",IF(M658&lt;&gt;"",IF(COUNTIF($M$6:M658,M658)=1,1,0),0))</f>
        <v>0</v>
      </c>
      <c r="T658" t="str">
        <f>IF(AND($M658&lt;&gt;"",$M658='Mapa do Galpão'!$C$20),COUNTIF($M$6:$M658,'Mapa do Galpão'!$C$20),"")</f>
        <v/>
      </c>
    </row>
    <row r="659" spans="1:20" ht="14.25" hidden="1" customHeight="1" x14ac:dyDescent="0.3">
      <c r="A659" s="43" t="s">
        <v>1661</v>
      </c>
      <c r="B659" s="50" t="s">
        <v>1424</v>
      </c>
      <c r="C659" s="165" t="s">
        <v>524</v>
      </c>
      <c r="D659" s="45" t="str">
        <f t="shared" si="24"/>
        <v>Masculino</v>
      </c>
      <c r="E659" s="43" t="s">
        <v>684</v>
      </c>
      <c r="F659" s="43" t="s">
        <v>1621</v>
      </c>
      <c r="G659" s="43" t="s">
        <v>798</v>
      </c>
      <c r="H659" s="43" t="s">
        <v>682</v>
      </c>
      <c r="I659" s="46">
        <f>SUMIFS(Movimentações!$F$6:$F$4998,Movimentações!$C$6:$C$4998,A659,Movimentações!$M$6:$M$4998,M659)</f>
        <v>1</v>
      </c>
      <c r="J659" s="43" t="s">
        <v>670</v>
      </c>
      <c r="K659" s="43" t="s">
        <v>1419</v>
      </c>
      <c r="L659" s="47" t="s">
        <v>807</v>
      </c>
      <c r="M659" s="43" t="s">
        <v>1659</v>
      </c>
      <c r="N659" s="43" t="str">
        <f t="shared" si="25"/>
        <v>Rua B · Prat 9 · C-206</v>
      </c>
      <c r="P659">
        <f>IF(A659="","",IF(AND(K659&lt;&gt;"",L659&lt;&gt;""),IF(COUNTIFS($K$6:K659,K659,$L$6:L659,L659)=1,1,0),0))</f>
        <v>0</v>
      </c>
      <c r="Q659">
        <f>IF(A659="","",IF(AND(K659&lt;&gt;"",M659&lt;&gt;""),IF(COUNTIFS($K$6:K659,K659,$M$6:M659,M659)=1,1,0),0))</f>
        <v>0</v>
      </c>
      <c r="R659">
        <f>IF(A659="","",IF(M659&lt;&gt;"",IF(COUNTIF($M$6:M659,M659)=1,1,0),0))</f>
        <v>0</v>
      </c>
      <c r="T659" t="str">
        <f>IF(AND($M659&lt;&gt;"",$M659='Mapa do Galpão'!$C$20),COUNTIF($M$6:$M659,'Mapa do Galpão'!$C$20),"")</f>
        <v/>
      </c>
    </row>
    <row r="660" spans="1:20" ht="14.25" hidden="1" customHeight="1" x14ac:dyDescent="0.3">
      <c r="A660" s="43" t="s">
        <v>1662</v>
      </c>
      <c r="B660" s="50" t="s">
        <v>1424</v>
      </c>
      <c r="C660" s="165" t="s">
        <v>525</v>
      </c>
      <c r="D660" s="45" t="str">
        <f t="shared" si="24"/>
        <v>Masculino</v>
      </c>
      <c r="E660" s="43" t="s">
        <v>684</v>
      </c>
      <c r="F660" s="43" t="s">
        <v>1621</v>
      </c>
      <c r="G660" s="43" t="s">
        <v>798</v>
      </c>
      <c r="H660" s="43" t="s">
        <v>677</v>
      </c>
      <c r="I660" s="46">
        <f>SUMIFS(Movimentações!$F$6:$F$4998,Movimentações!$C$6:$C$4998,A660,Movimentações!$M$6:$M$4998,M660)</f>
        <v>12</v>
      </c>
      <c r="J660" s="43" t="s">
        <v>670</v>
      </c>
      <c r="K660" s="43" t="s">
        <v>1419</v>
      </c>
      <c r="L660" s="47" t="s">
        <v>807</v>
      </c>
      <c r="M660" s="43" t="s">
        <v>1659</v>
      </c>
      <c r="N660" s="43" t="str">
        <f t="shared" si="25"/>
        <v>Rua B · Prat 9 · C-206</v>
      </c>
      <c r="P660">
        <f>IF(A660="","",IF(AND(K660&lt;&gt;"",L660&lt;&gt;""),IF(COUNTIFS($K$6:K660,K660,$L$6:L660,L660)=1,1,0),0))</f>
        <v>0</v>
      </c>
      <c r="Q660">
        <f>IF(A660="","",IF(AND(K660&lt;&gt;"",M660&lt;&gt;""),IF(COUNTIFS($K$6:K660,K660,$M$6:M660,M660)=1,1,0),0))</f>
        <v>0</v>
      </c>
      <c r="R660">
        <f>IF(A660="","",IF(M660&lt;&gt;"",IF(COUNTIF($M$6:M660,M660)=1,1,0),0))</f>
        <v>0</v>
      </c>
      <c r="T660" t="str">
        <f>IF(AND($M660&lt;&gt;"",$M660='Mapa do Galpão'!$C$20),COUNTIF($M$6:$M660,'Mapa do Galpão'!$C$20),"")</f>
        <v/>
      </c>
    </row>
    <row r="661" spans="1:20" ht="14.25" hidden="1" customHeight="1" x14ac:dyDescent="0.3">
      <c r="A661" s="43" t="s">
        <v>1663</v>
      </c>
      <c r="B661" s="50" t="s">
        <v>1424</v>
      </c>
      <c r="C661" s="165" t="s">
        <v>526</v>
      </c>
      <c r="D661" s="45" t="str">
        <f t="shared" si="24"/>
        <v>Feminino</v>
      </c>
      <c r="E661" s="43" t="s">
        <v>684</v>
      </c>
      <c r="F661" s="43" t="s">
        <v>1650</v>
      </c>
      <c r="G661" s="43" t="s">
        <v>798</v>
      </c>
      <c r="H661" s="43" t="s">
        <v>680</v>
      </c>
      <c r="I661" s="46">
        <f>SUMIFS(Movimentações!$F$6:$F$4998,Movimentações!$C$6:$C$4998,A661,Movimentações!$M$6:$M$4998,M661)</f>
        <v>4</v>
      </c>
      <c r="J661" s="43" t="s">
        <v>670</v>
      </c>
      <c r="K661" s="43" t="s">
        <v>1419</v>
      </c>
      <c r="L661" s="47" t="s">
        <v>807</v>
      </c>
      <c r="M661" s="43" t="s">
        <v>1664</v>
      </c>
      <c r="N661" s="43" t="str">
        <f t="shared" si="25"/>
        <v>Rua B · Prat 9 · C-207</v>
      </c>
      <c r="P661">
        <f>IF(A661="","",IF(AND(K661&lt;&gt;"",L661&lt;&gt;""),IF(COUNTIFS($K$6:K661,K661,$L$6:L661,L661)=1,1,0),0))</f>
        <v>0</v>
      </c>
      <c r="Q661">
        <f>IF(A661="","",IF(AND(K661&lt;&gt;"",M661&lt;&gt;""),IF(COUNTIFS($K$6:K661,K661,$M$6:M661,M661)=1,1,0),0))</f>
        <v>1</v>
      </c>
      <c r="R661">
        <f>IF(A661="","",IF(M661&lt;&gt;"",IF(COUNTIF($M$6:M661,M661)=1,1,0),0))</f>
        <v>1</v>
      </c>
      <c r="T661" t="str">
        <f>IF(AND($M661&lt;&gt;"",$M661='Mapa do Galpão'!$C$20),COUNTIF($M$6:$M661,'Mapa do Galpão'!$C$20),"")</f>
        <v/>
      </c>
    </row>
    <row r="662" spans="1:20" ht="14.25" hidden="1" customHeight="1" x14ac:dyDescent="0.3">
      <c r="A662" s="43" t="s">
        <v>1665</v>
      </c>
      <c r="B662" s="50" t="s">
        <v>1424</v>
      </c>
      <c r="C662" s="165" t="s">
        <v>527</v>
      </c>
      <c r="D662" s="45" t="str">
        <f t="shared" si="24"/>
        <v>Feminino</v>
      </c>
      <c r="E662" s="43" t="s">
        <v>684</v>
      </c>
      <c r="F662" s="43" t="s">
        <v>1650</v>
      </c>
      <c r="G662" s="43" t="s">
        <v>798</v>
      </c>
      <c r="H662" s="43" t="s">
        <v>675</v>
      </c>
      <c r="I662" s="46">
        <f>SUMIFS(Movimentações!$F$6:$F$4998,Movimentações!$C$6:$C$4998,A662,Movimentações!$M$6:$M$4998,M662)</f>
        <v>16</v>
      </c>
      <c r="J662" s="43" t="s">
        <v>670</v>
      </c>
      <c r="K662" s="43" t="s">
        <v>1419</v>
      </c>
      <c r="L662" s="47" t="s">
        <v>807</v>
      </c>
      <c r="M662" s="43" t="s">
        <v>1664</v>
      </c>
      <c r="N662" s="43" t="str">
        <f t="shared" si="25"/>
        <v>Rua B · Prat 9 · C-207</v>
      </c>
      <c r="P662">
        <f>IF(A662="","",IF(AND(K662&lt;&gt;"",L662&lt;&gt;""),IF(COUNTIFS($K$6:K662,K662,$L$6:L662,L662)=1,1,0),0))</f>
        <v>0</v>
      </c>
      <c r="Q662">
        <f>IF(A662="","",IF(AND(K662&lt;&gt;"",M662&lt;&gt;""),IF(COUNTIFS($K$6:K662,K662,$M$6:M662,M662)=1,1,0),0))</f>
        <v>0</v>
      </c>
      <c r="R662">
        <f>IF(A662="","",IF(M662&lt;&gt;"",IF(COUNTIF($M$6:M662,M662)=1,1,0),0))</f>
        <v>0</v>
      </c>
      <c r="T662" t="str">
        <f>IF(AND($M662&lt;&gt;"",$M662='Mapa do Galpão'!$C$20),COUNTIF($M$6:$M662,'Mapa do Galpão'!$C$20),"")</f>
        <v/>
      </c>
    </row>
    <row r="663" spans="1:20" ht="14.25" hidden="1" customHeight="1" x14ac:dyDescent="0.3">
      <c r="A663" s="43" t="s">
        <v>1666</v>
      </c>
      <c r="B663" s="50" t="s">
        <v>1424</v>
      </c>
      <c r="C663" s="165" t="s">
        <v>528</v>
      </c>
      <c r="D663" s="45" t="str">
        <f t="shared" si="24"/>
        <v>Feminino</v>
      </c>
      <c r="E663" s="43" t="s">
        <v>684</v>
      </c>
      <c r="F663" s="43" t="s">
        <v>1650</v>
      </c>
      <c r="G663" s="43" t="s">
        <v>798</v>
      </c>
      <c r="H663" s="43" t="s">
        <v>669</v>
      </c>
      <c r="I663" s="46">
        <f>SUMIFS(Movimentações!$F$6:$F$4998,Movimentações!$C$6:$C$4998,A663,Movimentações!$M$6:$M$4998,M663)</f>
        <v>4</v>
      </c>
      <c r="J663" s="43" t="s">
        <v>670</v>
      </c>
      <c r="K663" s="43" t="s">
        <v>1419</v>
      </c>
      <c r="L663" s="47" t="s">
        <v>807</v>
      </c>
      <c r="M663" s="43" t="s">
        <v>1664</v>
      </c>
      <c r="N663" s="43" t="str">
        <f t="shared" si="25"/>
        <v>Rua B · Prat 9 · C-207</v>
      </c>
      <c r="P663">
        <f>IF(A663="","",IF(AND(K663&lt;&gt;"",L663&lt;&gt;""),IF(COUNTIFS($K$6:K663,K663,$L$6:L663,L663)=1,1,0),0))</f>
        <v>0</v>
      </c>
      <c r="Q663">
        <f>IF(A663="","",IF(AND(K663&lt;&gt;"",M663&lt;&gt;""),IF(COUNTIFS($K$6:K663,K663,$M$6:M663,M663)=1,1,0),0))</f>
        <v>0</v>
      </c>
      <c r="R663">
        <f>IF(A663="","",IF(M663&lt;&gt;"",IF(COUNTIF($M$6:M663,M663)=1,1,0),0))</f>
        <v>0</v>
      </c>
      <c r="T663" t="str">
        <f>IF(AND($M663&lt;&gt;"",$M663='Mapa do Galpão'!$C$20),COUNTIF($M$6:$M663,'Mapa do Galpão'!$C$20),"")</f>
        <v/>
      </c>
    </row>
    <row r="664" spans="1:20" ht="14.25" hidden="1" customHeight="1" x14ac:dyDescent="0.3">
      <c r="A664" s="43" t="s">
        <v>1667</v>
      </c>
      <c r="B664" s="50" t="s">
        <v>1424</v>
      </c>
      <c r="C664" s="165" t="s">
        <v>529</v>
      </c>
      <c r="D664" s="45" t="str">
        <f t="shared" si="24"/>
        <v>Feminino</v>
      </c>
      <c r="E664" s="43" t="s">
        <v>684</v>
      </c>
      <c r="F664" s="43" t="s">
        <v>1650</v>
      </c>
      <c r="G664" s="43" t="s">
        <v>798</v>
      </c>
      <c r="H664" s="43" t="s">
        <v>682</v>
      </c>
      <c r="I664" s="46">
        <f>SUMIFS(Movimentações!$F$6:$F$4998,Movimentações!$C$6:$C$4998,A664,Movimentações!$M$6:$M$4998,M664)</f>
        <v>10</v>
      </c>
      <c r="J664" s="43" t="s">
        <v>670</v>
      </c>
      <c r="K664" s="43" t="s">
        <v>1419</v>
      </c>
      <c r="L664" s="47" t="s">
        <v>807</v>
      </c>
      <c r="M664" s="43" t="s">
        <v>1664</v>
      </c>
      <c r="N664" s="43" t="str">
        <f t="shared" si="25"/>
        <v>Rua B · Prat 9 · C-207</v>
      </c>
      <c r="P664">
        <f>IF(A664="","",IF(AND(K664&lt;&gt;"",L664&lt;&gt;""),IF(COUNTIFS($K$6:K664,K664,$L$6:L664,L664)=1,1,0),0))</f>
        <v>0</v>
      </c>
      <c r="Q664">
        <f>IF(A664="","",IF(AND(K664&lt;&gt;"",M664&lt;&gt;""),IF(COUNTIFS($K$6:K664,K664,$M$6:M664,M664)=1,1,0),0))</f>
        <v>0</v>
      </c>
      <c r="R664">
        <f>IF(A664="","",IF(M664&lt;&gt;"",IF(COUNTIF($M$6:M664,M664)=1,1,0),0))</f>
        <v>0</v>
      </c>
      <c r="T664" t="str">
        <f>IF(AND($M664&lt;&gt;"",$M664='Mapa do Galpão'!$C$20),COUNTIF($M$6:$M664,'Mapa do Galpão'!$C$20),"")</f>
        <v/>
      </c>
    </row>
    <row r="665" spans="1:20" ht="14.25" hidden="1" customHeight="1" x14ac:dyDescent="0.3">
      <c r="A665" s="43" t="s">
        <v>1668</v>
      </c>
      <c r="B665" s="50" t="s">
        <v>1424</v>
      </c>
      <c r="C665" s="165" t="s">
        <v>476</v>
      </c>
      <c r="D665" s="45" t="str">
        <f t="shared" si="24"/>
        <v>Masculino</v>
      </c>
      <c r="E665" s="43" t="s">
        <v>666</v>
      </c>
      <c r="F665" s="43" t="s">
        <v>1457</v>
      </c>
      <c r="G665" s="43" t="s">
        <v>798</v>
      </c>
      <c r="H665" s="43" t="s">
        <v>675</v>
      </c>
      <c r="I665" s="46">
        <f>SUMIFS(Movimentações!$F$6:$F$4998,Movimentações!$C$6:$C$4998,A665,Movimentações!$M$6:$M$4998,M665)</f>
        <v>10</v>
      </c>
      <c r="J665" s="43" t="s">
        <v>670</v>
      </c>
      <c r="K665" s="43" t="s">
        <v>1419</v>
      </c>
      <c r="L665" s="47" t="s">
        <v>807</v>
      </c>
      <c r="M665" s="43" t="s">
        <v>1669</v>
      </c>
      <c r="N665" s="43" t="str">
        <f t="shared" si="25"/>
        <v>Rua B · Prat 9 · C-208</v>
      </c>
      <c r="P665">
        <f>IF(A665="","",IF(AND(K665&lt;&gt;"",L665&lt;&gt;""),IF(COUNTIFS($K$6:K665,K665,$L$6:L665,L665)=1,1,0),0))</f>
        <v>0</v>
      </c>
      <c r="Q665">
        <f>IF(A665="","",IF(AND(K665&lt;&gt;"",M665&lt;&gt;""),IF(COUNTIFS($K$6:K665,K665,$M$6:M665,M665)=1,1,0),0))</f>
        <v>1</v>
      </c>
      <c r="R665">
        <f>IF(A665="","",IF(M665&lt;&gt;"",IF(COUNTIF($M$6:M665,M665)=1,1,0),0))</f>
        <v>1</v>
      </c>
      <c r="T665" t="str">
        <f>IF(AND($M665&lt;&gt;"",$M665='Mapa do Galpão'!$C$20),COUNTIF($M$6:$M665,'Mapa do Galpão'!$C$20),"")</f>
        <v/>
      </c>
    </row>
    <row r="666" spans="1:20" ht="14.25" hidden="1" customHeight="1" x14ac:dyDescent="0.3">
      <c r="A666" s="43" t="s">
        <v>1670</v>
      </c>
      <c r="B666" s="50" t="s">
        <v>1424</v>
      </c>
      <c r="C666" s="165" t="s">
        <v>530</v>
      </c>
      <c r="D666" s="45" t="str">
        <f t="shared" si="24"/>
        <v>Masculino</v>
      </c>
      <c r="E666" s="43" t="s">
        <v>666</v>
      </c>
      <c r="F666" s="43" t="s">
        <v>1457</v>
      </c>
      <c r="G666" s="43" t="s">
        <v>798</v>
      </c>
      <c r="H666" s="43" t="s">
        <v>669</v>
      </c>
      <c r="I666" s="46">
        <f>SUMIFS(Movimentações!$F$6:$F$4998,Movimentações!$C$6:$C$4998,A666,Movimentações!$M$6:$M$4998,M666)</f>
        <v>17</v>
      </c>
      <c r="J666" s="43" t="s">
        <v>670</v>
      </c>
      <c r="K666" s="43" t="s">
        <v>1419</v>
      </c>
      <c r="L666" s="47" t="s">
        <v>807</v>
      </c>
      <c r="M666" s="43" t="s">
        <v>1669</v>
      </c>
      <c r="N666" s="43" t="str">
        <f t="shared" si="25"/>
        <v>Rua B · Prat 9 · C-208</v>
      </c>
      <c r="P666">
        <f>IF(A666="","",IF(AND(K666&lt;&gt;"",L666&lt;&gt;""),IF(COUNTIFS($K$6:K666,K666,$L$6:L666,L666)=1,1,0),0))</f>
        <v>0</v>
      </c>
      <c r="Q666">
        <f>IF(A666="","",IF(AND(K666&lt;&gt;"",M666&lt;&gt;""),IF(COUNTIFS($K$6:K666,K666,$M$6:M666,M666)=1,1,0),0))</f>
        <v>0</v>
      </c>
      <c r="R666">
        <f>IF(A666="","",IF(M666&lt;&gt;"",IF(COUNTIF($M$6:M666,M666)=1,1,0),0))</f>
        <v>0</v>
      </c>
      <c r="T666" t="str">
        <f>IF(AND($M666&lt;&gt;"",$M666='Mapa do Galpão'!$C$20),COUNTIF($M$6:$M666,'Mapa do Galpão'!$C$20),"")</f>
        <v/>
      </c>
    </row>
    <row r="667" spans="1:20" ht="14.25" hidden="1" customHeight="1" x14ac:dyDescent="0.3">
      <c r="A667" s="43" t="s">
        <v>1670</v>
      </c>
      <c r="B667" s="50" t="s">
        <v>1424</v>
      </c>
      <c r="C667" s="165" t="s">
        <v>530</v>
      </c>
      <c r="D667" s="45" t="str">
        <f t="shared" si="24"/>
        <v>Masculino</v>
      </c>
      <c r="E667" s="43" t="s">
        <v>666</v>
      </c>
      <c r="F667" s="43" t="s">
        <v>1457</v>
      </c>
      <c r="G667" s="43" t="s">
        <v>798</v>
      </c>
      <c r="H667" s="43" t="s">
        <v>669</v>
      </c>
      <c r="I667" s="46">
        <f>SUMIFS(Movimentações!$F$6:$F$4998,Movimentações!$C$6:$C$4998,A667,Movimentações!$M$6:$M$4998,M667)</f>
        <v>50</v>
      </c>
      <c r="J667" s="43" t="s">
        <v>670</v>
      </c>
      <c r="K667" s="43" t="s">
        <v>1419</v>
      </c>
      <c r="L667" s="47" t="s">
        <v>807</v>
      </c>
      <c r="M667" s="43" t="s">
        <v>957</v>
      </c>
      <c r="N667" s="43" t="str">
        <f t="shared" si="25"/>
        <v>Rua B · Prat 9 · C-209</v>
      </c>
      <c r="P667">
        <f>IF(A667="","",IF(AND(K667&lt;&gt;"",L667&lt;&gt;""),IF(COUNTIFS($K$6:K667,K667,$L$6:L667,L667)=1,1,0),0))</f>
        <v>0</v>
      </c>
      <c r="Q667">
        <f>IF(A667="","",IF(AND(K667&lt;&gt;"",M667&lt;&gt;""),IF(COUNTIFS($K$6:K667,K667,$M$6:M667,M667)=1,1,0),0))</f>
        <v>1</v>
      </c>
      <c r="R667">
        <f>IF(A667="","",IF(M667&lt;&gt;"",IF(COUNTIF($M$6:M667,M667)=1,1,0),0))</f>
        <v>0</v>
      </c>
      <c r="T667" t="str">
        <f>IF(AND($M667&lt;&gt;"",$M667='Mapa do Galpão'!$C$20),COUNTIF($M$6:$M667,'Mapa do Galpão'!$C$20),"")</f>
        <v/>
      </c>
    </row>
    <row r="668" spans="1:20" ht="14.25" hidden="1" customHeight="1" x14ac:dyDescent="0.3">
      <c r="A668" s="43" t="s">
        <v>1671</v>
      </c>
      <c r="B668" s="50" t="s">
        <v>1424</v>
      </c>
      <c r="C668" s="165" t="s">
        <v>491</v>
      </c>
      <c r="D668" s="45" t="str">
        <f t="shared" si="24"/>
        <v>Masculino</v>
      </c>
      <c r="E668" s="43" t="s">
        <v>666</v>
      </c>
      <c r="F668" s="43" t="s">
        <v>1457</v>
      </c>
      <c r="G668" s="43" t="s">
        <v>798</v>
      </c>
      <c r="H668" s="43" t="s">
        <v>680</v>
      </c>
      <c r="I668" s="46">
        <f>SUMIFS(Movimentações!$F$6:$F$4998,Movimentações!$C$6:$C$4998,A668,Movimentações!$M$6:$M$4998,M668)</f>
        <v>20</v>
      </c>
      <c r="J668" s="43" t="s">
        <v>670</v>
      </c>
      <c r="K668" s="43" t="s">
        <v>1419</v>
      </c>
      <c r="L668" s="47" t="s">
        <v>807</v>
      </c>
      <c r="M668" s="43" t="s">
        <v>1672</v>
      </c>
      <c r="N668" s="43" t="str">
        <f t="shared" si="25"/>
        <v>Rua B · Prat 9 · C-210</v>
      </c>
      <c r="P668">
        <f>IF(A668="","",IF(AND(K668&lt;&gt;"",L668&lt;&gt;""),IF(COUNTIFS($K$6:K668,K668,$L$6:L668,L668)=1,1,0),0))</f>
        <v>0</v>
      </c>
      <c r="Q668">
        <f>IF(A668="","",IF(AND(K668&lt;&gt;"",M668&lt;&gt;""),IF(COUNTIFS($K$6:K668,K668,$M$6:M668,M668)=1,1,0),0))</f>
        <v>1</v>
      </c>
      <c r="R668">
        <f>IF(A668="","",IF(M668&lt;&gt;"",IF(COUNTIF($M$6:M668,M668)=1,1,0),0))</f>
        <v>1</v>
      </c>
      <c r="T668" t="str">
        <f>IF(AND($M668&lt;&gt;"",$M668='Mapa do Galpão'!$C$20),COUNTIF($M$6:$M668,'Mapa do Galpão'!$C$20),"")</f>
        <v/>
      </c>
    </row>
    <row r="669" spans="1:20" ht="14.25" hidden="1" customHeight="1" x14ac:dyDescent="0.3">
      <c r="A669" s="43" t="s">
        <v>1668</v>
      </c>
      <c r="B669" s="50" t="s">
        <v>1424</v>
      </c>
      <c r="C669" s="166" t="s">
        <v>476</v>
      </c>
      <c r="D669" s="45" t="str">
        <f t="shared" si="24"/>
        <v>Masculino</v>
      </c>
      <c r="E669" s="43" t="s">
        <v>666</v>
      </c>
      <c r="F669" s="43" t="s">
        <v>1457</v>
      </c>
      <c r="G669" s="43" t="s">
        <v>798</v>
      </c>
      <c r="H669" s="43" t="s">
        <v>675</v>
      </c>
      <c r="I669" s="46">
        <f>SUMIFS(Movimentações!$F$6:$F$4998,Movimentações!$C$6:$C$4998,A669,Movimentações!$M$6:$M$4998,M669)</f>
        <v>10</v>
      </c>
      <c r="J669" s="43" t="s">
        <v>670</v>
      </c>
      <c r="K669" s="43" t="s">
        <v>1419</v>
      </c>
      <c r="L669" s="47" t="s">
        <v>807</v>
      </c>
      <c r="M669" s="43" t="s">
        <v>1672</v>
      </c>
      <c r="N669" s="43" t="str">
        <f t="shared" si="25"/>
        <v>Rua B · Prat 9 · C-210</v>
      </c>
      <c r="P669">
        <f>IF(A669="","",IF(AND(K669&lt;&gt;"",L669&lt;&gt;""),IF(COUNTIFS($K$6:K669,K669,$L$6:L669,L669)=1,1,0),0))</f>
        <v>0</v>
      </c>
      <c r="Q669">
        <f>IF(A669="","",IF(AND(K669&lt;&gt;"",M669&lt;&gt;""),IF(COUNTIFS($K$6:K669,K669,$M$6:M669,M669)=1,1,0),0))</f>
        <v>0</v>
      </c>
      <c r="R669">
        <f>IF(A669="","",IF(M669&lt;&gt;"",IF(COUNTIF($M$6:M669,M669)=1,1,0),0))</f>
        <v>0</v>
      </c>
      <c r="T669" t="str">
        <f>IF(AND($M669&lt;&gt;"",$M669='Mapa do Galpão'!$C$20),COUNTIF($M$6:$M669,'Mapa do Galpão'!$C$20),"")</f>
        <v/>
      </c>
    </row>
    <row r="670" spans="1:20" ht="14.25" hidden="1" customHeight="1" x14ac:dyDescent="0.3">
      <c r="A670" s="43" t="s">
        <v>1668</v>
      </c>
      <c r="B670" s="50" t="s">
        <v>1424</v>
      </c>
      <c r="C670" s="166" t="s">
        <v>476</v>
      </c>
      <c r="D670" s="45" t="str">
        <f t="shared" si="24"/>
        <v>Masculino</v>
      </c>
      <c r="E670" s="43" t="s">
        <v>666</v>
      </c>
      <c r="F670" s="43" t="s">
        <v>1457</v>
      </c>
      <c r="G670" s="43" t="s">
        <v>798</v>
      </c>
      <c r="H670" s="43" t="s">
        <v>675</v>
      </c>
      <c r="I670" s="46">
        <f>SUMIFS(Movimentações!$F$6:$F$4998,Movimentações!$C$6:$C$4998,A670,Movimentações!$M$6:$M$4998,M670)</f>
        <v>55</v>
      </c>
      <c r="J670" s="43" t="s">
        <v>670</v>
      </c>
      <c r="K670" s="43" t="s">
        <v>1419</v>
      </c>
      <c r="L670" s="47" t="s">
        <v>807</v>
      </c>
      <c r="M670" s="43" t="s">
        <v>1673</v>
      </c>
      <c r="N670" s="43" t="str">
        <f t="shared" si="25"/>
        <v>Rua B · Prat 9 · C-211</v>
      </c>
      <c r="P670">
        <f>IF(A670="","",IF(AND(K670&lt;&gt;"",L670&lt;&gt;""),IF(COUNTIFS($K$6:K670,K670,$L$6:L670,L670)=1,1,0),0))</f>
        <v>0</v>
      </c>
      <c r="Q670">
        <f>IF(A670="","",IF(AND(K670&lt;&gt;"",M670&lt;&gt;""),IF(COUNTIFS($K$6:K670,K670,$M$6:M670,M670)=1,1,0),0))</f>
        <v>1</v>
      </c>
      <c r="R670">
        <f>IF(A670="","",IF(M670&lt;&gt;"",IF(COUNTIF($M$6:M670,M670)=1,1,0),0))</f>
        <v>1</v>
      </c>
      <c r="T670" t="str">
        <f>IF(AND($M670&lt;&gt;"",$M670='Mapa do Galpão'!$C$20),COUNTIF($M$6:$M670,'Mapa do Galpão'!$C$20),"")</f>
        <v/>
      </c>
    </row>
    <row r="671" spans="1:20" ht="14.25" hidden="1" customHeight="1" x14ac:dyDescent="0.3">
      <c r="A671" s="43" t="s">
        <v>1630</v>
      </c>
      <c r="B671" s="50" t="s">
        <v>1424</v>
      </c>
      <c r="C671" s="165" t="s">
        <v>132</v>
      </c>
      <c r="D671" s="45" t="str">
        <f t="shared" si="24"/>
        <v>Masculino</v>
      </c>
      <c r="E671" s="43" t="s">
        <v>666</v>
      </c>
      <c r="F671" s="43" t="s">
        <v>1628</v>
      </c>
      <c r="G671" s="43" t="s">
        <v>798</v>
      </c>
      <c r="H671" s="43" t="s">
        <v>675</v>
      </c>
      <c r="I671" s="46">
        <f>SUMIFS(Movimentações!$F$6:$F$4998,Movimentações!$C$6:$C$4998,A671,Movimentações!$M$6:$M$4998,M671)</f>
        <v>45</v>
      </c>
      <c r="J671" s="43" t="s">
        <v>670</v>
      </c>
      <c r="K671" s="43" t="s">
        <v>1419</v>
      </c>
      <c r="L671" s="47" t="s">
        <v>1519</v>
      </c>
      <c r="M671" s="43" t="s">
        <v>1674</v>
      </c>
      <c r="N671" s="43" t="str">
        <f t="shared" si="25"/>
        <v>Rua B · Prat 14 · C-212</v>
      </c>
      <c r="P671">
        <f>IF(A671="","",IF(AND(K671&lt;&gt;"",L671&lt;&gt;""),IF(COUNTIFS($K$6:K671,K671,$L$6:L671,L671)=1,1,0),0))</f>
        <v>0</v>
      </c>
      <c r="Q671">
        <f>IF(A671="","",IF(AND(K671&lt;&gt;"",M671&lt;&gt;""),IF(COUNTIFS($K$6:K671,K671,$M$6:M671,M671)=1,1,0),0))</f>
        <v>1</v>
      </c>
      <c r="R671">
        <f>IF(A671="","",IF(M671&lt;&gt;"",IF(COUNTIF($M$6:M671,M671)=1,1,0),0))</f>
        <v>1</v>
      </c>
      <c r="T671" t="str">
        <f>IF(AND($M671&lt;&gt;"",$M671='Mapa do Galpão'!$C$20),COUNTIF($M$6:$M671,'Mapa do Galpão'!$C$20),"")</f>
        <v/>
      </c>
    </row>
    <row r="672" spans="1:20" ht="14.25" hidden="1" customHeight="1" x14ac:dyDescent="0.3">
      <c r="A672" s="43" t="s">
        <v>1675</v>
      </c>
      <c r="B672" s="50" t="s">
        <v>1424</v>
      </c>
      <c r="C672" s="165" t="s">
        <v>338</v>
      </c>
      <c r="D672" s="45" t="str">
        <f t="shared" si="24"/>
        <v>—</v>
      </c>
      <c r="E672" s="43" t="s">
        <v>1100</v>
      </c>
      <c r="F672" s="43" t="s">
        <v>1676</v>
      </c>
      <c r="G672" s="43" t="s">
        <v>755</v>
      </c>
      <c r="H672" s="43" t="s">
        <v>1677</v>
      </c>
      <c r="I672" s="46">
        <f>SUMIFS(Movimentações!$F$6:$F$4998,Movimentações!$C$6:$C$4998,A672,Movimentações!$M$6:$M$4998,M672)</f>
        <v>0</v>
      </c>
      <c r="J672" s="43" t="s">
        <v>670</v>
      </c>
      <c r="K672" s="43" t="s">
        <v>1419</v>
      </c>
      <c r="L672" s="47" t="s">
        <v>1519</v>
      </c>
      <c r="M672" s="43" t="s">
        <v>1678</v>
      </c>
      <c r="N672" s="43" t="str">
        <f t="shared" si="25"/>
        <v>Rua B · Prat 14 · C-213</v>
      </c>
      <c r="P672">
        <f>IF(A672="","",IF(AND(K672&lt;&gt;"",L672&lt;&gt;""),IF(COUNTIFS($K$6:K672,K672,$L$6:L672,L672)=1,1,0),0))</f>
        <v>0</v>
      </c>
      <c r="Q672">
        <f>IF(A672="","",IF(AND(K672&lt;&gt;"",M672&lt;&gt;""),IF(COUNTIFS($K$6:K672,K672,$M$6:M672,M672)=1,1,0),0))</f>
        <v>1</v>
      </c>
      <c r="R672">
        <f>IF(A672="","",IF(M672&lt;&gt;"",IF(COUNTIF($M$6:M672,M672)=1,1,0),0))</f>
        <v>1</v>
      </c>
      <c r="T672" t="str">
        <f>IF(AND($M672&lt;&gt;"",$M672='Mapa do Galpão'!$C$20),COUNTIF($M$6:$M672,'Mapa do Galpão'!$C$20),"")</f>
        <v/>
      </c>
    </row>
    <row r="673" spans="1:20" ht="14.25" hidden="1" customHeight="1" x14ac:dyDescent="0.3">
      <c r="A673" s="43" t="s">
        <v>1675</v>
      </c>
      <c r="B673" s="50" t="s">
        <v>1424</v>
      </c>
      <c r="C673" s="165" t="s">
        <v>338</v>
      </c>
      <c r="D673" s="45" t="str">
        <f t="shared" si="24"/>
        <v>—</v>
      </c>
      <c r="E673" s="43" t="s">
        <v>1100</v>
      </c>
      <c r="F673" s="43" t="s">
        <v>1676</v>
      </c>
      <c r="G673" s="43" t="s">
        <v>755</v>
      </c>
      <c r="H673" s="43" t="s">
        <v>1677</v>
      </c>
      <c r="I673" s="46">
        <f>SUMIFS(Movimentações!$F$6:$F$4998,Movimentações!$C$6:$C$4998,A673,Movimentações!$M$6:$M$4998,M673)</f>
        <v>0</v>
      </c>
      <c r="J673" s="43" t="s">
        <v>670</v>
      </c>
      <c r="K673" s="43" t="s">
        <v>1419</v>
      </c>
      <c r="L673" s="47" t="s">
        <v>1519</v>
      </c>
      <c r="M673" s="43" t="s">
        <v>1679</v>
      </c>
      <c r="N673" s="43" t="str">
        <f t="shared" si="25"/>
        <v>Rua B · Prat 14 · C-214</v>
      </c>
      <c r="P673">
        <f>IF(A673="","",IF(AND(K673&lt;&gt;"",L673&lt;&gt;""),IF(COUNTIFS($K$6:K673,K673,$L$6:L673,L673)=1,1,0),0))</f>
        <v>0</v>
      </c>
      <c r="Q673">
        <f>IF(A673="","",IF(AND(K673&lt;&gt;"",M673&lt;&gt;""),IF(COUNTIFS($K$6:K673,K673,$M$6:M673,M673)=1,1,0),0))</f>
        <v>1</v>
      </c>
      <c r="R673">
        <f>IF(A673="","",IF(M673&lt;&gt;"",IF(COUNTIF($M$6:M673,M673)=1,1,0),0))</f>
        <v>1</v>
      </c>
      <c r="T673" t="str">
        <f>IF(AND($M673&lt;&gt;"",$M673='Mapa do Galpão'!$C$20),COUNTIF($M$6:$M673,'Mapa do Galpão'!$C$20),"")</f>
        <v/>
      </c>
    </row>
    <row r="674" spans="1:20" ht="14.25" hidden="1" customHeight="1" x14ac:dyDescent="0.3">
      <c r="A674" s="43" t="s">
        <v>1675</v>
      </c>
      <c r="B674" s="50" t="s">
        <v>1424</v>
      </c>
      <c r="C674" s="165" t="s">
        <v>338</v>
      </c>
      <c r="D674" s="45" t="str">
        <f t="shared" si="24"/>
        <v>—</v>
      </c>
      <c r="E674" s="43" t="s">
        <v>1100</v>
      </c>
      <c r="F674" s="43" t="s">
        <v>1676</v>
      </c>
      <c r="G674" s="43" t="s">
        <v>755</v>
      </c>
      <c r="H674" s="43" t="s">
        <v>1677</v>
      </c>
      <c r="I674" s="46">
        <f>SUMIFS(Movimentações!$F$6:$F$4998,Movimentações!$C$6:$C$4998,A674,Movimentações!$M$6:$M$4998,M674)</f>
        <v>12</v>
      </c>
      <c r="J674" s="43" t="s">
        <v>670</v>
      </c>
      <c r="K674" s="43" t="s">
        <v>1419</v>
      </c>
      <c r="L674" s="47" t="s">
        <v>1519</v>
      </c>
      <c r="M674" s="43" t="s">
        <v>1680</v>
      </c>
      <c r="N674" s="43" t="str">
        <f t="shared" si="25"/>
        <v>Rua B · Prat 14 · C-215</v>
      </c>
      <c r="P674">
        <f>IF(A674="","",IF(AND(K674&lt;&gt;"",L674&lt;&gt;""),IF(COUNTIFS($K$6:K674,K674,$L$6:L674,L674)=1,1,0),0))</f>
        <v>0</v>
      </c>
      <c r="Q674">
        <f>IF(A674="","",IF(AND(K674&lt;&gt;"",M674&lt;&gt;""),IF(COUNTIFS($K$6:K674,K674,$M$6:M674,M674)=1,1,0),0))</f>
        <v>1</v>
      </c>
      <c r="R674">
        <f>IF(A674="","",IF(M674&lt;&gt;"",IF(COUNTIF($M$6:M674,M674)=1,1,0),0))</f>
        <v>1</v>
      </c>
      <c r="T674" t="str">
        <f>IF(AND($M674&lt;&gt;"",$M674='Mapa do Galpão'!$C$20),COUNTIF($M$6:$M674,'Mapa do Galpão'!$C$20),"")</f>
        <v/>
      </c>
    </row>
    <row r="675" spans="1:20" ht="14.25" hidden="1" customHeight="1" x14ac:dyDescent="0.3">
      <c r="A675" s="43" t="s">
        <v>1675</v>
      </c>
      <c r="B675" s="50" t="s">
        <v>1424</v>
      </c>
      <c r="C675" s="165" t="s">
        <v>338</v>
      </c>
      <c r="D675" s="45" t="str">
        <f t="shared" si="24"/>
        <v>—</v>
      </c>
      <c r="E675" s="43" t="s">
        <v>1100</v>
      </c>
      <c r="F675" s="43" t="s">
        <v>1676</v>
      </c>
      <c r="G675" s="43" t="s">
        <v>755</v>
      </c>
      <c r="H675" s="43" t="s">
        <v>1677</v>
      </c>
      <c r="I675" s="46">
        <f>SUMIFS(Movimentações!$F$6:$F$4998,Movimentações!$C$6:$C$4998,A675,Movimentações!$M$6:$M$4998,M675)</f>
        <v>9</v>
      </c>
      <c r="J675" s="43" t="s">
        <v>670</v>
      </c>
      <c r="K675" s="43" t="s">
        <v>1419</v>
      </c>
      <c r="L675" s="47" t="s">
        <v>1519</v>
      </c>
      <c r="M675" s="43" t="s">
        <v>1681</v>
      </c>
      <c r="N675" s="43" t="str">
        <f t="shared" si="25"/>
        <v>Rua B · Prat 14 · C-216</v>
      </c>
      <c r="P675">
        <f>IF(A675="","",IF(AND(K675&lt;&gt;"",L675&lt;&gt;""),IF(COUNTIFS($K$6:K675,K675,$L$6:L675,L675)=1,1,0),0))</f>
        <v>0</v>
      </c>
      <c r="Q675">
        <f>IF(A675="","",IF(AND(K675&lt;&gt;"",M675&lt;&gt;""),IF(COUNTIFS($K$6:K675,K675,$M$6:M675,M675)=1,1,0),0))</f>
        <v>1</v>
      </c>
      <c r="R675">
        <f>IF(A675="","",IF(M675&lt;&gt;"",IF(COUNTIF($M$6:M675,M675)=1,1,0),0))</f>
        <v>1</v>
      </c>
      <c r="T675" t="str">
        <f>IF(AND($M675&lt;&gt;"",$M675='Mapa do Galpão'!$C$20),COUNTIF($M$6:$M675,'Mapa do Galpão'!$C$20),"")</f>
        <v/>
      </c>
    </row>
    <row r="676" spans="1:20" ht="14.25" hidden="1" customHeight="1" x14ac:dyDescent="0.3">
      <c r="A676" s="43" t="s">
        <v>1682</v>
      </c>
      <c r="B676" s="50" t="s">
        <v>1424</v>
      </c>
      <c r="C676" s="165" t="s">
        <v>419</v>
      </c>
      <c r="D676" s="45" t="str">
        <f t="shared" si="24"/>
        <v>—</v>
      </c>
      <c r="E676" s="43" t="s">
        <v>1320</v>
      </c>
      <c r="F676" s="43" t="s">
        <v>1321</v>
      </c>
      <c r="G676" s="43" t="s">
        <v>668</v>
      </c>
      <c r="H676" s="43" t="s">
        <v>1677</v>
      </c>
      <c r="I676" s="46">
        <f>SUMIFS(Movimentações!$F$6:$F$4998,Movimentações!$C$6:$C$4998,A676,Movimentações!$M$6:$M$4998,M676)</f>
        <v>6</v>
      </c>
      <c r="J676" s="43" t="s">
        <v>670</v>
      </c>
      <c r="K676" s="43" t="s">
        <v>1419</v>
      </c>
      <c r="L676" s="47" t="s">
        <v>1519</v>
      </c>
      <c r="M676" s="43" t="s">
        <v>1683</v>
      </c>
      <c r="N676" s="43" t="str">
        <f t="shared" si="25"/>
        <v>Rua B · Prat 14 · C-217</v>
      </c>
      <c r="P676">
        <f>IF(A676="","",IF(AND(K676&lt;&gt;"",L676&lt;&gt;""),IF(COUNTIFS($K$6:K676,K676,$L$6:L676,L676)=1,1,0),0))</f>
        <v>0</v>
      </c>
      <c r="Q676">
        <f>IF(A676="","",IF(AND(K676&lt;&gt;"",M676&lt;&gt;""),IF(COUNTIFS($K$6:K676,K676,$M$6:M676,M676)=1,1,0),0))</f>
        <v>1</v>
      </c>
      <c r="R676">
        <f>IF(A676="","",IF(M676&lt;&gt;"",IF(COUNTIF($M$6:M676,M676)=1,1,0),0))</f>
        <v>1</v>
      </c>
      <c r="T676" t="str">
        <f>IF(AND($M676&lt;&gt;"",$M676='Mapa do Galpão'!$C$20),COUNTIF($M$6:$M676,'Mapa do Galpão'!$C$20),"")</f>
        <v/>
      </c>
    </row>
    <row r="677" spans="1:20" ht="14.25" hidden="1" customHeight="1" x14ac:dyDescent="0.3">
      <c r="A677" s="43" t="s">
        <v>1682</v>
      </c>
      <c r="B677" s="50" t="s">
        <v>1424</v>
      </c>
      <c r="C677" s="165" t="s">
        <v>419</v>
      </c>
      <c r="D677" s="45" t="str">
        <f t="shared" si="24"/>
        <v>—</v>
      </c>
      <c r="E677" s="43" t="s">
        <v>1320</v>
      </c>
      <c r="F677" s="43" t="s">
        <v>1321</v>
      </c>
      <c r="G677" s="43" t="s">
        <v>668</v>
      </c>
      <c r="H677" s="43" t="s">
        <v>1677</v>
      </c>
      <c r="I677" s="46">
        <f>SUMIFS(Movimentações!$F$6:$F$4998,Movimentações!$C$6:$C$4998,A677,Movimentações!$M$6:$M$4998,M677)</f>
        <v>6</v>
      </c>
      <c r="J677" s="43" t="s">
        <v>670</v>
      </c>
      <c r="K677" s="43" t="s">
        <v>1419</v>
      </c>
      <c r="L677" s="47">
        <v>15</v>
      </c>
      <c r="M677" s="43" t="s">
        <v>1684</v>
      </c>
      <c r="N677" s="43" t="str">
        <f t="shared" si="25"/>
        <v>Rua B · Prat 15 · C-218</v>
      </c>
      <c r="P677">
        <f>IF(A677="","",IF(AND(K677&lt;&gt;"",L677&lt;&gt;""),IF(COUNTIFS($K$6:K677,K677,$L$6:L677,L677)=1,1,0),0))</f>
        <v>1</v>
      </c>
      <c r="Q677">
        <f>IF(A677="","",IF(AND(K677&lt;&gt;"",M677&lt;&gt;""),IF(COUNTIFS($K$6:K677,K677,$M$6:M677,M677)=1,1,0),0))</f>
        <v>1</v>
      </c>
      <c r="R677">
        <f>IF(A677="","",IF(M677&lt;&gt;"",IF(COUNTIF($M$6:M677,M677)=1,1,0),0))</f>
        <v>1</v>
      </c>
      <c r="T677" t="str">
        <f>IF(AND($M677&lt;&gt;"",$M677='Mapa do Galpão'!$C$20),COUNTIF($M$6:$M677,'Mapa do Galpão'!$C$20),"")</f>
        <v/>
      </c>
    </row>
    <row r="678" spans="1:20" ht="14.25" hidden="1" customHeight="1" x14ac:dyDescent="0.3">
      <c r="A678" s="43" t="s">
        <v>1682</v>
      </c>
      <c r="B678" s="50" t="s">
        <v>1424</v>
      </c>
      <c r="C678" s="165" t="s">
        <v>419</v>
      </c>
      <c r="D678" s="45" t="str">
        <f t="shared" si="24"/>
        <v>—</v>
      </c>
      <c r="E678" s="43" t="s">
        <v>1320</v>
      </c>
      <c r="F678" s="43" t="s">
        <v>1321</v>
      </c>
      <c r="G678" s="43" t="s">
        <v>668</v>
      </c>
      <c r="H678" s="43" t="s">
        <v>1677</v>
      </c>
      <c r="I678" s="46">
        <f>SUMIFS(Movimentações!$F$6:$F$4998,Movimentações!$C$6:$C$4998,A678,Movimentações!$M$6:$M$4998,M678)</f>
        <v>5</v>
      </c>
      <c r="J678" s="43" t="s">
        <v>670</v>
      </c>
      <c r="K678" s="43" t="s">
        <v>1419</v>
      </c>
      <c r="L678" s="47" t="s">
        <v>1519</v>
      </c>
      <c r="M678" s="43" t="s">
        <v>1685</v>
      </c>
      <c r="N678" s="43" t="str">
        <f t="shared" si="25"/>
        <v>Rua B · Prat 14 · C-219</v>
      </c>
      <c r="P678">
        <f>IF(A678="","",IF(AND(K678&lt;&gt;"",L678&lt;&gt;""),IF(COUNTIFS($K$6:K678,K678,$L$6:L678,L678)=1,1,0),0))</f>
        <v>0</v>
      </c>
      <c r="Q678">
        <f>IF(A678="","",IF(AND(K678&lt;&gt;"",M678&lt;&gt;""),IF(COUNTIFS($K$6:K678,K678,$M$6:M678,M678)=1,1,0),0))</f>
        <v>1</v>
      </c>
      <c r="R678">
        <f>IF(A678="","",IF(M678&lt;&gt;"",IF(COUNTIF($M$6:M678,M678)=1,1,0),0))</f>
        <v>1</v>
      </c>
      <c r="T678" t="str">
        <f>IF(AND($M678&lt;&gt;"",$M678='Mapa do Galpão'!$C$20),COUNTIF($M$6:$M678,'Mapa do Galpão'!$C$20),"")</f>
        <v/>
      </c>
    </row>
    <row r="679" spans="1:20" ht="14.25" hidden="1" customHeight="1" x14ac:dyDescent="0.3">
      <c r="A679" s="43" t="s">
        <v>1686</v>
      </c>
      <c r="B679" s="50" t="s">
        <v>1424</v>
      </c>
      <c r="C679" s="165" t="s">
        <v>450</v>
      </c>
      <c r="D679" s="45" t="str">
        <f t="shared" si="24"/>
        <v>Feminino</v>
      </c>
      <c r="E679" s="43" t="s">
        <v>1378</v>
      </c>
      <c r="F679" s="43" t="s">
        <v>1379</v>
      </c>
      <c r="G679" s="43" t="s">
        <v>668</v>
      </c>
      <c r="H679" s="43" t="s">
        <v>680</v>
      </c>
      <c r="I679" s="46">
        <f>SUMIFS(Movimentações!$F$6:$F$4998,Movimentações!$C$6:$C$4998,A679,Movimentações!$M$6:$M$4998,M679)</f>
        <v>7</v>
      </c>
      <c r="J679" s="43" t="s">
        <v>670</v>
      </c>
      <c r="K679" s="43" t="s">
        <v>1419</v>
      </c>
      <c r="L679" s="47" t="s">
        <v>1519</v>
      </c>
      <c r="M679" s="43" t="s">
        <v>1687</v>
      </c>
      <c r="N679" s="43" t="str">
        <f t="shared" si="25"/>
        <v>Rua B · Prat 14 · C-220</v>
      </c>
      <c r="P679">
        <f>IF(A679="","",IF(AND(K679&lt;&gt;"",L679&lt;&gt;""),IF(COUNTIFS($K$6:K679,K679,$L$6:L679,L679)=1,1,0),0))</f>
        <v>0</v>
      </c>
      <c r="Q679">
        <f>IF(A679="","",IF(AND(K679&lt;&gt;"",M679&lt;&gt;""),IF(COUNTIFS($K$6:K679,K679,$M$6:M679,M679)=1,1,0),0))</f>
        <v>1</v>
      </c>
      <c r="R679">
        <f>IF(A679="","",IF(M679&lt;&gt;"",IF(COUNTIF($M$6:M679,M679)=1,1,0),0))</f>
        <v>1</v>
      </c>
      <c r="T679" t="str">
        <f>IF(AND($M679&lt;&gt;"",$M679='Mapa do Galpão'!$C$20),COUNTIF($M$6:$M679,'Mapa do Galpão'!$C$20),"")</f>
        <v/>
      </c>
    </row>
    <row r="680" spans="1:20" ht="14.25" hidden="1" customHeight="1" x14ac:dyDescent="0.3">
      <c r="A680" s="43" t="s">
        <v>1688</v>
      </c>
      <c r="B680" s="50" t="s">
        <v>1424</v>
      </c>
      <c r="C680" s="165" t="s">
        <v>452</v>
      </c>
      <c r="D680" s="45" t="str">
        <f t="shared" si="24"/>
        <v>Feminino</v>
      </c>
      <c r="E680" s="43" t="s">
        <v>1378</v>
      </c>
      <c r="F680" s="43" t="s">
        <v>1379</v>
      </c>
      <c r="G680" s="43" t="s">
        <v>668</v>
      </c>
      <c r="H680" s="43" t="s">
        <v>669</v>
      </c>
      <c r="I680" s="46">
        <f>SUMIFS(Movimentações!$F$6:$F$4998,Movimentações!$C$6:$C$4998,A680,Movimentações!$M$6:$M$4998,M680)</f>
        <v>32</v>
      </c>
      <c r="J680" s="43" t="s">
        <v>670</v>
      </c>
      <c r="K680" s="43" t="s">
        <v>1419</v>
      </c>
      <c r="L680" s="47" t="s">
        <v>1519</v>
      </c>
      <c r="M680" s="43" t="s">
        <v>1687</v>
      </c>
      <c r="N680" s="43" t="str">
        <f t="shared" si="25"/>
        <v>Rua B · Prat 14 · C-220</v>
      </c>
      <c r="P680">
        <f>IF(A680="","",IF(AND(K680&lt;&gt;"",L680&lt;&gt;""),IF(COUNTIFS($K$6:K680,K680,$L$6:L680,L680)=1,1,0),0))</f>
        <v>0</v>
      </c>
      <c r="Q680">
        <f>IF(A680="","",IF(AND(K680&lt;&gt;"",M680&lt;&gt;""),IF(COUNTIFS($K$6:K680,K680,$M$6:M680,M680)=1,1,0),0))</f>
        <v>0</v>
      </c>
      <c r="R680">
        <f>IF(A680="","",IF(M680&lt;&gt;"",IF(COUNTIF($M$6:M680,M680)=1,1,0),0))</f>
        <v>0</v>
      </c>
      <c r="T680" t="str">
        <f>IF(AND($M680&lt;&gt;"",$M680='Mapa do Galpão'!$C$20),COUNTIF($M$6:$M680,'Mapa do Galpão'!$C$20),"")</f>
        <v/>
      </c>
    </row>
    <row r="681" spans="1:20" ht="14.25" hidden="1" customHeight="1" x14ac:dyDescent="0.3">
      <c r="A681" s="43" t="s">
        <v>1689</v>
      </c>
      <c r="B681" s="50" t="s">
        <v>1424</v>
      </c>
      <c r="C681" s="165" t="s">
        <v>453</v>
      </c>
      <c r="D681" s="45" t="str">
        <f t="shared" si="24"/>
        <v>Feminino</v>
      </c>
      <c r="E681" s="43" t="s">
        <v>1378</v>
      </c>
      <c r="F681" s="43" t="s">
        <v>1379</v>
      </c>
      <c r="G681" s="43" t="s">
        <v>668</v>
      </c>
      <c r="H681" s="43" t="s">
        <v>682</v>
      </c>
      <c r="I681" s="46">
        <f>SUMIFS(Movimentações!$F$6:$F$4998,Movimentações!$C$6:$C$4998,A681,Movimentações!$M$6:$M$4998,M681)</f>
        <v>7</v>
      </c>
      <c r="J681" s="43" t="s">
        <v>670</v>
      </c>
      <c r="K681" s="43" t="s">
        <v>1419</v>
      </c>
      <c r="L681" s="47" t="s">
        <v>1519</v>
      </c>
      <c r="M681" s="43" t="s">
        <v>1687</v>
      </c>
      <c r="N681" s="43" t="str">
        <f t="shared" si="25"/>
        <v>Rua B · Prat 14 · C-220</v>
      </c>
      <c r="P681">
        <f>IF(A681="","",IF(AND(K681&lt;&gt;"",L681&lt;&gt;""),IF(COUNTIFS($K$6:K681,K681,$L$6:L681,L681)=1,1,0),0))</f>
        <v>0</v>
      </c>
      <c r="Q681">
        <f>IF(A681="","",IF(AND(K681&lt;&gt;"",M681&lt;&gt;""),IF(COUNTIFS($K$6:K681,K681,$M$6:M681,M681)=1,1,0),0))</f>
        <v>0</v>
      </c>
      <c r="R681">
        <f>IF(A681="","",IF(M681&lt;&gt;"",IF(COUNTIF($M$6:M681,M681)=1,1,0),0))</f>
        <v>0</v>
      </c>
      <c r="T681" t="str">
        <f>IF(AND($M681&lt;&gt;"",$M681='Mapa do Galpão'!$C$20),COUNTIF($M$6:$M681,'Mapa do Galpão'!$C$20),"")</f>
        <v/>
      </c>
    </row>
    <row r="682" spans="1:20" ht="14.25" hidden="1" customHeight="1" x14ac:dyDescent="0.3">
      <c r="A682" s="43" t="s">
        <v>1690</v>
      </c>
      <c r="B682" s="50" t="s">
        <v>1424</v>
      </c>
      <c r="C682" s="165" t="s">
        <v>531</v>
      </c>
      <c r="D682" s="45" t="str">
        <f t="shared" si="24"/>
        <v>—</v>
      </c>
      <c r="E682" s="43" t="s">
        <v>21</v>
      </c>
      <c r="F682" s="43" t="s">
        <v>1691</v>
      </c>
      <c r="G682" s="43" t="s">
        <v>798</v>
      </c>
      <c r="H682" s="43" t="s">
        <v>1677</v>
      </c>
      <c r="I682" s="46">
        <f>SUMIFS(Movimentações!$F$6:$F$4998,Movimentações!$C$6:$C$4998,A682,Movimentações!$M$6:$M$4998,M682)</f>
        <v>89</v>
      </c>
      <c r="J682" s="43" t="s">
        <v>670</v>
      </c>
      <c r="K682" s="43" t="s">
        <v>1419</v>
      </c>
      <c r="L682" s="47" t="s">
        <v>1519</v>
      </c>
      <c r="M682" s="43" t="s">
        <v>1692</v>
      </c>
      <c r="N682" s="43" t="str">
        <f t="shared" si="25"/>
        <v>Rua B · Prat 14 · C-221</v>
      </c>
      <c r="P682">
        <f>IF(A682="","",IF(AND(K682&lt;&gt;"",L682&lt;&gt;""),IF(COUNTIFS($K$6:K682,K682,$L$6:L682,L682)=1,1,0),0))</f>
        <v>0</v>
      </c>
      <c r="Q682">
        <f>IF(A682="","",IF(AND(K682&lt;&gt;"",M682&lt;&gt;""),IF(COUNTIFS($K$6:K682,K682,$M$6:M682,M682)=1,1,0),0))</f>
        <v>1</v>
      </c>
      <c r="R682">
        <f>IF(A682="","",IF(M682&lt;&gt;"",IF(COUNTIF($M$6:M682,M682)=1,1,0),0))</f>
        <v>1</v>
      </c>
      <c r="T682" t="str">
        <f>IF(AND($M682&lt;&gt;"",$M682='Mapa do Galpão'!$C$20),COUNTIF($M$6:$M682,'Mapa do Galpão'!$C$20),"")</f>
        <v/>
      </c>
    </row>
    <row r="683" spans="1:20" ht="14.25" hidden="1" customHeight="1" x14ac:dyDescent="0.3">
      <c r="A683" s="43" t="s">
        <v>1693</v>
      </c>
      <c r="B683" s="50" t="s">
        <v>1424</v>
      </c>
      <c r="C683" s="165" t="s">
        <v>362</v>
      </c>
      <c r="D683" s="45" t="str">
        <f t="shared" si="24"/>
        <v>—</v>
      </c>
      <c r="E683" s="43" t="s">
        <v>1184</v>
      </c>
      <c r="F683" s="43" t="s">
        <v>1185</v>
      </c>
      <c r="G683" s="43" t="s">
        <v>1186</v>
      </c>
      <c r="H683" s="43" t="s">
        <v>1187</v>
      </c>
      <c r="I683" s="46">
        <f>SUMIFS(Movimentações!$F$6:$F$4998,Movimentações!$C$6:$C$4998,A683,Movimentações!$M$6:$M$4998,M683)</f>
        <v>2</v>
      </c>
      <c r="J683" s="43" t="s">
        <v>670</v>
      </c>
      <c r="K683" s="43" t="s">
        <v>1419</v>
      </c>
      <c r="L683" s="47" t="s">
        <v>1519</v>
      </c>
      <c r="M683" s="43" t="s">
        <v>1694</v>
      </c>
      <c r="N683" s="43" t="str">
        <f t="shared" si="25"/>
        <v>Rua B · Prat 14 · C-222</v>
      </c>
      <c r="P683">
        <f>IF(A683="","",IF(AND(K683&lt;&gt;"",L683&lt;&gt;""),IF(COUNTIFS($K$6:K683,K683,$L$6:L683,L683)=1,1,0),0))</f>
        <v>0</v>
      </c>
      <c r="Q683">
        <f>IF(A683="","",IF(AND(K683&lt;&gt;"",M683&lt;&gt;""),IF(COUNTIFS($K$6:K683,K683,$M$6:M683,M683)=1,1,0),0))</f>
        <v>1</v>
      </c>
      <c r="R683">
        <f>IF(A683="","",IF(M683&lt;&gt;"",IF(COUNTIF($M$6:M683,M683)=1,1,0),0))</f>
        <v>1</v>
      </c>
      <c r="T683" t="str">
        <f>IF(AND($M683&lt;&gt;"",$M683='Mapa do Galpão'!$C$20),COUNTIF($M$6:$M683,'Mapa do Galpão'!$C$20),"")</f>
        <v/>
      </c>
    </row>
    <row r="684" spans="1:20" ht="14.25" hidden="1" customHeight="1" x14ac:dyDescent="0.3">
      <c r="A684" s="43" t="s">
        <v>1695</v>
      </c>
      <c r="B684" s="50" t="s">
        <v>1424</v>
      </c>
      <c r="C684" s="165" t="s">
        <v>365</v>
      </c>
      <c r="D684" s="45" t="str">
        <f t="shared" si="24"/>
        <v>—</v>
      </c>
      <c r="E684" s="43" t="s">
        <v>1184</v>
      </c>
      <c r="F684" s="43" t="s">
        <v>1696</v>
      </c>
      <c r="G684" s="43" t="s">
        <v>738</v>
      </c>
      <c r="H684" s="43" t="s">
        <v>1697</v>
      </c>
      <c r="I684" s="46">
        <f>SUMIFS(Movimentações!$F$6:$F$4998,Movimentações!$C$6:$C$4998,A684,Movimentações!$M$6:$M$4998,M684)</f>
        <v>0</v>
      </c>
      <c r="J684" s="43" t="s">
        <v>670</v>
      </c>
      <c r="K684" s="43" t="s">
        <v>1419</v>
      </c>
      <c r="L684" s="47" t="s">
        <v>1519</v>
      </c>
      <c r="M684" s="43" t="s">
        <v>1694</v>
      </c>
      <c r="N684" s="43" t="str">
        <f t="shared" si="25"/>
        <v>Rua B · Prat 14 · C-222</v>
      </c>
      <c r="P684">
        <f>IF(A684="","",IF(AND(K684&lt;&gt;"",L684&lt;&gt;""),IF(COUNTIFS($K$6:K684,K684,$L$6:L684,L684)=1,1,0),0))</f>
        <v>0</v>
      </c>
      <c r="Q684">
        <f>IF(A684="","",IF(AND(K684&lt;&gt;"",M684&lt;&gt;""),IF(COUNTIFS($K$6:K684,K684,$M$6:M684,M684)=1,1,0),0))</f>
        <v>0</v>
      </c>
      <c r="R684">
        <f>IF(A684="","",IF(M684&lt;&gt;"",IF(COUNTIF($M$6:M684,M684)=1,1,0),0))</f>
        <v>0</v>
      </c>
      <c r="T684" t="str">
        <f>IF(AND($M684&lt;&gt;"",$M684='Mapa do Galpão'!$C$20),COUNTIF($M$6:$M684,'Mapa do Galpão'!$C$20),"")</f>
        <v/>
      </c>
    </row>
    <row r="685" spans="1:20" ht="14.25" hidden="1" customHeight="1" x14ac:dyDescent="0.3">
      <c r="A685" s="43" t="s">
        <v>1698</v>
      </c>
      <c r="B685" s="50" t="s">
        <v>1424</v>
      </c>
      <c r="C685" s="165" t="s">
        <v>364</v>
      </c>
      <c r="D685" s="45" t="str">
        <f t="shared" si="24"/>
        <v>—</v>
      </c>
      <c r="E685" s="43" t="s">
        <v>1184</v>
      </c>
      <c r="F685" s="43" t="s">
        <v>1696</v>
      </c>
      <c r="G685" s="43" t="s">
        <v>798</v>
      </c>
      <c r="H685" s="43" t="s">
        <v>1697</v>
      </c>
      <c r="I685" s="46">
        <f>SUMIFS(Movimentações!$F$6:$F$4998,Movimentações!$C$6:$C$4998,A685,Movimentações!$M$6:$M$4998,M685)</f>
        <v>0</v>
      </c>
      <c r="J685" s="43" t="s">
        <v>670</v>
      </c>
      <c r="K685" s="43" t="s">
        <v>1419</v>
      </c>
      <c r="L685" s="47" t="s">
        <v>1519</v>
      </c>
      <c r="M685" s="43" t="s">
        <v>1694</v>
      </c>
      <c r="N685" s="43" t="str">
        <f t="shared" si="25"/>
        <v>Rua B · Prat 14 · C-222</v>
      </c>
      <c r="P685">
        <f>IF(A685="","",IF(AND(K685&lt;&gt;"",L685&lt;&gt;""),IF(COUNTIFS($K$6:K685,K685,$L$6:L685,L685)=1,1,0),0))</f>
        <v>0</v>
      </c>
      <c r="Q685">
        <f>IF(A685="","",IF(AND(K685&lt;&gt;"",M685&lt;&gt;""),IF(COUNTIFS($K$6:K685,K685,$M$6:M685,M685)=1,1,0),0))</f>
        <v>0</v>
      </c>
      <c r="R685">
        <f>IF(A685="","",IF(M685&lt;&gt;"",IF(COUNTIF($M$6:M685,M685)=1,1,0),0))</f>
        <v>0</v>
      </c>
      <c r="T685" t="str">
        <f>IF(AND($M685&lt;&gt;"",$M685='Mapa do Galpão'!$C$20),COUNTIF($M$6:$M685,'Mapa do Galpão'!$C$20),"")</f>
        <v/>
      </c>
    </row>
    <row r="686" spans="1:20" ht="14.25" hidden="1" customHeight="1" x14ac:dyDescent="0.3">
      <c r="A686" s="43" t="s">
        <v>1699</v>
      </c>
      <c r="B686" s="50" t="s">
        <v>1424</v>
      </c>
      <c r="C686" s="165" t="s">
        <v>366</v>
      </c>
      <c r="D686" s="45" t="str">
        <f t="shared" si="24"/>
        <v>—</v>
      </c>
      <c r="E686" s="43" t="s">
        <v>1179</v>
      </c>
      <c r="F686" s="43" t="s">
        <v>1700</v>
      </c>
      <c r="G686" s="43" t="s">
        <v>798</v>
      </c>
      <c r="H686" s="43" t="s">
        <v>1199</v>
      </c>
      <c r="I686" s="46">
        <f>SUMIFS(Movimentações!$F$6:$F$4998,Movimentações!$C$6:$C$4998,A686,Movimentações!$M$6:$M$4998,M686)</f>
        <v>0</v>
      </c>
      <c r="J686" s="43" t="s">
        <v>670</v>
      </c>
      <c r="K686" s="43" t="s">
        <v>1419</v>
      </c>
      <c r="L686" s="47" t="s">
        <v>1519</v>
      </c>
      <c r="M686" s="43" t="s">
        <v>1694</v>
      </c>
      <c r="N686" s="43" t="str">
        <f t="shared" si="25"/>
        <v>Rua B · Prat 14 · C-222</v>
      </c>
      <c r="P686">
        <f>IF(A686="","",IF(AND(K686&lt;&gt;"",L686&lt;&gt;""),IF(COUNTIFS($K$6:K686,K686,$L$6:L686,L686)=1,1,0),0))</f>
        <v>0</v>
      </c>
      <c r="Q686">
        <f>IF(A686="","",IF(AND(K686&lt;&gt;"",M686&lt;&gt;""),IF(COUNTIFS($K$6:K686,K686,$M$6:M686,M686)=1,1,0),0))</f>
        <v>0</v>
      </c>
      <c r="R686">
        <f>IF(A686="","",IF(M686&lt;&gt;"",IF(COUNTIF($M$6:M686,M686)=1,1,0),0))</f>
        <v>0</v>
      </c>
      <c r="T686" t="str">
        <f>IF(AND($M686&lt;&gt;"",$M686='Mapa do Galpão'!$C$20),COUNTIF($M$6:$M686,'Mapa do Galpão'!$C$20),"")</f>
        <v/>
      </c>
    </row>
    <row r="687" spans="1:20" ht="14.25" hidden="1" customHeight="1" x14ac:dyDescent="0.3">
      <c r="A687" s="43" t="s">
        <v>1701</v>
      </c>
      <c r="B687" s="50" t="s">
        <v>1424</v>
      </c>
      <c r="C687" s="165" t="s">
        <v>532</v>
      </c>
      <c r="D687" s="45" t="str">
        <f t="shared" si="24"/>
        <v>—</v>
      </c>
      <c r="E687" s="43" t="s">
        <v>1184</v>
      </c>
      <c r="F687" s="43" t="s">
        <v>1193</v>
      </c>
      <c r="G687" s="43" t="s">
        <v>1079</v>
      </c>
      <c r="H687" s="43" t="s">
        <v>1187</v>
      </c>
      <c r="I687" s="46">
        <f>SUMIFS(Movimentações!$F$6:$F$4998,Movimentações!$C$6:$C$4998,A687,Movimentações!$M$6:$M$4998,M687)</f>
        <v>0</v>
      </c>
      <c r="J687" s="43" t="s">
        <v>670</v>
      </c>
      <c r="K687" s="43" t="s">
        <v>1419</v>
      </c>
      <c r="L687" s="47" t="s">
        <v>1519</v>
      </c>
      <c r="M687" s="43" t="s">
        <v>1694</v>
      </c>
      <c r="N687" s="43" t="str">
        <f t="shared" si="25"/>
        <v>Rua B · Prat 14 · C-222</v>
      </c>
      <c r="P687">
        <f>IF(A687="","",IF(AND(K687&lt;&gt;"",L687&lt;&gt;""),IF(COUNTIFS($K$6:K687,K687,$L$6:L687,L687)=1,1,0),0))</f>
        <v>0</v>
      </c>
      <c r="Q687">
        <f>IF(A687="","",IF(AND(K687&lt;&gt;"",M687&lt;&gt;""),IF(COUNTIFS($K$6:K687,K687,$M$6:M687,M687)=1,1,0),0))</f>
        <v>0</v>
      </c>
      <c r="R687">
        <f>IF(A687="","",IF(M687&lt;&gt;"",IF(COUNTIF($M$6:M687,M687)=1,1,0),0))</f>
        <v>0</v>
      </c>
      <c r="T687" t="str">
        <f>IF(AND($M687&lt;&gt;"",$M687='Mapa do Galpão'!$C$20),COUNTIF($M$6:$M687,'Mapa do Galpão'!$C$20),"")</f>
        <v/>
      </c>
    </row>
    <row r="688" spans="1:20" ht="14.25" hidden="1" customHeight="1" x14ac:dyDescent="0.3">
      <c r="A688" s="43" t="s">
        <v>1702</v>
      </c>
      <c r="B688" s="50" t="s">
        <v>1424</v>
      </c>
      <c r="C688" s="165" t="s">
        <v>370</v>
      </c>
      <c r="D688" s="45" t="str">
        <f t="shared" si="24"/>
        <v>—</v>
      </c>
      <c r="E688" s="43" t="s">
        <v>1179</v>
      </c>
      <c r="F688" s="43" t="s">
        <v>1703</v>
      </c>
      <c r="G688" s="43" t="s">
        <v>798</v>
      </c>
      <c r="H688" s="43" t="s">
        <v>1211</v>
      </c>
      <c r="I688" s="46">
        <f>SUMIFS(Movimentações!$F$6:$F$4998,Movimentações!$C$6:$C$4998,A688,Movimentações!$M$6:$M$4998,M688)</f>
        <v>0</v>
      </c>
      <c r="J688" s="43" t="s">
        <v>670</v>
      </c>
      <c r="K688" s="43" t="s">
        <v>1419</v>
      </c>
      <c r="L688" s="47" t="s">
        <v>1519</v>
      </c>
      <c r="M688" s="43" t="s">
        <v>1694</v>
      </c>
      <c r="N688" s="43" t="str">
        <f t="shared" si="25"/>
        <v>Rua B · Prat 14 · C-222</v>
      </c>
      <c r="P688">
        <f>IF(A688="","",IF(AND(K688&lt;&gt;"",L688&lt;&gt;""),IF(COUNTIFS($K$6:K688,K688,$L$6:L688,L688)=1,1,0),0))</f>
        <v>0</v>
      </c>
      <c r="Q688">
        <f>IF(A688="","",IF(AND(K688&lt;&gt;"",M688&lt;&gt;""),IF(COUNTIFS($K$6:K688,K688,$M$6:M688,M688)=1,1,0),0))</f>
        <v>0</v>
      </c>
      <c r="R688">
        <f>IF(A688="","",IF(M688&lt;&gt;"",IF(COUNTIF($M$6:M688,M688)=1,1,0),0))</f>
        <v>0</v>
      </c>
      <c r="T688" t="str">
        <f>IF(AND($M688&lt;&gt;"",$M688='Mapa do Galpão'!$C$20),COUNTIF($M$6:$M688,'Mapa do Galpão'!$C$20),"")</f>
        <v/>
      </c>
    </row>
    <row r="689" spans="1:20" ht="14.25" hidden="1" customHeight="1" x14ac:dyDescent="0.3">
      <c r="A689" s="43" t="s">
        <v>1704</v>
      </c>
      <c r="B689" s="50" t="s">
        <v>1424</v>
      </c>
      <c r="C689" s="165" t="s">
        <v>369</v>
      </c>
      <c r="D689" s="45" t="str">
        <f t="shared" si="24"/>
        <v>—</v>
      </c>
      <c r="E689" s="43" t="s">
        <v>1179</v>
      </c>
      <c r="F689" s="43" t="s">
        <v>1703</v>
      </c>
      <c r="G689" s="43" t="s">
        <v>1079</v>
      </c>
      <c r="H689" s="43" t="s">
        <v>1211</v>
      </c>
      <c r="I689" s="46">
        <f>SUMIFS(Movimentações!$F$6:$F$4998,Movimentações!$C$6:$C$4998,A689,Movimentações!$M$6:$M$4998,M689)</f>
        <v>0</v>
      </c>
      <c r="J689" s="43" t="s">
        <v>670</v>
      </c>
      <c r="K689" s="43" t="s">
        <v>1419</v>
      </c>
      <c r="L689" s="47" t="s">
        <v>1519</v>
      </c>
      <c r="M689" s="43" t="s">
        <v>1694</v>
      </c>
      <c r="N689" s="43" t="str">
        <f t="shared" si="25"/>
        <v>Rua B · Prat 14 · C-222</v>
      </c>
      <c r="P689">
        <f>IF(A689="","",IF(AND(K689&lt;&gt;"",L689&lt;&gt;""),IF(COUNTIFS($K$6:K689,K689,$L$6:L689,L689)=1,1,0),0))</f>
        <v>0</v>
      </c>
      <c r="Q689">
        <f>IF(A689="","",IF(AND(K689&lt;&gt;"",M689&lt;&gt;""),IF(COUNTIFS($K$6:K689,K689,$M$6:M689,M689)=1,1,0),0))</f>
        <v>0</v>
      </c>
      <c r="R689">
        <f>IF(A689="","",IF(M689&lt;&gt;"",IF(COUNTIF($M$6:M689,M689)=1,1,0),0))</f>
        <v>0</v>
      </c>
      <c r="T689" t="str">
        <f>IF(AND($M689&lt;&gt;"",$M689='Mapa do Galpão'!$C$20),COUNTIF($M$6:$M689,'Mapa do Galpão'!$C$20),"")</f>
        <v/>
      </c>
    </row>
    <row r="690" spans="1:20" ht="14.25" hidden="1" customHeight="1" x14ac:dyDescent="0.3">
      <c r="A690" s="43" t="s">
        <v>1705</v>
      </c>
      <c r="B690" s="50" t="s">
        <v>1424</v>
      </c>
      <c r="C690" s="165" t="s">
        <v>368</v>
      </c>
      <c r="D690" s="45" t="str">
        <f t="shared" si="24"/>
        <v>—</v>
      </c>
      <c r="E690" s="43" t="s">
        <v>1179</v>
      </c>
      <c r="F690" s="43" t="s">
        <v>1706</v>
      </c>
      <c r="G690" s="43" t="s">
        <v>738</v>
      </c>
      <c r="H690" s="43" t="s">
        <v>1208</v>
      </c>
      <c r="I690" s="46">
        <f>SUMIFS(Movimentações!$F$6:$F$4998,Movimentações!$C$6:$C$4998,A690,Movimentações!$M$6:$M$4998,M690)</f>
        <v>0</v>
      </c>
      <c r="J690" s="43" t="s">
        <v>670</v>
      </c>
      <c r="K690" s="43" t="s">
        <v>1419</v>
      </c>
      <c r="L690" s="47" t="s">
        <v>1519</v>
      </c>
      <c r="M690" s="43" t="s">
        <v>1694</v>
      </c>
      <c r="N690" s="43" t="str">
        <f t="shared" si="25"/>
        <v>Rua B · Prat 14 · C-222</v>
      </c>
      <c r="P690">
        <f>IF(A690="","",IF(AND(K690&lt;&gt;"",L690&lt;&gt;""),IF(COUNTIFS($K$6:K690,K690,$L$6:L690,L690)=1,1,0),0))</f>
        <v>0</v>
      </c>
      <c r="Q690">
        <f>IF(A690="","",IF(AND(K690&lt;&gt;"",M690&lt;&gt;""),IF(COUNTIFS($K$6:K690,K690,$M$6:M690,M690)=1,1,0),0))</f>
        <v>0</v>
      </c>
      <c r="R690">
        <f>IF(A690="","",IF(M690&lt;&gt;"",IF(COUNTIF($M$6:M690,M690)=1,1,0),0))</f>
        <v>0</v>
      </c>
      <c r="T690" t="str">
        <f>IF(AND($M690&lt;&gt;"",$M690='Mapa do Galpão'!$C$20),COUNTIF($M$6:$M690,'Mapa do Galpão'!$C$20),"")</f>
        <v/>
      </c>
    </row>
    <row r="691" spans="1:20" ht="14.25" hidden="1" customHeight="1" x14ac:dyDescent="0.3">
      <c r="A691" s="43" t="s">
        <v>1707</v>
      </c>
      <c r="B691" s="50" t="s">
        <v>1424</v>
      </c>
      <c r="C691" s="165" t="s">
        <v>533</v>
      </c>
      <c r="D691" s="45" t="str">
        <f t="shared" si="24"/>
        <v>—</v>
      </c>
      <c r="E691" s="43" t="s">
        <v>1179</v>
      </c>
      <c r="F691" s="43" t="s">
        <v>1708</v>
      </c>
      <c r="G691" s="43" t="s">
        <v>738</v>
      </c>
      <c r="H691" s="43" t="s">
        <v>1709</v>
      </c>
      <c r="I691" s="46">
        <f>SUMIFS(Movimentações!$F$6:$F$4998,Movimentações!$C$6:$C$4998,A691,Movimentações!$M$6:$M$4998,M691)</f>
        <v>0</v>
      </c>
      <c r="J691" s="43" t="s">
        <v>670</v>
      </c>
      <c r="K691" s="43" t="s">
        <v>1419</v>
      </c>
      <c r="L691" s="47" t="s">
        <v>1519</v>
      </c>
      <c r="M691" s="43" t="s">
        <v>1694</v>
      </c>
      <c r="N691" s="43" t="str">
        <f t="shared" si="25"/>
        <v>Rua B · Prat 14 · C-222</v>
      </c>
      <c r="P691">
        <f>IF(A691="","",IF(AND(K691&lt;&gt;"",L691&lt;&gt;""),IF(COUNTIFS($K$6:K691,K691,$L$6:L691,L691)=1,1,0),0))</f>
        <v>0</v>
      </c>
      <c r="Q691">
        <f>IF(A691="","",IF(AND(K691&lt;&gt;"",M691&lt;&gt;""),IF(COUNTIFS($K$6:K691,K691,$M$6:M691,M691)=1,1,0),0))</f>
        <v>0</v>
      </c>
      <c r="R691">
        <f>IF(A691="","",IF(M691&lt;&gt;"",IF(COUNTIF($M$6:M691,M691)=1,1,0),0))</f>
        <v>0</v>
      </c>
      <c r="T691" t="str">
        <f>IF(AND($M691&lt;&gt;"",$M691='Mapa do Galpão'!$C$20),COUNTIF($M$6:$M691,'Mapa do Galpão'!$C$20),"")</f>
        <v/>
      </c>
    </row>
    <row r="692" spans="1:20" ht="14.25" hidden="1" customHeight="1" x14ac:dyDescent="0.3">
      <c r="A692" s="43" t="s">
        <v>1710</v>
      </c>
      <c r="B692" s="50" t="s">
        <v>1424</v>
      </c>
      <c r="C692" s="165" t="s">
        <v>355</v>
      </c>
      <c r="D692" s="45" t="str">
        <f t="shared" si="24"/>
        <v>—</v>
      </c>
      <c r="E692" s="43" t="s">
        <v>1154</v>
      </c>
      <c r="F692" s="43" t="s">
        <v>1155</v>
      </c>
      <c r="G692" s="43" t="s">
        <v>798</v>
      </c>
      <c r="H692" s="43" t="s">
        <v>1677</v>
      </c>
      <c r="I692" s="46">
        <f>SUMIFS(Movimentações!$F$6:$F$4998,Movimentações!$C$6:$C$4998,A692,Movimentações!$M$6:$M$4998,M692)</f>
        <v>15</v>
      </c>
      <c r="J692" s="43" t="s">
        <v>670</v>
      </c>
      <c r="K692" s="43" t="s">
        <v>1419</v>
      </c>
      <c r="L692" s="47" t="s">
        <v>1519</v>
      </c>
      <c r="M692" s="43" t="s">
        <v>1711</v>
      </c>
      <c r="N692" s="43" t="str">
        <f t="shared" si="25"/>
        <v>Rua B · Prat 14 · C-223</v>
      </c>
      <c r="P692">
        <f>IF(A692="","",IF(AND(K692&lt;&gt;"",L692&lt;&gt;""),IF(COUNTIFS($K$6:K692,K692,$L$6:L692,L692)=1,1,0),0))</f>
        <v>0</v>
      </c>
      <c r="Q692">
        <f>IF(A692="","",IF(AND(K692&lt;&gt;"",M692&lt;&gt;""),IF(COUNTIFS($K$6:K692,K692,$M$6:M692,M692)=1,1,0),0))</f>
        <v>1</v>
      </c>
      <c r="R692">
        <f>IF(A692="","",IF(M692&lt;&gt;"",IF(COUNTIF($M$6:M692,M692)=1,1,0),0))</f>
        <v>1</v>
      </c>
      <c r="T692" t="str">
        <f>IF(AND($M692&lt;&gt;"",$M692='Mapa do Galpão'!$C$20),COUNTIF($M$6:$M692,'Mapa do Galpão'!$C$20),"")</f>
        <v/>
      </c>
    </row>
    <row r="693" spans="1:20" ht="14.25" hidden="1" customHeight="1" x14ac:dyDescent="0.3">
      <c r="A693" s="43" t="s">
        <v>1712</v>
      </c>
      <c r="B693" s="50" t="s">
        <v>1424</v>
      </c>
      <c r="C693" s="165" t="s">
        <v>451</v>
      </c>
      <c r="D693" s="45" t="str">
        <f t="shared" si="24"/>
        <v>Feminino</v>
      </c>
      <c r="E693" s="43" t="s">
        <v>1378</v>
      </c>
      <c r="F693" s="43" t="s">
        <v>1379</v>
      </c>
      <c r="G693" s="43" t="s">
        <v>668</v>
      </c>
      <c r="H693" s="43" t="s">
        <v>675</v>
      </c>
      <c r="I693" s="46">
        <f>SUMIFS(Movimentações!$F$6:$F$4998,Movimentações!$C$6:$C$4998,A693,Movimentações!$M$6:$M$4998,M693)</f>
        <v>22</v>
      </c>
      <c r="J693" s="43" t="s">
        <v>670</v>
      </c>
      <c r="K693" s="43" t="s">
        <v>1419</v>
      </c>
      <c r="L693" s="47" t="s">
        <v>1437</v>
      </c>
      <c r="M693" s="43" t="s">
        <v>1380</v>
      </c>
      <c r="N693" s="43" t="str">
        <f t="shared" si="25"/>
        <v>Rua B · Prat 15 · C-224</v>
      </c>
      <c r="P693">
        <f>IF(A693="","",IF(AND(K693&lt;&gt;"",L693&lt;&gt;""),IF(COUNTIFS($K$6:K693,K693,$L$6:L693,L693)=1,1,0),0))</f>
        <v>0</v>
      </c>
      <c r="Q693">
        <f>IF(A693="","",IF(AND(K693&lt;&gt;"",M693&lt;&gt;""),IF(COUNTIFS($K$6:K693,K693,$M$6:M693,M693)=1,1,0),0))</f>
        <v>1</v>
      </c>
      <c r="R693">
        <f>IF(A693="","",IF(M693&lt;&gt;"",IF(COUNTIF($M$6:M693,M693)=1,1,0),0))</f>
        <v>0</v>
      </c>
      <c r="T693" t="str">
        <f>IF(AND($M693&lt;&gt;"",$M693='Mapa do Galpão'!$C$20),COUNTIF($M$6:$M693,'Mapa do Galpão'!$C$20),"")</f>
        <v/>
      </c>
    </row>
    <row r="694" spans="1:20" ht="14.25" hidden="1" customHeight="1" x14ac:dyDescent="0.3">
      <c r="A694" s="43" t="s">
        <v>1713</v>
      </c>
      <c r="B694" s="50" t="s">
        <v>1424</v>
      </c>
      <c r="C694" s="165" t="s">
        <v>400</v>
      </c>
      <c r="D694" s="45" t="str">
        <f t="shared" si="24"/>
        <v>Feminino</v>
      </c>
      <c r="E694" s="43" t="s">
        <v>1274</v>
      </c>
      <c r="F694" s="43" t="s">
        <v>1714</v>
      </c>
      <c r="G694" s="43" t="s">
        <v>668</v>
      </c>
      <c r="H694" s="43" t="s">
        <v>680</v>
      </c>
      <c r="I694" s="46">
        <f>SUMIFS(Movimentações!$F$6:$F$4998,Movimentações!$C$6:$C$4998,A694,Movimentações!$M$6:$M$4998,M694)</f>
        <v>5</v>
      </c>
      <c r="J694" s="43" t="s">
        <v>670</v>
      </c>
      <c r="K694" s="43" t="s">
        <v>1419</v>
      </c>
      <c r="L694" s="47" t="s">
        <v>1519</v>
      </c>
      <c r="M694" s="43" t="s">
        <v>1715</v>
      </c>
      <c r="N694" s="43" t="str">
        <f t="shared" si="25"/>
        <v>Rua B · Prat 14 · C-225</v>
      </c>
      <c r="P694">
        <f>IF(A694="","",IF(AND(K694&lt;&gt;"",L694&lt;&gt;""),IF(COUNTIFS($K$6:K694,K694,$L$6:L694,L694)=1,1,0),0))</f>
        <v>0</v>
      </c>
      <c r="Q694">
        <f>IF(A694="","",IF(AND(K694&lt;&gt;"",M694&lt;&gt;""),IF(COUNTIFS($K$6:K694,K694,$M$6:M694,M694)=1,1,0),0))</f>
        <v>1</v>
      </c>
      <c r="R694">
        <f>IF(A694="","",IF(M694&lt;&gt;"",IF(COUNTIF($M$6:M694,M694)=1,1,0),0))</f>
        <v>1</v>
      </c>
      <c r="T694" t="str">
        <f>IF(AND($M694&lt;&gt;"",$M694='Mapa do Galpão'!$C$20),COUNTIF($M$6:$M694,'Mapa do Galpão'!$C$20),"")</f>
        <v/>
      </c>
    </row>
    <row r="695" spans="1:20" ht="14.25" hidden="1" customHeight="1" x14ac:dyDescent="0.3">
      <c r="A695" s="43" t="s">
        <v>1716</v>
      </c>
      <c r="B695" s="50" t="s">
        <v>1424</v>
      </c>
      <c r="C695" s="165" t="s">
        <v>401</v>
      </c>
      <c r="D695" s="45" t="str">
        <f t="shared" ref="D695:D758" si="26">IF(C695="","",IFERROR(IF(TRIM(MID(SUBSTITUTE(C695,".",REPT(" ",50)),51,50))="01","Masculino",IF(TRIM(MID(SUBSTITUTE(C695,".",REPT(" ",50)),51,50))="02","Feminino",IF(TRIM(MID(SUBSTITUTE(C695,".",REPT(" ",50)),51,50))="03","Outros","—"))),"—"))</f>
        <v>Feminino</v>
      </c>
      <c r="E695" s="43" t="s">
        <v>1274</v>
      </c>
      <c r="F695" s="43" t="s">
        <v>1714</v>
      </c>
      <c r="G695" s="43" t="s">
        <v>668</v>
      </c>
      <c r="H695" s="43" t="s">
        <v>675</v>
      </c>
      <c r="I695" s="46">
        <f>SUMIFS(Movimentações!$F$6:$F$4998,Movimentações!$C$6:$C$4998,A695,Movimentações!$M$6:$M$4998,M695)</f>
        <v>29</v>
      </c>
      <c r="J695" s="43" t="s">
        <v>670</v>
      </c>
      <c r="K695" s="43" t="s">
        <v>1419</v>
      </c>
      <c r="L695" s="47" t="s">
        <v>1519</v>
      </c>
      <c r="M695" s="43" t="s">
        <v>1715</v>
      </c>
      <c r="N695" s="43" t="str">
        <f t="shared" ref="N695:N758" si="27">IF(AND(K695="",L695="",M695=""),"⚠ sem endereço","Rua "&amp;K695&amp;IF(L695="",""," · Prat "&amp;L695)&amp;IF(M695="",""," · "&amp;M695))</f>
        <v>Rua B · Prat 14 · C-225</v>
      </c>
      <c r="P695">
        <f>IF(A695="","",IF(AND(K695&lt;&gt;"",L695&lt;&gt;""),IF(COUNTIFS($K$6:K695,K695,$L$6:L695,L695)=1,1,0),0))</f>
        <v>0</v>
      </c>
      <c r="Q695">
        <f>IF(A695="","",IF(AND(K695&lt;&gt;"",M695&lt;&gt;""),IF(COUNTIFS($K$6:K695,K695,$M$6:M695,M695)=1,1,0),0))</f>
        <v>0</v>
      </c>
      <c r="R695">
        <f>IF(A695="","",IF(M695&lt;&gt;"",IF(COUNTIF($M$6:M695,M695)=1,1,0),0))</f>
        <v>0</v>
      </c>
      <c r="T695" t="str">
        <f>IF(AND($M695&lt;&gt;"",$M695='Mapa do Galpão'!$C$20),COUNTIF($M$6:$M695,'Mapa do Galpão'!$C$20),"")</f>
        <v/>
      </c>
    </row>
    <row r="696" spans="1:20" ht="14.25" hidden="1" customHeight="1" x14ac:dyDescent="0.3">
      <c r="A696" s="43" t="s">
        <v>1717</v>
      </c>
      <c r="B696" s="50" t="s">
        <v>1424</v>
      </c>
      <c r="C696" s="165" t="s">
        <v>402</v>
      </c>
      <c r="D696" s="45" t="str">
        <f t="shared" si="26"/>
        <v>Feminino</v>
      </c>
      <c r="E696" s="43" t="s">
        <v>1274</v>
      </c>
      <c r="F696" s="43" t="s">
        <v>1714</v>
      </c>
      <c r="G696" s="43" t="s">
        <v>668</v>
      </c>
      <c r="H696" s="43" t="s">
        <v>669</v>
      </c>
      <c r="I696" s="46">
        <f>SUMIFS(Movimentações!$F$6:$F$4998,Movimentações!$C$6:$C$4998,A696,Movimentações!$M$6:$M$4998,M696)</f>
        <v>30</v>
      </c>
      <c r="J696" s="43" t="s">
        <v>670</v>
      </c>
      <c r="K696" s="43" t="s">
        <v>1419</v>
      </c>
      <c r="L696" s="47" t="s">
        <v>1519</v>
      </c>
      <c r="M696" s="43" t="s">
        <v>1715</v>
      </c>
      <c r="N696" s="43" t="str">
        <f t="shared" si="27"/>
        <v>Rua B · Prat 14 · C-225</v>
      </c>
      <c r="P696">
        <f>IF(A696="","",IF(AND(K696&lt;&gt;"",L696&lt;&gt;""),IF(COUNTIFS($K$6:K696,K696,$L$6:L696,L696)=1,1,0),0))</f>
        <v>0</v>
      </c>
      <c r="Q696">
        <f>IF(A696="","",IF(AND(K696&lt;&gt;"",M696&lt;&gt;""),IF(COUNTIFS($K$6:K696,K696,$M$6:M696,M696)=1,1,0),0))</f>
        <v>0</v>
      </c>
      <c r="R696">
        <f>IF(A696="","",IF(M696&lt;&gt;"",IF(COUNTIF($M$6:M696,M696)=1,1,0),0))</f>
        <v>0</v>
      </c>
      <c r="T696" t="str">
        <f>IF(AND($M696&lt;&gt;"",$M696='Mapa do Galpão'!$C$20),COUNTIF($M$6:$M696,'Mapa do Galpão'!$C$20),"")</f>
        <v/>
      </c>
    </row>
    <row r="697" spans="1:20" ht="14.25" hidden="1" customHeight="1" x14ac:dyDescent="0.3">
      <c r="A697" s="43" t="s">
        <v>1718</v>
      </c>
      <c r="B697" s="50" t="s">
        <v>1424</v>
      </c>
      <c r="C697" s="165" t="s">
        <v>403</v>
      </c>
      <c r="D697" s="45" t="str">
        <f t="shared" si="26"/>
        <v>Feminino</v>
      </c>
      <c r="E697" s="43" t="s">
        <v>1274</v>
      </c>
      <c r="F697" s="43" t="s">
        <v>1714</v>
      </c>
      <c r="G697" s="43" t="s">
        <v>668</v>
      </c>
      <c r="H697" s="43" t="s">
        <v>682</v>
      </c>
      <c r="I697" s="46">
        <f>SUMIFS(Movimentações!$F$6:$F$4998,Movimentações!$C$6:$C$4998,A697,Movimentações!$M$6:$M$4998,M697)</f>
        <v>5</v>
      </c>
      <c r="J697" s="43" t="s">
        <v>670</v>
      </c>
      <c r="K697" s="43" t="s">
        <v>1419</v>
      </c>
      <c r="L697" s="47" t="s">
        <v>1519</v>
      </c>
      <c r="M697" s="43" t="s">
        <v>1715</v>
      </c>
      <c r="N697" s="43" t="str">
        <f t="shared" si="27"/>
        <v>Rua B · Prat 14 · C-225</v>
      </c>
      <c r="P697">
        <f>IF(A697="","",IF(AND(K697&lt;&gt;"",L697&lt;&gt;""),IF(COUNTIFS($K$6:K697,K697,$L$6:L697,L697)=1,1,0),0))</f>
        <v>0</v>
      </c>
      <c r="Q697">
        <f>IF(A697="","",IF(AND(K697&lt;&gt;"",M697&lt;&gt;""),IF(COUNTIFS($K$6:K697,K697,$M$6:M697,M697)=1,1,0),0))</f>
        <v>0</v>
      </c>
      <c r="R697">
        <f>IF(A697="","",IF(M697&lt;&gt;"",IF(COUNTIF($M$6:M697,M697)=1,1,0),0))</f>
        <v>0</v>
      </c>
      <c r="T697" t="str">
        <f>IF(AND($M697&lt;&gt;"",$M697='Mapa do Galpão'!$C$20),COUNTIF($M$6:$M697,'Mapa do Galpão'!$C$20),"")</f>
        <v/>
      </c>
    </row>
    <row r="698" spans="1:20" ht="14.25" hidden="1" customHeight="1" x14ac:dyDescent="0.3">
      <c r="A698" s="43" t="s">
        <v>1719</v>
      </c>
      <c r="B698" s="50" t="s">
        <v>1424</v>
      </c>
      <c r="C698" s="165" t="s">
        <v>358</v>
      </c>
      <c r="D698" s="45" t="str">
        <f t="shared" si="26"/>
        <v>—</v>
      </c>
      <c r="E698" s="43" t="s">
        <v>1167</v>
      </c>
      <c r="F698" s="43" t="s">
        <v>1720</v>
      </c>
      <c r="G698" s="43" t="s">
        <v>755</v>
      </c>
      <c r="H698" s="43" t="s">
        <v>1721</v>
      </c>
      <c r="I698" s="46">
        <f>SUMIFS(Movimentações!$F$6:$F$4998,Movimentações!$C$6:$C$4998,A698,Movimentações!$M$6:$M$4998,M698)</f>
        <v>12</v>
      </c>
      <c r="J698" s="43" t="s">
        <v>670</v>
      </c>
      <c r="K698" s="43" t="s">
        <v>1419</v>
      </c>
      <c r="L698" s="47" t="s">
        <v>1437</v>
      </c>
      <c r="M698" s="43" t="s">
        <v>1722</v>
      </c>
      <c r="N698" s="43" t="str">
        <f t="shared" si="27"/>
        <v>Rua B · Prat 15 · C-226</v>
      </c>
      <c r="P698">
        <f>IF(A698="","",IF(AND(K698&lt;&gt;"",L698&lt;&gt;""),IF(COUNTIFS($K$6:K698,K698,$L$6:L698,L698)=1,1,0),0))</f>
        <v>0</v>
      </c>
      <c r="Q698">
        <f>IF(A698="","",IF(AND(K698&lt;&gt;"",M698&lt;&gt;""),IF(COUNTIFS($K$6:K698,K698,$M$6:M698,M698)=1,1,0),0))</f>
        <v>1</v>
      </c>
      <c r="R698">
        <f>IF(A698="","",IF(M698&lt;&gt;"",IF(COUNTIF($M$6:M698,M698)=1,1,0),0))</f>
        <v>1</v>
      </c>
      <c r="T698" t="str">
        <f>IF(AND($M698&lt;&gt;"",$M698='Mapa do Galpão'!$C$20),COUNTIF($M$6:$M698,'Mapa do Galpão'!$C$20),"")</f>
        <v/>
      </c>
    </row>
    <row r="699" spans="1:20" ht="14.25" hidden="1" customHeight="1" x14ac:dyDescent="0.3">
      <c r="A699" s="43" t="s">
        <v>1723</v>
      </c>
      <c r="B699" s="50" t="s">
        <v>1424</v>
      </c>
      <c r="C699" s="165" t="s">
        <v>327</v>
      </c>
      <c r="D699" s="45" t="str">
        <f t="shared" si="26"/>
        <v>Masculino</v>
      </c>
      <c r="E699" s="43" t="s">
        <v>709</v>
      </c>
      <c r="F699" s="43" t="s">
        <v>867</v>
      </c>
      <c r="G699" s="43" t="s">
        <v>668</v>
      </c>
      <c r="H699" s="43" t="s">
        <v>675</v>
      </c>
      <c r="I699" s="46">
        <f>SUMIFS(Movimentações!$F$6:$F$4998,Movimentações!$C$6:$C$4998,A699,Movimentações!$M$6:$M$4998,M699)</f>
        <v>1</v>
      </c>
      <c r="J699" s="43" t="s">
        <v>670</v>
      </c>
      <c r="K699" s="43" t="s">
        <v>1419</v>
      </c>
      <c r="L699" s="47" t="s">
        <v>1437</v>
      </c>
      <c r="M699" s="43" t="s">
        <v>1724</v>
      </c>
      <c r="N699" s="43" t="str">
        <f t="shared" si="27"/>
        <v>Rua B · Prat 15 · C-227</v>
      </c>
      <c r="P699">
        <f>IF(A699="","",IF(AND(K699&lt;&gt;"",L699&lt;&gt;""),IF(COUNTIFS($K$6:K699,K699,$L$6:L699,L699)=1,1,0),0))</f>
        <v>0</v>
      </c>
      <c r="Q699">
        <f>IF(A699="","",IF(AND(K699&lt;&gt;"",M699&lt;&gt;""),IF(COUNTIFS($K$6:K699,K699,$M$6:M699,M699)=1,1,0),0))</f>
        <v>1</v>
      </c>
      <c r="R699">
        <f>IF(A699="","",IF(M699&lt;&gt;"",IF(COUNTIF($M$6:M699,M699)=1,1,0),0))</f>
        <v>1</v>
      </c>
      <c r="T699" t="str">
        <f>IF(AND($M699&lt;&gt;"",$M699='Mapa do Galpão'!$C$20),COUNTIF($M$6:$M699,'Mapa do Galpão'!$C$20),"")</f>
        <v/>
      </c>
    </row>
    <row r="700" spans="1:20" ht="14.25" hidden="1" customHeight="1" x14ac:dyDescent="0.3">
      <c r="A700" s="43" t="s">
        <v>1725</v>
      </c>
      <c r="B700" s="50" t="s">
        <v>1424</v>
      </c>
      <c r="C700" s="165" t="s">
        <v>184</v>
      </c>
      <c r="D700" s="45" t="str">
        <f t="shared" si="26"/>
        <v>Masculino</v>
      </c>
      <c r="E700" s="43" t="s">
        <v>709</v>
      </c>
      <c r="F700" s="43" t="s">
        <v>867</v>
      </c>
      <c r="G700" s="43" t="s">
        <v>668</v>
      </c>
      <c r="H700" s="43" t="s">
        <v>682</v>
      </c>
      <c r="I700" s="46">
        <f>SUMIFS(Movimentações!$F$6:$F$4998,Movimentações!$C$6:$C$4998,A700,Movimentações!$M$6:$M$4998,M700)</f>
        <v>2</v>
      </c>
      <c r="J700" s="43" t="s">
        <v>670</v>
      </c>
      <c r="K700" s="43" t="s">
        <v>1419</v>
      </c>
      <c r="L700" s="47" t="s">
        <v>1437</v>
      </c>
      <c r="M700" s="43" t="s">
        <v>1724</v>
      </c>
      <c r="N700" s="43" t="str">
        <f t="shared" si="27"/>
        <v>Rua B · Prat 15 · C-227</v>
      </c>
      <c r="P700">
        <f>IF(A700="","",IF(AND(K700&lt;&gt;"",L700&lt;&gt;""),IF(COUNTIFS($K$6:K700,K700,$L$6:L700,L700)=1,1,0),0))</f>
        <v>0</v>
      </c>
      <c r="Q700">
        <f>IF(A700="","",IF(AND(K700&lt;&gt;"",M700&lt;&gt;""),IF(COUNTIFS($K$6:K700,K700,$M$6:M700,M700)=1,1,0),0))</f>
        <v>0</v>
      </c>
      <c r="R700">
        <f>IF(A700="","",IF(M700&lt;&gt;"",IF(COUNTIF($M$6:M700,M700)=1,1,0),0))</f>
        <v>0</v>
      </c>
      <c r="T700" t="str">
        <f>IF(AND($M700&lt;&gt;"",$M700='Mapa do Galpão'!$C$20),COUNTIF($M$6:$M700,'Mapa do Galpão'!$C$20),"")</f>
        <v/>
      </c>
    </row>
    <row r="701" spans="1:20" ht="14.25" hidden="1" customHeight="1" x14ac:dyDescent="0.3">
      <c r="A701" s="43" t="s">
        <v>1726</v>
      </c>
      <c r="B701" s="50" t="s">
        <v>1424</v>
      </c>
      <c r="C701" s="165" t="s">
        <v>316</v>
      </c>
      <c r="D701" s="45" t="str">
        <f t="shared" si="26"/>
        <v>Masculino</v>
      </c>
      <c r="E701" s="43" t="s">
        <v>709</v>
      </c>
      <c r="F701" s="43" t="s">
        <v>867</v>
      </c>
      <c r="G701" s="43" t="s">
        <v>798</v>
      </c>
      <c r="H701" s="43" t="s">
        <v>680</v>
      </c>
      <c r="I701" s="46">
        <f>SUMIFS(Movimentações!$F$6:$F$4998,Movimentações!$C$6:$C$4998,A701,Movimentações!$M$6:$M$4998,M701)</f>
        <v>2</v>
      </c>
      <c r="J701" s="43" t="s">
        <v>670</v>
      </c>
      <c r="K701" s="43" t="s">
        <v>1419</v>
      </c>
      <c r="L701" s="47" t="s">
        <v>1437</v>
      </c>
      <c r="M701" s="43" t="s">
        <v>1724</v>
      </c>
      <c r="N701" s="43" t="str">
        <f t="shared" si="27"/>
        <v>Rua B · Prat 15 · C-227</v>
      </c>
      <c r="P701">
        <f>IF(A701="","",IF(AND(K701&lt;&gt;"",L701&lt;&gt;""),IF(COUNTIFS($K$6:K701,K701,$L$6:L701,L701)=1,1,0),0))</f>
        <v>0</v>
      </c>
      <c r="Q701">
        <f>IF(A701="","",IF(AND(K701&lt;&gt;"",M701&lt;&gt;""),IF(COUNTIFS($K$6:K701,K701,$M$6:M701,M701)=1,1,0),0))</f>
        <v>0</v>
      </c>
      <c r="R701">
        <f>IF(A701="","",IF(M701&lt;&gt;"",IF(COUNTIF($M$6:M701,M701)=1,1,0),0))</f>
        <v>0</v>
      </c>
      <c r="T701" t="str">
        <f>IF(AND($M701&lt;&gt;"",$M701='Mapa do Galpão'!$C$20),COUNTIF($M$6:$M701,'Mapa do Galpão'!$C$20),"")</f>
        <v/>
      </c>
    </row>
    <row r="702" spans="1:20" ht="14.25" hidden="1" customHeight="1" x14ac:dyDescent="0.3">
      <c r="A702" s="43" t="s">
        <v>1727</v>
      </c>
      <c r="B702" s="50" t="s">
        <v>1424</v>
      </c>
      <c r="C702" s="165" t="s">
        <v>319</v>
      </c>
      <c r="D702" s="45" t="str">
        <f t="shared" si="26"/>
        <v>Masculino</v>
      </c>
      <c r="E702" s="43" t="s">
        <v>709</v>
      </c>
      <c r="F702" s="43" t="s">
        <v>867</v>
      </c>
      <c r="G702" s="43" t="s">
        <v>798</v>
      </c>
      <c r="H702" s="43" t="s">
        <v>682</v>
      </c>
      <c r="I702" s="46">
        <f>SUMIFS(Movimentações!$F$6:$F$4998,Movimentações!$C$6:$C$4998,A702,Movimentações!$M$6:$M$4998,M702)</f>
        <v>1</v>
      </c>
      <c r="J702" s="43" t="s">
        <v>670</v>
      </c>
      <c r="K702" s="43" t="s">
        <v>1419</v>
      </c>
      <c r="L702" s="47" t="s">
        <v>1437</v>
      </c>
      <c r="M702" s="43" t="s">
        <v>1724</v>
      </c>
      <c r="N702" s="43" t="str">
        <f t="shared" si="27"/>
        <v>Rua B · Prat 15 · C-227</v>
      </c>
      <c r="P702">
        <f>IF(A702="","",IF(AND(K702&lt;&gt;"",L702&lt;&gt;""),IF(COUNTIFS($K$6:K702,K702,$L$6:L702,L702)=1,1,0),0))</f>
        <v>0</v>
      </c>
      <c r="Q702">
        <f>IF(A702="","",IF(AND(K702&lt;&gt;"",M702&lt;&gt;""),IF(COUNTIFS($K$6:K702,K702,$M$6:M702,M702)=1,1,0),0))</f>
        <v>0</v>
      </c>
      <c r="R702">
        <f>IF(A702="","",IF(M702&lt;&gt;"",IF(COUNTIF($M$6:M702,M702)=1,1,0),0))</f>
        <v>0</v>
      </c>
      <c r="T702" t="str">
        <f>IF(AND($M702&lt;&gt;"",$M702='Mapa do Galpão'!$C$20),COUNTIF($M$6:$M702,'Mapa do Galpão'!$C$20),"")</f>
        <v/>
      </c>
    </row>
    <row r="703" spans="1:20" ht="14.25" hidden="1" customHeight="1" x14ac:dyDescent="0.3">
      <c r="A703" s="43" t="s">
        <v>1728</v>
      </c>
      <c r="B703" s="50" t="s">
        <v>1424</v>
      </c>
      <c r="C703" s="165" t="s">
        <v>328</v>
      </c>
      <c r="D703" s="45" t="str">
        <f t="shared" si="26"/>
        <v>Masculino</v>
      </c>
      <c r="E703" s="43" t="s">
        <v>709</v>
      </c>
      <c r="F703" s="43" t="s">
        <v>1072</v>
      </c>
      <c r="G703" s="48" t="s">
        <v>668</v>
      </c>
      <c r="H703" s="43" t="s">
        <v>682</v>
      </c>
      <c r="I703" s="46">
        <f>SUMIFS(Movimentações!$F$6:$F$4998,Movimentações!$C$6:$C$4998,A703,Movimentações!$M$6:$M$4998,M703)</f>
        <v>1</v>
      </c>
      <c r="J703" s="43" t="s">
        <v>670</v>
      </c>
      <c r="K703" s="43" t="s">
        <v>1419</v>
      </c>
      <c r="L703" s="47" t="s">
        <v>1437</v>
      </c>
      <c r="M703" s="43" t="s">
        <v>1724</v>
      </c>
      <c r="N703" s="43" t="str">
        <f t="shared" si="27"/>
        <v>Rua B · Prat 15 · C-227</v>
      </c>
      <c r="P703">
        <f>IF(A703="","",IF(AND(K703&lt;&gt;"",L703&lt;&gt;""),IF(COUNTIFS($K$6:K703,K703,$L$6:L703,L703)=1,1,0),0))</f>
        <v>0</v>
      </c>
      <c r="Q703">
        <f>IF(A703="","",IF(AND(K703&lt;&gt;"",M703&lt;&gt;""),IF(COUNTIFS($K$6:K703,K703,$M$6:M703,M703)=1,1,0),0))</f>
        <v>0</v>
      </c>
      <c r="R703">
        <f>IF(A703="","",IF(M703&lt;&gt;"",IF(COUNTIF($M$6:M703,M703)=1,1,0),0))</f>
        <v>0</v>
      </c>
      <c r="T703" t="str">
        <f>IF(AND($M703&lt;&gt;"",$M703='Mapa do Galpão'!$C$20),COUNTIF($M$6:$M703,'Mapa do Galpão'!$C$20),"")</f>
        <v/>
      </c>
    </row>
    <row r="704" spans="1:20" ht="14.25" hidden="1" customHeight="1" x14ac:dyDescent="0.3">
      <c r="A704" s="43" t="s">
        <v>1729</v>
      </c>
      <c r="B704" s="50" t="s">
        <v>1424</v>
      </c>
      <c r="C704" s="165" t="s">
        <v>534</v>
      </c>
      <c r="D704" s="45" t="str">
        <f t="shared" si="26"/>
        <v>Masculino</v>
      </c>
      <c r="E704" s="43" t="s">
        <v>709</v>
      </c>
      <c r="F704" s="43" t="s">
        <v>1072</v>
      </c>
      <c r="G704" s="43" t="s">
        <v>668</v>
      </c>
      <c r="H704" s="43" t="s">
        <v>677</v>
      </c>
      <c r="I704" s="46">
        <f>SUMIFS(Movimentações!$F$6:$F$4998,Movimentações!$C$6:$C$4998,A704,Movimentações!$M$6:$M$4998,M704)</f>
        <v>1</v>
      </c>
      <c r="J704" s="43" t="s">
        <v>670</v>
      </c>
      <c r="K704" s="43" t="s">
        <v>1419</v>
      </c>
      <c r="L704" s="47" t="s">
        <v>1437</v>
      </c>
      <c r="M704" s="43" t="s">
        <v>1730</v>
      </c>
      <c r="N704" s="43" t="str">
        <f t="shared" si="27"/>
        <v>Rua B · Prat 15 · C-228</v>
      </c>
      <c r="P704">
        <f>IF(A704="","",IF(AND(K704&lt;&gt;"",L704&lt;&gt;""),IF(COUNTIFS($K$6:K704,K704,$L$6:L704,L704)=1,1,0),0))</f>
        <v>0</v>
      </c>
      <c r="Q704">
        <f>IF(A704="","",IF(AND(K704&lt;&gt;"",M704&lt;&gt;""),IF(COUNTIFS($K$6:K704,K704,$M$6:M704,M704)=1,1,0),0))</f>
        <v>1</v>
      </c>
      <c r="R704">
        <f>IF(A704="","",IF(M704&lt;&gt;"",IF(COUNTIF($M$6:M704,M704)=1,1,0),0))</f>
        <v>1</v>
      </c>
      <c r="T704" t="str">
        <f>IF(AND($M704&lt;&gt;"",$M704='Mapa do Galpão'!$C$20),COUNTIF($M$6:$M704,'Mapa do Galpão'!$C$20),"")</f>
        <v/>
      </c>
    </row>
    <row r="705" spans="1:20" ht="14.25" hidden="1" customHeight="1" x14ac:dyDescent="0.3">
      <c r="A705" s="43" t="s">
        <v>1731</v>
      </c>
      <c r="B705" s="50" t="s">
        <v>1424</v>
      </c>
      <c r="C705" s="165" t="s">
        <v>477</v>
      </c>
      <c r="D705" s="45" t="str">
        <f t="shared" si="26"/>
        <v>Feminino</v>
      </c>
      <c r="E705" s="43" t="s">
        <v>709</v>
      </c>
      <c r="F705" s="43" t="s">
        <v>1461</v>
      </c>
      <c r="G705" s="43" t="s">
        <v>798</v>
      </c>
      <c r="H705" s="43" t="s">
        <v>669</v>
      </c>
      <c r="I705" s="46">
        <f>SUMIFS(Movimentações!$F$6:$F$4998,Movimentações!$C$6:$C$4998,A705,Movimentações!$M$6:$M$4998,M705)</f>
        <v>1</v>
      </c>
      <c r="J705" s="43" t="s">
        <v>670</v>
      </c>
      <c r="K705" s="43" t="s">
        <v>1419</v>
      </c>
      <c r="L705" s="47" t="s">
        <v>1437</v>
      </c>
      <c r="M705" s="43" t="s">
        <v>1730</v>
      </c>
      <c r="N705" s="43" t="str">
        <f t="shared" si="27"/>
        <v>Rua B · Prat 15 · C-228</v>
      </c>
      <c r="P705">
        <f>IF(A705="","",IF(AND(K705&lt;&gt;"",L705&lt;&gt;""),IF(COUNTIFS($K$6:K705,K705,$L$6:L705,L705)=1,1,0),0))</f>
        <v>0</v>
      </c>
      <c r="Q705">
        <f>IF(A705="","",IF(AND(K705&lt;&gt;"",M705&lt;&gt;""),IF(COUNTIFS($K$6:K705,K705,$M$6:M705,M705)=1,1,0),0))</f>
        <v>0</v>
      </c>
      <c r="R705">
        <f>IF(A705="","",IF(M705&lt;&gt;"",IF(COUNTIF($M$6:M705,M705)=1,1,0),0))</f>
        <v>0</v>
      </c>
      <c r="T705" t="str">
        <f>IF(AND($M705&lt;&gt;"",$M705='Mapa do Galpão'!$C$20),COUNTIF($M$6:$M705,'Mapa do Galpão'!$C$20),"")</f>
        <v/>
      </c>
    </row>
    <row r="706" spans="1:20" ht="14.25" hidden="1" customHeight="1" x14ac:dyDescent="0.3">
      <c r="A706" s="43" t="s">
        <v>1732</v>
      </c>
      <c r="B706" s="50" t="s">
        <v>1424</v>
      </c>
      <c r="C706" s="165" t="s">
        <v>478</v>
      </c>
      <c r="D706" s="45" t="str">
        <f t="shared" si="26"/>
        <v>Feminino</v>
      </c>
      <c r="E706" s="43" t="s">
        <v>709</v>
      </c>
      <c r="F706" s="43" t="s">
        <v>1461</v>
      </c>
      <c r="G706" s="43" t="s">
        <v>798</v>
      </c>
      <c r="H706" s="43" t="s">
        <v>682</v>
      </c>
      <c r="I706" s="46">
        <f>SUMIFS(Movimentações!$F$6:$F$4998,Movimentações!$C$6:$C$4998,A706,Movimentações!$M$6:$M$4998,M706)</f>
        <v>1</v>
      </c>
      <c r="J706" s="43" t="s">
        <v>670</v>
      </c>
      <c r="K706" s="43" t="s">
        <v>1419</v>
      </c>
      <c r="L706" s="47" t="s">
        <v>1437</v>
      </c>
      <c r="M706" s="43" t="s">
        <v>1730</v>
      </c>
      <c r="N706" s="43" t="str">
        <f t="shared" si="27"/>
        <v>Rua B · Prat 15 · C-228</v>
      </c>
      <c r="P706">
        <f>IF(A706="","",IF(AND(K706&lt;&gt;"",L706&lt;&gt;""),IF(COUNTIFS($K$6:K706,K706,$L$6:L706,L706)=1,1,0),0))</f>
        <v>0</v>
      </c>
      <c r="Q706">
        <f>IF(A706="","",IF(AND(K706&lt;&gt;"",M706&lt;&gt;""),IF(COUNTIFS($K$6:K706,K706,$M$6:M706,M706)=1,1,0),0))</f>
        <v>0</v>
      </c>
      <c r="R706">
        <f>IF(A706="","",IF(M706&lt;&gt;"",IF(COUNTIF($M$6:M706,M706)=1,1,0),0))</f>
        <v>0</v>
      </c>
      <c r="T706" t="str">
        <f>IF(AND($M706&lt;&gt;"",$M706='Mapa do Galpão'!$C$20),COUNTIF($M$6:$M706,'Mapa do Galpão'!$C$20),"")</f>
        <v/>
      </c>
    </row>
    <row r="707" spans="1:20" ht="14.25" hidden="1" customHeight="1" x14ac:dyDescent="0.3">
      <c r="A707" s="43" t="s">
        <v>1733</v>
      </c>
      <c r="B707" s="50" t="s">
        <v>1424</v>
      </c>
      <c r="C707" s="165" t="s">
        <v>309</v>
      </c>
      <c r="D707" s="45" t="str">
        <f t="shared" si="26"/>
        <v>Feminino</v>
      </c>
      <c r="E707" s="43" t="s">
        <v>709</v>
      </c>
      <c r="F707" s="43" t="s">
        <v>1461</v>
      </c>
      <c r="G707" s="43" t="s">
        <v>956</v>
      </c>
      <c r="H707" s="43" t="s">
        <v>669</v>
      </c>
      <c r="I707" s="46">
        <f>SUMIFS(Movimentações!$F$6:$F$4998,Movimentações!$C$6:$C$4998,A707,Movimentações!$M$6:$M$4998,M707)</f>
        <v>1</v>
      </c>
      <c r="J707" s="43" t="s">
        <v>670</v>
      </c>
      <c r="K707" s="43" t="s">
        <v>1419</v>
      </c>
      <c r="L707" s="47" t="s">
        <v>1437</v>
      </c>
      <c r="M707" s="43" t="s">
        <v>1730</v>
      </c>
      <c r="N707" s="43" t="str">
        <f t="shared" si="27"/>
        <v>Rua B · Prat 15 · C-228</v>
      </c>
      <c r="P707">
        <f>IF(A707="","",IF(AND(K707&lt;&gt;"",L707&lt;&gt;""),IF(COUNTIFS($K$6:K707,K707,$L$6:L707,L707)=1,1,0),0))</f>
        <v>0</v>
      </c>
      <c r="Q707">
        <f>IF(A707="","",IF(AND(K707&lt;&gt;"",M707&lt;&gt;""),IF(COUNTIFS($K$6:K707,K707,$M$6:M707,M707)=1,1,0),0))</f>
        <v>0</v>
      </c>
      <c r="R707">
        <f>IF(A707="","",IF(M707&lt;&gt;"",IF(COUNTIF($M$6:M707,M707)=1,1,0),0))</f>
        <v>0</v>
      </c>
      <c r="T707" t="str">
        <f>IF(AND($M707&lt;&gt;"",$M707='Mapa do Galpão'!$C$20),COUNTIF($M$6:$M707,'Mapa do Galpão'!$C$20),"")</f>
        <v/>
      </c>
    </row>
    <row r="708" spans="1:20" ht="14.25" hidden="1" customHeight="1" x14ac:dyDescent="0.3">
      <c r="A708" s="43" t="s">
        <v>1734</v>
      </c>
      <c r="B708" s="50" t="s">
        <v>1424</v>
      </c>
      <c r="C708" s="165" t="s">
        <v>535</v>
      </c>
      <c r="D708" s="45" t="str">
        <f t="shared" si="26"/>
        <v>Masculino</v>
      </c>
      <c r="E708" s="43" t="s">
        <v>709</v>
      </c>
      <c r="F708" s="43" t="s">
        <v>1059</v>
      </c>
      <c r="G708" s="43" t="s">
        <v>798</v>
      </c>
      <c r="H708" s="43" t="s">
        <v>680</v>
      </c>
      <c r="I708" s="46">
        <f>SUMIFS(Movimentações!$F$6:$F$4998,Movimentações!$C$6:$C$4998,A708,Movimentações!$M$6:$M$4998,M708)</f>
        <v>1</v>
      </c>
      <c r="J708" s="43" t="s">
        <v>670</v>
      </c>
      <c r="K708" s="43" t="s">
        <v>1419</v>
      </c>
      <c r="L708" s="47" t="s">
        <v>1437</v>
      </c>
      <c r="M708" s="43" t="s">
        <v>1730</v>
      </c>
      <c r="N708" s="43" t="str">
        <f t="shared" si="27"/>
        <v>Rua B · Prat 15 · C-228</v>
      </c>
      <c r="P708">
        <f>IF(A708="","",IF(AND(K708&lt;&gt;"",L708&lt;&gt;""),IF(COUNTIFS($K$6:K708,K708,$L$6:L708,L708)=1,1,0),0))</f>
        <v>0</v>
      </c>
      <c r="Q708">
        <f>IF(A708="","",IF(AND(K708&lt;&gt;"",M708&lt;&gt;""),IF(COUNTIFS($K$6:K708,K708,$M$6:M708,M708)=1,1,0),0))</f>
        <v>0</v>
      </c>
      <c r="R708">
        <f>IF(A708="","",IF(M708&lt;&gt;"",IF(COUNTIF($M$6:M708,M708)=1,1,0),0))</f>
        <v>0</v>
      </c>
      <c r="T708" t="str">
        <f>IF(AND($M708&lt;&gt;"",$M708='Mapa do Galpão'!$C$20),COUNTIF($M$6:$M708,'Mapa do Galpão'!$C$20),"")</f>
        <v/>
      </c>
    </row>
    <row r="709" spans="1:20" ht="14.25" hidden="1" customHeight="1" x14ac:dyDescent="0.3">
      <c r="A709" s="43" t="s">
        <v>1735</v>
      </c>
      <c r="B709" s="50" t="s">
        <v>1424</v>
      </c>
      <c r="C709" s="165" t="s">
        <v>322</v>
      </c>
      <c r="D709" s="45" t="str">
        <f t="shared" si="26"/>
        <v>Masculino</v>
      </c>
      <c r="E709" s="43" t="s">
        <v>709</v>
      </c>
      <c r="F709" s="43" t="s">
        <v>1059</v>
      </c>
      <c r="G709" s="43" t="s">
        <v>798</v>
      </c>
      <c r="H709" s="43" t="s">
        <v>675</v>
      </c>
      <c r="I709" s="46">
        <f>SUMIFS(Movimentações!$F$6:$F$4998,Movimentações!$C$6:$C$4998,A709,Movimentações!$M$6:$M$4998,M709)</f>
        <v>1</v>
      </c>
      <c r="J709" s="43" t="s">
        <v>670</v>
      </c>
      <c r="K709" s="43" t="s">
        <v>1419</v>
      </c>
      <c r="L709" s="47" t="s">
        <v>1437</v>
      </c>
      <c r="M709" s="43" t="s">
        <v>1730</v>
      </c>
      <c r="N709" s="43" t="str">
        <f t="shared" si="27"/>
        <v>Rua B · Prat 15 · C-228</v>
      </c>
      <c r="P709">
        <f>IF(A709="","",IF(AND(K709&lt;&gt;"",L709&lt;&gt;""),IF(COUNTIFS($K$6:K709,K709,$L$6:L709,L709)=1,1,0),0))</f>
        <v>0</v>
      </c>
      <c r="Q709">
        <f>IF(A709="","",IF(AND(K709&lt;&gt;"",M709&lt;&gt;""),IF(COUNTIFS($K$6:K709,K709,$M$6:M709,M709)=1,1,0),0))</f>
        <v>0</v>
      </c>
      <c r="R709">
        <f>IF(A709="","",IF(M709&lt;&gt;"",IF(COUNTIF($M$6:M709,M709)=1,1,0),0))</f>
        <v>0</v>
      </c>
      <c r="T709" t="str">
        <f>IF(AND($M709&lt;&gt;"",$M709='Mapa do Galpão'!$C$20),COUNTIF($M$6:$M709,'Mapa do Galpão'!$C$20),"")</f>
        <v/>
      </c>
    </row>
    <row r="710" spans="1:20" ht="14.25" hidden="1" customHeight="1" x14ac:dyDescent="0.3">
      <c r="A710" s="43" t="s">
        <v>1736</v>
      </c>
      <c r="B710" s="50" t="s">
        <v>1424</v>
      </c>
      <c r="C710" s="165" t="s">
        <v>233</v>
      </c>
      <c r="D710" s="45" t="str">
        <f t="shared" si="26"/>
        <v>Feminino</v>
      </c>
      <c r="E710" s="43" t="s">
        <v>709</v>
      </c>
      <c r="F710" s="43" t="s">
        <v>871</v>
      </c>
      <c r="G710" s="43" t="s">
        <v>694</v>
      </c>
      <c r="H710" s="43" t="s">
        <v>669</v>
      </c>
      <c r="I710" s="46">
        <f>SUMIFS(Movimentações!$F$6:$F$4998,Movimentações!$C$6:$C$4998,A710,Movimentações!$M$6:$M$4998,M710)</f>
        <v>1</v>
      </c>
      <c r="J710" s="43" t="s">
        <v>670</v>
      </c>
      <c r="K710" s="43" t="s">
        <v>1419</v>
      </c>
      <c r="L710" s="47" t="s">
        <v>1437</v>
      </c>
      <c r="M710" s="43" t="s">
        <v>1737</v>
      </c>
      <c r="N710" s="43" t="str">
        <f t="shared" si="27"/>
        <v>Rua B · Prat 15 · C-229</v>
      </c>
      <c r="P710">
        <f>IF(A710="","",IF(AND(K710&lt;&gt;"",L710&lt;&gt;""),IF(COUNTIFS($K$6:K710,K710,$L$6:L710,L710)=1,1,0),0))</f>
        <v>0</v>
      </c>
      <c r="Q710">
        <f>IF(A710="","",IF(AND(K710&lt;&gt;"",M710&lt;&gt;""),IF(COUNTIFS($K$6:K710,K710,$M$6:M710,M710)=1,1,0),0))</f>
        <v>1</v>
      </c>
      <c r="R710">
        <f>IF(A710="","",IF(M710&lt;&gt;"",IF(COUNTIF($M$6:M710,M710)=1,1,0),0))</f>
        <v>1</v>
      </c>
      <c r="T710" t="str">
        <f>IF(AND($M710&lt;&gt;"",$M710='Mapa do Galpão'!$C$20),COUNTIF($M$6:$M710,'Mapa do Galpão'!$C$20),"")</f>
        <v/>
      </c>
    </row>
    <row r="711" spans="1:20" ht="14.25" hidden="1" customHeight="1" x14ac:dyDescent="0.3">
      <c r="A711" s="43" t="s">
        <v>1738</v>
      </c>
      <c r="B711" s="50" t="s">
        <v>1424</v>
      </c>
      <c r="C711" s="165" t="s">
        <v>75</v>
      </c>
      <c r="D711" s="45" t="str">
        <f t="shared" si="26"/>
        <v>Masculino</v>
      </c>
      <c r="E711" s="43" t="s">
        <v>709</v>
      </c>
      <c r="F711" s="43" t="s">
        <v>710</v>
      </c>
      <c r="G711" s="43" t="s">
        <v>694</v>
      </c>
      <c r="H711" s="43" t="s">
        <v>675</v>
      </c>
      <c r="I711" s="46">
        <f>SUMIFS(Movimentações!$F$6:$F$4998,Movimentações!$C$6:$C$4998,A711,Movimentações!$M$6:$M$4998,M711)</f>
        <v>1</v>
      </c>
      <c r="J711" s="43" t="s">
        <v>670</v>
      </c>
      <c r="K711" s="43" t="s">
        <v>1419</v>
      </c>
      <c r="L711" s="47" t="s">
        <v>1437</v>
      </c>
      <c r="M711" s="43" t="s">
        <v>1737</v>
      </c>
      <c r="N711" s="43" t="str">
        <f t="shared" si="27"/>
        <v>Rua B · Prat 15 · C-229</v>
      </c>
      <c r="P711">
        <f>IF(A711="","",IF(AND(K711&lt;&gt;"",L711&lt;&gt;""),IF(COUNTIFS($K$6:K711,K711,$L$6:L711,L711)=1,1,0),0))</f>
        <v>0</v>
      </c>
      <c r="Q711">
        <f>IF(A711="","",IF(AND(K711&lt;&gt;"",M711&lt;&gt;""),IF(COUNTIFS($K$6:K711,K711,$M$6:M711,M711)=1,1,0),0))</f>
        <v>0</v>
      </c>
      <c r="R711">
        <f>IF(A711="","",IF(M711&lt;&gt;"",IF(COUNTIF($M$6:M711,M711)=1,1,0),0))</f>
        <v>0</v>
      </c>
      <c r="T711" t="str">
        <f>IF(AND($M711&lt;&gt;"",$M711='Mapa do Galpão'!$C$20),COUNTIF($M$6:$M711,'Mapa do Galpão'!$C$20),"")</f>
        <v/>
      </c>
    </row>
    <row r="712" spans="1:20" ht="14.25" hidden="1" customHeight="1" x14ac:dyDescent="0.3">
      <c r="A712" s="43" t="s">
        <v>1739</v>
      </c>
      <c r="B712" s="50" t="s">
        <v>1424</v>
      </c>
      <c r="C712" s="165" t="s">
        <v>188</v>
      </c>
      <c r="D712" s="45" t="str">
        <f t="shared" si="26"/>
        <v>Feminino</v>
      </c>
      <c r="E712" s="43" t="s">
        <v>709</v>
      </c>
      <c r="F712" s="43" t="s">
        <v>871</v>
      </c>
      <c r="G712" s="43" t="s">
        <v>668</v>
      </c>
      <c r="H712" s="43" t="s">
        <v>682</v>
      </c>
      <c r="I712" s="46">
        <f>SUMIFS(Movimentações!$F$6:$F$4998,Movimentações!$C$6:$C$4998,A712,Movimentações!$M$6:$M$4998,M712)</f>
        <v>0</v>
      </c>
      <c r="J712" s="43" t="s">
        <v>670</v>
      </c>
      <c r="K712" s="43" t="s">
        <v>1419</v>
      </c>
      <c r="L712" s="47" t="s">
        <v>1437</v>
      </c>
      <c r="M712" s="43" t="s">
        <v>1737</v>
      </c>
      <c r="N712" s="43" t="str">
        <f t="shared" si="27"/>
        <v>Rua B · Prat 15 · C-229</v>
      </c>
      <c r="P712">
        <f>IF(A712="","",IF(AND(K712&lt;&gt;"",L712&lt;&gt;""),IF(COUNTIFS($K$6:K712,K712,$L$6:L712,L712)=1,1,0),0))</f>
        <v>0</v>
      </c>
      <c r="Q712">
        <f>IF(A712="","",IF(AND(K712&lt;&gt;"",M712&lt;&gt;""),IF(COUNTIFS($K$6:K712,K712,$M$6:M712,M712)=1,1,0),0))</f>
        <v>0</v>
      </c>
      <c r="R712">
        <f>IF(A712="","",IF(M712&lt;&gt;"",IF(COUNTIF($M$6:M712,M712)=1,1,0),0))</f>
        <v>0</v>
      </c>
      <c r="T712" t="str">
        <f>IF(AND($M712&lt;&gt;"",$M712='Mapa do Galpão'!$C$20),COUNTIF($M$6:$M712,'Mapa do Galpão'!$C$20),"")</f>
        <v/>
      </c>
    </row>
    <row r="713" spans="1:20" ht="14.25" hidden="1" customHeight="1" x14ac:dyDescent="0.3">
      <c r="A713" s="43" t="s">
        <v>1740</v>
      </c>
      <c r="B713" s="50" t="s">
        <v>1424</v>
      </c>
      <c r="C713" s="165" t="s">
        <v>86</v>
      </c>
      <c r="D713" s="45" t="str">
        <f t="shared" si="26"/>
        <v>Masculino</v>
      </c>
      <c r="E713" s="43" t="s">
        <v>709</v>
      </c>
      <c r="F713" s="43" t="s">
        <v>710</v>
      </c>
      <c r="G713" s="43" t="s">
        <v>668</v>
      </c>
      <c r="H713" s="43" t="s">
        <v>669</v>
      </c>
      <c r="I713" s="46">
        <f>SUMIFS(Movimentações!$F$6:$F$4998,Movimentações!$C$6:$C$4998,A713,Movimentações!$M$6:$M$4998,M713)</f>
        <v>1</v>
      </c>
      <c r="J713" s="43" t="s">
        <v>670</v>
      </c>
      <c r="K713" s="43" t="s">
        <v>1419</v>
      </c>
      <c r="L713" s="47" t="s">
        <v>1437</v>
      </c>
      <c r="M713" s="43" t="s">
        <v>1737</v>
      </c>
      <c r="N713" s="43" t="str">
        <f t="shared" si="27"/>
        <v>Rua B · Prat 15 · C-229</v>
      </c>
      <c r="P713">
        <f>IF(A713="","",IF(AND(K713&lt;&gt;"",L713&lt;&gt;""),IF(COUNTIFS($K$6:K713,K713,$L$6:L713,L713)=1,1,0),0))</f>
        <v>0</v>
      </c>
      <c r="Q713">
        <f>IF(A713="","",IF(AND(K713&lt;&gt;"",M713&lt;&gt;""),IF(COUNTIFS($K$6:K713,K713,$M$6:M713,M713)=1,1,0),0))</f>
        <v>0</v>
      </c>
      <c r="R713">
        <f>IF(A713="","",IF(M713&lt;&gt;"",IF(COUNTIF($M$6:M713,M713)=1,1,0),0))</f>
        <v>0</v>
      </c>
      <c r="T713" t="str">
        <f>IF(AND($M713&lt;&gt;"",$M713='Mapa do Galpão'!$C$20),COUNTIF($M$6:$M713,'Mapa do Galpão'!$C$20),"")</f>
        <v/>
      </c>
    </row>
    <row r="714" spans="1:20" ht="14.25" hidden="1" customHeight="1" x14ac:dyDescent="0.3">
      <c r="A714" s="43" t="s">
        <v>1741</v>
      </c>
      <c r="B714" s="50" t="s">
        <v>1424</v>
      </c>
      <c r="C714" s="165" t="s">
        <v>241</v>
      </c>
      <c r="D714" s="45" t="str">
        <f t="shared" si="26"/>
        <v>Feminino</v>
      </c>
      <c r="E714" s="43" t="s">
        <v>709</v>
      </c>
      <c r="F714" s="43" t="s">
        <v>871</v>
      </c>
      <c r="G714" s="43" t="s">
        <v>719</v>
      </c>
      <c r="H714" s="43" t="s">
        <v>675</v>
      </c>
      <c r="I714" s="46">
        <f>SUMIFS(Movimentações!$F$6:$F$4998,Movimentações!$C$6:$C$4998,A714,Movimentações!$M$6:$M$4998,M714)</f>
        <v>0</v>
      </c>
      <c r="J714" s="43" t="s">
        <v>670</v>
      </c>
      <c r="K714" s="43" t="s">
        <v>1419</v>
      </c>
      <c r="L714" s="47" t="s">
        <v>1437</v>
      </c>
      <c r="M714" s="43" t="s">
        <v>1737</v>
      </c>
      <c r="N714" s="43" t="str">
        <f t="shared" si="27"/>
        <v>Rua B · Prat 15 · C-229</v>
      </c>
      <c r="P714">
        <f>IF(A714="","",IF(AND(K714&lt;&gt;"",L714&lt;&gt;""),IF(COUNTIFS($K$6:K714,K714,$L$6:L714,L714)=1,1,0),0))</f>
        <v>0</v>
      </c>
      <c r="Q714">
        <f>IF(A714="","",IF(AND(K714&lt;&gt;"",M714&lt;&gt;""),IF(COUNTIFS($K$6:K714,K714,$M$6:M714,M714)=1,1,0),0))</f>
        <v>0</v>
      </c>
      <c r="R714">
        <f>IF(A714="","",IF(M714&lt;&gt;"",IF(COUNTIF($M$6:M714,M714)=1,1,0),0))</f>
        <v>0</v>
      </c>
      <c r="T714" t="str">
        <f>IF(AND($M714&lt;&gt;"",$M714='Mapa do Galpão'!$C$20),COUNTIF($M$6:$M714,'Mapa do Galpão'!$C$20),"")</f>
        <v/>
      </c>
    </row>
    <row r="715" spans="1:20" ht="14.25" hidden="1" customHeight="1" x14ac:dyDescent="0.3">
      <c r="A715" s="43" t="s">
        <v>1742</v>
      </c>
      <c r="B715" s="50" t="s">
        <v>1424</v>
      </c>
      <c r="C715" s="165" t="s">
        <v>82</v>
      </c>
      <c r="D715" s="45" t="str">
        <f t="shared" si="26"/>
        <v>Masculino</v>
      </c>
      <c r="E715" s="43" t="s">
        <v>709</v>
      </c>
      <c r="F715" s="43" t="s">
        <v>710</v>
      </c>
      <c r="G715" s="43" t="s">
        <v>719</v>
      </c>
      <c r="H715" s="43" t="s">
        <v>682</v>
      </c>
      <c r="I715" s="46">
        <f>SUMIFS(Movimentações!$F$6:$F$4998,Movimentações!$C$6:$C$4998,A715,Movimentações!$M$6:$M$4998,M715)</f>
        <v>0</v>
      </c>
      <c r="J715" s="43" t="s">
        <v>670</v>
      </c>
      <c r="K715" s="43" t="s">
        <v>1419</v>
      </c>
      <c r="L715" s="47" t="s">
        <v>1437</v>
      </c>
      <c r="M715" s="43" t="s">
        <v>1737</v>
      </c>
      <c r="N715" s="43" t="str">
        <f t="shared" si="27"/>
        <v>Rua B · Prat 15 · C-229</v>
      </c>
      <c r="P715">
        <f>IF(A715="","",IF(AND(K715&lt;&gt;"",L715&lt;&gt;""),IF(COUNTIFS($K$6:K715,K715,$L$6:L715,L715)=1,1,0),0))</f>
        <v>0</v>
      </c>
      <c r="Q715">
        <f>IF(A715="","",IF(AND(K715&lt;&gt;"",M715&lt;&gt;""),IF(COUNTIFS($K$6:K715,K715,$M$6:M715,M715)=1,1,0),0))</f>
        <v>0</v>
      </c>
      <c r="R715">
        <f>IF(A715="","",IF(M715&lt;&gt;"",IF(COUNTIF($M$6:M715,M715)=1,1,0),0))</f>
        <v>0</v>
      </c>
      <c r="T715" t="str">
        <f>IF(AND($M715&lt;&gt;"",$M715='Mapa do Galpão'!$C$20),COUNTIF($M$6:$M715,'Mapa do Galpão'!$C$20),"")</f>
        <v/>
      </c>
    </row>
    <row r="716" spans="1:20" ht="14.25" hidden="1" customHeight="1" x14ac:dyDescent="0.3">
      <c r="A716" s="43" t="s">
        <v>1743</v>
      </c>
      <c r="B716" s="50" t="s">
        <v>1424</v>
      </c>
      <c r="C716" s="165" t="s">
        <v>235</v>
      </c>
      <c r="D716" s="45" t="str">
        <f t="shared" si="26"/>
        <v>Feminino</v>
      </c>
      <c r="E716" s="43" t="s">
        <v>709</v>
      </c>
      <c r="F716" s="43" t="s">
        <v>871</v>
      </c>
      <c r="G716" s="43" t="s">
        <v>738</v>
      </c>
      <c r="H716" s="43" t="s">
        <v>680</v>
      </c>
      <c r="I716" s="46">
        <f>SUMIFS(Movimentações!$F$6:$F$4998,Movimentações!$C$6:$C$4998,A716,Movimentações!$M$6:$M$4998,M716)</f>
        <v>1</v>
      </c>
      <c r="J716" s="43" t="s">
        <v>670</v>
      </c>
      <c r="K716" s="43" t="s">
        <v>1419</v>
      </c>
      <c r="L716" s="47" t="s">
        <v>1437</v>
      </c>
      <c r="M716" s="43" t="s">
        <v>1737</v>
      </c>
      <c r="N716" s="43" t="str">
        <f t="shared" si="27"/>
        <v>Rua B · Prat 15 · C-229</v>
      </c>
      <c r="P716">
        <f>IF(A716="","",IF(AND(K716&lt;&gt;"",L716&lt;&gt;""),IF(COUNTIFS($K$6:K716,K716,$L$6:L716,L716)=1,1,0),0))</f>
        <v>0</v>
      </c>
      <c r="Q716">
        <f>IF(A716="","",IF(AND(K716&lt;&gt;"",M716&lt;&gt;""),IF(COUNTIFS($K$6:K716,K716,$M$6:M716,M716)=1,1,0),0))</f>
        <v>0</v>
      </c>
      <c r="R716">
        <f>IF(A716="","",IF(M716&lt;&gt;"",IF(COUNTIF($M$6:M716,M716)=1,1,0),0))</f>
        <v>0</v>
      </c>
      <c r="T716" t="str">
        <f>IF(AND($M716&lt;&gt;"",$M716='Mapa do Galpão'!$C$20),COUNTIF($M$6:$M716,'Mapa do Galpão'!$C$20),"")</f>
        <v/>
      </c>
    </row>
    <row r="717" spans="1:20" ht="14.25" hidden="1" customHeight="1" x14ac:dyDescent="0.3">
      <c r="A717" s="43" t="s">
        <v>1744</v>
      </c>
      <c r="B717" s="50" t="s">
        <v>1424</v>
      </c>
      <c r="C717" s="165" t="s">
        <v>89</v>
      </c>
      <c r="D717" s="45" t="str">
        <f t="shared" si="26"/>
        <v>Masculino</v>
      </c>
      <c r="E717" s="43" t="s">
        <v>709</v>
      </c>
      <c r="F717" s="43" t="s">
        <v>710</v>
      </c>
      <c r="G717" s="43" t="s">
        <v>738</v>
      </c>
      <c r="H717" s="43" t="s">
        <v>680</v>
      </c>
      <c r="I717" s="46">
        <f>SUMIFS(Movimentações!$F$6:$F$4998,Movimentações!$C$6:$C$4998,A717,Movimentações!$M$6:$M$4998,M717)</f>
        <v>1</v>
      </c>
      <c r="J717" s="43" t="s">
        <v>670</v>
      </c>
      <c r="K717" s="43" t="s">
        <v>1419</v>
      </c>
      <c r="L717" s="47" t="s">
        <v>1437</v>
      </c>
      <c r="M717" s="43" t="s">
        <v>1737</v>
      </c>
      <c r="N717" s="43" t="str">
        <f t="shared" si="27"/>
        <v>Rua B · Prat 15 · C-229</v>
      </c>
      <c r="P717">
        <f>IF(A717="","",IF(AND(K717&lt;&gt;"",L717&lt;&gt;""),IF(COUNTIFS($K$6:K717,K717,$L$6:L717,L717)=1,1,0),0))</f>
        <v>0</v>
      </c>
      <c r="Q717">
        <f>IF(A717="","",IF(AND(K717&lt;&gt;"",M717&lt;&gt;""),IF(COUNTIFS($K$6:K717,K717,$M$6:M717,M717)=1,1,0),0))</f>
        <v>0</v>
      </c>
      <c r="R717">
        <f>IF(A717="","",IF(M717&lt;&gt;"",IF(COUNTIF($M$6:M717,M717)=1,1,0),0))</f>
        <v>0</v>
      </c>
      <c r="T717" t="str">
        <f>IF(AND($M717&lt;&gt;"",$M717='Mapa do Galpão'!$C$20),COUNTIF($M$6:$M717,'Mapa do Galpão'!$C$20),"")</f>
        <v/>
      </c>
    </row>
    <row r="718" spans="1:20" ht="14.25" hidden="1" customHeight="1" x14ac:dyDescent="0.3">
      <c r="A718" s="43" t="s">
        <v>1690</v>
      </c>
      <c r="B718" s="50" t="s">
        <v>1424</v>
      </c>
      <c r="C718" s="165" t="s">
        <v>531</v>
      </c>
      <c r="D718" s="45" t="str">
        <f t="shared" si="26"/>
        <v>—</v>
      </c>
      <c r="E718" s="43" t="s">
        <v>21</v>
      </c>
      <c r="F718" s="43" t="s">
        <v>1691</v>
      </c>
      <c r="G718" s="43" t="s">
        <v>1075</v>
      </c>
      <c r="H718" s="43" t="s">
        <v>1677</v>
      </c>
      <c r="I718" s="46">
        <f>SUMIFS(Movimentações!$F$6:$F$4998,Movimentações!$C$6:$C$4998,A718,Movimentações!$M$6:$M$4998,M718)</f>
        <v>8</v>
      </c>
      <c r="J718" s="43" t="s">
        <v>670</v>
      </c>
      <c r="K718" s="43" t="s">
        <v>1419</v>
      </c>
      <c r="L718" s="47" t="s">
        <v>1437</v>
      </c>
      <c r="M718" s="43" t="s">
        <v>1737</v>
      </c>
      <c r="N718" s="43" t="str">
        <f t="shared" si="27"/>
        <v>Rua B · Prat 15 · C-229</v>
      </c>
      <c r="P718">
        <f>IF(A718="","",IF(AND(K718&lt;&gt;"",L718&lt;&gt;""),IF(COUNTIFS($K$6:K718,K718,$L$6:L718,L718)=1,1,0),0))</f>
        <v>0</v>
      </c>
      <c r="Q718">
        <f>IF(A718="","",IF(AND(K718&lt;&gt;"",M718&lt;&gt;""),IF(COUNTIFS($K$6:K718,K718,$M$6:M718,M718)=1,1,0),0))</f>
        <v>0</v>
      </c>
      <c r="R718">
        <f>IF(A718="","",IF(M718&lt;&gt;"",IF(COUNTIF($M$6:M718,M718)=1,1,0),0))</f>
        <v>0</v>
      </c>
      <c r="T718" t="str">
        <f>IF(AND($M718&lt;&gt;"",$M718='Mapa do Galpão'!$C$20),COUNTIF($M$6:$M718,'Mapa do Galpão'!$C$20),"")</f>
        <v/>
      </c>
    </row>
    <row r="719" spans="1:20" ht="14.25" hidden="1" customHeight="1" x14ac:dyDescent="0.3">
      <c r="A719" s="43" t="s">
        <v>1593</v>
      </c>
      <c r="B719" s="50" t="s">
        <v>1424</v>
      </c>
      <c r="C719" s="165" t="s">
        <v>341</v>
      </c>
      <c r="D719" s="45" t="str">
        <f t="shared" si="26"/>
        <v>—</v>
      </c>
      <c r="E719" s="43" t="s">
        <v>1108</v>
      </c>
      <c r="F719" s="43" t="s">
        <v>1594</v>
      </c>
      <c r="G719" s="43" t="s">
        <v>738</v>
      </c>
      <c r="H719" s="43" t="s">
        <v>1113</v>
      </c>
      <c r="I719" s="46">
        <f>SUMIFS(Movimentações!$F$6:$F$4998,Movimentações!$C$6:$C$4998,A719,Movimentações!$M$6:$M$4998,M719)</f>
        <v>318</v>
      </c>
      <c r="J719" s="43" t="s">
        <v>670</v>
      </c>
      <c r="K719" s="43" t="s">
        <v>1419</v>
      </c>
      <c r="L719" s="47" t="s">
        <v>1745</v>
      </c>
      <c r="M719" s="43" t="s">
        <v>1746</v>
      </c>
      <c r="N719" s="43" t="str">
        <f t="shared" si="27"/>
        <v>Rua B · Prat 10 · C-230</v>
      </c>
      <c r="P719">
        <f>IF(A719="","",IF(AND(K719&lt;&gt;"",L719&lt;&gt;""),IF(COUNTIFS($K$6:K719,K719,$L$6:L719,L719)=1,1,0),0))</f>
        <v>1</v>
      </c>
      <c r="Q719">
        <f>IF(A719="","",IF(AND(K719&lt;&gt;"",M719&lt;&gt;""),IF(COUNTIFS($K$6:K719,K719,$M$6:M719,M719)=1,1,0),0))</f>
        <v>1</v>
      </c>
      <c r="R719">
        <f>IF(A719="","",IF(M719&lt;&gt;"",IF(COUNTIF($M$6:M719,M719)=1,1,0),0))</f>
        <v>1</v>
      </c>
      <c r="T719" t="str">
        <f>IF(AND($M719&lt;&gt;"",$M719='Mapa do Galpão'!$C$20),COUNTIF($M$6:$M719,'Mapa do Galpão'!$C$20),"")</f>
        <v/>
      </c>
    </row>
    <row r="720" spans="1:20" ht="14.25" hidden="1" customHeight="1" x14ac:dyDescent="0.3">
      <c r="A720" s="43" t="s">
        <v>1747</v>
      </c>
      <c r="B720" s="50" t="s">
        <v>1424</v>
      </c>
      <c r="C720" s="165" t="s">
        <v>342</v>
      </c>
      <c r="D720" s="45" t="str">
        <f t="shared" si="26"/>
        <v>—</v>
      </c>
      <c r="E720" s="43" t="s">
        <v>1108</v>
      </c>
      <c r="F720" s="43" t="s">
        <v>1594</v>
      </c>
      <c r="G720" s="43" t="s">
        <v>738</v>
      </c>
      <c r="H720" s="43" t="s">
        <v>1120</v>
      </c>
      <c r="I720" s="46">
        <f>SUMIFS(Movimentações!$F$6:$F$4998,Movimentações!$C$6:$C$4998,A720,Movimentações!$M$6:$M$4998,M720)</f>
        <v>120</v>
      </c>
      <c r="J720" s="43" t="s">
        <v>670</v>
      </c>
      <c r="K720" s="43" t="s">
        <v>1419</v>
      </c>
      <c r="L720" s="47" t="s">
        <v>1745</v>
      </c>
      <c r="M720" s="43" t="s">
        <v>1748</v>
      </c>
      <c r="N720" s="43" t="str">
        <f t="shared" si="27"/>
        <v>Rua B · Prat 10 · C-231</v>
      </c>
      <c r="P720">
        <f>IF(A720="","",IF(AND(K720&lt;&gt;"",L720&lt;&gt;""),IF(COUNTIFS($K$6:K720,K720,$L$6:L720,L720)=1,1,0),0))</f>
        <v>0</v>
      </c>
      <c r="Q720">
        <f>IF(A720="","",IF(AND(K720&lt;&gt;"",M720&lt;&gt;""),IF(COUNTIFS($K$6:K720,K720,$M$6:M720,M720)=1,1,0),0))</f>
        <v>1</v>
      </c>
      <c r="R720">
        <f>IF(A720="","",IF(M720&lt;&gt;"",IF(COUNTIF($M$6:M720,M720)=1,1,0),0))</f>
        <v>1</v>
      </c>
      <c r="T720" t="str">
        <f>IF(AND($M720&lt;&gt;"",$M720='Mapa do Galpão'!$C$20),COUNTIF($M$6:$M720,'Mapa do Galpão'!$C$20),"")</f>
        <v/>
      </c>
    </row>
    <row r="721" spans="1:20" ht="14.25" hidden="1" customHeight="1" x14ac:dyDescent="0.3">
      <c r="A721" s="43" t="s">
        <v>1749</v>
      </c>
      <c r="B721" s="50" t="s">
        <v>1424</v>
      </c>
      <c r="C721" s="165" t="s">
        <v>376</v>
      </c>
      <c r="D721" s="45" t="str">
        <f t="shared" si="26"/>
        <v>—</v>
      </c>
      <c r="E721" s="43" t="s">
        <v>1108</v>
      </c>
      <c r="F721" s="43" t="s">
        <v>1594</v>
      </c>
      <c r="G721" s="43" t="s">
        <v>738</v>
      </c>
      <c r="H721" s="43" t="s">
        <v>1226</v>
      </c>
      <c r="I721" s="46">
        <f>SUMIFS(Movimentações!$F$6:$F$4998,Movimentações!$C$6:$C$4998,A721,Movimentações!$M$6:$M$4998,M721)</f>
        <v>61</v>
      </c>
      <c r="J721" s="43" t="s">
        <v>670</v>
      </c>
      <c r="K721" s="43" t="s">
        <v>1419</v>
      </c>
      <c r="L721" s="47" t="s">
        <v>1745</v>
      </c>
      <c r="M721" s="43" t="s">
        <v>1750</v>
      </c>
      <c r="N721" s="43" t="str">
        <f t="shared" si="27"/>
        <v>Rua B · Prat 10 · C-232</v>
      </c>
      <c r="P721">
        <f>IF(A721="","",IF(AND(K721&lt;&gt;"",L721&lt;&gt;""),IF(COUNTIFS($K$6:K721,K721,$L$6:L721,L721)=1,1,0),0))</f>
        <v>0</v>
      </c>
      <c r="Q721">
        <f>IF(A721="","",IF(AND(K721&lt;&gt;"",M721&lt;&gt;""),IF(COUNTIFS($K$6:K721,K721,$M$6:M721,M721)=1,1,0),0))</f>
        <v>1</v>
      </c>
      <c r="R721">
        <f>IF(A721="","",IF(M721&lt;&gt;"",IF(COUNTIF($M$6:M721,M721)=1,1,0),0))</f>
        <v>1</v>
      </c>
      <c r="T721" t="str">
        <f>IF(AND($M721&lt;&gt;"",$M721='Mapa do Galpão'!$C$20),COUNTIF($M$6:$M721,'Mapa do Galpão'!$C$20),"")</f>
        <v/>
      </c>
    </row>
    <row r="722" spans="1:20" ht="14.25" hidden="1" customHeight="1" x14ac:dyDescent="0.3">
      <c r="A722" s="43" t="s">
        <v>1751</v>
      </c>
      <c r="B722" s="50" t="s">
        <v>1424</v>
      </c>
      <c r="C722" s="165" t="s">
        <v>339</v>
      </c>
      <c r="D722" s="45" t="str">
        <f t="shared" si="26"/>
        <v>—</v>
      </c>
      <c r="E722" s="43" t="s">
        <v>1104</v>
      </c>
      <c r="F722" s="43" t="s">
        <v>1752</v>
      </c>
      <c r="G722" s="43" t="s">
        <v>668</v>
      </c>
      <c r="H722" s="43" t="s">
        <v>1677</v>
      </c>
      <c r="I722" s="46">
        <f>SUMIFS(Movimentações!$F$6:$F$4998,Movimentações!$C$6:$C$4998,A722,Movimentações!$M$6:$M$4998,M722)</f>
        <v>39</v>
      </c>
      <c r="J722" s="43" t="s">
        <v>670</v>
      </c>
      <c r="K722" s="43" t="s">
        <v>1419</v>
      </c>
      <c r="L722" s="47" t="s">
        <v>1745</v>
      </c>
      <c r="M722" s="43" t="s">
        <v>1753</v>
      </c>
      <c r="N722" s="43" t="str">
        <f t="shared" si="27"/>
        <v>Rua B · Prat 10 · C-233</v>
      </c>
      <c r="P722">
        <f>IF(A722="","",IF(AND(K722&lt;&gt;"",L722&lt;&gt;""),IF(COUNTIFS($K$6:K722,K722,$L$6:L722,L722)=1,1,0),0))</f>
        <v>0</v>
      </c>
      <c r="Q722">
        <f>IF(A722="","",IF(AND(K722&lt;&gt;"",M722&lt;&gt;""),IF(COUNTIFS($K$6:K722,K722,$M$6:M722,M722)=1,1,0),0))</f>
        <v>1</v>
      </c>
      <c r="R722">
        <f>IF(A722="","",IF(M722&lt;&gt;"",IF(COUNTIF($M$6:M722,M722)=1,1,0),0))</f>
        <v>1</v>
      </c>
      <c r="T722" t="str">
        <f>IF(AND($M722&lt;&gt;"",$M722='Mapa do Galpão'!$C$20),COUNTIF($M$6:$M722,'Mapa do Galpão'!$C$20),"")</f>
        <v/>
      </c>
    </row>
    <row r="723" spans="1:20" ht="14.25" hidden="1" customHeight="1" x14ac:dyDescent="0.3">
      <c r="A723" s="43" t="s">
        <v>1751</v>
      </c>
      <c r="B723" s="50" t="s">
        <v>1424</v>
      </c>
      <c r="C723" s="165" t="s">
        <v>339</v>
      </c>
      <c r="D723" s="45" t="str">
        <f t="shared" si="26"/>
        <v>—</v>
      </c>
      <c r="E723" s="43" t="s">
        <v>1104</v>
      </c>
      <c r="F723" s="43" t="s">
        <v>1752</v>
      </c>
      <c r="G723" s="43" t="s">
        <v>668</v>
      </c>
      <c r="H723" s="43" t="s">
        <v>1677</v>
      </c>
      <c r="I723" s="46">
        <f>SUMIFS(Movimentações!$F$6:$F$4998,Movimentações!$C$6:$C$4998,A723,Movimentações!$M$6:$M$4998,M723)</f>
        <v>42</v>
      </c>
      <c r="J723" s="43" t="s">
        <v>670</v>
      </c>
      <c r="K723" s="43" t="s">
        <v>1419</v>
      </c>
      <c r="L723" s="47" t="s">
        <v>1745</v>
      </c>
      <c r="M723" s="43" t="s">
        <v>1754</v>
      </c>
      <c r="N723" s="43" t="str">
        <f t="shared" si="27"/>
        <v>Rua B · Prat 10 · C-234</v>
      </c>
      <c r="P723">
        <f>IF(A723="","",IF(AND(K723&lt;&gt;"",L723&lt;&gt;""),IF(COUNTIFS($K$6:K723,K723,$L$6:L723,L723)=1,1,0),0))</f>
        <v>0</v>
      </c>
      <c r="Q723">
        <f>IF(A723="","",IF(AND(K723&lt;&gt;"",M723&lt;&gt;""),IF(COUNTIFS($K$6:K723,K723,$M$6:M723,M723)=1,1,0),0))</f>
        <v>1</v>
      </c>
      <c r="R723">
        <f>IF(A723="","",IF(M723&lt;&gt;"",IF(COUNTIF($M$6:M723,M723)=1,1,0),0))</f>
        <v>1</v>
      </c>
      <c r="T723" t="str">
        <f>IF(AND($M723&lt;&gt;"",$M723='Mapa do Galpão'!$C$20),COUNTIF($M$6:$M723,'Mapa do Galpão'!$C$20),"")</f>
        <v/>
      </c>
    </row>
    <row r="724" spans="1:20" ht="14.25" hidden="1" customHeight="1" x14ac:dyDescent="0.3">
      <c r="A724" s="43" t="s">
        <v>1751</v>
      </c>
      <c r="B724" s="50" t="s">
        <v>1424</v>
      </c>
      <c r="C724" s="165" t="s">
        <v>339</v>
      </c>
      <c r="D724" s="45" t="str">
        <f t="shared" si="26"/>
        <v>—</v>
      </c>
      <c r="E724" s="43" t="s">
        <v>1104</v>
      </c>
      <c r="F724" s="43" t="s">
        <v>1752</v>
      </c>
      <c r="G724" s="43" t="s">
        <v>668</v>
      </c>
      <c r="H724" s="43" t="s">
        <v>1677</v>
      </c>
      <c r="I724" s="46">
        <f>SUMIFS(Movimentações!$F$6:$F$4998,Movimentações!$C$6:$C$4998,A724,Movimentações!$M$6:$M$4998,M724)</f>
        <v>42</v>
      </c>
      <c r="J724" s="43" t="s">
        <v>670</v>
      </c>
      <c r="K724" s="43" t="s">
        <v>1419</v>
      </c>
      <c r="L724" s="47" t="s">
        <v>1745</v>
      </c>
      <c r="M724" s="43" t="s">
        <v>1755</v>
      </c>
      <c r="N724" s="43" t="str">
        <f t="shared" si="27"/>
        <v>Rua B · Prat 10 · C-235</v>
      </c>
      <c r="P724">
        <f>IF(A724="","",IF(AND(K724&lt;&gt;"",L724&lt;&gt;""),IF(COUNTIFS($K$6:K724,K724,$L$6:L724,L724)=1,1,0),0))</f>
        <v>0</v>
      </c>
      <c r="Q724">
        <f>IF(A724="","",IF(AND(K724&lt;&gt;"",M724&lt;&gt;""),IF(COUNTIFS($K$6:K724,K724,$M$6:M724,M724)=1,1,0),0))</f>
        <v>1</v>
      </c>
      <c r="R724">
        <f>IF(A724="","",IF(M724&lt;&gt;"",IF(COUNTIF($M$6:M724,M724)=1,1,0),0))</f>
        <v>1</v>
      </c>
      <c r="T724" t="str">
        <f>IF(AND($M724&lt;&gt;"",$M724='Mapa do Galpão'!$C$20),COUNTIF($M$6:$M724,'Mapa do Galpão'!$C$20),"")</f>
        <v/>
      </c>
    </row>
    <row r="725" spans="1:20" ht="14.25" hidden="1" customHeight="1" x14ac:dyDescent="0.3">
      <c r="A725" s="43" t="s">
        <v>1751</v>
      </c>
      <c r="B725" s="50" t="s">
        <v>1424</v>
      </c>
      <c r="C725" s="165" t="s">
        <v>339</v>
      </c>
      <c r="D725" s="45" t="str">
        <f t="shared" si="26"/>
        <v>—</v>
      </c>
      <c r="E725" s="43" t="s">
        <v>1104</v>
      </c>
      <c r="F725" s="43" t="s">
        <v>1752</v>
      </c>
      <c r="G725" s="43" t="s">
        <v>668</v>
      </c>
      <c r="H725" s="43" t="s">
        <v>1677</v>
      </c>
      <c r="I725" s="46">
        <f>SUMIFS(Movimentações!$F$6:$F$4998,Movimentações!$C$6:$C$4998,A725,Movimentações!$M$6:$M$4998,M725)</f>
        <v>34</v>
      </c>
      <c r="J725" s="43" t="s">
        <v>670</v>
      </c>
      <c r="K725" s="43" t="s">
        <v>1419</v>
      </c>
      <c r="L725" s="47" t="s">
        <v>1745</v>
      </c>
      <c r="M725" s="43" t="s">
        <v>1756</v>
      </c>
      <c r="N725" s="43" t="str">
        <f t="shared" si="27"/>
        <v>Rua B · Prat 10 · C-236</v>
      </c>
      <c r="P725">
        <f>IF(A725="","",IF(AND(K725&lt;&gt;"",L725&lt;&gt;""),IF(COUNTIFS($K$6:K725,K725,$L$6:L725,L725)=1,1,0),0))</f>
        <v>0</v>
      </c>
      <c r="Q725">
        <f>IF(A725="","",IF(AND(K725&lt;&gt;"",M725&lt;&gt;""),IF(COUNTIFS($K$6:K725,K725,$M$6:M725,M725)=1,1,0),0))</f>
        <v>1</v>
      </c>
      <c r="R725">
        <f>IF(A725="","",IF(M725&lt;&gt;"",IF(COUNTIF($M$6:M725,M725)=1,1,0),0))</f>
        <v>1</v>
      </c>
      <c r="T725" t="str">
        <f>IF(AND($M725&lt;&gt;"",$M725='Mapa do Galpão'!$C$20),COUNTIF($M$6:$M725,'Mapa do Galpão'!$C$20),"")</f>
        <v/>
      </c>
    </row>
    <row r="726" spans="1:20" ht="14.25" hidden="1" customHeight="1" x14ac:dyDescent="0.3">
      <c r="A726" s="43" t="s">
        <v>1751</v>
      </c>
      <c r="B726" s="50" t="s">
        <v>1424</v>
      </c>
      <c r="C726" s="165" t="s">
        <v>339</v>
      </c>
      <c r="D726" s="45" t="str">
        <f t="shared" si="26"/>
        <v>—</v>
      </c>
      <c r="E726" s="43" t="s">
        <v>1104</v>
      </c>
      <c r="F726" s="43" t="s">
        <v>1752</v>
      </c>
      <c r="G726" s="43" t="s">
        <v>668</v>
      </c>
      <c r="H726" s="43" t="s">
        <v>1677</v>
      </c>
      <c r="I726" s="46">
        <f>SUMIFS(Movimentações!$F$6:$F$4998,Movimentações!$C$6:$C$4998,A726,Movimentações!$M$6:$M$4998,M726)</f>
        <v>39</v>
      </c>
      <c r="J726" s="43" t="s">
        <v>670</v>
      </c>
      <c r="K726" s="43" t="s">
        <v>1419</v>
      </c>
      <c r="L726" s="47" t="s">
        <v>1745</v>
      </c>
      <c r="M726" s="43" t="s">
        <v>1757</v>
      </c>
      <c r="N726" s="43" t="str">
        <f t="shared" si="27"/>
        <v>Rua B · Prat 10 · C-237</v>
      </c>
      <c r="P726">
        <f>IF(A726="","",IF(AND(K726&lt;&gt;"",L726&lt;&gt;""),IF(COUNTIFS($K$6:K726,K726,$L$6:L726,L726)=1,1,0),0))</f>
        <v>0</v>
      </c>
      <c r="Q726">
        <f>IF(A726="","",IF(AND(K726&lt;&gt;"",M726&lt;&gt;""),IF(COUNTIFS($K$6:K726,K726,$M$6:M726,M726)=1,1,0),0))</f>
        <v>1</v>
      </c>
      <c r="R726">
        <f>IF(A726="","",IF(M726&lt;&gt;"",IF(COUNTIF($M$6:M726,M726)=1,1,0),0))</f>
        <v>1</v>
      </c>
      <c r="T726" t="str">
        <f>IF(AND($M726&lt;&gt;"",$M726='Mapa do Galpão'!$C$20),COUNTIF($M$6:$M726,'Mapa do Galpão'!$C$20),"")</f>
        <v/>
      </c>
    </row>
    <row r="727" spans="1:20" ht="14.25" hidden="1" customHeight="1" x14ac:dyDescent="0.3">
      <c r="A727" s="43" t="s">
        <v>1751</v>
      </c>
      <c r="B727" s="50" t="s">
        <v>1424</v>
      </c>
      <c r="C727" s="165" t="s">
        <v>339</v>
      </c>
      <c r="D727" s="45" t="str">
        <f t="shared" si="26"/>
        <v>—</v>
      </c>
      <c r="E727" s="43" t="s">
        <v>1104</v>
      </c>
      <c r="F727" s="43" t="s">
        <v>1752</v>
      </c>
      <c r="G727" s="43" t="s">
        <v>668</v>
      </c>
      <c r="H727" s="43" t="s">
        <v>1677</v>
      </c>
      <c r="I727" s="46">
        <f>SUMIFS(Movimentações!$F$6:$F$4998,Movimentações!$C$6:$C$4998,A727,Movimentações!$M$6:$M$4998,M727)</f>
        <v>42</v>
      </c>
      <c r="J727" s="43" t="s">
        <v>670</v>
      </c>
      <c r="K727" s="43" t="s">
        <v>1419</v>
      </c>
      <c r="L727" s="47" t="s">
        <v>1745</v>
      </c>
      <c r="M727" s="43" t="s">
        <v>1758</v>
      </c>
      <c r="N727" s="43" t="str">
        <f t="shared" si="27"/>
        <v>Rua B · Prat 10 · C-238</v>
      </c>
      <c r="P727">
        <f>IF(A727="","",IF(AND(K727&lt;&gt;"",L727&lt;&gt;""),IF(COUNTIFS($K$6:K727,K727,$L$6:L727,L727)=1,1,0),0))</f>
        <v>0</v>
      </c>
      <c r="Q727">
        <f>IF(A727="","",IF(AND(K727&lt;&gt;"",M727&lt;&gt;""),IF(COUNTIFS($K$6:K727,K727,$M$6:M727,M727)=1,1,0),0))</f>
        <v>1</v>
      </c>
      <c r="R727">
        <f>IF(A727="","",IF(M727&lt;&gt;"",IF(COUNTIF($M$6:M727,M727)=1,1,0),0))</f>
        <v>1</v>
      </c>
      <c r="T727" t="str">
        <f>IF(AND($M727&lt;&gt;"",$M727='Mapa do Galpão'!$C$20),COUNTIF($M$6:$M727,'Mapa do Galpão'!$C$20),"")</f>
        <v/>
      </c>
    </row>
    <row r="728" spans="1:20" ht="14.25" hidden="1" customHeight="1" x14ac:dyDescent="0.3">
      <c r="A728" s="43" t="s">
        <v>1751</v>
      </c>
      <c r="B728" s="50" t="s">
        <v>1424</v>
      </c>
      <c r="C728" s="165" t="s">
        <v>339</v>
      </c>
      <c r="D728" s="45" t="str">
        <f t="shared" si="26"/>
        <v>—</v>
      </c>
      <c r="E728" s="43" t="s">
        <v>1104</v>
      </c>
      <c r="F728" s="43" t="s">
        <v>1752</v>
      </c>
      <c r="G728" s="43" t="s">
        <v>668</v>
      </c>
      <c r="H728" s="43" t="s">
        <v>1677</v>
      </c>
      <c r="I728" s="46">
        <f>SUMIFS(Movimentações!$F$6:$F$4998,Movimentações!$C$6:$C$4998,A728,Movimentações!$M$6:$M$4998,M728)</f>
        <v>42</v>
      </c>
      <c r="J728" s="43" t="s">
        <v>670</v>
      </c>
      <c r="K728" s="43" t="s">
        <v>1419</v>
      </c>
      <c r="L728" s="47" t="s">
        <v>1745</v>
      </c>
      <c r="M728" s="43" t="s">
        <v>1759</v>
      </c>
      <c r="N728" s="43" t="str">
        <f t="shared" si="27"/>
        <v>Rua B · Prat 10 · C-239</v>
      </c>
      <c r="P728">
        <f>IF(A728="","",IF(AND(K728&lt;&gt;"",L728&lt;&gt;""),IF(COUNTIFS($K$6:K728,K728,$L$6:L728,L728)=1,1,0),0))</f>
        <v>0</v>
      </c>
      <c r="Q728">
        <f>IF(A728="","",IF(AND(K728&lt;&gt;"",M728&lt;&gt;""),IF(COUNTIFS($K$6:K728,K728,$M$6:M728,M728)=1,1,0),0))</f>
        <v>1</v>
      </c>
      <c r="R728">
        <f>IF(A728="","",IF(M728&lt;&gt;"",IF(COUNTIF($M$6:M728,M728)=1,1,0),0))</f>
        <v>1</v>
      </c>
      <c r="T728" t="str">
        <f>IF(AND($M728&lt;&gt;"",$M728='Mapa do Galpão'!$C$20),COUNTIF($M$6:$M728,'Mapa do Galpão'!$C$20),"")</f>
        <v/>
      </c>
    </row>
    <row r="729" spans="1:20" ht="14.25" hidden="1" customHeight="1" x14ac:dyDescent="0.3">
      <c r="A729" s="43" t="s">
        <v>1751</v>
      </c>
      <c r="B729" s="50" t="s">
        <v>1424</v>
      </c>
      <c r="C729" s="165" t="s">
        <v>339</v>
      </c>
      <c r="D729" s="45" t="str">
        <f t="shared" si="26"/>
        <v>—</v>
      </c>
      <c r="E729" s="43" t="s">
        <v>1104</v>
      </c>
      <c r="F729" s="43" t="s">
        <v>1752</v>
      </c>
      <c r="G729" s="43" t="s">
        <v>668</v>
      </c>
      <c r="H729" s="43" t="s">
        <v>1677</v>
      </c>
      <c r="I729" s="46">
        <f>SUMIFS(Movimentações!$F$6:$F$4998,Movimentações!$C$6:$C$4998,A729,Movimentações!$M$6:$M$4998,M729)</f>
        <v>42</v>
      </c>
      <c r="J729" s="43" t="s">
        <v>670</v>
      </c>
      <c r="K729" s="43" t="s">
        <v>1419</v>
      </c>
      <c r="L729" s="47" t="s">
        <v>1745</v>
      </c>
      <c r="M729" s="43" t="s">
        <v>1760</v>
      </c>
      <c r="N729" s="43" t="str">
        <f t="shared" si="27"/>
        <v>Rua B · Prat 10 · C-240</v>
      </c>
      <c r="P729">
        <f>IF(A729="","",IF(AND(K729&lt;&gt;"",L729&lt;&gt;""),IF(COUNTIFS($K$6:K729,K729,$L$6:L729,L729)=1,1,0),0))</f>
        <v>0</v>
      </c>
      <c r="Q729">
        <f>IF(A729="","",IF(AND(K729&lt;&gt;"",M729&lt;&gt;""),IF(COUNTIFS($K$6:K729,K729,$M$6:M729,M729)=1,1,0),0))</f>
        <v>1</v>
      </c>
      <c r="R729">
        <f>IF(A729="","",IF(M729&lt;&gt;"",IF(COUNTIF($M$6:M729,M729)=1,1,0),0))</f>
        <v>1</v>
      </c>
      <c r="T729" t="str">
        <f>IF(AND($M729&lt;&gt;"",$M729='Mapa do Galpão'!$C$20),COUNTIF($M$6:$M729,'Mapa do Galpão'!$C$20),"")</f>
        <v/>
      </c>
    </row>
    <row r="730" spans="1:20" ht="14.25" hidden="1" customHeight="1" x14ac:dyDescent="0.3">
      <c r="A730" s="43" t="s">
        <v>1751</v>
      </c>
      <c r="B730" s="50" t="s">
        <v>1424</v>
      </c>
      <c r="C730" s="165" t="s">
        <v>339</v>
      </c>
      <c r="D730" s="45" t="str">
        <f t="shared" si="26"/>
        <v>—</v>
      </c>
      <c r="E730" s="43" t="s">
        <v>1104</v>
      </c>
      <c r="F730" s="43" t="s">
        <v>1752</v>
      </c>
      <c r="G730" s="43" t="s">
        <v>668</v>
      </c>
      <c r="H730" s="43" t="s">
        <v>1677</v>
      </c>
      <c r="I730" s="46">
        <f>SUMIFS(Movimentações!$F$6:$F$4998,Movimentações!$C$6:$C$4998,A730,Movimentações!$M$6:$M$4998,M730)</f>
        <v>42</v>
      </c>
      <c r="J730" s="43" t="s">
        <v>670</v>
      </c>
      <c r="K730" s="43" t="s">
        <v>671</v>
      </c>
      <c r="L730" s="47">
        <v>7</v>
      </c>
      <c r="M730" s="43" t="s">
        <v>1761</v>
      </c>
      <c r="N730" s="43" t="str">
        <f t="shared" si="27"/>
        <v>Rua A · Prat 7 · C-241</v>
      </c>
      <c r="P730">
        <f>IF(A730="","",IF(AND(K730&lt;&gt;"",L730&lt;&gt;""),IF(COUNTIFS($K$6:K730,K730,$L$6:L730,L730)=1,1,0),0))</f>
        <v>0</v>
      </c>
      <c r="Q730">
        <f>IF(A730="","",IF(AND(K730&lt;&gt;"",M730&lt;&gt;""),IF(COUNTIFS($K$6:K730,K730,$M$6:M730,M730)=1,1,0),0))</f>
        <v>1</v>
      </c>
      <c r="R730">
        <f>IF(A730="","",IF(M730&lt;&gt;"",IF(COUNTIF($M$6:M730,M730)=1,1,0),0))</f>
        <v>1</v>
      </c>
      <c r="T730" t="str">
        <f>IF(AND($M730&lt;&gt;"",$M730='Mapa do Galpão'!$C$20),COUNTIF($M$6:$M730,'Mapa do Galpão'!$C$20),"")</f>
        <v/>
      </c>
    </row>
    <row r="731" spans="1:20" ht="14.25" hidden="1" customHeight="1" x14ac:dyDescent="0.3">
      <c r="A731" s="43" t="s">
        <v>1751</v>
      </c>
      <c r="B731" s="50" t="s">
        <v>1424</v>
      </c>
      <c r="C731" s="165" t="s">
        <v>339</v>
      </c>
      <c r="D731" s="45" t="str">
        <f t="shared" si="26"/>
        <v>—</v>
      </c>
      <c r="E731" s="43" t="s">
        <v>1104</v>
      </c>
      <c r="F731" s="43" t="s">
        <v>1752</v>
      </c>
      <c r="G731" s="43" t="s">
        <v>668</v>
      </c>
      <c r="H731" s="43" t="s">
        <v>1677</v>
      </c>
      <c r="I731" s="46">
        <f>SUMIFS(Movimentações!$F$6:$F$4998,Movimentações!$C$6:$C$4998,A731,Movimentações!$M$6:$M$4998,M731)</f>
        <v>39</v>
      </c>
      <c r="J731" s="43" t="s">
        <v>670</v>
      </c>
      <c r="K731" s="43" t="s">
        <v>1419</v>
      </c>
      <c r="L731" s="47" t="s">
        <v>1426</v>
      </c>
      <c r="M731" s="43" t="s">
        <v>1762</v>
      </c>
      <c r="N731" s="43" t="str">
        <f t="shared" si="27"/>
        <v>Rua B · Prat 16 · C-242</v>
      </c>
      <c r="P731">
        <f>IF(A731="","",IF(AND(K731&lt;&gt;"",L731&lt;&gt;""),IF(COUNTIFS($K$6:K731,K731,$L$6:L731,L731)=1,1,0),0))</f>
        <v>1</v>
      </c>
      <c r="Q731">
        <f>IF(A731="","",IF(AND(K731&lt;&gt;"",M731&lt;&gt;""),IF(COUNTIFS($K$6:K731,K731,$M$6:M731,M731)=1,1,0),0))</f>
        <v>1</v>
      </c>
      <c r="R731">
        <f>IF(A731="","",IF(M731&lt;&gt;"",IF(COUNTIF($M$6:M731,M731)=1,1,0),0))</f>
        <v>1</v>
      </c>
      <c r="T731" t="str">
        <f>IF(AND($M731&lt;&gt;"",$M731='Mapa do Galpão'!$C$20),COUNTIF($M$6:$M731,'Mapa do Galpão'!$C$20),"")</f>
        <v/>
      </c>
    </row>
    <row r="732" spans="1:20" ht="14.25" hidden="1" customHeight="1" x14ac:dyDescent="0.3">
      <c r="A732" s="43" t="s">
        <v>1751</v>
      </c>
      <c r="B732" s="50" t="s">
        <v>1424</v>
      </c>
      <c r="C732" s="165" t="s">
        <v>339</v>
      </c>
      <c r="D732" s="45" t="str">
        <f t="shared" si="26"/>
        <v>—</v>
      </c>
      <c r="E732" s="43" t="s">
        <v>1104</v>
      </c>
      <c r="F732" s="43" t="s">
        <v>1752</v>
      </c>
      <c r="G732" s="43" t="s">
        <v>668</v>
      </c>
      <c r="H732" s="43" t="s">
        <v>1677</v>
      </c>
      <c r="I732" s="46">
        <f>SUMIFS(Movimentações!$F$6:$F$4998,Movimentações!$C$6:$C$4998,A732,Movimentações!$M$6:$M$4998,M732)</f>
        <v>39</v>
      </c>
      <c r="J732" s="43" t="s">
        <v>670</v>
      </c>
      <c r="K732" s="43" t="s">
        <v>1419</v>
      </c>
      <c r="L732" s="47" t="s">
        <v>1426</v>
      </c>
      <c r="M732" s="43" t="s">
        <v>1763</v>
      </c>
      <c r="N732" s="43" t="str">
        <f t="shared" si="27"/>
        <v>Rua B · Prat 16 · C-243</v>
      </c>
      <c r="P732">
        <f>IF(A732="","",IF(AND(K732&lt;&gt;"",L732&lt;&gt;""),IF(COUNTIFS($K$6:K732,K732,$L$6:L732,L732)=1,1,0),0))</f>
        <v>0</v>
      </c>
      <c r="Q732">
        <f>IF(A732="","",IF(AND(K732&lt;&gt;"",M732&lt;&gt;""),IF(COUNTIFS($K$6:K732,K732,$M$6:M732,M732)=1,1,0),0))</f>
        <v>1</v>
      </c>
      <c r="R732">
        <f>IF(A732="","",IF(M732&lt;&gt;"",IF(COUNTIF($M$6:M732,M732)=1,1,0),0))</f>
        <v>1</v>
      </c>
      <c r="T732" t="str">
        <f>IF(AND($M732&lt;&gt;"",$M732='Mapa do Galpão'!$C$20),COUNTIF($M$6:$M732,'Mapa do Galpão'!$C$20),"")</f>
        <v/>
      </c>
    </row>
    <row r="733" spans="1:20" ht="14.25" hidden="1" customHeight="1" x14ac:dyDescent="0.3">
      <c r="A733" s="43" t="s">
        <v>1751</v>
      </c>
      <c r="B733" s="50" t="s">
        <v>1424</v>
      </c>
      <c r="C733" s="165" t="s">
        <v>339</v>
      </c>
      <c r="D733" s="45" t="str">
        <f t="shared" si="26"/>
        <v>—</v>
      </c>
      <c r="E733" s="43" t="s">
        <v>1104</v>
      </c>
      <c r="F733" s="43" t="s">
        <v>1752</v>
      </c>
      <c r="G733" s="43" t="s">
        <v>668</v>
      </c>
      <c r="H733" s="43" t="s">
        <v>1677</v>
      </c>
      <c r="I733" s="46">
        <f>SUMIFS(Movimentações!$F$6:$F$4998,Movimentações!$C$6:$C$4998,A733,Movimentações!$M$6:$M$4998,M733)</f>
        <v>39</v>
      </c>
      <c r="J733" s="43" t="s">
        <v>670</v>
      </c>
      <c r="K733" s="43" t="s">
        <v>1419</v>
      </c>
      <c r="L733" s="47" t="s">
        <v>1426</v>
      </c>
      <c r="M733" s="43" t="s">
        <v>1764</v>
      </c>
      <c r="N733" s="43" t="str">
        <f t="shared" si="27"/>
        <v>Rua B · Prat 16 · C-244</v>
      </c>
      <c r="P733">
        <f>IF(A733="","",IF(AND(K733&lt;&gt;"",L733&lt;&gt;""),IF(COUNTIFS($K$6:K733,K733,$L$6:L733,L733)=1,1,0),0))</f>
        <v>0</v>
      </c>
      <c r="Q733">
        <f>IF(A733="","",IF(AND(K733&lt;&gt;"",M733&lt;&gt;""),IF(COUNTIFS($K$6:K733,K733,$M$6:M733,M733)=1,1,0),0))</f>
        <v>1</v>
      </c>
      <c r="R733">
        <f>IF(A733="","",IF(M733&lt;&gt;"",IF(COUNTIF($M$6:M733,M733)=1,1,0),0))</f>
        <v>1</v>
      </c>
      <c r="T733" t="str">
        <f>IF(AND($M733&lt;&gt;"",$M733='Mapa do Galpão'!$C$20),COUNTIF($M$6:$M733,'Mapa do Galpão'!$C$20),"")</f>
        <v/>
      </c>
    </row>
    <row r="734" spans="1:20" ht="14.25" hidden="1" customHeight="1" x14ac:dyDescent="0.3">
      <c r="A734" s="43" t="s">
        <v>1751</v>
      </c>
      <c r="B734" s="50" t="s">
        <v>1424</v>
      </c>
      <c r="C734" s="165" t="s">
        <v>339</v>
      </c>
      <c r="D734" s="45" t="str">
        <f t="shared" si="26"/>
        <v>—</v>
      </c>
      <c r="E734" s="43" t="s">
        <v>1104</v>
      </c>
      <c r="F734" s="43" t="s">
        <v>1752</v>
      </c>
      <c r="G734" s="43" t="s">
        <v>668</v>
      </c>
      <c r="H734" s="43" t="s">
        <v>1677</v>
      </c>
      <c r="I734" s="46">
        <f>SUMIFS(Movimentações!$F$6:$F$4998,Movimentações!$C$6:$C$4998,A734,Movimentações!$M$6:$M$4998,M734)</f>
        <v>42</v>
      </c>
      <c r="J734" s="43" t="s">
        <v>670</v>
      </c>
      <c r="K734" s="43" t="s">
        <v>1419</v>
      </c>
      <c r="L734" s="47" t="s">
        <v>1426</v>
      </c>
      <c r="M734" s="43" t="s">
        <v>1765</v>
      </c>
      <c r="N734" s="43" t="str">
        <f t="shared" si="27"/>
        <v>Rua B · Prat 16 · C-245</v>
      </c>
      <c r="P734">
        <f>IF(A734="","",IF(AND(K734&lt;&gt;"",L734&lt;&gt;""),IF(COUNTIFS($K$6:K734,K734,$L$6:L734,L734)=1,1,0),0))</f>
        <v>0</v>
      </c>
      <c r="Q734">
        <f>IF(A734="","",IF(AND(K734&lt;&gt;"",M734&lt;&gt;""),IF(COUNTIFS($K$6:K734,K734,$M$6:M734,M734)=1,1,0),0))</f>
        <v>1</v>
      </c>
      <c r="R734">
        <f>IF(A734="","",IF(M734&lt;&gt;"",IF(COUNTIF($M$6:M734,M734)=1,1,0),0))</f>
        <v>1</v>
      </c>
      <c r="T734" t="str">
        <f>IF(AND($M734&lt;&gt;"",$M734='Mapa do Galpão'!$C$20),COUNTIF($M$6:$M734,'Mapa do Galpão'!$C$20),"")</f>
        <v/>
      </c>
    </row>
    <row r="735" spans="1:20" ht="14.25" hidden="1" customHeight="1" x14ac:dyDescent="0.3">
      <c r="A735" s="43" t="s">
        <v>1751</v>
      </c>
      <c r="B735" s="50" t="s">
        <v>1424</v>
      </c>
      <c r="C735" s="165" t="s">
        <v>339</v>
      </c>
      <c r="D735" s="45" t="str">
        <f t="shared" si="26"/>
        <v>—</v>
      </c>
      <c r="E735" s="43" t="s">
        <v>1104</v>
      </c>
      <c r="F735" s="43" t="s">
        <v>1752</v>
      </c>
      <c r="G735" s="43" t="s">
        <v>668</v>
      </c>
      <c r="H735" s="43" t="s">
        <v>1677</v>
      </c>
      <c r="I735" s="46">
        <f>SUMIFS(Movimentações!$F$6:$F$4998,Movimentações!$C$6:$C$4998,A735,Movimentações!$M$6:$M$4998,M735)</f>
        <v>30</v>
      </c>
      <c r="J735" s="43" t="s">
        <v>670</v>
      </c>
      <c r="K735" s="43" t="s">
        <v>1419</v>
      </c>
      <c r="L735" s="47" t="s">
        <v>1426</v>
      </c>
      <c r="M735" s="43" t="s">
        <v>1766</v>
      </c>
      <c r="N735" s="43" t="str">
        <f t="shared" si="27"/>
        <v>Rua B · Prat 16 · C-246</v>
      </c>
      <c r="P735">
        <f>IF(A735="","",IF(AND(K735&lt;&gt;"",L735&lt;&gt;""),IF(COUNTIFS($K$6:K735,K735,$L$6:L735,L735)=1,1,0),0))</f>
        <v>0</v>
      </c>
      <c r="Q735">
        <f>IF(A735="","",IF(AND(K735&lt;&gt;"",M735&lt;&gt;""),IF(COUNTIFS($K$6:K735,K735,$M$6:M735,M735)=1,1,0),0))</f>
        <v>1</v>
      </c>
      <c r="R735">
        <f>IF(A735="","",IF(M735&lt;&gt;"",IF(COUNTIF($M$6:M735,M735)=1,1,0),0))</f>
        <v>1</v>
      </c>
      <c r="T735" t="str">
        <f>IF(AND($M735&lt;&gt;"",$M735='Mapa do Galpão'!$C$20),COUNTIF($M$6:$M735,'Mapa do Galpão'!$C$20),"")</f>
        <v/>
      </c>
    </row>
    <row r="736" spans="1:20" ht="14.25" hidden="1" customHeight="1" x14ac:dyDescent="0.3">
      <c r="A736" s="43" t="s">
        <v>1751</v>
      </c>
      <c r="B736" s="50" t="s">
        <v>1424</v>
      </c>
      <c r="C736" s="165" t="s">
        <v>339</v>
      </c>
      <c r="D736" s="45" t="str">
        <f t="shared" si="26"/>
        <v>—</v>
      </c>
      <c r="E736" s="43" t="s">
        <v>1104</v>
      </c>
      <c r="F736" s="43" t="s">
        <v>1752</v>
      </c>
      <c r="G736" s="43" t="s">
        <v>668</v>
      </c>
      <c r="H736" s="43" t="s">
        <v>1677</v>
      </c>
      <c r="I736" s="46">
        <f>SUMIFS(Movimentações!$F$6:$F$4998,Movimentações!$C$6:$C$4998,A736,Movimentações!$M$6:$M$4998,M736)</f>
        <v>39</v>
      </c>
      <c r="J736" s="43" t="s">
        <v>670</v>
      </c>
      <c r="K736" s="43" t="s">
        <v>1419</v>
      </c>
      <c r="L736" s="47" t="s">
        <v>1426</v>
      </c>
      <c r="M736" s="43" t="s">
        <v>1767</v>
      </c>
      <c r="N736" s="43" t="str">
        <f t="shared" si="27"/>
        <v>Rua B · Prat 16 · C-247</v>
      </c>
      <c r="P736">
        <f>IF(A736="","",IF(AND(K736&lt;&gt;"",L736&lt;&gt;""),IF(COUNTIFS($K$6:K736,K736,$L$6:L736,L736)=1,1,0),0))</f>
        <v>0</v>
      </c>
      <c r="Q736">
        <f>IF(A736="","",IF(AND(K736&lt;&gt;"",M736&lt;&gt;""),IF(COUNTIFS($K$6:K736,K736,$M$6:M736,M736)=1,1,0),0))</f>
        <v>1</v>
      </c>
      <c r="R736">
        <f>IF(A736="","",IF(M736&lt;&gt;"",IF(COUNTIF($M$6:M736,M736)=1,1,0),0))</f>
        <v>1</v>
      </c>
      <c r="T736" t="str">
        <f>IF(AND($M736&lt;&gt;"",$M736='Mapa do Galpão'!$C$20),COUNTIF($M$6:$M736,'Mapa do Galpão'!$C$20),"")</f>
        <v/>
      </c>
    </row>
    <row r="737" spans="1:20" ht="14.25" hidden="1" customHeight="1" x14ac:dyDescent="0.3">
      <c r="A737" s="43" t="s">
        <v>1751</v>
      </c>
      <c r="B737" s="50" t="s">
        <v>1424</v>
      </c>
      <c r="C737" s="165" t="s">
        <v>339</v>
      </c>
      <c r="D737" s="45" t="str">
        <f t="shared" si="26"/>
        <v>—</v>
      </c>
      <c r="E737" s="43" t="s">
        <v>1104</v>
      </c>
      <c r="F737" s="43" t="s">
        <v>1752</v>
      </c>
      <c r="G737" s="43" t="s">
        <v>668</v>
      </c>
      <c r="H737" s="43" t="s">
        <v>1677</v>
      </c>
      <c r="I737" s="46">
        <f>SUMIFS(Movimentações!$F$6:$F$4998,Movimentações!$C$6:$C$4998,A737,Movimentações!$M$6:$M$4998,M737)</f>
        <v>42</v>
      </c>
      <c r="J737" s="43" t="s">
        <v>670</v>
      </c>
      <c r="K737" s="43" t="s">
        <v>1419</v>
      </c>
      <c r="L737" s="47">
        <v>16</v>
      </c>
      <c r="M737" s="43" t="s">
        <v>1768</v>
      </c>
      <c r="N737" s="43" t="str">
        <f t="shared" si="27"/>
        <v>Rua B · Prat 16 · C-248</v>
      </c>
      <c r="P737">
        <f>IF(A737="","",IF(AND(K737&lt;&gt;"",L737&lt;&gt;""),IF(COUNTIFS($K$6:K737,K737,$L$6:L737,L737)=1,1,0),0))</f>
        <v>0</v>
      </c>
      <c r="Q737">
        <f>IF(A737="","",IF(AND(K737&lt;&gt;"",M737&lt;&gt;""),IF(COUNTIFS($K$6:K737,K737,$M$6:M737,M737)=1,1,0),0))</f>
        <v>1</v>
      </c>
      <c r="R737">
        <f>IF(A737="","",IF(M737&lt;&gt;"",IF(COUNTIF($M$6:M737,M737)=1,1,0),0))</f>
        <v>1</v>
      </c>
      <c r="T737" t="str">
        <f>IF(AND($M737&lt;&gt;"",$M737='Mapa do Galpão'!$C$20),COUNTIF($M$6:$M737,'Mapa do Galpão'!$C$20),"")</f>
        <v/>
      </c>
    </row>
    <row r="738" spans="1:20" ht="14.25" hidden="1" customHeight="1" x14ac:dyDescent="0.3">
      <c r="A738" s="43" t="s">
        <v>1751</v>
      </c>
      <c r="B738" s="50" t="s">
        <v>1424</v>
      </c>
      <c r="C738" s="165" t="s">
        <v>339</v>
      </c>
      <c r="D738" s="45" t="str">
        <f t="shared" si="26"/>
        <v>—</v>
      </c>
      <c r="E738" s="43" t="s">
        <v>1104</v>
      </c>
      <c r="F738" s="43" t="s">
        <v>1752</v>
      </c>
      <c r="G738" s="43" t="s">
        <v>668</v>
      </c>
      <c r="H738" s="43" t="s">
        <v>1677</v>
      </c>
      <c r="I738" s="46">
        <f>SUMIFS(Movimentações!$F$6:$F$4998,Movimentações!$C$6:$C$4998,A738,Movimentações!$M$6:$M$4998,M738)</f>
        <v>39</v>
      </c>
      <c r="J738" s="43" t="s">
        <v>670</v>
      </c>
      <c r="K738" s="43" t="s">
        <v>1419</v>
      </c>
      <c r="L738" s="47">
        <v>16</v>
      </c>
      <c r="M738" s="43" t="s">
        <v>1769</v>
      </c>
      <c r="N738" s="43" t="str">
        <f t="shared" si="27"/>
        <v>Rua B · Prat 16 · C-249</v>
      </c>
      <c r="P738">
        <f>IF(A738="","",IF(AND(K738&lt;&gt;"",L738&lt;&gt;""),IF(COUNTIFS($K$6:K738,K738,$L$6:L738,L738)=1,1,0),0))</f>
        <v>0</v>
      </c>
      <c r="Q738">
        <f>IF(A738="","",IF(AND(K738&lt;&gt;"",M738&lt;&gt;""),IF(COUNTIFS($K$6:K738,K738,$M$6:M738,M738)=1,1,0),0))</f>
        <v>1</v>
      </c>
      <c r="R738">
        <f>IF(A738="","",IF(M738&lt;&gt;"",IF(COUNTIF($M$6:M738,M738)=1,1,0),0))</f>
        <v>1</v>
      </c>
      <c r="T738" t="str">
        <f>IF(AND($M738&lt;&gt;"",$M738='Mapa do Galpão'!$C$20),COUNTIF($M$6:$M738,'Mapa do Galpão'!$C$20),"")</f>
        <v/>
      </c>
    </row>
    <row r="739" spans="1:20" ht="14.25" hidden="1" customHeight="1" x14ac:dyDescent="0.3">
      <c r="A739" s="43" t="s">
        <v>1751</v>
      </c>
      <c r="B739" s="50" t="s">
        <v>1424</v>
      </c>
      <c r="C739" s="165" t="s">
        <v>339</v>
      </c>
      <c r="D739" s="45" t="str">
        <f t="shared" si="26"/>
        <v>—</v>
      </c>
      <c r="E739" s="43" t="s">
        <v>1104</v>
      </c>
      <c r="F739" s="43" t="s">
        <v>1752</v>
      </c>
      <c r="G739" s="43" t="s">
        <v>668</v>
      </c>
      <c r="H739" s="43" t="s">
        <v>1677</v>
      </c>
      <c r="I739" s="46">
        <f>SUMIFS(Movimentações!$F$6:$F$4998,Movimentações!$C$6:$C$4998,A739,Movimentações!$M$6:$M$4998,M739)</f>
        <v>42</v>
      </c>
      <c r="J739" s="43" t="s">
        <v>670</v>
      </c>
      <c r="K739" s="43" t="s">
        <v>1419</v>
      </c>
      <c r="L739" s="47">
        <v>16</v>
      </c>
      <c r="M739" s="43" t="s">
        <v>1770</v>
      </c>
      <c r="N739" s="43" t="str">
        <f t="shared" si="27"/>
        <v>Rua B · Prat 16 · C-250</v>
      </c>
      <c r="P739">
        <f>IF(A739="","",IF(AND(K739&lt;&gt;"",L739&lt;&gt;""),IF(COUNTIFS($K$6:K739,K739,$L$6:L739,L739)=1,1,0),0))</f>
        <v>0</v>
      </c>
      <c r="Q739">
        <f>IF(A739="","",IF(AND(K739&lt;&gt;"",M739&lt;&gt;""),IF(COUNTIFS($K$6:K739,K739,$M$6:M739,M739)=1,1,0),0))</f>
        <v>1</v>
      </c>
      <c r="R739">
        <f>IF(A739="","",IF(M739&lt;&gt;"",IF(COUNTIF($M$6:M739,M739)=1,1,0),0))</f>
        <v>1</v>
      </c>
      <c r="T739" t="str">
        <f>IF(AND($M739&lt;&gt;"",$M739='Mapa do Galpão'!$C$20),COUNTIF($M$6:$M739,'Mapa do Galpão'!$C$20),"")</f>
        <v/>
      </c>
    </row>
    <row r="740" spans="1:20" ht="14.25" hidden="1" customHeight="1" x14ac:dyDescent="0.3">
      <c r="A740" s="43" t="s">
        <v>1751</v>
      </c>
      <c r="B740" s="50" t="s">
        <v>1424</v>
      </c>
      <c r="C740" s="165" t="s">
        <v>339</v>
      </c>
      <c r="D740" s="45" t="str">
        <f t="shared" si="26"/>
        <v>—</v>
      </c>
      <c r="E740" s="43" t="s">
        <v>1104</v>
      </c>
      <c r="F740" s="43" t="s">
        <v>1752</v>
      </c>
      <c r="G740" s="43" t="s">
        <v>668</v>
      </c>
      <c r="H740" s="43" t="s">
        <v>1677</v>
      </c>
      <c r="I740" s="46">
        <f>SUMIFS(Movimentações!$F$6:$F$4998,Movimentações!$C$6:$C$4998,A740,Movimentações!$M$6:$M$4998,M740)</f>
        <v>42</v>
      </c>
      <c r="J740" s="43" t="s">
        <v>670</v>
      </c>
      <c r="K740" s="43" t="s">
        <v>1419</v>
      </c>
      <c r="L740" s="47">
        <v>16</v>
      </c>
      <c r="M740" s="43" t="s">
        <v>1771</v>
      </c>
      <c r="N740" s="43" t="str">
        <f t="shared" si="27"/>
        <v>Rua B · Prat 16 · C-251</v>
      </c>
      <c r="P740">
        <f>IF(A740="","",IF(AND(K740&lt;&gt;"",L740&lt;&gt;""),IF(COUNTIFS($K$6:K740,K740,$L$6:L740,L740)=1,1,0),0))</f>
        <v>0</v>
      </c>
      <c r="Q740">
        <f>IF(A740="","",IF(AND(K740&lt;&gt;"",M740&lt;&gt;""),IF(COUNTIFS($K$6:K740,K740,$M$6:M740,M740)=1,1,0),0))</f>
        <v>1</v>
      </c>
      <c r="R740">
        <f>IF(A740="","",IF(M740&lt;&gt;"",IF(COUNTIF($M$6:M740,M740)=1,1,0),0))</f>
        <v>1</v>
      </c>
      <c r="T740" t="str">
        <f>IF(AND($M740&lt;&gt;"",$M740='Mapa do Galpão'!$C$20),COUNTIF($M$6:$M740,'Mapa do Galpão'!$C$20),"")</f>
        <v/>
      </c>
    </row>
    <row r="741" spans="1:20" ht="14.25" hidden="1" customHeight="1" x14ac:dyDescent="0.3">
      <c r="A741" s="43" t="s">
        <v>1751</v>
      </c>
      <c r="B741" s="50" t="s">
        <v>1424</v>
      </c>
      <c r="C741" s="165" t="s">
        <v>339</v>
      </c>
      <c r="D741" s="45" t="str">
        <f t="shared" si="26"/>
        <v>—</v>
      </c>
      <c r="E741" s="43" t="s">
        <v>1104</v>
      </c>
      <c r="F741" s="43" t="s">
        <v>1752</v>
      </c>
      <c r="G741" s="43" t="s">
        <v>668</v>
      </c>
      <c r="H741" s="43" t="s">
        <v>1677</v>
      </c>
      <c r="I741" s="46">
        <f>SUMIFS(Movimentações!$F$6:$F$4998,Movimentações!$C$6:$C$4998,A741,Movimentações!$M$6:$M$4998,M741)</f>
        <v>42</v>
      </c>
      <c r="J741" s="43" t="s">
        <v>670</v>
      </c>
      <c r="K741" s="43" t="s">
        <v>1419</v>
      </c>
      <c r="L741" s="47">
        <v>16</v>
      </c>
      <c r="M741" s="43" t="s">
        <v>1772</v>
      </c>
      <c r="N741" s="43" t="str">
        <f t="shared" si="27"/>
        <v>Rua B · Prat 16 · C-252</v>
      </c>
      <c r="P741">
        <f>IF(A741="","",IF(AND(K741&lt;&gt;"",L741&lt;&gt;""),IF(COUNTIFS($K$6:K741,K741,$L$6:L741,L741)=1,1,0),0))</f>
        <v>0</v>
      </c>
      <c r="Q741">
        <f>IF(A741="","",IF(AND(K741&lt;&gt;"",M741&lt;&gt;""),IF(COUNTIFS($K$6:K741,K741,$M$6:M741,M741)=1,1,0),0))</f>
        <v>1</v>
      </c>
      <c r="R741">
        <f>IF(A741="","",IF(M741&lt;&gt;"",IF(COUNTIF($M$6:M741,M741)=1,1,0),0))</f>
        <v>1</v>
      </c>
      <c r="T741" t="str">
        <f>IF(AND($M741&lt;&gt;"",$M741='Mapa do Galpão'!$C$20),COUNTIF($M$6:$M741,'Mapa do Galpão'!$C$20),"")</f>
        <v/>
      </c>
    </row>
    <row r="742" spans="1:20" ht="14.25" hidden="1" customHeight="1" x14ac:dyDescent="0.3">
      <c r="A742" s="43" t="s">
        <v>1751</v>
      </c>
      <c r="B742" s="50" t="s">
        <v>1424</v>
      </c>
      <c r="C742" s="165" t="s">
        <v>339</v>
      </c>
      <c r="D742" s="45" t="str">
        <f t="shared" si="26"/>
        <v>—</v>
      </c>
      <c r="E742" s="43" t="s">
        <v>1104</v>
      </c>
      <c r="F742" s="43" t="s">
        <v>1752</v>
      </c>
      <c r="G742" s="43" t="s">
        <v>668</v>
      </c>
      <c r="H742" s="43" t="s">
        <v>1677</v>
      </c>
      <c r="I742" s="46">
        <f>SUMIFS(Movimentações!$F$6:$F$4998,Movimentações!$C$6:$C$4998,A742,Movimentações!$M$6:$M$4998,M742)</f>
        <v>42</v>
      </c>
      <c r="J742" s="43" t="s">
        <v>670</v>
      </c>
      <c r="K742" s="43" t="s">
        <v>1419</v>
      </c>
      <c r="L742" s="47">
        <v>16</v>
      </c>
      <c r="M742" s="43" t="s">
        <v>1773</v>
      </c>
      <c r="N742" s="43" t="str">
        <f t="shared" si="27"/>
        <v>Rua B · Prat 16 · C-253</v>
      </c>
      <c r="P742">
        <f>IF(A742="","",IF(AND(K742&lt;&gt;"",L742&lt;&gt;""),IF(COUNTIFS($K$6:K742,K742,$L$6:L742,L742)=1,1,0),0))</f>
        <v>0</v>
      </c>
      <c r="Q742">
        <f>IF(A742="","",IF(AND(K742&lt;&gt;"",M742&lt;&gt;""),IF(COUNTIFS($K$6:K742,K742,$M$6:M742,M742)=1,1,0),0))</f>
        <v>1</v>
      </c>
      <c r="R742">
        <f>IF(A742="","",IF(M742&lt;&gt;"",IF(COUNTIF($M$6:M742,M742)=1,1,0),0))</f>
        <v>1</v>
      </c>
      <c r="T742" t="str">
        <f>IF(AND($M742&lt;&gt;"",$M742='Mapa do Galpão'!$C$20),COUNTIF($M$6:$M742,'Mapa do Galpão'!$C$20),"")</f>
        <v/>
      </c>
    </row>
    <row r="743" spans="1:20" ht="14.25" hidden="1" customHeight="1" x14ac:dyDescent="0.3">
      <c r="A743" s="43" t="s">
        <v>1751</v>
      </c>
      <c r="B743" s="50" t="s">
        <v>1424</v>
      </c>
      <c r="C743" s="165" t="s">
        <v>339</v>
      </c>
      <c r="D743" s="45" t="str">
        <f t="shared" si="26"/>
        <v>—</v>
      </c>
      <c r="E743" s="43" t="s">
        <v>1104</v>
      </c>
      <c r="F743" s="43" t="s">
        <v>1752</v>
      </c>
      <c r="G743" s="43" t="s">
        <v>668</v>
      </c>
      <c r="H743" s="43" t="s">
        <v>1677</v>
      </c>
      <c r="I743" s="46">
        <f>SUMIFS(Movimentações!$F$6:$F$4998,Movimentações!$C$6:$C$4998,A743,Movimentações!$M$6:$M$4998,M743)</f>
        <v>42</v>
      </c>
      <c r="J743" s="43" t="s">
        <v>670</v>
      </c>
      <c r="K743" s="43" t="s">
        <v>1419</v>
      </c>
      <c r="L743" s="47" t="s">
        <v>1426</v>
      </c>
      <c r="M743" s="43" t="s">
        <v>1774</v>
      </c>
      <c r="N743" s="43" t="str">
        <f t="shared" si="27"/>
        <v>Rua B · Prat 16 · C-254</v>
      </c>
      <c r="P743">
        <f>IF(A743="","",IF(AND(K743&lt;&gt;"",L743&lt;&gt;""),IF(COUNTIFS($K$6:K743,K743,$L$6:L743,L743)=1,1,0),0))</f>
        <v>0</v>
      </c>
      <c r="Q743">
        <f>IF(A743="","",IF(AND(K743&lt;&gt;"",M743&lt;&gt;""),IF(COUNTIFS($K$6:K743,K743,$M$6:M743,M743)=1,1,0),0))</f>
        <v>1</v>
      </c>
      <c r="R743">
        <f>IF(A743="","",IF(M743&lt;&gt;"",IF(COUNTIF($M$6:M743,M743)=1,1,0),0))</f>
        <v>1</v>
      </c>
      <c r="T743" t="str">
        <f>IF(AND($M743&lt;&gt;"",$M743='Mapa do Galpão'!$C$20),COUNTIF($M$6:$M743,'Mapa do Galpão'!$C$20),"")</f>
        <v/>
      </c>
    </row>
    <row r="744" spans="1:20" ht="14.25" hidden="1" customHeight="1" x14ac:dyDescent="0.3">
      <c r="A744" s="43" t="s">
        <v>1751</v>
      </c>
      <c r="B744" s="50" t="s">
        <v>1424</v>
      </c>
      <c r="C744" s="165" t="s">
        <v>339</v>
      </c>
      <c r="D744" s="45" t="str">
        <f t="shared" si="26"/>
        <v>—</v>
      </c>
      <c r="E744" s="43" t="s">
        <v>1104</v>
      </c>
      <c r="F744" s="43" t="s">
        <v>1752</v>
      </c>
      <c r="G744" s="43" t="s">
        <v>668</v>
      </c>
      <c r="H744" s="43" t="s">
        <v>1677</v>
      </c>
      <c r="I744" s="46">
        <f>SUMIFS(Movimentações!$F$6:$F$4998,Movimentações!$C$6:$C$4998,A744,Movimentações!$M$6:$M$4998,M744)</f>
        <v>42</v>
      </c>
      <c r="J744" s="43" t="s">
        <v>670</v>
      </c>
      <c r="K744" s="43" t="s">
        <v>1419</v>
      </c>
      <c r="L744" s="47">
        <v>16</v>
      </c>
      <c r="M744" s="43" t="s">
        <v>1775</v>
      </c>
      <c r="N744" s="43" t="str">
        <f t="shared" si="27"/>
        <v>Rua B · Prat 16 · C-255</v>
      </c>
      <c r="P744">
        <f>IF(A744="","",IF(AND(K744&lt;&gt;"",L744&lt;&gt;""),IF(COUNTIFS($K$6:K744,K744,$L$6:L744,L744)=1,1,0),0))</f>
        <v>0</v>
      </c>
      <c r="Q744">
        <f>IF(A744="","",IF(AND(K744&lt;&gt;"",M744&lt;&gt;""),IF(COUNTIFS($K$6:K744,K744,$M$6:M744,M744)=1,1,0),0))</f>
        <v>1</v>
      </c>
      <c r="R744">
        <f>IF(A744="","",IF(M744&lt;&gt;"",IF(COUNTIF($M$6:M744,M744)=1,1,0),0))</f>
        <v>1</v>
      </c>
      <c r="T744" t="str">
        <f>IF(AND($M744&lt;&gt;"",$M744='Mapa do Galpão'!$C$20),COUNTIF($M$6:$M744,'Mapa do Galpão'!$C$20),"")</f>
        <v/>
      </c>
    </row>
    <row r="745" spans="1:20" ht="14.25" hidden="1" customHeight="1" x14ac:dyDescent="0.3">
      <c r="A745" s="43" t="s">
        <v>1751</v>
      </c>
      <c r="B745" s="50" t="s">
        <v>1424</v>
      </c>
      <c r="C745" s="165" t="s">
        <v>339</v>
      </c>
      <c r="D745" s="45" t="str">
        <f t="shared" si="26"/>
        <v>—</v>
      </c>
      <c r="E745" s="43" t="s">
        <v>1104</v>
      </c>
      <c r="F745" s="43" t="s">
        <v>1752</v>
      </c>
      <c r="G745" s="43" t="s">
        <v>668</v>
      </c>
      <c r="H745" s="43" t="s">
        <v>1677</v>
      </c>
      <c r="I745" s="46">
        <f>SUMIFS(Movimentações!$F$6:$F$4998,Movimentações!$C$6:$C$4998,A745,Movimentações!$M$6:$M$4998,M745)</f>
        <v>42</v>
      </c>
      <c r="J745" s="43" t="s">
        <v>670</v>
      </c>
      <c r="K745" s="43" t="s">
        <v>1419</v>
      </c>
      <c r="L745" s="47" t="s">
        <v>1426</v>
      </c>
      <c r="M745" s="43" t="s">
        <v>1776</v>
      </c>
      <c r="N745" s="43" t="str">
        <f t="shared" si="27"/>
        <v>Rua B · Prat 16 · C-256</v>
      </c>
      <c r="P745">
        <f>IF(A745="","",IF(AND(K745&lt;&gt;"",L745&lt;&gt;""),IF(COUNTIFS($K$6:K745,K745,$L$6:L745,L745)=1,1,0),0))</f>
        <v>0</v>
      </c>
      <c r="Q745">
        <f>IF(A745="","",IF(AND(K745&lt;&gt;"",M745&lt;&gt;""),IF(COUNTIFS($K$6:K745,K745,$M$6:M745,M745)=1,1,0),0))</f>
        <v>1</v>
      </c>
      <c r="R745">
        <f>IF(A745="","",IF(M745&lt;&gt;"",IF(COUNTIF($M$6:M745,M745)=1,1,0),0))</f>
        <v>1</v>
      </c>
      <c r="T745" t="str">
        <f>IF(AND($M745&lt;&gt;"",$M745='Mapa do Galpão'!$C$20),COUNTIF($M$6:$M745,'Mapa do Galpão'!$C$20),"")</f>
        <v/>
      </c>
    </row>
    <row r="746" spans="1:20" ht="14.25" hidden="1" customHeight="1" x14ac:dyDescent="0.3">
      <c r="A746" s="43" t="s">
        <v>1751</v>
      </c>
      <c r="B746" s="50" t="s">
        <v>1424</v>
      </c>
      <c r="C746" s="165" t="s">
        <v>339</v>
      </c>
      <c r="D746" s="45" t="str">
        <f t="shared" si="26"/>
        <v>—</v>
      </c>
      <c r="E746" s="43" t="s">
        <v>1104</v>
      </c>
      <c r="F746" s="43" t="s">
        <v>1752</v>
      </c>
      <c r="G746" s="43" t="s">
        <v>668</v>
      </c>
      <c r="H746" s="43" t="s">
        <v>1677</v>
      </c>
      <c r="I746" s="46">
        <f>SUMIFS(Movimentações!$F$6:$F$4998,Movimentações!$C$6:$C$4998,A746,Movimentações!$M$6:$M$4998,M746)</f>
        <v>42</v>
      </c>
      <c r="J746" s="43" t="s">
        <v>670</v>
      </c>
      <c r="K746" s="43" t="s">
        <v>1419</v>
      </c>
      <c r="L746" s="47" t="s">
        <v>1426</v>
      </c>
      <c r="M746" s="43" t="s">
        <v>1777</v>
      </c>
      <c r="N746" s="43" t="str">
        <f t="shared" si="27"/>
        <v>Rua B · Prat 16 · C-257</v>
      </c>
      <c r="P746">
        <f>IF(A746="","",IF(AND(K746&lt;&gt;"",L746&lt;&gt;""),IF(COUNTIFS($K$6:K746,K746,$L$6:L746,L746)=1,1,0),0))</f>
        <v>0</v>
      </c>
      <c r="Q746">
        <f>IF(A746="","",IF(AND(K746&lt;&gt;"",M746&lt;&gt;""),IF(COUNTIFS($K$6:K746,K746,$M$6:M746,M746)=1,1,0),0))</f>
        <v>1</v>
      </c>
      <c r="R746">
        <f>IF(A746="","",IF(M746&lt;&gt;"",IF(COUNTIF($M$6:M746,M746)=1,1,0),0))</f>
        <v>1</v>
      </c>
      <c r="T746" t="str">
        <f>IF(AND($M746&lt;&gt;"",$M746='Mapa do Galpão'!$C$20),COUNTIF($M$6:$M746,'Mapa do Galpão'!$C$20),"")</f>
        <v/>
      </c>
    </row>
    <row r="747" spans="1:20" ht="14.25" hidden="1" customHeight="1" x14ac:dyDescent="0.3">
      <c r="A747" s="43" t="s">
        <v>1751</v>
      </c>
      <c r="B747" s="50" t="s">
        <v>1424</v>
      </c>
      <c r="C747" s="165" t="s">
        <v>339</v>
      </c>
      <c r="D747" s="45" t="str">
        <f t="shared" si="26"/>
        <v>—</v>
      </c>
      <c r="E747" s="43" t="s">
        <v>1104</v>
      </c>
      <c r="F747" s="43" t="s">
        <v>1752</v>
      </c>
      <c r="G747" s="43" t="s">
        <v>668</v>
      </c>
      <c r="H747" s="43" t="s">
        <v>1677</v>
      </c>
      <c r="I747" s="46">
        <f>SUMIFS(Movimentações!$F$6:$F$4998,Movimentações!$C$6:$C$4998,A747,Movimentações!$M$6:$M$4998,M747)</f>
        <v>42</v>
      </c>
      <c r="J747" s="43" t="s">
        <v>670</v>
      </c>
      <c r="K747" s="43" t="s">
        <v>1419</v>
      </c>
      <c r="L747" s="47" t="s">
        <v>1426</v>
      </c>
      <c r="M747" s="43" t="s">
        <v>1778</v>
      </c>
      <c r="N747" s="43" t="str">
        <f t="shared" si="27"/>
        <v>Rua B · Prat 16 · C-258</v>
      </c>
      <c r="P747">
        <f>IF(A747="","",IF(AND(K747&lt;&gt;"",L747&lt;&gt;""),IF(COUNTIFS($K$6:K747,K747,$L$6:L747,L747)=1,1,0),0))</f>
        <v>0</v>
      </c>
      <c r="Q747">
        <f>IF(A747="","",IF(AND(K747&lt;&gt;"",M747&lt;&gt;""),IF(COUNTIFS($K$6:K747,K747,$M$6:M747,M747)=1,1,0),0))</f>
        <v>1</v>
      </c>
      <c r="R747">
        <f>IF(A747="","",IF(M747&lt;&gt;"",IF(COUNTIF($M$6:M747,M747)=1,1,0),0))</f>
        <v>1</v>
      </c>
      <c r="T747" t="str">
        <f>IF(AND($M747&lt;&gt;"",$M747='Mapa do Galpão'!$C$20),COUNTIF($M$6:$M747,'Mapa do Galpão'!$C$20),"")</f>
        <v/>
      </c>
    </row>
    <row r="748" spans="1:20" ht="14.25" hidden="1" customHeight="1" x14ac:dyDescent="0.3">
      <c r="A748" s="43" t="s">
        <v>1751</v>
      </c>
      <c r="B748" s="50" t="s">
        <v>1424</v>
      </c>
      <c r="C748" s="165" t="s">
        <v>339</v>
      </c>
      <c r="D748" s="45" t="str">
        <f t="shared" si="26"/>
        <v>—</v>
      </c>
      <c r="E748" s="43" t="s">
        <v>1104</v>
      </c>
      <c r="F748" s="43" t="s">
        <v>1752</v>
      </c>
      <c r="G748" s="43" t="s">
        <v>668</v>
      </c>
      <c r="H748" s="43" t="s">
        <v>1677</v>
      </c>
      <c r="I748" s="46">
        <f>SUMIFS(Movimentações!$F$6:$F$4998,Movimentações!$C$6:$C$4998,A748,Movimentações!$M$6:$M$4998,M748)</f>
        <v>42</v>
      </c>
      <c r="J748" s="43" t="s">
        <v>670</v>
      </c>
      <c r="K748" s="43" t="s">
        <v>1419</v>
      </c>
      <c r="L748" s="47" t="s">
        <v>1426</v>
      </c>
      <c r="M748" s="43" t="s">
        <v>1779</v>
      </c>
      <c r="N748" s="43" t="str">
        <f t="shared" si="27"/>
        <v>Rua B · Prat 16 · C-259</v>
      </c>
      <c r="P748">
        <f>IF(A748="","",IF(AND(K748&lt;&gt;"",L748&lt;&gt;""),IF(COUNTIFS($K$6:K748,K748,$L$6:L748,L748)=1,1,0),0))</f>
        <v>0</v>
      </c>
      <c r="Q748">
        <f>IF(A748="","",IF(AND(K748&lt;&gt;"",M748&lt;&gt;""),IF(COUNTIFS($K$6:K748,K748,$M$6:M748,M748)=1,1,0),0))</f>
        <v>1</v>
      </c>
      <c r="R748">
        <f>IF(A748="","",IF(M748&lt;&gt;"",IF(COUNTIF($M$6:M748,M748)=1,1,0),0))</f>
        <v>1</v>
      </c>
      <c r="T748" t="str">
        <f>IF(AND($M748&lt;&gt;"",$M748='Mapa do Galpão'!$C$20),COUNTIF($M$6:$M748,'Mapa do Galpão'!$C$20),"")</f>
        <v/>
      </c>
    </row>
    <row r="749" spans="1:20" ht="14.25" hidden="1" customHeight="1" x14ac:dyDescent="0.3">
      <c r="A749" s="43" t="s">
        <v>1751</v>
      </c>
      <c r="B749" s="50" t="s">
        <v>1424</v>
      </c>
      <c r="C749" s="165" t="s">
        <v>339</v>
      </c>
      <c r="D749" s="45" t="str">
        <f t="shared" si="26"/>
        <v>—</v>
      </c>
      <c r="E749" s="43" t="s">
        <v>1104</v>
      </c>
      <c r="F749" s="43" t="s">
        <v>1752</v>
      </c>
      <c r="G749" s="43" t="s">
        <v>668</v>
      </c>
      <c r="H749" s="43" t="s">
        <v>1677</v>
      </c>
      <c r="I749" s="46">
        <f>SUMIFS(Movimentações!$F$6:$F$4998,Movimentações!$C$6:$C$4998,A749,Movimentações!$M$6:$M$4998,M749)</f>
        <v>42</v>
      </c>
      <c r="J749" s="43" t="s">
        <v>670</v>
      </c>
      <c r="K749" s="43" t="s">
        <v>1419</v>
      </c>
      <c r="L749" s="47" t="s">
        <v>1780</v>
      </c>
      <c r="M749" s="43" t="s">
        <v>1781</v>
      </c>
      <c r="N749" s="43" t="str">
        <f t="shared" si="27"/>
        <v>Rua B · Prat 11 · C-260</v>
      </c>
      <c r="P749">
        <f>IF(A749="","",IF(AND(K749&lt;&gt;"",L749&lt;&gt;""),IF(COUNTIFS($K$6:K749,K749,$L$6:L749,L749)=1,1,0),0))</f>
        <v>0</v>
      </c>
      <c r="Q749">
        <f>IF(A749="","",IF(AND(K749&lt;&gt;"",M749&lt;&gt;""),IF(COUNTIFS($K$6:K749,K749,$M$6:M749,M749)=1,1,0),0))</f>
        <v>1</v>
      </c>
      <c r="R749">
        <f>IF(A749="","",IF(M749&lt;&gt;"",IF(COUNTIF($M$6:M749,M749)=1,1,0),0))</f>
        <v>1</v>
      </c>
      <c r="T749" t="str">
        <f>IF(AND($M749&lt;&gt;"",$M749='Mapa do Galpão'!$C$20),COUNTIF($M$6:$M749,'Mapa do Galpão'!$C$20),"")</f>
        <v/>
      </c>
    </row>
    <row r="750" spans="1:20" ht="14.25" hidden="1" customHeight="1" x14ac:dyDescent="0.3">
      <c r="A750" s="43" t="s">
        <v>1751</v>
      </c>
      <c r="B750" s="50" t="s">
        <v>1424</v>
      </c>
      <c r="C750" s="165" t="s">
        <v>339</v>
      </c>
      <c r="D750" s="45" t="str">
        <f t="shared" si="26"/>
        <v>—</v>
      </c>
      <c r="E750" s="43" t="s">
        <v>1104</v>
      </c>
      <c r="F750" s="43" t="s">
        <v>1752</v>
      </c>
      <c r="G750" s="43" t="s">
        <v>668</v>
      </c>
      <c r="H750" s="43" t="s">
        <v>1677</v>
      </c>
      <c r="I750" s="46">
        <f>SUMIFS(Movimentações!$F$6:$F$4998,Movimentações!$C$6:$C$4998,A750,Movimentações!$M$6:$M$4998,M750)</f>
        <v>42</v>
      </c>
      <c r="J750" s="43" t="s">
        <v>670</v>
      </c>
      <c r="K750" s="43" t="s">
        <v>1419</v>
      </c>
      <c r="L750" s="47" t="s">
        <v>1780</v>
      </c>
      <c r="M750" s="43" t="s">
        <v>1782</v>
      </c>
      <c r="N750" s="43" t="str">
        <f t="shared" si="27"/>
        <v>Rua B · Prat 11 · C-261</v>
      </c>
      <c r="P750">
        <f>IF(A750="","",IF(AND(K750&lt;&gt;"",L750&lt;&gt;""),IF(COUNTIFS($K$6:K750,K750,$L$6:L750,L750)=1,1,0),0))</f>
        <v>0</v>
      </c>
      <c r="Q750">
        <f>IF(A750="","",IF(AND(K750&lt;&gt;"",M750&lt;&gt;""),IF(COUNTIFS($K$6:K750,K750,$M$6:M750,M750)=1,1,0),0))</f>
        <v>1</v>
      </c>
      <c r="R750">
        <f>IF(A750="","",IF(M750&lt;&gt;"",IF(COUNTIF($M$6:M750,M750)=1,1,0),0))</f>
        <v>1</v>
      </c>
      <c r="T750" t="str">
        <f>IF(AND($M750&lt;&gt;"",$M750='Mapa do Galpão'!$C$20),COUNTIF($M$6:$M750,'Mapa do Galpão'!$C$20),"")</f>
        <v/>
      </c>
    </row>
    <row r="751" spans="1:20" ht="14.25" hidden="1" customHeight="1" x14ac:dyDescent="0.3">
      <c r="A751" s="43" t="s">
        <v>1751</v>
      </c>
      <c r="B751" s="50" t="s">
        <v>1424</v>
      </c>
      <c r="C751" s="165" t="s">
        <v>339</v>
      </c>
      <c r="D751" s="45" t="str">
        <f t="shared" si="26"/>
        <v>—</v>
      </c>
      <c r="E751" s="43" t="s">
        <v>1104</v>
      </c>
      <c r="F751" s="43" t="s">
        <v>1752</v>
      </c>
      <c r="G751" s="43" t="s">
        <v>668</v>
      </c>
      <c r="H751" s="43" t="s">
        <v>1677</v>
      </c>
      <c r="I751" s="46">
        <f>SUMIFS(Movimentações!$F$6:$F$4998,Movimentações!$C$6:$C$4998,A751,Movimentações!$M$6:$M$4998,M751)</f>
        <v>42</v>
      </c>
      <c r="J751" s="43" t="s">
        <v>670</v>
      </c>
      <c r="K751" s="43" t="s">
        <v>1419</v>
      </c>
      <c r="L751" s="47" t="s">
        <v>1780</v>
      </c>
      <c r="M751" s="43" t="s">
        <v>1783</v>
      </c>
      <c r="N751" s="43" t="str">
        <f t="shared" si="27"/>
        <v>Rua B · Prat 11 · C-262</v>
      </c>
      <c r="P751">
        <f>IF(A751="","",IF(AND(K751&lt;&gt;"",L751&lt;&gt;""),IF(COUNTIFS($K$6:K751,K751,$L$6:L751,L751)=1,1,0),0))</f>
        <v>0</v>
      </c>
      <c r="Q751">
        <f>IF(A751="","",IF(AND(K751&lt;&gt;"",M751&lt;&gt;""),IF(COUNTIFS($K$6:K751,K751,$M$6:M751,M751)=1,1,0),0))</f>
        <v>1</v>
      </c>
      <c r="R751">
        <f>IF(A751="","",IF(M751&lt;&gt;"",IF(COUNTIF($M$6:M751,M751)=1,1,0),0))</f>
        <v>1</v>
      </c>
      <c r="T751" t="str">
        <f>IF(AND($M751&lt;&gt;"",$M751='Mapa do Galpão'!$C$20),COUNTIF($M$6:$M751,'Mapa do Galpão'!$C$20),"")</f>
        <v/>
      </c>
    </row>
    <row r="752" spans="1:20" ht="14.25" hidden="1" customHeight="1" x14ac:dyDescent="0.3">
      <c r="A752" s="43" t="s">
        <v>1751</v>
      </c>
      <c r="B752" s="50" t="s">
        <v>1424</v>
      </c>
      <c r="C752" s="165" t="s">
        <v>339</v>
      </c>
      <c r="D752" s="45" t="str">
        <f t="shared" si="26"/>
        <v>—</v>
      </c>
      <c r="E752" s="43" t="s">
        <v>1104</v>
      </c>
      <c r="F752" s="43" t="s">
        <v>1752</v>
      </c>
      <c r="G752" s="43" t="s">
        <v>668</v>
      </c>
      <c r="H752" s="43" t="s">
        <v>1677</v>
      </c>
      <c r="I752" s="46">
        <f>SUMIFS(Movimentações!$F$6:$F$4998,Movimentações!$C$6:$C$4998,A752,Movimentações!$M$6:$M$4998,M752)</f>
        <v>39</v>
      </c>
      <c r="J752" s="43" t="s">
        <v>670</v>
      </c>
      <c r="K752" s="43" t="s">
        <v>1419</v>
      </c>
      <c r="L752" s="47" t="s">
        <v>1780</v>
      </c>
      <c r="M752" s="43" t="s">
        <v>1784</v>
      </c>
      <c r="N752" s="43" t="str">
        <f t="shared" si="27"/>
        <v>Rua B · Prat 11 · C-263</v>
      </c>
      <c r="P752">
        <f>IF(A752="","",IF(AND(K752&lt;&gt;"",L752&lt;&gt;""),IF(COUNTIFS($K$6:K752,K752,$L$6:L752,L752)=1,1,0),0))</f>
        <v>0</v>
      </c>
      <c r="Q752">
        <f>IF(A752="","",IF(AND(K752&lt;&gt;"",M752&lt;&gt;""),IF(COUNTIFS($K$6:K752,K752,$M$6:M752,M752)=1,1,0),0))</f>
        <v>1</v>
      </c>
      <c r="R752">
        <f>IF(A752="","",IF(M752&lt;&gt;"",IF(COUNTIF($M$6:M752,M752)=1,1,0),0))</f>
        <v>1</v>
      </c>
      <c r="T752" t="str">
        <f>IF(AND($M752&lt;&gt;"",$M752='Mapa do Galpão'!$C$20),COUNTIF($M$6:$M752,'Mapa do Galpão'!$C$20),"")</f>
        <v/>
      </c>
    </row>
    <row r="753" spans="1:20" ht="14.25" hidden="1" customHeight="1" x14ac:dyDescent="0.3">
      <c r="A753" s="43" t="s">
        <v>1751</v>
      </c>
      <c r="B753" s="50" t="s">
        <v>1424</v>
      </c>
      <c r="C753" s="165" t="s">
        <v>339</v>
      </c>
      <c r="D753" s="45" t="str">
        <f t="shared" si="26"/>
        <v>—</v>
      </c>
      <c r="E753" s="43" t="s">
        <v>1104</v>
      </c>
      <c r="F753" s="43" t="s">
        <v>1752</v>
      </c>
      <c r="G753" s="43" t="s">
        <v>668</v>
      </c>
      <c r="H753" s="43" t="s">
        <v>1677</v>
      </c>
      <c r="I753" s="46">
        <f>SUMIFS(Movimentações!$F$6:$F$4998,Movimentações!$C$6:$C$4998,A753,Movimentações!$M$6:$M$4998,M753)</f>
        <v>42</v>
      </c>
      <c r="J753" s="43" t="s">
        <v>670</v>
      </c>
      <c r="K753" s="43" t="s">
        <v>1419</v>
      </c>
      <c r="L753" s="47" t="s">
        <v>1780</v>
      </c>
      <c r="M753" s="43" t="s">
        <v>1785</v>
      </c>
      <c r="N753" s="43" t="str">
        <f t="shared" si="27"/>
        <v>Rua B · Prat 11 · C-264</v>
      </c>
      <c r="P753">
        <f>IF(A753="","",IF(AND(K753&lt;&gt;"",L753&lt;&gt;""),IF(COUNTIFS($K$6:K753,K753,$L$6:L753,L753)=1,1,0),0))</f>
        <v>0</v>
      </c>
      <c r="Q753">
        <f>IF(A753="","",IF(AND(K753&lt;&gt;"",M753&lt;&gt;""),IF(COUNTIFS($K$6:K753,K753,$M$6:M753,M753)=1,1,0),0))</f>
        <v>1</v>
      </c>
      <c r="R753">
        <f>IF(A753="","",IF(M753&lt;&gt;"",IF(COUNTIF($M$6:M753,M753)=1,1,0),0))</f>
        <v>1</v>
      </c>
      <c r="T753" t="str">
        <f>IF(AND($M753&lt;&gt;"",$M753='Mapa do Galpão'!$C$20),COUNTIF($M$6:$M753,'Mapa do Galpão'!$C$20),"")</f>
        <v/>
      </c>
    </row>
    <row r="754" spans="1:20" ht="14.25" hidden="1" customHeight="1" x14ac:dyDescent="0.3">
      <c r="A754" s="43" t="s">
        <v>1751</v>
      </c>
      <c r="B754" s="50" t="s">
        <v>1424</v>
      </c>
      <c r="C754" s="165" t="s">
        <v>339</v>
      </c>
      <c r="D754" s="45" t="str">
        <f t="shared" si="26"/>
        <v>—</v>
      </c>
      <c r="E754" s="43" t="s">
        <v>1104</v>
      </c>
      <c r="F754" s="43" t="s">
        <v>1752</v>
      </c>
      <c r="G754" s="43" t="s">
        <v>668</v>
      </c>
      <c r="H754" s="43" t="s">
        <v>1677</v>
      </c>
      <c r="I754" s="46">
        <f>SUMIFS(Movimentações!$F$6:$F$4998,Movimentações!$C$6:$C$4998,A754,Movimentações!$M$6:$M$4998,M754)</f>
        <v>39</v>
      </c>
      <c r="J754" s="43" t="s">
        <v>670</v>
      </c>
      <c r="K754" s="43" t="s">
        <v>1419</v>
      </c>
      <c r="L754" s="47" t="s">
        <v>1780</v>
      </c>
      <c r="M754" s="43" t="s">
        <v>1786</v>
      </c>
      <c r="N754" s="43" t="str">
        <f t="shared" si="27"/>
        <v>Rua B · Prat 11 · C-265</v>
      </c>
      <c r="P754">
        <f>IF(A754="","",IF(AND(K754&lt;&gt;"",L754&lt;&gt;""),IF(COUNTIFS($K$6:K754,K754,$L$6:L754,L754)=1,1,0),0))</f>
        <v>0</v>
      </c>
      <c r="Q754">
        <f>IF(A754="","",IF(AND(K754&lt;&gt;"",M754&lt;&gt;""),IF(COUNTIFS($K$6:K754,K754,$M$6:M754,M754)=1,1,0),0))</f>
        <v>1</v>
      </c>
      <c r="R754">
        <f>IF(A754="","",IF(M754&lt;&gt;"",IF(COUNTIF($M$6:M754,M754)=1,1,0),0))</f>
        <v>1</v>
      </c>
      <c r="T754" t="str">
        <f>IF(AND($M754&lt;&gt;"",$M754='Mapa do Galpão'!$C$20),COUNTIF($M$6:$M754,'Mapa do Galpão'!$C$20),"")</f>
        <v/>
      </c>
    </row>
    <row r="755" spans="1:20" ht="14.25" hidden="1" customHeight="1" x14ac:dyDescent="0.3">
      <c r="A755" s="43" t="s">
        <v>1751</v>
      </c>
      <c r="B755" s="50" t="s">
        <v>1424</v>
      </c>
      <c r="C755" s="165" t="s">
        <v>339</v>
      </c>
      <c r="D755" s="45" t="str">
        <f t="shared" si="26"/>
        <v>—</v>
      </c>
      <c r="E755" s="43" t="s">
        <v>1104</v>
      </c>
      <c r="F755" s="43" t="s">
        <v>1752</v>
      </c>
      <c r="G755" s="43" t="s">
        <v>668</v>
      </c>
      <c r="H755" s="43" t="s">
        <v>1677</v>
      </c>
      <c r="I755" s="46">
        <f>SUMIFS(Movimentações!$F$6:$F$4998,Movimentações!$C$6:$C$4998,A755,Movimentações!$M$6:$M$4998,M755)</f>
        <v>42</v>
      </c>
      <c r="J755" s="43" t="s">
        <v>670</v>
      </c>
      <c r="K755" s="43" t="s">
        <v>1419</v>
      </c>
      <c r="L755" s="47" t="s">
        <v>1780</v>
      </c>
      <c r="M755" s="43" t="s">
        <v>1787</v>
      </c>
      <c r="N755" s="43" t="str">
        <f t="shared" si="27"/>
        <v>Rua B · Prat 11 · C-266</v>
      </c>
      <c r="P755">
        <f>IF(A755="","",IF(AND(K755&lt;&gt;"",L755&lt;&gt;""),IF(COUNTIFS($K$6:K755,K755,$L$6:L755,L755)=1,1,0),0))</f>
        <v>0</v>
      </c>
      <c r="Q755">
        <f>IF(A755="","",IF(AND(K755&lt;&gt;"",M755&lt;&gt;""),IF(COUNTIFS($K$6:K755,K755,$M$6:M755,M755)=1,1,0),0))</f>
        <v>1</v>
      </c>
      <c r="R755">
        <f>IF(A755="","",IF(M755&lt;&gt;"",IF(COUNTIF($M$6:M755,M755)=1,1,0),0))</f>
        <v>1</v>
      </c>
      <c r="T755" t="str">
        <f>IF(AND($M755&lt;&gt;"",$M755='Mapa do Galpão'!$C$20),COUNTIF($M$6:$M755,'Mapa do Galpão'!$C$20),"")</f>
        <v/>
      </c>
    </row>
    <row r="756" spans="1:20" ht="14.25" hidden="1" customHeight="1" x14ac:dyDescent="0.3">
      <c r="A756" s="43" t="s">
        <v>1788</v>
      </c>
      <c r="B756" s="50" t="s">
        <v>1424</v>
      </c>
      <c r="C756" s="165" t="s">
        <v>360</v>
      </c>
      <c r="D756" s="45" t="str">
        <f t="shared" si="26"/>
        <v>—</v>
      </c>
      <c r="E756" s="43" t="s">
        <v>1154</v>
      </c>
      <c r="F756" s="43" t="s">
        <v>1789</v>
      </c>
      <c r="G756" s="43" t="s">
        <v>798</v>
      </c>
      <c r="H756" s="43" t="s">
        <v>1677</v>
      </c>
      <c r="I756" s="46">
        <f>SUMIFS(Movimentações!$F$6:$F$4998,Movimentações!$C$6:$C$4998,A756,Movimentações!$M$6:$M$4998,M756)</f>
        <v>11</v>
      </c>
      <c r="J756" s="43" t="s">
        <v>670</v>
      </c>
      <c r="K756" s="43" t="s">
        <v>1419</v>
      </c>
      <c r="L756" s="47" t="s">
        <v>1780</v>
      </c>
      <c r="M756" s="43" t="s">
        <v>1790</v>
      </c>
      <c r="N756" s="43" t="str">
        <f t="shared" si="27"/>
        <v>Rua B · Prat 11 · C-267</v>
      </c>
      <c r="P756">
        <f>IF(A756="","",IF(AND(K756&lt;&gt;"",L756&lt;&gt;""),IF(COUNTIFS($K$6:K756,K756,$L$6:L756,L756)=1,1,0),0))</f>
        <v>0</v>
      </c>
      <c r="Q756">
        <f>IF(A756="","",IF(AND(K756&lt;&gt;"",M756&lt;&gt;""),IF(COUNTIFS($K$6:K756,K756,$M$6:M756,M756)=1,1,0),0))</f>
        <v>1</v>
      </c>
      <c r="R756">
        <f>IF(A756="","",IF(M756&lt;&gt;"",IF(COUNTIF($M$6:M756,M756)=1,1,0),0))</f>
        <v>1</v>
      </c>
      <c r="T756" t="str">
        <f>IF(AND($M756&lt;&gt;"",$M756='Mapa do Galpão'!$C$20),COUNTIF($M$6:$M756,'Mapa do Galpão'!$C$20),"")</f>
        <v/>
      </c>
    </row>
    <row r="757" spans="1:20" ht="14.25" hidden="1" customHeight="1" x14ac:dyDescent="0.3">
      <c r="A757" s="43" t="s">
        <v>1788</v>
      </c>
      <c r="B757" s="50" t="s">
        <v>1424</v>
      </c>
      <c r="C757" s="165" t="s">
        <v>360</v>
      </c>
      <c r="D757" s="45" t="str">
        <f t="shared" si="26"/>
        <v>—</v>
      </c>
      <c r="E757" s="43" t="s">
        <v>1154</v>
      </c>
      <c r="F757" s="43" t="s">
        <v>1789</v>
      </c>
      <c r="G757" s="43" t="s">
        <v>798</v>
      </c>
      <c r="H757" s="43" t="s">
        <v>1677</v>
      </c>
      <c r="I757" s="46">
        <f>SUMIFS(Movimentações!$F$6:$F$4998,Movimentações!$C$6:$C$4998,A757,Movimentações!$M$6:$M$4998,M757)</f>
        <v>11</v>
      </c>
      <c r="J757" s="43" t="s">
        <v>670</v>
      </c>
      <c r="K757" s="43" t="s">
        <v>1419</v>
      </c>
      <c r="L757" s="47" t="s">
        <v>1780</v>
      </c>
      <c r="M757" s="43" t="s">
        <v>1791</v>
      </c>
      <c r="N757" s="43" t="str">
        <f t="shared" si="27"/>
        <v>Rua B · Prat 11 · C-268</v>
      </c>
      <c r="P757">
        <f>IF(A757="","",IF(AND(K757&lt;&gt;"",L757&lt;&gt;""),IF(COUNTIFS($K$6:K757,K757,$L$6:L757,L757)=1,1,0),0))</f>
        <v>0</v>
      </c>
      <c r="Q757">
        <f>IF(A757="","",IF(AND(K757&lt;&gt;"",M757&lt;&gt;""),IF(COUNTIFS($K$6:K757,K757,$M$6:M757,M757)=1,1,0),0))</f>
        <v>1</v>
      </c>
      <c r="R757">
        <f>IF(A757="","",IF(M757&lt;&gt;"",IF(COUNTIF($M$6:M757,M757)=1,1,0),0))</f>
        <v>1</v>
      </c>
      <c r="T757" t="str">
        <f>IF(AND($M757&lt;&gt;"",$M757='Mapa do Galpão'!$C$20),COUNTIF($M$6:$M757,'Mapa do Galpão'!$C$20),"")</f>
        <v/>
      </c>
    </row>
    <row r="758" spans="1:20" ht="14.25" hidden="1" customHeight="1" x14ac:dyDescent="0.3">
      <c r="A758" s="43" t="s">
        <v>1788</v>
      </c>
      <c r="B758" s="50" t="s">
        <v>1424</v>
      </c>
      <c r="C758" s="165" t="s">
        <v>360</v>
      </c>
      <c r="D758" s="45" t="str">
        <f t="shared" si="26"/>
        <v>—</v>
      </c>
      <c r="E758" s="43" t="s">
        <v>1154</v>
      </c>
      <c r="F758" s="43" t="s">
        <v>1789</v>
      </c>
      <c r="G758" s="43" t="s">
        <v>798</v>
      </c>
      <c r="H758" s="43" t="s">
        <v>1677</v>
      </c>
      <c r="I758" s="46">
        <f>SUMIFS(Movimentações!$F$6:$F$4998,Movimentações!$C$6:$C$4998,A758,Movimentações!$M$6:$M$4998,M758)</f>
        <v>11</v>
      </c>
      <c r="J758" s="43" t="s">
        <v>670</v>
      </c>
      <c r="K758" s="43" t="s">
        <v>1419</v>
      </c>
      <c r="L758" s="47" t="s">
        <v>1780</v>
      </c>
      <c r="M758" s="43" t="s">
        <v>1792</v>
      </c>
      <c r="N758" s="43" t="str">
        <f t="shared" si="27"/>
        <v>Rua B · Prat 11 · C-269</v>
      </c>
      <c r="P758">
        <f>IF(A758="","",IF(AND(K758&lt;&gt;"",L758&lt;&gt;""),IF(COUNTIFS($K$6:K758,K758,$L$6:L758,L758)=1,1,0),0))</f>
        <v>0</v>
      </c>
      <c r="Q758">
        <f>IF(A758="","",IF(AND(K758&lt;&gt;"",M758&lt;&gt;""),IF(COUNTIFS($K$6:K758,K758,$M$6:M758,M758)=1,1,0),0))</f>
        <v>1</v>
      </c>
      <c r="R758">
        <f>IF(A758="","",IF(M758&lt;&gt;"",IF(COUNTIF($M$6:M758,M758)=1,1,0),0))</f>
        <v>1</v>
      </c>
      <c r="T758" t="str">
        <f>IF(AND($M758&lt;&gt;"",$M758='Mapa do Galpão'!$C$20),COUNTIF($M$6:$M758,'Mapa do Galpão'!$C$20),"")</f>
        <v/>
      </c>
    </row>
    <row r="759" spans="1:20" ht="14.25" hidden="1" customHeight="1" x14ac:dyDescent="0.3">
      <c r="A759" s="43" t="s">
        <v>1788</v>
      </c>
      <c r="B759" s="50" t="s">
        <v>1424</v>
      </c>
      <c r="C759" s="165" t="s">
        <v>360</v>
      </c>
      <c r="D759" s="45" t="str">
        <f t="shared" ref="D759:D822" si="28">IF(C759="","",IFERROR(IF(TRIM(MID(SUBSTITUTE(C759,".",REPT(" ",50)),51,50))="01","Masculino",IF(TRIM(MID(SUBSTITUTE(C759,".",REPT(" ",50)),51,50))="02","Feminino",IF(TRIM(MID(SUBSTITUTE(C759,".",REPT(" ",50)),51,50))="03","Outros","—"))),"—"))</f>
        <v>—</v>
      </c>
      <c r="E759" s="43" t="s">
        <v>1154</v>
      </c>
      <c r="F759" s="43" t="s">
        <v>1789</v>
      </c>
      <c r="G759" s="43" t="s">
        <v>798</v>
      </c>
      <c r="H759" s="43" t="s">
        <v>1677</v>
      </c>
      <c r="I759" s="46">
        <f>SUMIFS(Movimentações!$F$6:$F$4998,Movimentações!$C$6:$C$4998,A759,Movimentações!$M$6:$M$4998,M759)</f>
        <v>11</v>
      </c>
      <c r="J759" s="43" t="s">
        <v>670</v>
      </c>
      <c r="K759" s="43" t="s">
        <v>1419</v>
      </c>
      <c r="L759" s="47" t="s">
        <v>1780</v>
      </c>
      <c r="M759" s="43" t="s">
        <v>1793</v>
      </c>
      <c r="N759" s="43" t="str">
        <f t="shared" ref="N759:N822" si="29">IF(AND(K759="",L759="",M759=""),"⚠ sem endereço","Rua "&amp;K759&amp;IF(L759="",""," · Prat "&amp;L759)&amp;IF(M759="",""," · "&amp;M759))</f>
        <v>Rua B · Prat 11 · C-270</v>
      </c>
      <c r="P759">
        <f>IF(A759="","",IF(AND(K759&lt;&gt;"",L759&lt;&gt;""),IF(COUNTIFS($K$6:K759,K759,$L$6:L759,L759)=1,1,0),0))</f>
        <v>0</v>
      </c>
      <c r="Q759">
        <f>IF(A759="","",IF(AND(K759&lt;&gt;"",M759&lt;&gt;""),IF(COUNTIFS($K$6:K759,K759,$M$6:M759,M759)=1,1,0),0))</f>
        <v>1</v>
      </c>
      <c r="R759">
        <f>IF(A759="","",IF(M759&lt;&gt;"",IF(COUNTIF($M$6:M759,M759)=1,1,0),0))</f>
        <v>1</v>
      </c>
      <c r="T759" t="str">
        <f>IF(AND($M759&lt;&gt;"",$M759='Mapa do Galpão'!$C$20),COUNTIF($M$6:$M759,'Mapa do Galpão'!$C$20),"")</f>
        <v/>
      </c>
    </row>
    <row r="760" spans="1:20" ht="14.25" hidden="1" customHeight="1" x14ac:dyDescent="0.3">
      <c r="A760" s="43" t="s">
        <v>1788</v>
      </c>
      <c r="B760" s="50" t="s">
        <v>1424</v>
      </c>
      <c r="C760" s="165" t="s">
        <v>360</v>
      </c>
      <c r="D760" s="45" t="str">
        <f t="shared" si="28"/>
        <v>—</v>
      </c>
      <c r="E760" s="43" t="s">
        <v>1154</v>
      </c>
      <c r="F760" s="43" t="s">
        <v>1789</v>
      </c>
      <c r="G760" s="43" t="s">
        <v>798</v>
      </c>
      <c r="H760" s="43" t="s">
        <v>1677</v>
      </c>
      <c r="I760" s="46">
        <f>SUMIFS(Movimentações!$F$6:$F$4998,Movimentações!$C$6:$C$4998,A760,Movimentações!$M$6:$M$4998,M760)</f>
        <v>11</v>
      </c>
      <c r="J760" s="43" t="s">
        <v>670</v>
      </c>
      <c r="K760" s="43" t="s">
        <v>1419</v>
      </c>
      <c r="L760" s="47" t="s">
        <v>1780</v>
      </c>
      <c r="M760" s="43" t="s">
        <v>1794</v>
      </c>
      <c r="N760" s="43" t="str">
        <f t="shared" si="29"/>
        <v>Rua B · Prat 11 · C-271</v>
      </c>
      <c r="P760">
        <f>IF(A760="","",IF(AND(K760&lt;&gt;"",L760&lt;&gt;""),IF(COUNTIFS($K$6:K760,K760,$L$6:L760,L760)=1,1,0),0))</f>
        <v>0</v>
      </c>
      <c r="Q760">
        <f>IF(A760="","",IF(AND(K760&lt;&gt;"",M760&lt;&gt;""),IF(COUNTIFS($K$6:K760,K760,$M$6:M760,M760)=1,1,0),0))</f>
        <v>1</v>
      </c>
      <c r="R760">
        <f>IF(A760="","",IF(M760&lt;&gt;"",IF(COUNTIF($M$6:M760,M760)=1,1,0),0))</f>
        <v>1</v>
      </c>
      <c r="T760" t="str">
        <f>IF(AND($M760&lt;&gt;"",$M760='Mapa do Galpão'!$C$20),COUNTIF($M$6:$M760,'Mapa do Galpão'!$C$20),"")</f>
        <v/>
      </c>
    </row>
    <row r="761" spans="1:20" ht="14.25" hidden="1" customHeight="1" x14ac:dyDescent="0.3">
      <c r="A761" s="43" t="s">
        <v>1788</v>
      </c>
      <c r="B761" s="50" t="s">
        <v>1424</v>
      </c>
      <c r="C761" s="165" t="s">
        <v>360</v>
      </c>
      <c r="D761" s="45" t="str">
        <f t="shared" si="28"/>
        <v>—</v>
      </c>
      <c r="E761" s="43" t="s">
        <v>1154</v>
      </c>
      <c r="F761" s="43" t="s">
        <v>1789</v>
      </c>
      <c r="G761" s="43" t="s">
        <v>798</v>
      </c>
      <c r="H761" s="43" t="s">
        <v>1677</v>
      </c>
      <c r="I761" s="46">
        <f>SUMIFS(Movimentações!$F$6:$F$4998,Movimentações!$C$6:$C$4998,A761,Movimentações!$M$6:$M$4998,M761)</f>
        <v>11</v>
      </c>
      <c r="J761" s="43" t="s">
        <v>670</v>
      </c>
      <c r="K761" s="43" t="s">
        <v>1419</v>
      </c>
      <c r="L761" s="47" t="s">
        <v>1795</v>
      </c>
      <c r="M761" s="43" t="s">
        <v>1796</v>
      </c>
      <c r="N761" s="43" t="str">
        <f t="shared" si="29"/>
        <v>Rua B · Prat 12 · C-272</v>
      </c>
      <c r="P761">
        <f>IF(A761="","",IF(AND(K761&lt;&gt;"",L761&lt;&gt;""),IF(COUNTIFS($K$6:K761,K761,$L$6:L761,L761)=1,1,0),0))</f>
        <v>1</v>
      </c>
      <c r="Q761">
        <f>IF(A761="","",IF(AND(K761&lt;&gt;"",M761&lt;&gt;""),IF(COUNTIFS($K$6:K761,K761,$M$6:M761,M761)=1,1,0),0))</f>
        <v>1</v>
      </c>
      <c r="R761">
        <f>IF(A761="","",IF(M761&lt;&gt;"",IF(COUNTIF($M$6:M761,M761)=1,1,0),0))</f>
        <v>1</v>
      </c>
      <c r="T761" t="str">
        <f>IF(AND($M761&lt;&gt;"",$M761='Mapa do Galpão'!$C$20),COUNTIF($M$6:$M761,'Mapa do Galpão'!$C$20),"")</f>
        <v/>
      </c>
    </row>
    <row r="762" spans="1:20" ht="14.25" hidden="1" customHeight="1" x14ac:dyDescent="0.3">
      <c r="A762" s="43" t="s">
        <v>1788</v>
      </c>
      <c r="B762" s="50" t="s">
        <v>1424</v>
      </c>
      <c r="C762" s="165" t="s">
        <v>360</v>
      </c>
      <c r="D762" s="45" t="str">
        <f t="shared" si="28"/>
        <v>—</v>
      </c>
      <c r="E762" s="43" t="s">
        <v>1154</v>
      </c>
      <c r="F762" s="43" t="s">
        <v>1789</v>
      </c>
      <c r="G762" s="43" t="s">
        <v>798</v>
      </c>
      <c r="H762" s="43" t="s">
        <v>1677</v>
      </c>
      <c r="I762" s="46">
        <f>SUMIFS(Movimentações!$F$6:$F$4998,Movimentações!$C$6:$C$4998,A762,Movimentações!$M$6:$M$4998,M762)</f>
        <v>11</v>
      </c>
      <c r="J762" s="43" t="s">
        <v>670</v>
      </c>
      <c r="K762" s="43" t="s">
        <v>1419</v>
      </c>
      <c r="L762" s="47" t="s">
        <v>1795</v>
      </c>
      <c r="M762" s="43" t="s">
        <v>1797</v>
      </c>
      <c r="N762" s="43" t="str">
        <f t="shared" si="29"/>
        <v>Rua B · Prat 12 · C-273</v>
      </c>
      <c r="P762">
        <f>IF(A762="","",IF(AND(K762&lt;&gt;"",L762&lt;&gt;""),IF(COUNTIFS($K$6:K762,K762,$L$6:L762,L762)=1,1,0),0))</f>
        <v>0</v>
      </c>
      <c r="Q762">
        <f>IF(A762="","",IF(AND(K762&lt;&gt;"",M762&lt;&gt;""),IF(COUNTIFS($K$6:K762,K762,$M$6:M762,M762)=1,1,0),0))</f>
        <v>1</v>
      </c>
      <c r="R762">
        <f>IF(A762="","",IF(M762&lt;&gt;"",IF(COUNTIF($M$6:M762,M762)=1,1,0),0))</f>
        <v>1</v>
      </c>
      <c r="T762" t="str">
        <f>IF(AND($M762&lt;&gt;"",$M762='Mapa do Galpão'!$C$20),COUNTIF($M$6:$M762,'Mapa do Galpão'!$C$20),"")</f>
        <v/>
      </c>
    </row>
    <row r="763" spans="1:20" ht="14.25" hidden="1" customHeight="1" x14ac:dyDescent="0.3">
      <c r="A763" s="43" t="s">
        <v>1788</v>
      </c>
      <c r="B763" s="50" t="s">
        <v>1424</v>
      </c>
      <c r="C763" s="167" t="s">
        <v>360</v>
      </c>
      <c r="D763" s="51" t="str">
        <f t="shared" si="28"/>
        <v>—</v>
      </c>
      <c r="E763" s="43" t="s">
        <v>1154</v>
      </c>
      <c r="F763" s="43" t="s">
        <v>1789</v>
      </c>
      <c r="G763" s="43" t="s">
        <v>798</v>
      </c>
      <c r="H763" s="43" t="s">
        <v>1677</v>
      </c>
      <c r="I763" s="46">
        <f>SUMIFS(Movimentações!$F$6:$F$4998,Movimentações!$C$6:$C$4998,A763,Movimentações!$M$6:$M$4998,M763)</f>
        <v>11</v>
      </c>
      <c r="J763" s="43" t="s">
        <v>670</v>
      </c>
      <c r="K763" s="43" t="s">
        <v>1419</v>
      </c>
      <c r="L763" s="47" t="s">
        <v>1795</v>
      </c>
      <c r="M763" s="43" t="s">
        <v>1798</v>
      </c>
      <c r="N763" s="43" t="str">
        <f t="shared" si="29"/>
        <v>Rua B · Prat 12 · C-274</v>
      </c>
      <c r="P763">
        <f>IF(A763="","",IF(AND(K763&lt;&gt;"",L763&lt;&gt;""),IF(COUNTIFS($K$6:K763,K763,$L$6:L763,L763)=1,1,0),0))</f>
        <v>0</v>
      </c>
      <c r="Q763">
        <f>IF(A763="","",IF(AND(K763&lt;&gt;"",M763&lt;&gt;""),IF(COUNTIFS($K$6:K763,K763,$M$6:M763,M763)=1,1,0),0))</f>
        <v>1</v>
      </c>
      <c r="R763">
        <f>IF(A763="","",IF(M763&lt;&gt;"",IF(COUNTIF($M$6:M763,M763)=1,1,0),0))</f>
        <v>1</v>
      </c>
      <c r="T763" t="str">
        <f>IF(AND($M763&lt;&gt;"",$M763='Mapa do Galpão'!$C$20),COUNTIF($M$6:$M763,'Mapa do Galpão'!$C$20),"")</f>
        <v/>
      </c>
    </row>
    <row r="764" spans="1:20" ht="14.25" hidden="1" customHeight="1" x14ac:dyDescent="0.3">
      <c r="A764" s="43" t="s">
        <v>1788</v>
      </c>
      <c r="B764" s="50" t="s">
        <v>1424</v>
      </c>
      <c r="C764" s="165" t="s">
        <v>360</v>
      </c>
      <c r="D764" s="52" t="str">
        <f t="shared" si="28"/>
        <v>—</v>
      </c>
      <c r="E764" s="43" t="s">
        <v>1154</v>
      </c>
      <c r="F764" s="43" t="s">
        <v>1789</v>
      </c>
      <c r="G764" s="43" t="s">
        <v>798</v>
      </c>
      <c r="H764" s="43" t="s">
        <v>1677</v>
      </c>
      <c r="I764" s="46">
        <f>SUMIFS(Movimentações!$F$6:$F$4998,Movimentações!$C$6:$C$4998,A764,Movimentações!$M$6:$M$4998,M764)</f>
        <v>11</v>
      </c>
      <c r="J764" s="43" t="s">
        <v>670</v>
      </c>
      <c r="K764" s="43" t="s">
        <v>1419</v>
      </c>
      <c r="L764" s="47" t="s">
        <v>1795</v>
      </c>
      <c r="M764" s="43" t="s">
        <v>1799</v>
      </c>
      <c r="N764" s="43" t="str">
        <f t="shared" si="29"/>
        <v>Rua B · Prat 12 · C-275</v>
      </c>
      <c r="P764">
        <f>IF(A764="","",IF(AND(K764&lt;&gt;"",L764&lt;&gt;""),IF(COUNTIFS($K$6:K764,K764,$L$6:L764,L764)=1,1,0),0))</f>
        <v>0</v>
      </c>
      <c r="Q764">
        <f>IF(A764="","",IF(AND(K764&lt;&gt;"",M764&lt;&gt;""),IF(COUNTIFS($K$6:K764,K764,$M$6:M764,M764)=1,1,0),0))</f>
        <v>1</v>
      </c>
      <c r="R764">
        <f>IF(A764="","",IF(M764&lt;&gt;"",IF(COUNTIF($M$6:M764,M764)=1,1,0),0))</f>
        <v>1</v>
      </c>
      <c r="T764" t="str">
        <f>IF(AND($M764&lt;&gt;"",$M764='Mapa do Galpão'!$C$20),COUNTIF($M$6:$M764,'Mapa do Galpão'!$C$20),"")</f>
        <v/>
      </c>
    </row>
    <row r="765" spans="1:20" ht="14.25" hidden="1" customHeight="1" x14ac:dyDescent="0.3">
      <c r="A765" s="43" t="s">
        <v>1788</v>
      </c>
      <c r="B765" s="50" t="s">
        <v>1424</v>
      </c>
      <c r="C765" s="165" t="s">
        <v>360</v>
      </c>
      <c r="D765" s="53" t="str">
        <f t="shared" si="28"/>
        <v>—</v>
      </c>
      <c r="E765" s="43" t="s">
        <v>1154</v>
      </c>
      <c r="F765" s="43" t="s">
        <v>1789</v>
      </c>
      <c r="G765" s="43" t="s">
        <v>798</v>
      </c>
      <c r="H765" s="43" t="s">
        <v>1677</v>
      </c>
      <c r="I765" s="46">
        <f>SUMIFS(Movimentações!$F$6:$F$4998,Movimentações!$C$6:$C$4998,A765,Movimentações!$M$6:$M$4998,M765)</f>
        <v>11</v>
      </c>
      <c r="J765" s="43" t="s">
        <v>670</v>
      </c>
      <c r="K765" s="43" t="s">
        <v>1419</v>
      </c>
      <c r="L765" s="47" t="s">
        <v>1795</v>
      </c>
      <c r="M765" s="43" t="s">
        <v>1800</v>
      </c>
      <c r="N765" s="43" t="str">
        <f t="shared" si="29"/>
        <v>Rua B · Prat 12 · C-276</v>
      </c>
      <c r="P765">
        <f>IF(A765="","",IF(AND(K765&lt;&gt;"",L765&lt;&gt;""),IF(COUNTIFS($K$6:K765,K765,$L$6:L765,L765)=1,1,0),0))</f>
        <v>0</v>
      </c>
      <c r="Q765">
        <f>IF(A765="","",IF(AND(K765&lt;&gt;"",M765&lt;&gt;""),IF(COUNTIFS($K$6:K765,K765,$M$6:M765,M765)=1,1,0),0))</f>
        <v>1</v>
      </c>
      <c r="R765">
        <f>IF(A765="","",IF(M765&lt;&gt;"",IF(COUNTIF($M$6:M765,M765)=1,1,0),0))</f>
        <v>1</v>
      </c>
      <c r="T765" t="str">
        <f>IF(AND($M765&lt;&gt;"",$M765='Mapa do Galpão'!$C$20),COUNTIF($M$6:$M765,'Mapa do Galpão'!$C$20),"")</f>
        <v/>
      </c>
    </row>
    <row r="766" spans="1:20" ht="14.25" hidden="1" customHeight="1" x14ac:dyDescent="0.3">
      <c r="A766" s="43" t="s">
        <v>1788</v>
      </c>
      <c r="B766" s="50" t="s">
        <v>1424</v>
      </c>
      <c r="C766" s="168" t="s">
        <v>360</v>
      </c>
      <c r="D766" s="54" t="str">
        <f t="shared" si="28"/>
        <v>—</v>
      </c>
      <c r="E766" s="43" t="s">
        <v>1154</v>
      </c>
      <c r="F766" s="43" t="s">
        <v>1789</v>
      </c>
      <c r="G766" s="43" t="s">
        <v>798</v>
      </c>
      <c r="H766" s="43" t="s">
        <v>1677</v>
      </c>
      <c r="I766" s="46">
        <f>SUMIFS(Movimentações!$F$6:$F$4998,Movimentações!$C$6:$C$4998,A766,Movimentações!$M$6:$M$4998,M766)</f>
        <v>11</v>
      </c>
      <c r="J766" s="43" t="s">
        <v>670</v>
      </c>
      <c r="K766" s="43" t="s">
        <v>1419</v>
      </c>
      <c r="L766" s="47" t="s">
        <v>1795</v>
      </c>
      <c r="M766" s="43" t="s">
        <v>1801</v>
      </c>
      <c r="N766" s="43" t="str">
        <f t="shared" si="29"/>
        <v>Rua B · Prat 12 · C-277</v>
      </c>
      <c r="P766">
        <f>IF(A766="","",IF(AND(K766&lt;&gt;"",L766&lt;&gt;""),IF(COUNTIFS($K$6:K766,K766,$L$6:L766,L766)=1,1,0),0))</f>
        <v>0</v>
      </c>
      <c r="Q766">
        <f>IF(A766="","",IF(AND(K766&lt;&gt;"",M766&lt;&gt;""),IF(COUNTIFS($K$6:K766,K766,$M$6:M766,M766)=1,1,0),0))</f>
        <v>1</v>
      </c>
      <c r="R766">
        <f>IF(A766="","",IF(M766&lt;&gt;"",IF(COUNTIF($M$6:M766,M766)=1,1,0),0))</f>
        <v>1</v>
      </c>
      <c r="T766" t="str">
        <f>IF(AND($M766&lt;&gt;"",$M766='Mapa do Galpão'!$C$20),COUNTIF($M$6:$M766,'Mapa do Galpão'!$C$20),"")</f>
        <v/>
      </c>
    </row>
    <row r="767" spans="1:20" ht="14.25" hidden="1" customHeight="1" x14ac:dyDescent="0.3">
      <c r="A767" s="43" t="s">
        <v>1788</v>
      </c>
      <c r="B767" s="55" t="s">
        <v>1424</v>
      </c>
      <c r="C767" s="169" t="s">
        <v>360</v>
      </c>
      <c r="D767" s="56" t="str">
        <f t="shared" si="28"/>
        <v>—</v>
      </c>
      <c r="E767" s="57" t="s">
        <v>1154</v>
      </c>
      <c r="F767" s="43" t="s">
        <v>1789</v>
      </c>
      <c r="G767" s="43" t="s">
        <v>798</v>
      </c>
      <c r="H767" s="43" t="s">
        <v>1677</v>
      </c>
      <c r="I767" s="46">
        <f>SUMIFS(Movimentações!$F$6:$F$4998,Movimentações!$C$6:$C$4998,A767,Movimentações!$M$6:$M$4998,M767)</f>
        <v>11</v>
      </c>
      <c r="J767" s="43" t="s">
        <v>670</v>
      </c>
      <c r="K767" s="43" t="s">
        <v>1419</v>
      </c>
      <c r="L767" s="47" t="s">
        <v>1795</v>
      </c>
      <c r="M767" s="43" t="s">
        <v>1802</v>
      </c>
      <c r="N767" s="43" t="str">
        <f t="shared" si="29"/>
        <v>Rua B · Prat 12 · C-278</v>
      </c>
      <c r="P767">
        <f>IF(A767="","",IF(AND(K767&lt;&gt;"",L767&lt;&gt;""),IF(COUNTIFS($K$6:K767,K767,$L$6:L767,L767)=1,1,0),0))</f>
        <v>0</v>
      </c>
      <c r="Q767">
        <f>IF(A767="","",IF(AND(K767&lt;&gt;"",M767&lt;&gt;""),IF(COUNTIFS($K$6:K767,K767,$M$6:M767,M767)=1,1,0),0))</f>
        <v>1</v>
      </c>
      <c r="R767">
        <f>IF(A767="","",IF(M767&lt;&gt;"",IF(COUNTIF($M$6:M767,M767)=1,1,0),0))</f>
        <v>1</v>
      </c>
      <c r="T767" t="str">
        <f>IF(AND($M767&lt;&gt;"",$M767='Mapa do Galpão'!$C$20),COUNTIF($M$6:$M767,'Mapa do Galpão'!$C$20),"")</f>
        <v/>
      </c>
    </row>
    <row r="768" spans="1:20" ht="14.25" hidden="1" customHeight="1" x14ac:dyDescent="0.3">
      <c r="A768" s="43" t="s">
        <v>1788</v>
      </c>
      <c r="B768" s="55" t="s">
        <v>1424</v>
      </c>
      <c r="C768" s="169" t="s">
        <v>360</v>
      </c>
      <c r="D768" s="56" t="str">
        <f t="shared" si="28"/>
        <v>—</v>
      </c>
      <c r="E768" s="57" t="s">
        <v>1154</v>
      </c>
      <c r="F768" s="43" t="s">
        <v>1789</v>
      </c>
      <c r="G768" s="43" t="s">
        <v>798</v>
      </c>
      <c r="H768" s="43" t="s">
        <v>1677</v>
      </c>
      <c r="I768" s="46">
        <f>SUMIFS(Movimentações!$F$6:$F$4998,Movimentações!$C$6:$C$4998,A768,Movimentações!$M$6:$M$4998,M768)</f>
        <v>11</v>
      </c>
      <c r="J768" s="43" t="s">
        <v>670</v>
      </c>
      <c r="K768" s="43" t="s">
        <v>1419</v>
      </c>
      <c r="L768" s="47" t="s">
        <v>1795</v>
      </c>
      <c r="M768" s="43" t="s">
        <v>1803</v>
      </c>
      <c r="N768" s="43" t="str">
        <f t="shared" si="29"/>
        <v>Rua B · Prat 12 · C-279</v>
      </c>
      <c r="P768">
        <f>IF(A768="","",IF(AND(K768&lt;&gt;"",L768&lt;&gt;""),IF(COUNTIFS($K$6:K768,K768,$L$6:L768,L768)=1,1,0),0))</f>
        <v>0</v>
      </c>
      <c r="Q768">
        <f>IF(A768="","",IF(AND(K768&lt;&gt;"",M768&lt;&gt;""),IF(COUNTIFS($K$6:K768,K768,$M$6:M768,M768)=1,1,0),0))</f>
        <v>1</v>
      </c>
      <c r="R768">
        <f>IF(A768="","",IF(M768&lt;&gt;"",IF(COUNTIF($M$6:M768,M768)=1,1,0),0))</f>
        <v>1</v>
      </c>
      <c r="T768" t="str">
        <f>IF(AND($M768&lt;&gt;"",$M768='Mapa do Galpão'!$C$20),COUNTIF($M$6:$M768,'Mapa do Galpão'!$C$20),"")</f>
        <v/>
      </c>
    </row>
    <row r="769" spans="1:20" ht="14.25" hidden="1" customHeight="1" x14ac:dyDescent="0.3">
      <c r="A769" s="43" t="s">
        <v>1675</v>
      </c>
      <c r="B769" s="55" t="s">
        <v>1424</v>
      </c>
      <c r="C769" s="169" t="s">
        <v>338</v>
      </c>
      <c r="D769" s="56" t="str">
        <f t="shared" si="28"/>
        <v>—</v>
      </c>
      <c r="E769" s="57" t="s">
        <v>1100</v>
      </c>
      <c r="F769" s="43" t="s">
        <v>1676</v>
      </c>
      <c r="G769" s="43" t="s">
        <v>755</v>
      </c>
      <c r="H769" s="43" t="s">
        <v>1677</v>
      </c>
      <c r="I769" s="46">
        <f>SUMIFS(Movimentações!$F$6:$F$4998,Movimentações!$C$6:$C$4998,A769,Movimentações!$M$6:$M$4998,M769)</f>
        <v>11</v>
      </c>
      <c r="J769" s="43" t="s">
        <v>670</v>
      </c>
      <c r="K769" s="43" t="s">
        <v>1419</v>
      </c>
      <c r="L769" s="47" t="s">
        <v>1795</v>
      </c>
      <c r="M769" s="43" t="s">
        <v>1804</v>
      </c>
      <c r="N769" s="43" t="str">
        <f t="shared" si="29"/>
        <v>Rua B · Prat 12 · C-280</v>
      </c>
      <c r="P769">
        <f>IF(A769="","",IF(AND(K769&lt;&gt;"",L769&lt;&gt;""),IF(COUNTIFS($K$6:K769,K769,$L$6:L769,L769)=1,1,0),0))</f>
        <v>0</v>
      </c>
      <c r="Q769">
        <f>IF(A769="","",IF(AND(K769&lt;&gt;"",M769&lt;&gt;""),IF(COUNTIFS($K$6:K769,K769,$M$6:M769,M769)=1,1,0),0))</f>
        <v>1</v>
      </c>
      <c r="R769">
        <f>IF(A769="","",IF(M769&lt;&gt;"",IF(COUNTIF($M$6:M769,M769)=1,1,0),0))</f>
        <v>1</v>
      </c>
      <c r="T769" t="str">
        <f>IF(AND($M769&lt;&gt;"",$M769='Mapa do Galpão'!$C$20),COUNTIF($M$6:$M769,'Mapa do Galpão'!$C$20),"")</f>
        <v/>
      </c>
    </row>
    <row r="770" spans="1:20" ht="14.25" hidden="1" customHeight="1" x14ac:dyDescent="0.3">
      <c r="A770" s="43" t="s">
        <v>1675</v>
      </c>
      <c r="B770" s="55" t="s">
        <v>1424</v>
      </c>
      <c r="C770" s="169" t="s">
        <v>338</v>
      </c>
      <c r="D770" s="56" t="str">
        <f t="shared" si="28"/>
        <v>—</v>
      </c>
      <c r="E770" s="57" t="s">
        <v>1100</v>
      </c>
      <c r="F770" s="43" t="s">
        <v>1676</v>
      </c>
      <c r="G770" s="43" t="s">
        <v>755</v>
      </c>
      <c r="H770" s="43" t="s">
        <v>1677</v>
      </c>
      <c r="I770" s="46">
        <f>SUMIFS(Movimentações!$F$6:$F$4998,Movimentações!$C$6:$C$4998,A770,Movimentações!$M$6:$M$4998,M770)</f>
        <v>1</v>
      </c>
      <c r="J770" s="43" t="s">
        <v>670</v>
      </c>
      <c r="K770" s="43" t="s">
        <v>1419</v>
      </c>
      <c r="L770" s="47" t="s">
        <v>1795</v>
      </c>
      <c r="M770" s="43" t="s">
        <v>1805</v>
      </c>
      <c r="N770" s="43" t="str">
        <f t="shared" si="29"/>
        <v>Rua B · Prat 12 · C-281</v>
      </c>
      <c r="P770">
        <f>IF(A770="","",IF(AND(K770&lt;&gt;"",L770&lt;&gt;""),IF(COUNTIFS($K$6:K770,K770,$L$6:L770,L770)=1,1,0),0))</f>
        <v>0</v>
      </c>
      <c r="Q770">
        <f>IF(A770="","",IF(AND(K770&lt;&gt;"",M770&lt;&gt;""),IF(COUNTIFS($K$6:K770,K770,$M$6:M770,M770)=1,1,0),0))</f>
        <v>1</v>
      </c>
      <c r="R770">
        <f>IF(A770="","",IF(M770&lt;&gt;"",IF(COUNTIF($M$6:M770,M770)=1,1,0),0))</f>
        <v>1</v>
      </c>
      <c r="T770" t="str">
        <f>IF(AND($M770&lt;&gt;"",$M770='Mapa do Galpão'!$C$20),COUNTIF($M$6:$M770,'Mapa do Galpão'!$C$20),"")</f>
        <v/>
      </c>
    </row>
    <row r="771" spans="1:20" ht="14.25" hidden="1" customHeight="1" x14ac:dyDescent="0.3">
      <c r="A771" s="58" t="s">
        <v>1806</v>
      </c>
      <c r="B771" s="55" t="s">
        <v>1424</v>
      </c>
      <c r="C771" s="169" t="s">
        <v>541</v>
      </c>
      <c r="D771" s="56" t="str">
        <f t="shared" si="28"/>
        <v>Masculino</v>
      </c>
      <c r="E771" s="59" t="s">
        <v>1807</v>
      </c>
      <c r="F771" s="58" t="s">
        <v>1808</v>
      </c>
      <c r="G771" s="58" t="s">
        <v>668</v>
      </c>
      <c r="H771" s="58" t="s">
        <v>680</v>
      </c>
      <c r="I771" s="60">
        <f>SUMIFS(Movimentações!$F$6:$F$4998,Movimentações!$C$6:$C$4998,A771,Movimentações!$M$6:$M$4998,M771)</f>
        <v>26</v>
      </c>
      <c r="J771" s="43" t="s">
        <v>670</v>
      </c>
      <c r="K771" s="58" t="s">
        <v>671</v>
      </c>
      <c r="L771" s="41">
        <v>6</v>
      </c>
      <c r="M771" s="58" t="s">
        <v>1809</v>
      </c>
      <c r="N771" s="43" t="str">
        <f t="shared" si="29"/>
        <v>Rua A · Prat 6 · C-282</v>
      </c>
      <c r="P771">
        <f>IF(A771="","",IF(AND(K771&lt;&gt;"",L771&lt;&gt;""),IF(COUNTIFS($K$6:K771,K771,$L$6:L771,L771)=1,1,0),0))</f>
        <v>0</v>
      </c>
      <c r="Q771">
        <f>IF(A771="","",IF(AND(K771&lt;&gt;"",M771&lt;&gt;""),IF(COUNTIFS($K$6:K771,K771,$M$6:M771,M771)=1,1,0),0))</f>
        <v>1</v>
      </c>
      <c r="R771">
        <f>IF(A771="","",IF(M771&lt;&gt;"",IF(COUNTIF($M$6:M771,M771)=1,1,0),0))</f>
        <v>1</v>
      </c>
      <c r="T771" t="str">
        <f>IF($A771="","",IF(AND($M771&lt;&gt;"",$M771='Mapa do Galpão'!$C$20),COUNTIF($M$6:$M771,'Mapa do Galpão'!$C$20),""))</f>
        <v/>
      </c>
    </row>
    <row r="772" spans="1:20" ht="14.25" hidden="1" customHeight="1" x14ac:dyDescent="0.3">
      <c r="A772" s="58" t="s">
        <v>1810</v>
      </c>
      <c r="B772" s="55" t="s">
        <v>1424</v>
      </c>
      <c r="C772" s="169" t="s">
        <v>542</v>
      </c>
      <c r="D772" s="56" t="str">
        <f t="shared" si="28"/>
        <v>Masculino</v>
      </c>
      <c r="E772" s="59" t="s">
        <v>1807</v>
      </c>
      <c r="F772" s="58" t="s">
        <v>1808</v>
      </c>
      <c r="G772" s="58" t="s">
        <v>668</v>
      </c>
      <c r="H772" s="58" t="s">
        <v>675</v>
      </c>
      <c r="I772" s="60">
        <f>SUMIFS(Movimentações!$F$6:$F$4998,Movimentações!$C$6:$C$4998,A772,Movimentações!$M$6:$M$4998,M772)</f>
        <v>46</v>
      </c>
      <c r="J772" s="43" t="s">
        <v>670</v>
      </c>
      <c r="K772" s="58" t="s">
        <v>671</v>
      </c>
      <c r="L772" s="41">
        <v>6</v>
      </c>
      <c r="M772" s="58" t="s">
        <v>1811</v>
      </c>
      <c r="N772" s="43" t="str">
        <f t="shared" si="29"/>
        <v>Rua A · Prat 6 · C-284</v>
      </c>
      <c r="P772">
        <f>IF(A772="","",IF(AND(K772&lt;&gt;"",L772&lt;&gt;""),IF(COUNTIFS($K$6:K772,K772,$L$6:L772,L772)=1,1,0),0))</f>
        <v>0</v>
      </c>
      <c r="Q772">
        <f>IF(A772="","",IF(AND(K772&lt;&gt;"",M772&lt;&gt;""),IF(COUNTIFS($K$6:K772,K772,$M$6:M772,M772)=1,1,0),0))</f>
        <v>1</v>
      </c>
      <c r="R772">
        <f>IF(A772="","",IF(M772&lt;&gt;"",IF(COUNTIF($M$6:M772,M772)=1,1,0),0))</f>
        <v>1</v>
      </c>
      <c r="T772" t="str">
        <f>IF($A772="","",IF(AND($M772&lt;&gt;"",$M772='Mapa do Galpão'!$C$20),COUNTIF($M$6:$M772,'Mapa do Galpão'!$C$20),""))</f>
        <v/>
      </c>
    </row>
    <row r="773" spans="1:20" ht="14.25" hidden="1" customHeight="1" x14ac:dyDescent="0.3">
      <c r="A773" s="58" t="s">
        <v>1812</v>
      </c>
      <c r="B773" s="55" t="s">
        <v>1424</v>
      </c>
      <c r="C773" s="169" t="s">
        <v>543</v>
      </c>
      <c r="D773" s="56" t="str">
        <f t="shared" si="28"/>
        <v>Masculino</v>
      </c>
      <c r="E773" s="59" t="s">
        <v>1807</v>
      </c>
      <c r="F773" s="58" t="s">
        <v>1808</v>
      </c>
      <c r="G773" s="58" t="s">
        <v>668</v>
      </c>
      <c r="H773" s="58" t="s">
        <v>669</v>
      </c>
      <c r="I773" s="60">
        <f>SUMIFS(Movimentações!$F$6:$F$4998,Movimentações!$C$6:$C$4998,A773,Movimentações!$M$6:$M$4998,M773)</f>
        <v>39</v>
      </c>
      <c r="J773" s="43" t="s">
        <v>670</v>
      </c>
      <c r="K773" s="58" t="s">
        <v>671</v>
      </c>
      <c r="L773" s="41">
        <v>6</v>
      </c>
      <c r="M773" s="58" t="s">
        <v>1813</v>
      </c>
      <c r="N773" s="43" t="str">
        <f t="shared" si="29"/>
        <v>Rua A · Prat 6 · C-285</v>
      </c>
      <c r="P773">
        <f>IF(A773="","",IF(AND(K773&lt;&gt;"",L773&lt;&gt;""),IF(COUNTIFS($K$6:K773,K773,$L$6:L773,L773)=1,1,0),0))</f>
        <v>0</v>
      </c>
      <c r="Q773">
        <f>IF(A773="","",IF(AND(K773&lt;&gt;"",M773&lt;&gt;""),IF(COUNTIFS($K$6:K773,K773,$M$6:M773,M773)=1,1,0),0))</f>
        <v>1</v>
      </c>
      <c r="R773">
        <f>IF(A773="","",IF(M773&lt;&gt;"",IF(COUNTIF($M$6:M773,M773)=1,1,0),0))</f>
        <v>1</v>
      </c>
      <c r="T773" t="str">
        <f>IF($A773="","",IF(AND($M773&lt;&gt;"",$M773='Mapa do Galpão'!$C$20),COUNTIF($M$6:$M773,'Mapa do Galpão'!$C$20),""))</f>
        <v/>
      </c>
    </row>
    <row r="774" spans="1:20" ht="14.25" hidden="1" customHeight="1" x14ac:dyDescent="0.3">
      <c r="A774" s="58" t="s">
        <v>1814</v>
      </c>
      <c r="B774" s="55" t="s">
        <v>1424</v>
      </c>
      <c r="C774" s="169" t="s">
        <v>544</v>
      </c>
      <c r="D774" s="56" t="str">
        <f t="shared" si="28"/>
        <v>Masculino</v>
      </c>
      <c r="E774" s="59" t="s">
        <v>1807</v>
      </c>
      <c r="F774" s="58" t="s">
        <v>1808</v>
      </c>
      <c r="G774" s="58" t="s">
        <v>668</v>
      </c>
      <c r="H774" s="58" t="s">
        <v>682</v>
      </c>
      <c r="I774" s="60">
        <f>SUMIFS(Movimentações!$F$6:$F$4998,Movimentações!$C$6:$C$4998,A774,Movimentações!$M$6:$M$4998,M774)</f>
        <v>27</v>
      </c>
      <c r="J774" s="43" t="s">
        <v>670</v>
      </c>
      <c r="K774" s="58" t="s">
        <v>671</v>
      </c>
      <c r="L774" s="41">
        <v>6</v>
      </c>
      <c r="M774" s="61" t="s">
        <v>1815</v>
      </c>
      <c r="N774" s="43" t="str">
        <f t="shared" si="29"/>
        <v>Rua A · Prat 6 · C-283</v>
      </c>
      <c r="P774">
        <f>IF(A774="","",IF(AND(K774&lt;&gt;"",L774&lt;&gt;""),IF(COUNTIFS($K$6:K774,K774,$L$6:L774,L774)=1,1,0),0))</f>
        <v>0</v>
      </c>
      <c r="Q774">
        <f>IF(A774="","",IF(AND(K774&lt;&gt;"",M774&lt;&gt;""),IF(COUNTIFS($K$6:K774,K774,$M$6:M774,M774)=1,1,0),0))</f>
        <v>1</v>
      </c>
      <c r="R774">
        <f>IF(A774="","",IF(M774&lt;&gt;"",IF(COUNTIF($M$6:M774,M774)=1,1,0),0))</f>
        <v>1</v>
      </c>
      <c r="T774" t="str">
        <f>IF($A774="","",IF(AND($M774&lt;&gt;"",$M774='Mapa do Galpão'!$C$20),COUNTIF($M$6:$M774,'Mapa do Galpão'!$C$20),""))</f>
        <v/>
      </c>
    </row>
    <row r="775" spans="1:20" ht="14.25" hidden="1" customHeight="1" x14ac:dyDescent="0.3">
      <c r="A775" s="58" t="s">
        <v>1816</v>
      </c>
      <c r="B775" s="55" t="s">
        <v>1424</v>
      </c>
      <c r="C775" s="169" t="s">
        <v>545</v>
      </c>
      <c r="D775" s="56" t="str">
        <f t="shared" si="28"/>
        <v>Masculino</v>
      </c>
      <c r="E775" s="59" t="s">
        <v>1807</v>
      </c>
      <c r="F775" s="58" t="s">
        <v>1808</v>
      </c>
      <c r="G775" s="58" t="s">
        <v>668</v>
      </c>
      <c r="H775" s="58" t="s">
        <v>677</v>
      </c>
      <c r="I775">
        <f>SUMIFS(Movimentações!$F$6:$F$4998,Movimentações!$C$6:$C$4998,A775,Movimentações!$M$6:$M$4998,M775)</f>
        <v>20</v>
      </c>
      <c r="J775" s="43" t="s">
        <v>670</v>
      </c>
      <c r="K775" s="58" t="s">
        <v>671</v>
      </c>
      <c r="L775" s="41">
        <v>6</v>
      </c>
      <c r="M775" t="s">
        <v>1809</v>
      </c>
      <c r="N775" s="43" t="str">
        <f t="shared" si="29"/>
        <v>Rua A · Prat 6 · C-282</v>
      </c>
      <c r="P775">
        <f>IF(A775="","",IF(AND(K775&lt;&gt;"",L775&lt;&gt;""),IF(COUNTIFS($K$6:K775,K775,$L$6:L775,L775)=1,1,0),0))</f>
        <v>0</v>
      </c>
      <c r="Q775">
        <f>IF(A775="","",IF(AND(K775&lt;&gt;"",M775&lt;&gt;""),IF(COUNTIFS($K$6:K775,K775,$M$6:M775,M775)=1,1,0),0))</f>
        <v>0</v>
      </c>
      <c r="R775">
        <f>IF(A775="","",IF(M775&lt;&gt;"",IF(COUNTIF($M$6:M775,M775)=1,1,0),0))</f>
        <v>0</v>
      </c>
      <c r="T775" t="str">
        <f>IF($A775="","",IF(AND($M775&lt;&gt;"",$M775='Mapa do Galpão'!$C$20),COUNTIF($M$6:$M775,'Mapa do Galpão'!$C$20),""))</f>
        <v/>
      </c>
    </row>
    <row r="776" spans="1:20" ht="14.25" hidden="1" customHeight="1" x14ac:dyDescent="0.3">
      <c r="A776" s="58" t="s">
        <v>1817</v>
      </c>
      <c r="B776" s="55" t="s">
        <v>1424</v>
      </c>
      <c r="C776" s="169" t="s">
        <v>546</v>
      </c>
      <c r="D776" s="56" t="str">
        <f t="shared" si="28"/>
        <v>Masculino</v>
      </c>
      <c r="E776" s="59" t="s">
        <v>1807</v>
      </c>
      <c r="F776" s="58" t="s">
        <v>1808</v>
      </c>
      <c r="G776" s="58" t="s">
        <v>1075</v>
      </c>
      <c r="H776" s="58" t="s">
        <v>680</v>
      </c>
      <c r="I776" s="60">
        <f>SUMIFS(Movimentações!$F$6:$F$4998,Movimentações!$C$6:$C$4998,A776,Movimentações!$M$6:$M$4998,M776)</f>
        <v>26</v>
      </c>
      <c r="J776" s="43" t="s">
        <v>670</v>
      </c>
      <c r="K776" s="58" t="s">
        <v>671</v>
      </c>
      <c r="L776" s="41">
        <v>6</v>
      </c>
      <c r="M776" s="61" t="s">
        <v>1818</v>
      </c>
      <c r="N776" s="58" t="str">
        <f t="shared" si="29"/>
        <v>Rua A · Prat 6 · C-287</v>
      </c>
      <c r="P776">
        <f>IF(A776="","",IF(AND(K776&lt;&gt;"",L776&lt;&gt;""),IF(COUNTIFS($K$6:K776,K776,$L$6:L776,L776)=1,1,0),0))</f>
        <v>0</v>
      </c>
      <c r="Q776">
        <f>IF(A776="","",IF(AND(K776&lt;&gt;"",M776&lt;&gt;""),IF(COUNTIFS($K$6:K776,K776,$M$6:M776,M776)=1,1,0),0))</f>
        <v>1</v>
      </c>
      <c r="R776">
        <f>IF(A776="","",IF(M776&lt;&gt;"",IF(COUNTIF($M$6:M776,M776)=1,1,0),0))</f>
        <v>1</v>
      </c>
      <c r="T776" t="str">
        <f>IF($A776="","",IF(AND($M776&lt;&gt;"",$M776='Mapa do Galpão'!$C$20),COUNTIF($M$6:$M776,'Mapa do Galpão'!$C$20),""))</f>
        <v/>
      </c>
    </row>
    <row r="777" spans="1:20" ht="14.25" hidden="1" customHeight="1" x14ac:dyDescent="0.3">
      <c r="A777" s="58" t="s">
        <v>1819</v>
      </c>
      <c r="B777" s="55" t="s">
        <v>1424</v>
      </c>
      <c r="C777" s="169" t="s">
        <v>547</v>
      </c>
      <c r="D777" s="56" t="str">
        <f t="shared" si="28"/>
        <v>Masculino</v>
      </c>
      <c r="E777" s="59" t="s">
        <v>1807</v>
      </c>
      <c r="F777" s="58" t="s">
        <v>1808</v>
      </c>
      <c r="G777" s="58" t="s">
        <v>1075</v>
      </c>
      <c r="H777" s="58" t="s">
        <v>675</v>
      </c>
      <c r="I777" s="60">
        <f>SUMIFS(Movimentações!$F$6:$F$4998,Movimentações!$C$6:$C$4998,A777,Movimentações!$M$6:$M$4998,M777)</f>
        <v>46</v>
      </c>
      <c r="J777" s="43" t="s">
        <v>670</v>
      </c>
      <c r="K777" s="58" t="s">
        <v>671</v>
      </c>
      <c r="L777" s="41">
        <v>6</v>
      </c>
      <c r="M777" s="61" t="s">
        <v>1820</v>
      </c>
      <c r="N777" s="58" t="str">
        <f t="shared" si="29"/>
        <v>Rua A · Prat 6 · C-288</v>
      </c>
      <c r="P777">
        <f>IF(A777="","",IF(AND(K777&lt;&gt;"",L777&lt;&gt;""),IF(COUNTIFS($K$6:K777,K777,$L$6:L777,L777)=1,1,0),0))</f>
        <v>0</v>
      </c>
      <c r="Q777">
        <f>IF(A777="","",IF(AND(K777&lt;&gt;"",M777&lt;&gt;""),IF(COUNTIFS($K$6:K777,K777,$M$6:M777,M777)=1,1,0),0))</f>
        <v>1</v>
      </c>
      <c r="R777">
        <f>IF(A777="","",IF(M777&lt;&gt;"",IF(COUNTIF($M$6:M777,M777)=1,1,0),0))</f>
        <v>1</v>
      </c>
      <c r="T777" t="str">
        <f>IF($A777="","",IF(AND($M777&lt;&gt;"",$M777='Mapa do Galpão'!$C$20),COUNTIF($M$6:$M777,'Mapa do Galpão'!$C$20),""))</f>
        <v/>
      </c>
    </row>
    <row r="778" spans="1:20" ht="14.25" hidden="1" customHeight="1" x14ac:dyDescent="0.3">
      <c r="A778" s="58" t="s">
        <v>1821</v>
      </c>
      <c r="B778" s="50" t="s">
        <v>1424</v>
      </c>
      <c r="C778" s="170" t="s">
        <v>548</v>
      </c>
      <c r="D778" s="62" t="str">
        <f t="shared" si="28"/>
        <v>Masculino</v>
      </c>
      <c r="E778" s="59" t="s">
        <v>1807</v>
      </c>
      <c r="F778" s="58" t="s">
        <v>1808</v>
      </c>
      <c r="G778" s="58" t="s">
        <v>1075</v>
      </c>
      <c r="H778" s="58" t="s">
        <v>669</v>
      </c>
      <c r="I778" s="60">
        <f>SUMIFS(Movimentações!$F$6:$F$4998,Movimentações!$C$6:$C$4998,A778,Movimentações!$M$6:$M$4998,M778)</f>
        <v>39</v>
      </c>
      <c r="J778" s="43" t="s">
        <v>670</v>
      </c>
      <c r="K778" s="58" t="s">
        <v>671</v>
      </c>
      <c r="L778" s="41">
        <v>6</v>
      </c>
      <c r="M778" s="61" t="s">
        <v>1822</v>
      </c>
      <c r="N778" s="58" t="str">
        <f t="shared" si="29"/>
        <v>Rua A · Prat 6 · C-286</v>
      </c>
      <c r="P778">
        <f>IF(A778="","",IF(AND(K778&lt;&gt;"",L778&lt;&gt;""),IF(COUNTIFS($K$6:K778,K778,$L$6:L778,L778)=1,1,0),0))</f>
        <v>0</v>
      </c>
      <c r="Q778">
        <f>IF(A778="","",IF(AND(K778&lt;&gt;"",M778&lt;&gt;""),IF(COUNTIFS($K$6:K778,K778,$M$6:M778,M778)=1,1,0),0))</f>
        <v>1</v>
      </c>
      <c r="R778">
        <f>IF(A778="","",IF(M778&lt;&gt;"",IF(COUNTIF($M$6:M778,M778)=1,1,0),0))</f>
        <v>1</v>
      </c>
      <c r="T778" t="str">
        <f>IF($A778="","",IF(AND($M778&lt;&gt;"",$M778='Mapa do Galpão'!$C$20),COUNTIF($M$6:$M778,'Mapa do Galpão'!$C$20),""))</f>
        <v/>
      </c>
    </row>
    <row r="779" spans="1:20" ht="14.25" hidden="1" customHeight="1" x14ac:dyDescent="0.3">
      <c r="A779" s="58" t="s">
        <v>1823</v>
      </c>
      <c r="B779" s="50" t="s">
        <v>1424</v>
      </c>
      <c r="C779" s="170" t="s">
        <v>549</v>
      </c>
      <c r="D779" s="56" t="str">
        <f t="shared" si="28"/>
        <v>Masculino</v>
      </c>
      <c r="E779" s="59" t="s">
        <v>1807</v>
      </c>
      <c r="F779" s="58" t="s">
        <v>1808</v>
      </c>
      <c r="G779" s="58" t="s">
        <v>1075</v>
      </c>
      <c r="H779" s="58" t="s">
        <v>682</v>
      </c>
      <c r="I779" s="60">
        <f>SUMIFS(Movimentações!$F$6:$F$4998,Movimentações!$C$6:$C$4998,A779,Movimentações!$M$6:$M$4998,M779)</f>
        <v>25</v>
      </c>
      <c r="J779" s="43" t="s">
        <v>670</v>
      </c>
      <c r="K779" s="58" t="s">
        <v>671</v>
      </c>
      <c r="L779" s="41">
        <v>6</v>
      </c>
      <c r="M779" s="61" t="s">
        <v>1824</v>
      </c>
      <c r="N779" s="58" t="str">
        <f t="shared" si="29"/>
        <v>Rua A · Prat 6 · C-289</v>
      </c>
      <c r="P779">
        <f>IF(A779="","",IF(AND(K779&lt;&gt;"",L779&lt;&gt;""),IF(COUNTIFS($K$6:K779,K779,$L$6:L779,L779)=1,1,0),0))</f>
        <v>0</v>
      </c>
      <c r="Q779">
        <f>IF(A779="","",IF(AND(K779&lt;&gt;"",M779&lt;&gt;""),IF(COUNTIFS($K$6:K779,K779,$M$6:M779,M779)=1,1,0),0))</f>
        <v>1</v>
      </c>
      <c r="R779">
        <f>IF(A779="","",IF(M779&lt;&gt;"",IF(COUNTIF($M$6:M779,M779)=1,1,0),0))</f>
        <v>1</v>
      </c>
      <c r="T779" t="str">
        <f>IF($A779="","",IF(AND($M779&lt;&gt;"",$M779='Mapa do Galpão'!$C$20),COUNTIF($M$6:$M779,'Mapa do Galpão'!$C$20),""))</f>
        <v/>
      </c>
    </row>
    <row r="780" spans="1:20" ht="14.25" hidden="1" customHeight="1" x14ac:dyDescent="0.3">
      <c r="A780" s="58" t="s">
        <v>1825</v>
      </c>
      <c r="B780" s="50" t="s">
        <v>1424</v>
      </c>
      <c r="C780" s="170" t="s">
        <v>550</v>
      </c>
      <c r="D780" s="56" t="str">
        <f t="shared" si="28"/>
        <v>Masculino</v>
      </c>
      <c r="E780" s="59" t="s">
        <v>1807</v>
      </c>
      <c r="F780" s="58" t="s">
        <v>1808</v>
      </c>
      <c r="G780" s="58" t="s">
        <v>1075</v>
      </c>
      <c r="H780" s="58" t="s">
        <v>677</v>
      </c>
      <c r="I780">
        <f>SUMIFS(Movimentações!$F$6:$F$4998,Movimentações!$C$6:$C$4998,A780,Movimentações!$M$6:$M$4998,M780)</f>
        <v>20</v>
      </c>
      <c r="J780" s="43" t="s">
        <v>670</v>
      </c>
      <c r="K780" s="58" t="s">
        <v>671</v>
      </c>
      <c r="L780" s="41">
        <v>6</v>
      </c>
      <c r="M780" t="s">
        <v>1818</v>
      </c>
      <c r="N780" s="58" t="str">
        <f t="shared" si="29"/>
        <v>Rua A · Prat 6 · C-287</v>
      </c>
      <c r="P780">
        <f>IF(A780="","",IF(AND(K780&lt;&gt;"",L780&lt;&gt;""),IF(COUNTIFS($K$6:K780,K780,$L$6:L780,L780)=1,1,0),0))</f>
        <v>0</v>
      </c>
      <c r="Q780">
        <f>IF(A780="","",IF(AND(K780&lt;&gt;"",M780&lt;&gt;""),IF(COUNTIFS($K$6:K780,K780,$M$6:M780,M780)=1,1,0),0))</f>
        <v>0</v>
      </c>
      <c r="R780">
        <f>IF(A780="","",IF(M780&lt;&gt;"",IF(COUNTIF($M$6:M780,M780)=1,1,0),0))</f>
        <v>0</v>
      </c>
      <c r="T780" t="str">
        <f>IF($A780="","",IF(AND($M780&lt;&gt;"",$M780='Mapa do Galpão'!$C$20),COUNTIF($M$6:$M780,'Mapa do Galpão'!$C$20),""))</f>
        <v/>
      </c>
    </row>
    <row r="781" spans="1:20" ht="14.25" hidden="1" customHeight="1" x14ac:dyDescent="0.3">
      <c r="A781" s="58" t="s">
        <v>1826</v>
      </c>
      <c r="B781" s="50" t="s">
        <v>1424</v>
      </c>
      <c r="C781" s="170" t="s">
        <v>551</v>
      </c>
      <c r="D781" s="56" t="str">
        <f t="shared" si="28"/>
        <v>Masculino</v>
      </c>
      <c r="E781" s="59" t="s">
        <v>666</v>
      </c>
      <c r="F781" s="58" t="s">
        <v>1827</v>
      </c>
      <c r="G781" s="58" t="s">
        <v>668</v>
      </c>
      <c r="H781" s="58" t="s">
        <v>756</v>
      </c>
      <c r="I781" s="60">
        <f>SUMIFS(Movimentações!$F$6:$F$4998,Movimentações!$C$6:$C$4998,A781,Movimentações!$M$6:$M$4998,M781)</f>
        <v>20</v>
      </c>
      <c r="J781" s="43" t="s">
        <v>670</v>
      </c>
      <c r="K781" s="58" t="s">
        <v>671</v>
      </c>
      <c r="L781" s="41">
        <v>9</v>
      </c>
      <c r="M781" s="61" t="s">
        <v>1820</v>
      </c>
      <c r="N781" s="58" t="str">
        <f t="shared" si="29"/>
        <v>Rua A · Prat 9 · C-288</v>
      </c>
      <c r="P781">
        <f>IF(A781="","",IF(AND(K781&lt;&gt;"",L781&lt;&gt;""),IF(COUNTIFS($K$6:K781,K781,$L$6:L781,L781)=1,1,0),0))</f>
        <v>0</v>
      </c>
      <c r="Q781">
        <f>IF(A781="","",IF(AND(K781&lt;&gt;"",M781&lt;&gt;""),IF(COUNTIFS($K$6:K781,K781,$M$6:M781,M781)=1,1,0),0))</f>
        <v>0</v>
      </c>
      <c r="R781">
        <f>IF(A781="","",IF(M781&lt;&gt;"",IF(COUNTIF($M$6:M781,M781)=1,1,0),0))</f>
        <v>0</v>
      </c>
      <c r="T781" t="str">
        <f>IF($A781="","",IF(AND($M781&lt;&gt;"",$M781='Mapa do Galpão'!$C$20),COUNTIF($M$6:$M781,'Mapa do Galpão'!$C$20),""))</f>
        <v/>
      </c>
    </row>
    <row r="782" spans="1:20" ht="14.25" hidden="1" customHeight="1" x14ac:dyDescent="0.3">
      <c r="A782" s="58" t="s">
        <v>1828</v>
      </c>
      <c r="B782" s="50" t="s">
        <v>1424</v>
      </c>
      <c r="C782" s="171" t="s">
        <v>552</v>
      </c>
      <c r="D782" s="56" t="str">
        <f t="shared" si="28"/>
        <v>Masculino</v>
      </c>
      <c r="E782" s="59" t="s">
        <v>666</v>
      </c>
      <c r="F782" s="58" t="s">
        <v>1827</v>
      </c>
      <c r="G782" s="58" t="s">
        <v>668</v>
      </c>
      <c r="H782" s="58" t="s">
        <v>669</v>
      </c>
      <c r="I782" s="60">
        <f>SUMIFS(Movimentações!$F$6:$F$4998,Movimentações!$C$6:$C$4998,A782,Movimentações!$M$6:$M$4998,M782)</f>
        <v>80</v>
      </c>
      <c r="J782" s="63" t="s">
        <v>670</v>
      </c>
      <c r="K782" s="58" t="s">
        <v>671</v>
      </c>
      <c r="L782" s="41">
        <v>9</v>
      </c>
      <c r="M782" s="61" t="s">
        <v>1820</v>
      </c>
      <c r="N782" s="58" t="str">
        <f t="shared" si="29"/>
        <v>Rua A · Prat 9 · C-288</v>
      </c>
      <c r="P782">
        <f>IF(A782="","",IF(AND(K782&lt;&gt;"",L782&lt;&gt;""),IF(COUNTIFS($K$6:K782,K782,$L$6:L782,L782)=1,1,0),0))</f>
        <v>0</v>
      </c>
      <c r="Q782">
        <f>IF(A782="","",IF(AND(K782&lt;&gt;"",M782&lt;&gt;""),IF(COUNTIFS($K$6:K782,K782,$M$6:M782,M782)=1,1,0),0))</f>
        <v>0</v>
      </c>
      <c r="R782">
        <f>IF(A782="","",IF(M782&lt;&gt;"",IF(COUNTIF($M$6:M782,M782)=1,1,0),0))</f>
        <v>0</v>
      </c>
      <c r="T782" t="str">
        <f>IF($A782="","",IF(AND($M782&lt;&gt;"",$M782='Mapa do Galpão'!$C$20),COUNTIF($M$6:$M782,'Mapa do Galpão'!$C$20),""))</f>
        <v/>
      </c>
    </row>
    <row r="783" spans="1:20" ht="14.25" hidden="1" customHeight="1" x14ac:dyDescent="0.3">
      <c r="A783" s="58" t="s">
        <v>1829</v>
      </c>
      <c r="B783" s="50" t="s">
        <v>1424</v>
      </c>
      <c r="C783" s="172" t="s">
        <v>553</v>
      </c>
      <c r="D783" s="64" t="str">
        <f t="shared" si="28"/>
        <v>Masculino</v>
      </c>
      <c r="E783" s="65" t="s">
        <v>666</v>
      </c>
      <c r="F783" s="65" t="s">
        <v>1827</v>
      </c>
      <c r="G783" s="65" t="s">
        <v>668</v>
      </c>
      <c r="H783" s="65" t="s">
        <v>675</v>
      </c>
      <c r="I783" s="66">
        <f>SUMIFS(Movimentações!$F$6:$F$4998,Movimentações!$C$6:$C$4998,A783,Movimentações!$M$6:$M$4998,M783)</f>
        <v>100</v>
      </c>
      <c r="J783" s="65" t="s">
        <v>670</v>
      </c>
      <c r="K783" s="65" t="s">
        <v>671</v>
      </c>
      <c r="L783" s="67">
        <v>9</v>
      </c>
      <c r="M783" s="65" t="s">
        <v>1824</v>
      </c>
      <c r="N783" s="65" t="str">
        <f t="shared" si="29"/>
        <v>Rua A · Prat 9 · C-289</v>
      </c>
      <c r="P783">
        <f>IF(A783="","",IF(AND(K783&lt;&gt;"",L783&lt;&gt;""),IF(COUNTIFS($K$6:K783,K783,$L$6:L783,L783)=1,1,0),0))</f>
        <v>0</v>
      </c>
      <c r="Q783">
        <f>IF(A783="","",IF(AND(K783&lt;&gt;"",M783&lt;&gt;""),IF(COUNTIFS($K$6:K783,K783,$M$6:M783,M783)=1,1,0),0))</f>
        <v>0</v>
      </c>
      <c r="R783">
        <f>IF(A783="","",IF(M783&lt;&gt;"",IF(COUNTIF($M$6:M783,M783)=1,1,0),0))</f>
        <v>0</v>
      </c>
      <c r="T783" t="str">
        <f>IF($A783="","",IF(AND($M783&lt;&gt;"",$M783='Mapa do Galpão'!$C$20),COUNTIF($M$6:$M783,'Mapa do Galpão'!$C$20),""))</f>
        <v/>
      </c>
    </row>
    <row r="784" spans="1:20" ht="14.25" hidden="1" customHeight="1" x14ac:dyDescent="0.3">
      <c r="A784" s="58" t="s">
        <v>1830</v>
      </c>
      <c r="B784" s="50" t="s">
        <v>1424</v>
      </c>
      <c r="C784" s="172" t="s">
        <v>554</v>
      </c>
      <c r="D784" s="64" t="str">
        <f t="shared" si="28"/>
        <v>Masculino</v>
      </c>
      <c r="E784" s="68" t="s">
        <v>666</v>
      </c>
      <c r="F784" s="68" t="s">
        <v>1827</v>
      </c>
      <c r="G784" s="68" t="s">
        <v>668</v>
      </c>
      <c r="H784" s="68" t="s">
        <v>682</v>
      </c>
      <c r="I784" s="69">
        <f>SUMIFS(Movimentações!$F$6:$F$4998,Movimentações!$C$6:$C$4998,A784,Movimentações!$M$6:$M$4998,M784)</f>
        <v>81</v>
      </c>
      <c r="J784" s="68" t="s">
        <v>670</v>
      </c>
      <c r="K784" s="68" t="s">
        <v>671</v>
      </c>
      <c r="L784" s="70">
        <v>9</v>
      </c>
      <c r="M784" s="68" t="s">
        <v>1831</v>
      </c>
      <c r="N784" s="68" t="str">
        <f t="shared" si="29"/>
        <v>Rua A · Prat 9 · C-290</v>
      </c>
      <c r="P784">
        <f>IF(A784="","",IF(AND(K784&lt;&gt;"",L784&lt;&gt;""),IF(COUNTIFS($K$6:K784,K784,$L$6:L784,L784)=1,1,0),0))</f>
        <v>0</v>
      </c>
      <c r="Q784">
        <f>IF(A784="","",IF(AND(K784&lt;&gt;"",M784&lt;&gt;""),IF(COUNTIFS($K$6:K784,K784,$M$6:M784,M784)=1,1,0),0))</f>
        <v>1</v>
      </c>
      <c r="R784">
        <f>IF(A784="","",IF(M784&lt;&gt;"",IF(COUNTIF($M$6:M784,M784)=1,1,0),0))</f>
        <v>1</v>
      </c>
      <c r="T784" t="str">
        <f>IF($A784="","",IF(AND($M784&lt;&gt;"",$M784='Mapa do Galpão'!$C$20),COUNTIF($M$6:$M784,'Mapa do Galpão'!$C$20),""))</f>
        <v/>
      </c>
    </row>
    <row r="785" spans="1:20" ht="14.25" hidden="1" customHeight="1" x14ac:dyDescent="0.3">
      <c r="A785" s="71" t="s">
        <v>1832</v>
      </c>
      <c r="B785" s="50" t="s">
        <v>1424</v>
      </c>
      <c r="C785" s="173" t="s">
        <v>555</v>
      </c>
      <c r="D785" s="56" t="str">
        <f t="shared" si="28"/>
        <v>Masculino</v>
      </c>
      <c r="E785" s="68" t="s">
        <v>684</v>
      </c>
      <c r="F785" s="68" t="s">
        <v>1833</v>
      </c>
      <c r="G785" s="68" t="s">
        <v>1075</v>
      </c>
      <c r="H785" s="68" t="s">
        <v>677</v>
      </c>
      <c r="I785" s="69">
        <f>SUMIFS(Movimentações!$F$6:$F$4998,Movimentações!$C$6:$C$4998,A785,Movimentações!$M$6:$M$4998,M785)</f>
        <v>21</v>
      </c>
      <c r="J785" s="68" t="s">
        <v>670</v>
      </c>
      <c r="K785" s="68" t="s">
        <v>671</v>
      </c>
      <c r="L785" s="70">
        <v>9</v>
      </c>
      <c r="M785" s="68" t="s">
        <v>1834</v>
      </c>
      <c r="N785" s="68" t="str">
        <f t="shared" si="29"/>
        <v>Rua A · Prat 9 · C-291</v>
      </c>
      <c r="P785">
        <f>IF(A785="","",IF(AND(K785&lt;&gt;"",L785&lt;&gt;""),IF(COUNTIFS($K$6:K785,K785,$L$6:L785,L785)=1,1,0),0))</f>
        <v>0</v>
      </c>
      <c r="Q785">
        <f>IF(A785="","",IF(AND(K785&lt;&gt;"",M785&lt;&gt;""),IF(COUNTIFS($K$6:K785,K785,$M$6:M785,M785)=1,1,0),0))</f>
        <v>1</v>
      </c>
      <c r="R785">
        <f>IF(A785="","",IF(M785&lt;&gt;"",IF(COUNTIF($M$6:M785,M785)=1,1,0),0))</f>
        <v>1</v>
      </c>
      <c r="T785" t="str">
        <f>IF($A785="","",IF(AND($M785&lt;&gt;"",$M785='Mapa do Galpão'!$C$20),COUNTIF($M$6:$M785,'Mapa do Galpão'!$C$20),""))</f>
        <v/>
      </c>
    </row>
    <row r="786" spans="1:20" ht="14.25" hidden="1" customHeight="1" x14ac:dyDescent="0.3">
      <c r="A786" s="71" t="s">
        <v>1835</v>
      </c>
      <c r="B786" s="50" t="s">
        <v>1424</v>
      </c>
      <c r="C786" s="174" t="s">
        <v>556</v>
      </c>
      <c r="D786" s="64" t="str">
        <f t="shared" si="28"/>
        <v>Masculino</v>
      </c>
      <c r="E786" s="68" t="s">
        <v>684</v>
      </c>
      <c r="F786" s="68" t="s">
        <v>1833</v>
      </c>
      <c r="G786" s="68" t="s">
        <v>1075</v>
      </c>
      <c r="H786" s="68" t="s">
        <v>680</v>
      </c>
      <c r="I786" s="69">
        <f>SUMIFS(Movimentações!$F$6:$F$4998,Movimentações!$C$6:$C$4998,A786,Movimentações!$M$6:$M$4998,M786)</f>
        <v>45</v>
      </c>
      <c r="J786" s="68" t="s">
        <v>670</v>
      </c>
      <c r="K786" s="68" t="s">
        <v>671</v>
      </c>
      <c r="L786" s="70">
        <v>9</v>
      </c>
      <c r="M786" s="68" t="s">
        <v>1834</v>
      </c>
      <c r="N786" s="68" t="str">
        <f t="shared" si="29"/>
        <v>Rua A · Prat 9 · C-291</v>
      </c>
      <c r="P786">
        <f>IF(A786="","",IF(AND(K786&lt;&gt;"",L786&lt;&gt;""),IF(COUNTIFS($K$6:K786,K786,$L$6:L786,L786)=1,1,0),0))</f>
        <v>0</v>
      </c>
      <c r="Q786">
        <f>IF(A786="","",IF(AND(K786&lt;&gt;"",M786&lt;&gt;""),IF(COUNTIFS($K$6:K786,K786,$M$6:M786,M786)=1,1,0),0))</f>
        <v>0</v>
      </c>
      <c r="R786">
        <f>IF(A786="","",IF(M786&lt;&gt;"",IF(COUNTIF($M$6:M786,M786)=1,1,0),0))</f>
        <v>0</v>
      </c>
      <c r="T786" t="str">
        <f>IF($A786="","",IF(AND($M786&lt;&gt;"",$M786='Mapa do Galpão'!$C$20),COUNTIF($M$6:$M786,'Mapa do Galpão'!$C$20),""))</f>
        <v/>
      </c>
    </row>
    <row r="787" spans="1:20" ht="14.25" hidden="1" customHeight="1" x14ac:dyDescent="0.3">
      <c r="A787" s="71" t="s">
        <v>1836</v>
      </c>
      <c r="B787" s="50" t="s">
        <v>1424</v>
      </c>
      <c r="C787" s="174" t="s">
        <v>557</v>
      </c>
      <c r="D787" s="64" t="str">
        <f t="shared" si="28"/>
        <v>Masculino</v>
      </c>
      <c r="E787" s="68" t="s">
        <v>684</v>
      </c>
      <c r="F787" s="68" t="s">
        <v>1833</v>
      </c>
      <c r="G787" s="68" t="s">
        <v>1075</v>
      </c>
      <c r="H787" s="68" t="s">
        <v>675</v>
      </c>
      <c r="I787" s="69">
        <f>SUMIFS(Movimentações!$F$6:$F$4998,Movimentações!$C$6:$C$4998,A787,Movimentações!$M$6:$M$4998,M787)</f>
        <v>12</v>
      </c>
      <c r="J787" s="68" t="s">
        <v>670</v>
      </c>
      <c r="K787" s="68" t="s">
        <v>671</v>
      </c>
      <c r="L787" s="70">
        <v>9</v>
      </c>
      <c r="M787" s="68" t="s">
        <v>1834</v>
      </c>
      <c r="N787" s="68" t="str">
        <f t="shared" si="29"/>
        <v>Rua A · Prat 9 · C-291</v>
      </c>
      <c r="P787">
        <f>IF(A787="","",IF(AND(K787&lt;&gt;"",L787&lt;&gt;""),IF(COUNTIFS($K$6:K787,K787,$L$6:L787,L787)=1,1,0),0))</f>
        <v>0</v>
      </c>
      <c r="Q787">
        <f>IF(A787="","",IF(AND(K787&lt;&gt;"",M787&lt;&gt;""),IF(COUNTIFS($K$6:K787,K787,$M$6:M787,M787)=1,1,0),0))</f>
        <v>0</v>
      </c>
      <c r="R787">
        <f>IF(A787="","",IF(M787&lt;&gt;"",IF(COUNTIF($M$6:M787,M787)=1,1,0),0))</f>
        <v>0</v>
      </c>
      <c r="T787" t="str">
        <f>IF($A787="","",IF(AND($M787&lt;&gt;"",$M787='Mapa do Galpão'!$C$20),COUNTIF($M$6:$M787,'Mapa do Galpão'!$C$20),""))</f>
        <v/>
      </c>
    </row>
    <row r="788" spans="1:20" ht="14.25" hidden="1" customHeight="1" x14ac:dyDescent="0.3">
      <c r="A788" s="72" t="s">
        <v>1836</v>
      </c>
      <c r="B788" s="50" t="s">
        <v>1424</v>
      </c>
      <c r="C788" s="174" t="s">
        <v>557</v>
      </c>
      <c r="D788" s="64" t="str">
        <f t="shared" si="28"/>
        <v>Masculino</v>
      </c>
      <c r="E788" s="68" t="s">
        <v>684</v>
      </c>
      <c r="F788" s="68" t="s">
        <v>1833</v>
      </c>
      <c r="G788" s="68" t="s">
        <v>1075</v>
      </c>
      <c r="H788" s="68" t="s">
        <v>675</v>
      </c>
      <c r="I788" s="69">
        <f>SUMIFS(Movimentações!$F$6:$F$4998,Movimentações!$C$6:$C$4998,A788,Movimentações!$M$6:$M$4998,M788)</f>
        <v>90</v>
      </c>
      <c r="J788" s="68" t="s">
        <v>670</v>
      </c>
      <c r="K788" s="68" t="s">
        <v>671</v>
      </c>
      <c r="L788" s="70">
        <v>9</v>
      </c>
      <c r="M788" s="68" t="s">
        <v>1837</v>
      </c>
      <c r="N788" s="68" t="str">
        <f t="shared" si="29"/>
        <v>Rua A · Prat 9 · C-292</v>
      </c>
      <c r="P788">
        <f>IF(A788="","",IF(AND(K788&lt;&gt;"",L788&lt;&gt;""),IF(COUNTIFS($K$6:K788,K788,$L$6:L788,L788)=1,1,0),0))</f>
        <v>0</v>
      </c>
      <c r="Q788">
        <f>IF(A788="","",IF(AND(K788&lt;&gt;"",M788&lt;&gt;""),IF(COUNTIFS($K$6:K788,K788,$M$6:M788,M788)=1,1,0),0))</f>
        <v>1</v>
      </c>
      <c r="R788">
        <f>IF(A788="","",IF(M788&lt;&gt;"",IF(COUNTIF($M$6:M788,M788)=1,1,0),0))</f>
        <v>1</v>
      </c>
      <c r="T788" t="str">
        <f>IF($A788="","",IF(AND($M788&lt;&gt;"",$M788='Mapa do Galpão'!$C$20),COUNTIF($M$6:$M788,'Mapa do Galpão'!$C$20),""))</f>
        <v/>
      </c>
    </row>
    <row r="789" spans="1:20" ht="14.25" hidden="1" customHeight="1" x14ac:dyDescent="0.3">
      <c r="A789" s="71" t="s">
        <v>1828</v>
      </c>
      <c r="B789" s="50" t="s">
        <v>1424</v>
      </c>
      <c r="C789" s="174" t="s">
        <v>552</v>
      </c>
      <c r="D789" s="64" t="str">
        <f t="shared" si="28"/>
        <v>Masculino</v>
      </c>
      <c r="E789" s="68" t="s">
        <v>666</v>
      </c>
      <c r="F789" s="68" t="s">
        <v>1827</v>
      </c>
      <c r="G789" s="68" t="s">
        <v>668</v>
      </c>
      <c r="H789" s="68" t="s">
        <v>669</v>
      </c>
      <c r="I789" s="69">
        <f>SUMIFS(Movimentações!$F$6:$F$4998,Movimentações!$C$6:$C$4998,A789,Movimentações!$M$6:$M$4998,M789)</f>
        <v>90</v>
      </c>
      <c r="J789" s="68" t="s">
        <v>670</v>
      </c>
      <c r="K789" s="68" t="s">
        <v>671</v>
      </c>
      <c r="L789" s="70">
        <v>2</v>
      </c>
      <c r="M789" s="68" t="s">
        <v>1838</v>
      </c>
      <c r="N789" s="68" t="str">
        <f t="shared" si="29"/>
        <v>Rua A · Prat 2 · C-293</v>
      </c>
      <c r="P789">
        <f>IF(A789="","",IF(AND(K789&lt;&gt;"",L789&lt;&gt;""),IF(COUNTIFS($K$6:K789,K789,$L$6:L789,L789)=1,1,0),0))</f>
        <v>0</v>
      </c>
      <c r="Q789">
        <f>IF(A789="","",IF(AND(K789&lt;&gt;"",M789&lt;&gt;""),IF(COUNTIFS($K$6:K789,K789,$M$6:M789,M789)=1,1,0),0))</f>
        <v>1</v>
      </c>
      <c r="R789">
        <f>IF(A789="","",IF(M789&lt;&gt;"",IF(COUNTIF($M$6:M789,M789)=1,1,0),0))</f>
        <v>1</v>
      </c>
      <c r="T789" t="str">
        <f>IF($A789="","",IF(AND($M789&lt;&gt;"",$M789='Mapa do Galpão'!$C$20),COUNTIF($M$6:$M789,'Mapa do Galpão'!$C$20),""))</f>
        <v/>
      </c>
    </row>
    <row r="790" spans="1:20" ht="14.25" hidden="1" customHeight="1" x14ac:dyDescent="0.3">
      <c r="A790" s="73" t="s">
        <v>1839</v>
      </c>
      <c r="B790" s="50" t="s">
        <v>1424</v>
      </c>
      <c r="C790" s="172" t="s">
        <v>558</v>
      </c>
      <c r="D790" s="74" t="str">
        <f t="shared" si="28"/>
        <v>Masculino</v>
      </c>
      <c r="E790" s="65" t="s">
        <v>666</v>
      </c>
      <c r="F790" s="65" t="s">
        <v>1827</v>
      </c>
      <c r="G790" s="65" t="s">
        <v>668</v>
      </c>
      <c r="H790" s="65" t="s">
        <v>677</v>
      </c>
      <c r="I790" s="66">
        <f>SUMIFS(Movimentações!$F$6:$F$4998,Movimentações!$C$6:$C$4998,A790,Movimentações!$M$6:$M$4998,M790)</f>
        <v>54</v>
      </c>
      <c r="J790" s="65" t="s">
        <v>670</v>
      </c>
      <c r="K790" s="65" t="s">
        <v>671</v>
      </c>
      <c r="L790" s="67">
        <v>2</v>
      </c>
      <c r="M790" s="65" t="s">
        <v>1840</v>
      </c>
      <c r="N790" s="65" t="str">
        <f t="shared" si="29"/>
        <v>Rua A · Prat 2 · C-294</v>
      </c>
      <c r="P790">
        <f>IF(A790="","",IF(AND(K790&lt;&gt;"",L790&lt;&gt;""),IF(COUNTIFS($K$6:K790,K790,$L$6:L790,L790)=1,1,0),0))</f>
        <v>0</v>
      </c>
      <c r="Q790">
        <f>IF(A790="","",IF(AND(K790&lt;&gt;"",M790&lt;&gt;""),IF(COUNTIFS($K$6:K790,K790,$M$6:M790,M790)=1,1,0),0))</f>
        <v>1</v>
      </c>
      <c r="R790">
        <f>IF(A790="","",IF(M790&lt;&gt;"",IF(COUNTIF($M$6:M790,M790)=1,1,0),0))</f>
        <v>1</v>
      </c>
      <c r="T790" t="str">
        <f>IF($A790="","",IF(AND($M790&lt;&gt;"",$M790='Mapa do Galpão'!$C$20),COUNTIF($M$6:$M790,'Mapa do Galpão'!$C$20),""))</f>
        <v/>
      </c>
    </row>
    <row r="791" spans="1:20" ht="14.25" hidden="1" customHeight="1" x14ac:dyDescent="0.3">
      <c r="A791" s="73" t="s">
        <v>1841</v>
      </c>
      <c r="B791" s="50" t="s">
        <v>1424</v>
      </c>
      <c r="C791" s="172" t="s">
        <v>559</v>
      </c>
      <c r="D791" s="75" t="str">
        <f t="shared" si="28"/>
        <v>Masculino</v>
      </c>
      <c r="E791" s="58" t="s">
        <v>666</v>
      </c>
      <c r="F791" s="58" t="s">
        <v>1827</v>
      </c>
      <c r="G791" s="58" t="s">
        <v>668</v>
      </c>
      <c r="H791" s="58" t="s">
        <v>1842</v>
      </c>
      <c r="I791" s="60">
        <f>SUMIFS(Movimentações!$F$6:$F$4998,Movimentações!$C$6:$C$4998,A791,Movimentações!$M$6:$M$4998,M791)</f>
        <v>14</v>
      </c>
      <c r="J791" s="76" t="s">
        <v>670</v>
      </c>
      <c r="K791" s="58" t="s">
        <v>671</v>
      </c>
      <c r="L791" s="41">
        <v>2</v>
      </c>
      <c r="M791" s="61" t="s">
        <v>1840</v>
      </c>
      <c r="N791" s="58" t="str">
        <f t="shared" si="29"/>
        <v>Rua A · Prat 2 · C-294</v>
      </c>
      <c r="P791">
        <f>IF(A791="","",IF(AND(K791&lt;&gt;"",L791&lt;&gt;""),IF(COUNTIFS($K$6:K791,K791,$L$6:L791,L791)=1,1,0),0))</f>
        <v>0</v>
      </c>
      <c r="Q791">
        <f>IF(A791="","",IF(AND(K791&lt;&gt;"",M791&lt;&gt;""),IF(COUNTIFS($K$6:K791,K791,$M$6:M791,M791)=1,1,0),0))</f>
        <v>0</v>
      </c>
      <c r="R791">
        <f>IF(A791="","",IF(M791&lt;&gt;"",IF(COUNTIF($M$6:M791,M791)=1,1,0),0))</f>
        <v>0</v>
      </c>
      <c r="T791" t="str">
        <f>IF($A791="","",IF(AND($M791&lt;&gt;"",$M791='Mapa do Galpão'!$C$20),COUNTIF($M$6:$M791,'Mapa do Galpão'!$C$20),""))</f>
        <v/>
      </c>
    </row>
    <row r="792" spans="1:20" ht="14.25" hidden="1" customHeight="1" x14ac:dyDescent="0.3">
      <c r="A792" s="71" t="s">
        <v>1829</v>
      </c>
      <c r="B792" s="50" t="s">
        <v>1424</v>
      </c>
      <c r="C792" s="172" t="s">
        <v>553</v>
      </c>
      <c r="D792" s="77" t="str">
        <f t="shared" si="28"/>
        <v>Masculino</v>
      </c>
      <c r="E792" s="58" t="s">
        <v>666</v>
      </c>
      <c r="F792" s="58" t="s">
        <v>1827</v>
      </c>
      <c r="G792" s="58" t="s">
        <v>668</v>
      </c>
      <c r="H792" s="58" t="s">
        <v>675</v>
      </c>
      <c r="I792" s="60">
        <f>SUMIFS(Movimentações!$F$6:$F$4998,Movimentações!$C$6:$C$4998,A792,Movimentações!$M$6:$M$4998,M792)</f>
        <v>5</v>
      </c>
      <c r="J792" s="43" t="s">
        <v>670</v>
      </c>
      <c r="K792" s="58" t="s">
        <v>671</v>
      </c>
      <c r="L792" s="41">
        <v>2</v>
      </c>
      <c r="M792" s="61" t="s">
        <v>1840</v>
      </c>
      <c r="N792" s="58" t="str">
        <f t="shared" si="29"/>
        <v>Rua A · Prat 2 · C-294</v>
      </c>
      <c r="P792">
        <f>IF(A792="","",IF(AND(K792&lt;&gt;"",L792&lt;&gt;""),IF(COUNTIFS($K$6:K792,K792,$L$6:L792,L792)=1,1,0),0))</f>
        <v>0</v>
      </c>
      <c r="Q792">
        <f>IF(A792="","",IF(AND(K792&lt;&gt;"",M792&lt;&gt;""),IF(COUNTIFS($K$6:K792,K792,$M$6:M792,M792)=1,1,0),0))</f>
        <v>0</v>
      </c>
      <c r="R792">
        <f>IF(A792="","",IF(M792&lt;&gt;"",IF(COUNTIF($M$6:M792,M792)=1,1,0),0))</f>
        <v>0</v>
      </c>
      <c r="T792" t="str">
        <f>IF($A792="","",IF(AND($M792&lt;&gt;"",$M792='Mapa do Galpão'!$C$20),COUNTIF($M$6:$M792,'Mapa do Galpão'!$C$20),""))</f>
        <v/>
      </c>
    </row>
    <row r="793" spans="1:20" ht="14.25" hidden="1" customHeight="1" x14ac:dyDescent="0.3">
      <c r="A793" s="71" t="s">
        <v>1843</v>
      </c>
      <c r="B793" s="50" t="s">
        <v>1424</v>
      </c>
      <c r="C793" s="172" t="s">
        <v>560</v>
      </c>
      <c r="D793" s="77" t="str">
        <f t="shared" si="28"/>
        <v>Masculino</v>
      </c>
      <c r="E793" s="58" t="s">
        <v>666</v>
      </c>
      <c r="F793" s="58" t="s">
        <v>1827</v>
      </c>
      <c r="G793" s="58" t="s">
        <v>668</v>
      </c>
      <c r="H793" s="58" t="s">
        <v>680</v>
      </c>
      <c r="I793" s="60">
        <f>SUMIFS(Movimentações!$F$6:$F$4998,Movimentações!$C$6:$C$4998,A793,Movimentações!$M$6:$M$4998,M793)</f>
        <v>2</v>
      </c>
      <c r="J793" s="43" t="s">
        <v>670</v>
      </c>
      <c r="K793" s="58" t="s">
        <v>671</v>
      </c>
      <c r="L793" s="41">
        <v>2</v>
      </c>
      <c r="M793" s="61" t="s">
        <v>1840</v>
      </c>
      <c r="N793" s="58" t="str">
        <f t="shared" si="29"/>
        <v>Rua A · Prat 2 · C-294</v>
      </c>
      <c r="P793">
        <f>IF(A793="","",IF(AND(K793&lt;&gt;"",L793&lt;&gt;""),IF(COUNTIFS($K$6:K793,K793,$L$6:L793,L793)=1,1,0),0))</f>
        <v>0</v>
      </c>
      <c r="Q793">
        <f>IF(A793="","",IF(AND(K793&lt;&gt;"",M793&lt;&gt;""),IF(COUNTIFS($K$6:K793,K793,$M$6:M793,M793)=1,1,0),0))</f>
        <v>0</v>
      </c>
      <c r="R793">
        <f>IF(A793="","",IF(M793&lt;&gt;"",IF(COUNTIF($M$6:M793,M793)=1,1,0),0))</f>
        <v>0</v>
      </c>
      <c r="T793" t="str">
        <f>IF($A793="","",IF(AND($M793&lt;&gt;"",$M793='Mapa do Galpão'!$C$20),COUNTIF($M$6:$M793,'Mapa do Galpão'!$C$20),""))</f>
        <v/>
      </c>
    </row>
    <row r="794" spans="1:20" ht="14.25" hidden="1" customHeight="1" x14ac:dyDescent="0.3">
      <c r="A794" s="71" t="s">
        <v>1826</v>
      </c>
      <c r="B794" s="50" t="s">
        <v>1424</v>
      </c>
      <c r="C794" s="172" t="s">
        <v>551</v>
      </c>
      <c r="D794" s="77" t="str">
        <f t="shared" si="28"/>
        <v>Masculino</v>
      </c>
      <c r="E794" s="58" t="s">
        <v>666</v>
      </c>
      <c r="F794" s="58" t="s">
        <v>1827</v>
      </c>
      <c r="G794" s="58" t="s">
        <v>668</v>
      </c>
      <c r="H794" s="58" t="s">
        <v>756</v>
      </c>
      <c r="I794" s="60">
        <f>SUMIFS(Movimentações!$F$6:$F$4998,Movimentações!$C$6:$C$4998,A794,Movimentações!$M$6:$M$4998,M794)</f>
        <v>1</v>
      </c>
      <c r="J794" s="43" t="s">
        <v>670</v>
      </c>
      <c r="K794" s="58" t="s">
        <v>671</v>
      </c>
      <c r="L794" s="41">
        <v>2</v>
      </c>
      <c r="M794" s="61" t="s">
        <v>1840</v>
      </c>
      <c r="N794" s="58" t="str">
        <f t="shared" si="29"/>
        <v>Rua A · Prat 2 · C-294</v>
      </c>
      <c r="P794">
        <f>IF(A794="","",IF(AND(K794&lt;&gt;"",L794&lt;&gt;""),IF(COUNTIFS($K$6:K794,K794,$L$6:L794,L794)=1,1,0),0))</f>
        <v>0</v>
      </c>
      <c r="Q794">
        <f>IF(A794="","",IF(AND(K794&lt;&gt;"",M794&lt;&gt;""),IF(COUNTIFS($K$6:K794,K794,$M$6:M794,M794)=1,1,0),0))</f>
        <v>0</v>
      </c>
      <c r="R794">
        <f>IF(A794="","",IF(M794&lt;&gt;"",IF(COUNTIF($M$6:M794,M794)=1,1,0),0))</f>
        <v>0</v>
      </c>
      <c r="T794" t="str">
        <f>IF($A794="","",IF(AND($M794&lt;&gt;"",$M794='Mapa do Galpão'!$C$20),COUNTIF($M$6:$M794,'Mapa do Galpão'!$C$20),""))</f>
        <v/>
      </c>
    </row>
    <row r="795" spans="1:20" ht="14.25" hidden="1" customHeight="1" x14ac:dyDescent="0.3">
      <c r="A795" s="71" t="s">
        <v>1828</v>
      </c>
      <c r="B795" s="50" t="s">
        <v>1424</v>
      </c>
      <c r="C795" s="172" t="s">
        <v>552</v>
      </c>
      <c r="D795" s="54" t="str">
        <f t="shared" si="28"/>
        <v>Masculino</v>
      </c>
      <c r="E795" s="58" t="s">
        <v>666</v>
      </c>
      <c r="F795" s="58" t="s">
        <v>1827</v>
      </c>
      <c r="G795" s="58" t="s">
        <v>668</v>
      </c>
      <c r="H795" s="58" t="s">
        <v>669</v>
      </c>
      <c r="I795" s="60">
        <f>SUMIFS(Movimentações!$F$6:$F$4998,Movimentações!$C$6:$C$4998,A795,Movimentações!$M$6:$M$4998,M795)</f>
        <v>1</v>
      </c>
      <c r="J795" s="43" t="s">
        <v>670</v>
      </c>
      <c r="K795" s="58" t="s">
        <v>671</v>
      </c>
      <c r="L795" s="41">
        <v>2</v>
      </c>
      <c r="M795" s="61" t="s">
        <v>1840</v>
      </c>
      <c r="N795" s="58" t="str">
        <f t="shared" si="29"/>
        <v>Rua A · Prat 2 · C-294</v>
      </c>
      <c r="P795">
        <f>IF(A795="","",IF(AND(K795&lt;&gt;"",L795&lt;&gt;""),IF(COUNTIFS($K$6:K795,K795,$L$6:L795,L795)=1,1,0),0))</f>
        <v>0</v>
      </c>
      <c r="Q795">
        <f>IF(A795="","",IF(AND(K795&lt;&gt;"",M795&lt;&gt;""),IF(COUNTIFS($K$6:K795,K795,$M$6:M795,M795)=1,1,0),0))</f>
        <v>0</v>
      </c>
      <c r="R795">
        <f>IF(A795="","",IF(M795&lt;&gt;"",IF(COUNTIF($M$6:M795,M795)=1,1,0),0))</f>
        <v>0</v>
      </c>
      <c r="T795" t="str">
        <f>IF($A795="","",IF(AND($M795&lt;&gt;"",$M795='Mapa do Galpão'!$C$20),COUNTIF($M$6:$M795,'Mapa do Galpão'!$C$20),""))</f>
        <v/>
      </c>
    </row>
    <row r="796" spans="1:20" ht="14.25" hidden="1" customHeight="1" x14ac:dyDescent="0.3">
      <c r="A796" s="71" t="s">
        <v>1828</v>
      </c>
      <c r="B796" s="50" t="s">
        <v>1424</v>
      </c>
      <c r="C796" s="172" t="s">
        <v>552</v>
      </c>
      <c r="D796" s="77" t="str">
        <f t="shared" si="28"/>
        <v>Masculino</v>
      </c>
      <c r="E796" s="58" t="s">
        <v>666</v>
      </c>
      <c r="F796" s="58" t="s">
        <v>1827</v>
      </c>
      <c r="G796" s="58" t="s">
        <v>668</v>
      </c>
      <c r="H796" s="58" t="s">
        <v>669</v>
      </c>
      <c r="I796" s="60">
        <f>SUMIFS(Movimentações!$F$6:$F$4998,Movimentações!$C$6:$C$4998,A796,Movimentações!$M$6:$M$4998,M796)</f>
        <v>30</v>
      </c>
      <c r="J796" s="43" t="s">
        <v>670</v>
      </c>
      <c r="K796" s="58" t="s">
        <v>671</v>
      </c>
      <c r="L796" s="41">
        <v>2</v>
      </c>
      <c r="M796" s="61" t="s">
        <v>1844</v>
      </c>
      <c r="N796" s="58" t="str">
        <f t="shared" si="29"/>
        <v>Rua A · Prat 2 · C-295</v>
      </c>
      <c r="P796">
        <f>IF(A796="","",IF(AND(K796&lt;&gt;"",L796&lt;&gt;""),IF(COUNTIFS($K$6:K796,K796,$L$6:L796,L796)=1,1,0),0))</f>
        <v>0</v>
      </c>
      <c r="Q796">
        <f>IF(A796="","",IF(AND(K796&lt;&gt;"",M796&lt;&gt;""),IF(COUNTIFS($K$6:K796,K796,$M$6:M796,M796)=1,1,0),0))</f>
        <v>1</v>
      </c>
      <c r="R796">
        <f>IF(A796="","",IF(M796&lt;&gt;"",IF(COUNTIF($M$6:M796,M796)=1,1,0),0))</f>
        <v>1</v>
      </c>
      <c r="T796" t="str">
        <f>IF($A796="","",IF(AND($M796&lt;&gt;"",$M796='Mapa do Galpão'!$C$20),COUNTIF($M$6:$M796,'Mapa do Galpão'!$C$20),""))</f>
        <v/>
      </c>
    </row>
    <row r="797" spans="1:20" ht="14.25" hidden="1" customHeight="1" x14ac:dyDescent="0.3">
      <c r="A797" s="78" t="s">
        <v>1843</v>
      </c>
      <c r="B797" s="50" t="s">
        <v>1424</v>
      </c>
      <c r="C797" s="172" t="s">
        <v>560</v>
      </c>
      <c r="D797" s="75" t="str">
        <f t="shared" si="28"/>
        <v>Masculino</v>
      </c>
      <c r="E797" s="58" t="s">
        <v>666</v>
      </c>
      <c r="F797" s="58" t="s">
        <v>1827</v>
      </c>
      <c r="G797" s="58" t="s">
        <v>668</v>
      </c>
      <c r="H797" s="58" t="s">
        <v>680</v>
      </c>
      <c r="I797" s="60">
        <f>SUMIFS(Movimentações!$F$6:$F$4998,Movimentações!$C$6:$C$4998,A797,Movimentações!$M$6:$M$4998,M797)</f>
        <v>70</v>
      </c>
      <c r="J797" s="63" t="s">
        <v>670</v>
      </c>
      <c r="K797" s="58" t="s">
        <v>671</v>
      </c>
      <c r="L797" s="41">
        <v>2</v>
      </c>
      <c r="M797" s="61" t="s">
        <v>1844</v>
      </c>
      <c r="N797" s="58" t="str">
        <f t="shared" si="29"/>
        <v>Rua A · Prat 2 · C-295</v>
      </c>
      <c r="P797">
        <f>IF(A797="","",IF(AND(K797&lt;&gt;"",L797&lt;&gt;""),IF(COUNTIFS($K$6:K797,K797,$L$6:L797,L797)=1,1,0),0))</f>
        <v>0</v>
      </c>
      <c r="Q797">
        <f>IF(A797="","",IF(AND(K797&lt;&gt;"",M797&lt;&gt;""),IF(COUNTIFS($K$6:K797,K797,$M$6:M797,M797)=1,1,0),0))</f>
        <v>0</v>
      </c>
      <c r="R797">
        <f>IF(A797="","",IF(M797&lt;&gt;"",IF(COUNTIF($M$6:M797,M797)=1,1,0),0))</f>
        <v>0</v>
      </c>
      <c r="T797" t="str">
        <f>IF($A797="","",IF(AND($M797&lt;&gt;"",$M797='Mapa do Galpão'!$C$20),COUNTIF($M$6:$M797,'Mapa do Galpão'!$C$20),""))</f>
        <v/>
      </c>
    </row>
    <row r="798" spans="1:20" ht="14.25" hidden="1" customHeight="1" x14ac:dyDescent="0.3">
      <c r="A798" s="71" t="s">
        <v>1829</v>
      </c>
      <c r="B798" s="79" t="s">
        <v>1424</v>
      </c>
      <c r="C798" s="172" t="s">
        <v>553</v>
      </c>
      <c r="D798" s="64" t="str">
        <f t="shared" si="28"/>
        <v>Masculino</v>
      </c>
      <c r="E798" s="80" t="s">
        <v>666</v>
      </c>
      <c r="F798" s="80" t="s">
        <v>1827</v>
      </c>
      <c r="G798" s="65" t="s">
        <v>668</v>
      </c>
      <c r="H798" s="65" t="s">
        <v>675</v>
      </c>
      <c r="I798" s="66">
        <f>SUMIFS(Movimentações!$F$6:$F$4998,Movimentações!$C$6:$C$4998,A798,Movimentações!$M$6:$M$4998,M798)</f>
        <v>100</v>
      </c>
      <c r="J798" s="65" t="s">
        <v>670</v>
      </c>
      <c r="K798" s="65" t="s">
        <v>671</v>
      </c>
      <c r="L798" s="67">
        <v>2</v>
      </c>
      <c r="M798" s="65" t="s">
        <v>1845</v>
      </c>
      <c r="N798" s="65" t="str">
        <f t="shared" si="29"/>
        <v>Rua A · Prat 2 · C-296</v>
      </c>
      <c r="P798">
        <f>IF(A798="","",IF(AND(K798&lt;&gt;"",L798&lt;&gt;""),IF(COUNTIFS($K$6:K798,K798,$L$6:L798,L798)=1,1,0),0))</f>
        <v>0</v>
      </c>
      <c r="Q798">
        <f>IF(A798="","",IF(AND(K798&lt;&gt;"",M798&lt;&gt;""),IF(COUNTIFS($K$6:K798,K798,$M$6:M798,M798)=1,1,0),0))</f>
        <v>1</v>
      </c>
      <c r="R798">
        <f>IF(A798="","",IF(M798&lt;&gt;"",IF(COUNTIF($M$6:M798,M798)=1,1,0),0))</f>
        <v>1</v>
      </c>
      <c r="T798" t="str">
        <f>IF($A798="","",IF(AND($M798&lt;&gt;"",$M798='Mapa do Galpão'!$C$20),COUNTIF($M$6:$M798,'Mapa do Galpão'!$C$20),""))</f>
        <v/>
      </c>
    </row>
    <row r="799" spans="1:20" ht="14.25" hidden="1" customHeight="1" x14ac:dyDescent="0.3">
      <c r="A799" s="81" t="s">
        <v>1846</v>
      </c>
      <c r="B799" s="82" t="s">
        <v>1424</v>
      </c>
      <c r="C799" s="175" t="s">
        <v>561</v>
      </c>
      <c r="D799" s="56" t="str">
        <f t="shared" si="28"/>
        <v>Feminino</v>
      </c>
      <c r="E799" s="68" t="s">
        <v>684</v>
      </c>
      <c r="F799" s="68" t="s">
        <v>1847</v>
      </c>
      <c r="G799" s="68" t="s">
        <v>1075</v>
      </c>
      <c r="H799" s="68" t="s">
        <v>669</v>
      </c>
      <c r="I799" s="69">
        <f>SUMIFS(Movimentações!$F$6:$F$4998,Movimentações!$C$6:$C$4998,A799,Movimentações!$M$6:$M$4998,M799)</f>
        <v>47</v>
      </c>
      <c r="J799" s="68" t="s">
        <v>670</v>
      </c>
      <c r="K799" s="68" t="s">
        <v>671</v>
      </c>
      <c r="L799" s="70">
        <v>2</v>
      </c>
      <c r="M799" s="68" t="s">
        <v>1848</v>
      </c>
      <c r="N799" s="68" t="str">
        <f t="shared" si="29"/>
        <v>Rua A · Prat 2 · C-297</v>
      </c>
      <c r="P799">
        <f>IF(A799="","",IF(AND(K799&lt;&gt;"",L799&lt;&gt;""),IF(COUNTIFS($K$6:K799,K799,$L$6:L799,L799)=1,1,0),0))</f>
        <v>0</v>
      </c>
      <c r="Q799">
        <f>IF(A799="","",IF(AND(K799&lt;&gt;"",M799&lt;&gt;""),IF(COUNTIFS($K$6:K799,K799,$M$6:M799,M799)=1,1,0),0))</f>
        <v>1</v>
      </c>
      <c r="R799">
        <f>IF(A799="","",IF(M799&lt;&gt;"",IF(COUNTIF($M$6:M799,M799)=1,1,0),0))</f>
        <v>1</v>
      </c>
      <c r="T799" t="str">
        <f>IF($A799="","",IF(AND($M799&lt;&gt;"",$M799='Mapa do Galpão'!$C$20),COUNTIF($M$6:$M799,'Mapa do Galpão'!$C$20),""))</f>
        <v/>
      </c>
    </row>
    <row r="800" spans="1:20" ht="14.25" hidden="1" customHeight="1" x14ac:dyDescent="0.3">
      <c r="A800" s="81" t="s">
        <v>1849</v>
      </c>
      <c r="B800" s="82" t="s">
        <v>1424</v>
      </c>
      <c r="C800" s="175" t="s">
        <v>562</v>
      </c>
      <c r="D800" s="56" t="str">
        <f t="shared" si="28"/>
        <v>Feminino</v>
      </c>
      <c r="E800" s="68" t="s">
        <v>684</v>
      </c>
      <c r="F800" s="68" t="s">
        <v>1847</v>
      </c>
      <c r="G800" s="68" t="s">
        <v>1075</v>
      </c>
      <c r="H800" s="68" t="s">
        <v>682</v>
      </c>
      <c r="I800" s="69">
        <f>SUMIFS(Movimentações!$F$6:$F$4998,Movimentações!$C$6:$C$4998,A800,Movimentações!$M$6:$M$4998,M800)</f>
        <v>25</v>
      </c>
      <c r="J800" s="68" t="s">
        <v>670</v>
      </c>
      <c r="K800" s="68" t="s">
        <v>671</v>
      </c>
      <c r="L800" s="70">
        <v>2</v>
      </c>
      <c r="M800" s="68" t="s">
        <v>1848</v>
      </c>
      <c r="N800" s="68" t="str">
        <f t="shared" si="29"/>
        <v>Rua A · Prat 2 · C-297</v>
      </c>
      <c r="P800">
        <f>IF(A800="","",IF(AND(K800&lt;&gt;"",L800&lt;&gt;""),IF(COUNTIFS($K$6:K800,K800,$L$6:L800,L800)=1,1,0),0))</f>
        <v>0</v>
      </c>
      <c r="Q800">
        <f>IF(A800="","",IF(AND(K800&lt;&gt;"",M800&lt;&gt;""),IF(COUNTIFS($K$6:K800,K800,$M$6:M800,M800)=1,1,0),0))</f>
        <v>0</v>
      </c>
      <c r="R800">
        <f>IF(A800="","",IF(M800&lt;&gt;"",IF(COUNTIF($M$6:M800,M800)=1,1,0),0))</f>
        <v>0</v>
      </c>
      <c r="T800" t="str">
        <f>IF($A800="","",IF(AND($M800&lt;&gt;"",$M800='Mapa do Galpão'!$C$20),COUNTIF($M$6:$M800,'Mapa do Galpão'!$C$20),""))</f>
        <v/>
      </c>
    </row>
    <row r="801" spans="1:20" ht="14.25" hidden="1" customHeight="1" x14ac:dyDescent="0.3">
      <c r="A801" s="83" t="s">
        <v>1850</v>
      </c>
      <c r="B801" s="82" t="s">
        <v>1424</v>
      </c>
      <c r="C801" s="175" t="s">
        <v>563</v>
      </c>
      <c r="D801" s="56" t="str">
        <f t="shared" si="28"/>
        <v>Feminino</v>
      </c>
      <c r="E801" s="68" t="s">
        <v>684</v>
      </c>
      <c r="F801" s="68" t="s">
        <v>1847</v>
      </c>
      <c r="G801" s="68" t="s">
        <v>1075</v>
      </c>
      <c r="H801" s="68" t="s">
        <v>677</v>
      </c>
      <c r="I801" s="69">
        <f>SUMIFS(Movimentações!$F$6:$F$4998,Movimentações!$C$6:$C$4998,A801,Movimentações!$M$6:$M$4998,M801)</f>
        <v>12</v>
      </c>
      <c r="J801" s="68" t="s">
        <v>670</v>
      </c>
      <c r="K801" s="68" t="s">
        <v>671</v>
      </c>
      <c r="L801" s="70">
        <v>2</v>
      </c>
      <c r="M801" s="68" t="s">
        <v>1848</v>
      </c>
      <c r="N801" s="68" t="str">
        <f t="shared" si="29"/>
        <v>Rua A · Prat 2 · C-297</v>
      </c>
      <c r="P801">
        <f>IF(A801="","",IF(AND(K801&lt;&gt;"",L801&lt;&gt;""),IF(COUNTIFS($K$6:K801,K801,$L$6:L801,L801)=1,1,0),0))</f>
        <v>0</v>
      </c>
      <c r="Q801">
        <f>IF(A801="","",IF(AND(K801&lt;&gt;"",M801&lt;&gt;""),IF(COUNTIFS($K$6:K801,K801,$M$6:M801,M801)=1,1,0),0))</f>
        <v>0</v>
      </c>
      <c r="R801">
        <f>IF(A801="","",IF(M801&lt;&gt;"",IF(COUNTIF($M$6:M801,M801)=1,1,0),0))</f>
        <v>0</v>
      </c>
      <c r="T801" t="str">
        <f>IF($A801="","",IF(AND($M801&lt;&gt;"",$M801='Mapa do Galpão'!$C$20),COUNTIF($M$6:$M801,'Mapa do Galpão'!$C$20),""))</f>
        <v/>
      </c>
    </row>
    <row r="802" spans="1:20" ht="14.25" hidden="1" customHeight="1" x14ac:dyDescent="0.3">
      <c r="A802" s="84" t="s">
        <v>1851</v>
      </c>
      <c r="B802" s="82" t="s">
        <v>1424</v>
      </c>
      <c r="C802" s="175" t="s">
        <v>564</v>
      </c>
      <c r="D802" s="56" t="str">
        <f t="shared" si="28"/>
        <v>Masculino</v>
      </c>
      <c r="E802" s="68" t="s">
        <v>684</v>
      </c>
      <c r="F802" s="68" t="s">
        <v>1833</v>
      </c>
      <c r="G802" s="68" t="s">
        <v>1075</v>
      </c>
      <c r="H802" s="68" t="s">
        <v>682</v>
      </c>
      <c r="I802" s="69">
        <f>SUMIFS(Movimentações!$F$6:$F$4998,Movimentações!$C$6:$C$4998,A802,Movimentações!$M$6:$M$4998,M802)</f>
        <v>55</v>
      </c>
      <c r="J802" s="68" t="s">
        <v>670</v>
      </c>
      <c r="K802" s="68" t="s">
        <v>671</v>
      </c>
      <c r="L802" s="70">
        <v>2</v>
      </c>
      <c r="M802" s="68" t="s">
        <v>1852</v>
      </c>
      <c r="N802" s="68" t="str">
        <f t="shared" si="29"/>
        <v>Rua A · Prat 2 · C-298</v>
      </c>
      <c r="P802">
        <f>IF(A802="","",IF(AND(K802&lt;&gt;"",L802&lt;&gt;""),IF(COUNTIFS($K$6:K802,K802,$L$6:L802,L802)=1,1,0),0))</f>
        <v>0</v>
      </c>
      <c r="Q802">
        <f>IF(A802="","",IF(AND(K802&lt;&gt;"",M802&lt;&gt;""),IF(COUNTIFS($K$6:K802,K802,$M$6:M802,M802)=1,1,0),0))</f>
        <v>1</v>
      </c>
      <c r="R802">
        <f>IF(A802="","",IF(M802&lt;&gt;"",IF(COUNTIF($M$6:M802,M802)=1,1,0),0))</f>
        <v>1</v>
      </c>
      <c r="T802" t="str">
        <f>IF($A802="","",IF(AND($M802&lt;&gt;"",$M802='Mapa do Galpão'!$C$20),COUNTIF($M$6:$M802,'Mapa do Galpão'!$C$20),""))</f>
        <v/>
      </c>
    </row>
    <row r="803" spans="1:20" ht="14.25" hidden="1" customHeight="1" x14ac:dyDescent="0.3">
      <c r="A803" s="81" t="s">
        <v>1836</v>
      </c>
      <c r="B803" s="82" t="s">
        <v>1424</v>
      </c>
      <c r="C803" s="175" t="s">
        <v>557</v>
      </c>
      <c r="D803" s="56" t="str">
        <f t="shared" si="28"/>
        <v>Masculino</v>
      </c>
      <c r="E803" s="68" t="s">
        <v>684</v>
      </c>
      <c r="F803" s="68" t="s">
        <v>1833</v>
      </c>
      <c r="G803" s="68" t="s">
        <v>1075</v>
      </c>
      <c r="H803" s="68" t="s">
        <v>675</v>
      </c>
      <c r="I803" s="69">
        <f>SUMIFS(Movimentações!$F$6:$F$4998,Movimentações!$C$6:$C$4998,A803,Movimentações!$M$6:$M$4998,M803)</f>
        <v>19</v>
      </c>
      <c r="J803" s="68" t="s">
        <v>670</v>
      </c>
      <c r="K803" s="68" t="s">
        <v>671</v>
      </c>
      <c r="L803" s="70">
        <v>2</v>
      </c>
      <c r="M803" s="68" t="s">
        <v>1852</v>
      </c>
      <c r="N803" s="68" t="str">
        <f t="shared" si="29"/>
        <v>Rua A · Prat 2 · C-298</v>
      </c>
      <c r="P803">
        <f>IF(A803="","",IF(AND(K803&lt;&gt;"",L803&lt;&gt;""),IF(COUNTIFS($K$6:K803,K803,$L$6:L803,L803)=1,1,0),0))</f>
        <v>0</v>
      </c>
      <c r="Q803">
        <f>IF(A803="","",IF(AND(K803&lt;&gt;"",M803&lt;&gt;""),IF(COUNTIFS($K$6:K803,K803,$M$6:M803,M803)=1,1,0),0))</f>
        <v>0</v>
      </c>
      <c r="R803">
        <f>IF(A803="","",IF(M803&lt;&gt;"",IF(COUNTIF($M$6:M803,M803)=1,1,0),0))</f>
        <v>0</v>
      </c>
      <c r="T803" t="str">
        <f>IF($A803="","",IF(AND($M803&lt;&gt;"",$M803='Mapa do Galpão'!$C$20),COUNTIF($M$6:$M803,'Mapa do Galpão'!$C$20),""))</f>
        <v/>
      </c>
    </row>
    <row r="804" spans="1:20" ht="14.25" hidden="1" customHeight="1" x14ac:dyDescent="0.3">
      <c r="A804" s="81" t="s">
        <v>1853</v>
      </c>
      <c r="B804" s="82" t="s">
        <v>1424</v>
      </c>
      <c r="C804" s="175" t="s">
        <v>565</v>
      </c>
      <c r="D804" s="56" t="str">
        <f t="shared" si="28"/>
        <v>Masculino</v>
      </c>
      <c r="E804" s="68" t="s">
        <v>684</v>
      </c>
      <c r="F804" s="68" t="s">
        <v>1833</v>
      </c>
      <c r="G804" s="68" t="s">
        <v>1075</v>
      </c>
      <c r="H804" s="68" t="s">
        <v>1842</v>
      </c>
      <c r="I804" s="69">
        <f>SUMIFS(Movimentações!$F$6:$F$4998,Movimentações!$C$6:$C$4998,A804,Movimentações!$M$6:$M$4998,M804)</f>
        <v>21</v>
      </c>
      <c r="J804" s="68" t="s">
        <v>670</v>
      </c>
      <c r="K804" s="68" t="s">
        <v>671</v>
      </c>
      <c r="L804" s="70">
        <v>2</v>
      </c>
      <c r="M804" s="68" t="s">
        <v>1854</v>
      </c>
      <c r="N804" s="68" t="str">
        <f t="shared" si="29"/>
        <v>Rua A · Prat 2 · C-299</v>
      </c>
      <c r="P804">
        <f>IF(A804="","",IF(AND(K804&lt;&gt;"",L804&lt;&gt;""),IF(COUNTIFS($K$6:K804,K804,$L$6:L804,L804)=1,1,0),0))</f>
        <v>0</v>
      </c>
      <c r="Q804">
        <f>IF(A804="","",IF(AND(K804&lt;&gt;"",M804&lt;&gt;""),IF(COUNTIFS($K$6:K804,K804,$M$6:M804,M804)=1,1,0),0))</f>
        <v>1</v>
      </c>
      <c r="R804">
        <f>IF(A804="","",IF(M804&lt;&gt;"",IF(COUNTIF($M$6:M804,M804)=1,1,0),0))</f>
        <v>1</v>
      </c>
      <c r="T804" t="str">
        <f>IF($A804="","",IF(AND($M804&lt;&gt;"",$M804='Mapa do Galpão'!$C$20),COUNTIF($M$6:$M804,'Mapa do Galpão'!$C$20),""))</f>
        <v/>
      </c>
    </row>
    <row r="805" spans="1:20" ht="14.25" hidden="1" customHeight="1" x14ac:dyDescent="0.3">
      <c r="A805" s="83" t="s">
        <v>1855</v>
      </c>
      <c r="B805" s="82" t="s">
        <v>1424</v>
      </c>
      <c r="C805" s="175" t="s">
        <v>566</v>
      </c>
      <c r="D805" s="56" t="str">
        <f t="shared" si="28"/>
        <v>Feminino</v>
      </c>
      <c r="E805" s="68" t="s">
        <v>684</v>
      </c>
      <c r="F805" s="68" t="s">
        <v>1847</v>
      </c>
      <c r="G805" s="68" t="s">
        <v>1075</v>
      </c>
      <c r="H805" s="68" t="s">
        <v>680</v>
      </c>
      <c r="I805" s="69">
        <f>SUMIFS(Movimentações!$F$6:$F$4998,Movimentações!$C$6:$C$4998,A805,Movimentações!$M$6:$M$4998,M805)</f>
        <v>50</v>
      </c>
      <c r="J805" s="68" t="s">
        <v>670</v>
      </c>
      <c r="K805" s="68" t="s">
        <v>671</v>
      </c>
      <c r="L805" s="70">
        <v>2</v>
      </c>
      <c r="M805" s="68" t="s">
        <v>1856</v>
      </c>
      <c r="N805" s="68" t="str">
        <f t="shared" si="29"/>
        <v>Rua A · Prat 2 · C-300</v>
      </c>
      <c r="P805">
        <f>IF(A805="","",IF(AND(K805&lt;&gt;"",L805&lt;&gt;""),IF(COUNTIFS($K$6:K805,K805,$L$6:L805,L805)=1,1,0),0))</f>
        <v>0</v>
      </c>
      <c r="Q805">
        <f>IF(A805="","",IF(AND(K805&lt;&gt;"",M805&lt;&gt;""),IF(COUNTIFS($K$6:K805,K805,$M$6:M805,M805)=1,1,0),0))</f>
        <v>1</v>
      </c>
      <c r="R805">
        <f>IF(A805="","",IF(M805&lt;&gt;"",IF(COUNTIF($M$6:M805,M805)=1,1,0),0))</f>
        <v>1</v>
      </c>
      <c r="T805" t="str">
        <f>IF($A805="","",IF(AND($M805&lt;&gt;"",$M805='Mapa do Galpão'!$C$20),COUNTIF($M$6:$M805,'Mapa do Galpão'!$C$20),""))</f>
        <v/>
      </c>
    </row>
    <row r="806" spans="1:20" ht="14.25" hidden="1" customHeight="1" x14ac:dyDescent="0.3">
      <c r="A806" s="81" t="s">
        <v>1857</v>
      </c>
      <c r="B806" s="82" t="s">
        <v>1424</v>
      </c>
      <c r="C806" s="175" t="s">
        <v>567</v>
      </c>
      <c r="D806" s="56" t="str">
        <f t="shared" si="28"/>
        <v>Feminino</v>
      </c>
      <c r="E806" s="68" t="s">
        <v>684</v>
      </c>
      <c r="F806" s="68" t="s">
        <v>1847</v>
      </c>
      <c r="G806" s="68" t="s">
        <v>1075</v>
      </c>
      <c r="H806" s="68" t="s">
        <v>675</v>
      </c>
      <c r="I806" s="69">
        <f>SUMIFS(Movimentações!$F$6:$F$4998,Movimentações!$C$6:$C$4998,A806,Movimentações!$M$6:$M$4998,M806)</f>
        <v>48</v>
      </c>
      <c r="J806" s="68" t="s">
        <v>670</v>
      </c>
      <c r="K806" s="68" t="s">
        <v>671</v>
      </c>
      <c r="L806" s="70">
        <v>2</v>
      </c>
      <c r="M806" s="68" t="s">
        <v>1856</v>
      </c>
      <c r="N806" s="68" t="str">
        <f t="shared" si="29"/>
        <v>Rua A · Prat 2 · C-300</v>
      </c>
      <c r="P806">
        <f>IF(A806="","",IF(AND(K806&lt;&gt;"",L806&lt;&gt;""),IF(COUNTIFS($K$6:K806,K806,$L$6:L806,L806)=1,1,0),0))</f>
        <v>0</v>
      </c>
      <c r="Q806">
        <f>IF(A806="","",IF(AND(K806&lt;&gt;"",M806&lt;&gt;""),IF(COUNTIFS($K$6:K806,K806,$M$6:M806,M806)=1,1,0),0))</f>
        <v>0</v>
      </c>
      <c r="R806">
        <f>IF(A806="","",IF(M806&lt;&gt;"",IF(COUNTIF($M$6:M806,M806)=1,1,0),0))</f>
        <v>0</v>
      </c>
      <c r="T806" t="str">
        <f>IF($A806="","",IF(AND($M806&lt;&gt;"",$M806='Mapa do Galpão'!$C$20),COUNTIF($M$6:$M806,'Mapa do Galpão'!$C$20),""))</f>
        <v/>
      </c>
    </row>
    <row r="807" spans="1:20" ht="14.25" hidden="1" customHeight="1" x14ac:dyDescent="0.3">
      <c r="A807" s="73" t="s">
        <v>1858</v>
      </c>
      <c r="B807" s="85" t="s">
        <v>1424</v>
      </c>
      <c r="C807" s="174" t="s">
        <v>2126</v>
      </c>
      <c r="D807" s="64" t="str">
        <f t="shared" si="28"/>
        <v>Masculino</v>
      </c>
      <c r="E807" s="86" t="s">
        <v>684</v>
      </c>
      <c r="F807" s="86" t="s">
        <v>1833</v>
      </c>
      <c r="G807" s="68" t="s">
        <v>1075</v>
      </c>
      <c r="H807" s="68" t="s">
        <v>669</v>
      </c>
      <c r="I807" s="69">
        <f>SUMIFS(Movimentações!$F$6:$F$4998,Movimentações!$C$6:$C$4998,A807,Movimentações!$M$6:$M$4998,M807)</f>
        <v>91</v>
      </c>
      <c r="J807" s="68" t="s">
        <v>670</v>
      </c>
      <c r="K807" s="68" t="s">
        <v>671</v>
      </c>
      <c r="L807" s="70">
        <v>2</v>
      </c>
      <c r="M807" s="68" t="s">
        <v>1859</v>
      </c>
      <c r="N807" s="68" t="str">
        <f t="shared" si="29"/>
        <v>Rua A · Prat 2 · C-301</v>
      </c>
      <c r="P807">
        <f>IF(A807="","",IF(AND(K807&lt;&gt;"",L807&lt;&gt;""),IF(COUNTIFS($K$6:K807,K807,$L$6:L807,L807)=1,1,0),0))</f>
        <v>0</v>
      </c>
      <c r="Q807">
        <f>IF(A807="","",IF(AND(K807&lt;&gt;"",M807&lt;&gt;""),IF(COUNTIFS($K$6:K807,K807,$M$6:M807,M807)=1,1,0),0))</f>
        <v>1</v>
      </c>
      <c r="R807">
        <f>IF(A807="","",IF(M807&lt;&gt;"",IF(COUNTIF($M$6:M807,M807)=1,1,0),0))</f>
        <v>1</v>
      </c>
      <c r="T807" t="str">
        <f>IF($A807="","",IF(AND($M807&lt;&gt;"",$M807='Mapa do Galpão'!$C$20),COUNTIF($M$6:$M807,'Mapa do Galpão'!$C$20),""))</f>
        <v/>
      </c>
    </row>
    <row r="808" spans="1:20" ht="14.25" hidden="1" customHeight="1" x14ac:dyDescent="0.3">
      <c r="A808" s="72" t="s">
        <v>1860</v>
      </c>
      <c r="B808" s="50" t="s">
        <v>1424</v>
      </c>
      <c r="C808" s="174" t="s">
        <v>568</v>
      </c>
      <c r="D808" s="64" t="str">
        <f t="shared" si="28"/>
        <v>Feminino</v>
      </c>
      <c r="E808" s="68" t="s">
        <v>684</v>
      </c>
      <c r="F808" s="68" t="s">
        <v>1847</v>
      </c>
      <c r="G808" s="68" t="s">
        <v>1075</v>
      </c>
      <c r="H808" s="68" t="s">
        <v>756</v>
      </c>
      <c r="I808" s="69">
        <f>SUMIFS(Movimentações!$F$6:$F$4998,Movimentações!$C$6:$C$4998,A808,Movimentações!$M$6:$M$4998,M808)</f>
        <v>25</v>
      </c>
      <c r="J808" s="68" t="s">
        <v>670</v>
      </c>
      <c r="K808" s="68" t="s">
        <v>671</v>
      </c>
      <c r="L808" s="70">
        <v>2</v>
      </c>
      <c r="M808" s="68" t="s">
        <v>1861</v>
      </c>
      <c r="N808" s="68" t="str">
        <f t="shared" si="29"/>
        <v>Rua A · Prat 2 · C-302</v>
      </c>
      <c r="P808">
        <f>IF(A808="","",IF(AND(K808&lt;&gt;"",L808&lt;&gt;""),IF(COUNTIFS($K$6:K808,K808,$L$6:L808,L808)=1,1,0),0))</f>
        <v>0</v>
      </c>
      <c r="Q808">
        <f>IF(A808="","",IF(AND(K808&lt;&gt;"",M808&lt;&gt;""),IF(COUNTIFS($K$6:K808,K808,$M$6:M808,M808)=1,1,0),0))</f>
        <v>1</v>
      </c>
      <c r="R808">
        <f>IF(A808="","",IF(M808&lt;&gt;"",IF(COUNTIF($M$6:M808,M808)=1,1,0),0))</f>
        <v>1</v>
      </c>
      <c r="T808" t="str">
        <f>IF($A808="","",IF(AND($M808&lt;&gt;"",$M808='Mapa do Galpão'!$C$20),COUNTIF($M$6:$M808,'Mapa do Galpão'!$C$20),""))</f>
        <v/>
      </c>
    </row>
    <row r="809" spans="1:20" ht="14.25" hidden="1" customHeight="1" x14ac:dyDescent="0.3">
      <c r="A809" s="71" t="s">
        <v>1862</v>
      </c>
      <c r="B809" s="79" t="s">
        <v>1424</v>
      </c>
      <c r="C809" s="174" t="s">
        <v>567</v>
      </c>
      <c r="D809" s="64" t="str">
        <f t="shared" si="28"/>
        <v>Feminino</v>
      </c>
      <c r="E809" s="87" t="s">
        <v>684</v>
      </c>
      <c r="F809" s="87" t="s">
        <v>1847</v>
      </c>
      <c r="G809" s="87" t="s">
        <v>1075</v>
      </c>
      <c r="H809" s="68" t="s">
        <v>675</v>
      </c>
      <c r="I809" s="69">
        <f>SUMIFS(Movimentações!$F$6:$F$4998,Movimentações!$C$6:$C$4998,A809,Movimentações!$M$6:$M$4998,M809)</f>
        <v>6</v>
      </c>
      <c r="J809" s="68" t="s">
        <v>670</v>
      </c>
      <c r="K809" s="68" t="s">
        <v>671</v>
      </c>
      <c r="L809" s="70">
        <v>2</v>
      </c>
      <c r="M809" s="68" t="s">
        <v>1861</v>
      </c>
      <c r="N809" s="68" t="str">
        <f t="shared" si="29"/>
        <v>Rua A · Prat 2 · C-302</v>
      </c>
      <c r="P809">
        <f>IF(A809="","",IF(AND(K809&lt;&gt;"",L809&lt;&gt;""),IF(COUNTIFS($K$6:K809,K809,$L$6:L809,L809)=1,1,0),0))</f>
        <v>0</v>
      </c>
      <c r="Q809">
        <f>IF(A809="","",IF(AND(K809&lt;&gt;"",M809&lt;&gt;""),IF(COUNTIFS($K$6:K809,K809,$M$6:M809,M809)=1,1,0),0))</f>
        <v>0</v>
      </c>
      <c r="R809">
        <f>IF(A809="","",IF(M809&lt;&gt;"",IF(COUNTIF($M$6:M809,M809)=1,1,0),0))</f>
        <v>0</v>
      </c>
      <c r="T809" t="str">
        <f>IF($A809="","",IF(AND($M809&lt;&gt;"",$M809='Mapa do Galpão'!$C$20),COUNTIF($M$6:$M809,'Mapa do Galpão'!$C$20),""))</f>
        <v/>
      </c>
    </row>
    <row r="810" spans="1:20" ht="14.25" hidden="1" customHeight="1" x14ac:dyDescent="0.3">
      <c r="A810" s="68" t="s">
        <v>1855</v>
      </c>
      <c r="B810" s="82" t="s">
        <v>1424</v>
      </c>
      <c r="C810" s="175" t="s">
        <v>566</v>
      </c>
      <c r="D810" s="56" t="str">
        <f t="shared" si="28"/>
        <v>Feminino</v>
      </c>
      <c r="E810" s="68" t="s">
        <v>684</v>
      </c>
      <c r="F810" s="68" t="s">
        <v>1847</v>
      </c>
      <c r="G810" s="68" t="s">
        <v>1075</v>
      </c>
      <c r="H810" s="88" t="s">
        <v>680</v>
      </c>
      <c r="I810" s="69">
        <f>SUMIFS(Movimentações!$F$6:$F$4998,Movimentações!$C$6:$C$4998,A810,Movimentações!$M$6:$M$4998,M810)</f>
        <v>3</v>
      </c>
      <c r="J810" s="68" t="s">
        <v>670</v>
      </c>
      <c r="K810" s="68" t="s">
        <v>671</v>
      </c>
      <c r="L810" s="70">
        <v>2</v>
      </c>
      <c r="M810" s="68" t="s">
        <v>1861</v>
      </c>
      <c r="N810" s="68" t="str">
        <f t="shared" si="29"/>
        <v>Rua A · Prat 2 · C-302</v>
      </c>
      <c r="P810">
        <f>IF(A810="","",IF(AND(K810&lt;&gt;"",L810&lt;&gt;""),IF(COUNTIFS($K$6:K810,K810,$L$6:L810,L810)=1,1,0),0))</f>
        <v>0</v>
      </c>
      <c r="Q810">
        <f>IF(A810="","",IF(AND(K810&lt;&gt;"",M810&lt;&gt;""),IF(COUNTIFS($K$6:K810,K810,$M$6:M810,M810)=1,1,0),0))</f>
        <v>0</v>
      </c>
      <c r="R810">
        <f>IF(A810="","",IF(M810&lt;&gt;"",IF(COUNTIF($M$6:M810,M810)=1,1,0),0))</f>
        <v>0</v>
      </c>
      <c r="T810" t="str">
        <f>IF($A810="","",IF(AND($M810&lt;&gt;"",$M810='Mapa do Galpão'!$C$20),COUNTIF($M$6:$M810,'Mapa do Galpão'!$C$20),""))</f>
        <v/>
      </c>
    </row>
    <row r="811" spans="1:20" ht="14.25" hidden="1" customHeight="1" x14ac:dyDescent="0.3">
      <c r="A811" s="49" t="s">
        <v>1863</v>
      </c>
      <c r="B811" s="82" t="s">
        <v>1424</v>
      </c>
      <c r="C811" s="175" t="s">
        <v>569</v>
      </c>
      <c r="D811" s="56" t="str">
        <f t="shared" si="28"/>
        <v>Masculino</v>
      </c>
      <c r="E811" s="68" t="s">
        <v>1864</v>
      </c>
      <c r="F811" s="68" t="s">
        <v>1865</v>
      </c>
      <c r="G811" s="68" t="s">
        <v>1079</v>
      </c>
      <c r="H811" s="89" t="s">
        <v>675</v>
      </c>
      <c r="I811" s="69">
        <f>SUMIFS(Movimentações!$F$6:$F$4998,Movimentações!$C$6:$C$4998,A811,Movimentações!$M$6:$M$4998,M811)</f>
        <v>19</v>
      </c>
      <c r="J811" s="68" t="s">
        <v>670</v>
      </c>
      <c r="K811" s="68" t="s">
        <v>671</v>
      </c>
      <c r="L811" s="67">
        <v>6</v>
      </c>
      <c r="M811" s="68" t="s">
        <v>1866</v>
      </c>
      <c r="N811" s="68" t="str">
        <f t="shared" si="29"/>
        <v>Rua A · Prat 6 · C-303</v>
      </c>
      <c r="P811">
        <f>IF(A811="","",IF(AND(K811&lt;&gt;"",L811&lt;&gt;""),IF(COUNTIFS($K$6:K811,K811,$L$6:L811,L811)=1,1,0),0))</f>
        <v>0</v>
      </c>
      <c r="Q811">
        <f>IF(A811="","",IF(AND(K811&lt;&gt;"",M811&lt;&gt;""),IF(COUNTIFS($K$6:K811,K811,$M$6:M811,M811)=1,1,0),0))</f>
        <v>1</v>
      </c>
      <c r="R811">
        <f>IF(A811="","",IF(M811&lt;&gt;"",IF(COUNTIF($M$6:M811,M811)=1,1,0),0))</f>
        <v>1</v>
      </c>
      <c r="T811" t="str">
        <f>IF($A811="","",IF(AND($M811&lt;&gt;"",$M811='Mapa do Galpão'!$C$20),COUNTIF($M$6:$M811,'Mapa do Galpão'!$C$20),""))</f>
        <v/>
      </c>
    </row>
    <row r="812" spans="1:20" ht="14.25" hidden="1" customHeight="1" x14ac:dyDescent="0.3">
      <c r="A812" s="68" t="s">
        <v>1867</v>
      </c>
      <c r="B812" s="82" t="s">
        <v>1424</v>
      </c>
      <c r="C812" s="175" t="s">
        <v>570</v>
      </c>
      <c r="D812" s="56" t="str">
        <f t="shared" si="28"/>
        <v>Masculino</v>
      </c>
      <c r="E812" s="68" t="s">
        <v>1864</v>
      </c>
      <c r="F812" s="68" t="s">
        <v>1865</v>
      </c>
      <c r="G812" s="68" t="s">
        <v>1079</v>
      </c>
      <c r="H812" s="90" t="s">
        <v>682</v>
      </c>
      <c r="I812" s="69">
        <f>SUMIFS(Movimentações!$F$6:$F$4998,Movimentações!$C$6:$C$4998,A812,Movimentações!$M$6:$M$4998,M812)</f>
        <v>9</v>
      </c>
      <c r="J812" s="68" t="s">
        <v>670</v>
      </c>
      <c r="K812" s="49" t="s">
        <v>671</v>
      </c>
      <c r="L812" s="67">
        <v>6</v>
      </c>
      <c r="M812" s="49" t="s">
        <v>1866</v>
      </c>
      <c r="N812" s="49" t="str">
        <f t="shared" si="29"/>
        <v>Rua A · Prat 6 · C-303</v>
      </c>
      <c r="P812">
        <f>IF(A812="","",IF(AND(K812&lt;&gt;"",L812&lt;&gt;""),IF(COUNTIFS($K$6:K812,K812,$L$6:L812,L812)=1,1,0),0))</f>
        <v>0</v>
      </c>
      <c r="Q812">
        <f>IF(A812="","",IF(AND(K812&lt;&gt;"",M812&lt;&gt;""),IF(COUNTIFS($K$6:K812,K812,$M$6:M812,M812)=1,1,0),0))</f>
        <v>0</v>
      </c>
      <c r="R812">
        <f>IF(A812="","",IF(M812&lt;&gt;"",IF(COUNTIF($M$6:M812,M812)=1,1,0),0))</f>
        <v>0</v>
      </c>
      <c r="T812" t="str">
        <f>IF($A812="","",IF(AND($M812&lt;&gt;"",$M812='Mapa do Galpão'!$C$20),COUNTIF($M$6:$M812,'Mapa do Galpão'!$C$20),""))</f>
        <v/>
      </c>
    </row>
    <row r="813" spans="1:20" ht="14.25" hidden="1" customHeight="1" x14ac:dyDescent="0.3">
      <c r="A813" s="68" t="s">
        <v>1867</v>
      </c>
      <c r="B813" s="82" t="s">
        <v>1424</v>
      </c>
      <c r="C813" s="175" t="s">
        <v>570</v>
      </c>
      <c r="D813" s="56" t="str">
        <f t="shared" si="28"/>
        <v>Masculino</v>
      </c>
      <c r="E813" s="68" t="s">
        <v>1864</v>
      </c>
      <c r="F813" s="68" t="s">
        <v>1865</v>
      </c>
      <c r="G813" s="68" t="s">
        <v>1079</v>
      </c>
      <c r="H813" s="90" t="s">
        <v>682</v>
      </c>
      <c r="I813" s="49">
        <f>SUMIFS(Movimentações!$F$6:$F$4998,Movimentações!$C$6:$C$4998,A813,Movimentações!$M$6:$M$4998,M813)</f>
        <v>3</v>
      </c>
      <c r="J813" s="68" t="s">
        <v>670</v>
      </c>
      <c r="K813" s="49" t="s">
        <v>671</v>
      </c>
      <c r="L813" s="67">
        <v>6</v>
      </c>
      <c r="M813" s="49" t="s">
        <v>1868</v>
      </c>
      <c r="N813" s="49" t="str">
        <f t="shared" si="29"/>
        <v>Rua A · Prat 6 · C-304</v>
      </c>
      <c r="P813">
        <f>IF(A813="","",IF(AND(K813&lt;&gt;"",L813&lt;&gt;""),IF(COUNTIFS($K$6:K813,K813,$L$6:L813,L813)=1,1,0),0))</f>
        <v>0</v>
      </c>
      <c r="Q813">
        <f>IF(A813="","",IF(AND(K813&lt;&gt;"",M813&lt;&gt;""),IF(COUNTIFS($K$6:K813,K813,$M$6:M813,M813)=1,1,0),0))</f>
        <v>1</v>
      </c>
      <c r="R813">
        <f>IF(A813="","",IF(M813&lt;&gt;"",IF(COUNTIF($M$6:M813,M813)=1,1,0),0))</f>
        <v>1</v>
      </c>
      <c r="T813" t="str">
        <f>IF($A813="","",IF(AND($M813&lt;&gt;"",$M813='Mapa do Galpão'!$C$20),COUNTIF($M$6:$M813,'Mapa do Galpão'!$C$20),""))</f>
        <v/>
      </c>
    </row>
    <row r="814" spans="1:20" ht="14.25" hidden="1" customHeight="1" x14ac:dyDescent="0.3">
      <c r="A814" s="49" t="s">
        <v>1869</v>
      </c>
      <c r="B814" s="82" t="s">
        <v>1424</v>
      </c>
      <c r="C814" s="175" t="s">
        <v>571</v>
      </c>
      <c r="D814" s="56" t="str">
        <f t="shared" si="28"/>
        <v>Masculino</v>
      </c>
      <c r="E814" s="68" t="s">
        <v>1864</v>
      </c>
      <c r="F814" s="68" t="s">
        <v>1865</v>
      </c>
      <c r="G814" s="68" t="s">
        <v>1079</v>
      </c>
      <c r="H814" s="90" t="s">
        <v>669</v>
      </c>
      <c r="I814" s="49">
        <f>SUMIFS(Movimentações!$F$6:$F$4998,Movimentações!$C$6:$C$4998,A814,Movimentações!$M$6:$M$4998,M814)</f>
        <v>30</v>
      </c>
      <c r="J814" s="68" t="s">
        <v>670</v>
      </c>
      <c r="K814" s="49" t="s">
        <v>671</v>
      </c>
      <c r="L814" s="67">
        <v>6</v>
      </c>
      <c r="M814" s="49" t="s">
        <v>1868</v>
      </c>
      <c r="N814" s="49" t="str">
        <f t="shared" si="29"/>
        <v>Rua A · Prat 6 · C-304</v>
      </c>
      <c r="P814">
        <f>IF(A814="","",IF(AND(K814&lt;&gt;"",L814&lt;&gt;""),IF(COUNTIFS($K$6:K814,K814,$L$6:L814,L814)=1,1,0),0))</f>
        <v>0</v>
      </c>
      <c r="Q814">
        <f>IF(A814="","",IF(AND(K814&lt;&gt;"",M814&lt;&gt;""),IF(COUNTIFS($K$6:K814,K814,$M$6:M814,M814)=1,1,0),0))</f>
        <v>0</v>
      </c>
      <c r="R814">
        <f>IF(A814="","",IF(M814&lt;&gt;"",IF(COUNTIF($M$6:M814,M814)=1,1,0),0))</f>
        <v>0</v>
      </c>
      <c r="T814" t="str">
        <f>IF($A814="","",IF(AND($M814&lt;&gt;"",$M814='Mapa do Galpão'!$C$20),COUNTIF($M$6:$M814,'Mapa do Galpão'!$C$20),""))</f>
        <v/>
      </c>
    </row>
    <row r="815" spans="1:20" ht="14.25" hidden="1" customHeight="1" x14ac:dyDescent="0.3">
      <c r="A815" s="68" t="s">
        <v>1870</v>
      </c>
      <c r="B815" s="82" t="s">
        <v>1424</v>
      </c>
      <c r="C815" s="175" t="s">
        <v>572</v>
      </c>
      <c r="D815" s="56" t="str">
        <f t="shared" si="28"/>
        <v>Masculino</v>
      </c>
      <c r="E815" s="68" t="s">
        <v>1864</v>
      </c>
      <c r="F815" s="68" t="s">
        <v>1865</v>
      </c>
      <c r="G815" s="68" t="s">
        <v>1079</v>
      </c>
      <c r="H815" s="91" t="s">
        <v>680</v>
      </c>
      <c r="I815" s="49">
        <f>SUMIFS(Movimentações!$F$6:$F$4998,Movimentações!$C$6:$C$4998,A815,Movimentações!$M$6:$M$4998,M815)</f>
        <v>15</v>
      </c>
      <c r="J815" s="68" t="s">
        <v>670</v>
      </c>
      <c r="K815" s="49" t="s">
        <v>671</v>
      </c>
      <c r="L815" s="67">
        <v>2</v>
      </c>
      <c r="M815" s="49" t="s">
        <v>1871</v>
      </c>
      <c r="N815" s="49" t="str">
        <f t="shared" si="29"/>
        <v>Rua A · Prat 2 · C-305</v>
      </c>
      <c r="P815">
        <f>IF(A815="","",IF(AND(K815&lt;&gt;"",L815&lt;&gt;""),IF(COUNTIFS($K$6:K815,K815,$L$6:L815,L815)=1,1,0),0))</f>
        <v>0</v>
      </c>
      <c r="Q815">
        <f>IF(A815="","",IF(AND(K815&lt;&gt;"",M815&lt;&gt;""),IF(COUNTIFS($K$6:K815,K815,$M$6:M815,M815)=1,1,0),0))</f>
        <v>1</v>
      </c>
      <c r="R815">
        <f>IF(A815="","",IF(M815&lt;&gt;"",IF(COUNTIF($M$6:M815,M815)=1,1,0),0))</f>
        <v>1</v>
      </c>
      <c r="T815" t="str">
        <f>IF($A815="","",IF(AND($M815&lt;&gt;"",$M815='Mapa do Galpão'!$C$20),COUNTIF($M$6:$M815,'Mapa do Galpão'!$C$20),""))</f>
        <v/>
      </c>
    </row>
    <row r="816" spans="1:20" ht="14.25" hidden="1" customHeight="1" x14ac:dyDescent="0.3">
      <c r="A816" s="49" t="s">
        <v>1863</v>
      </c>
      <c r="B816" s="82" t="s">
        <v>1424</v>
      </c>
      <c r="C816" s="175" t="s">
        <v>569</v>
      </c>
      <c r="D816" s="56" t="str">
        <f t="shared" si="28"/>
        <v>Masculino</v>
      </c>
      <c r="E816" s="68" t="s">
        <v>1864</v>
      </c>
      <c r="F816" s="68" t="s">
        <v>1865</v>
      </c>
      <c r="G816" s="68" t="s">
        <v>1079</v>
      </c>
      <c r="H816" s="89" t="s">
        <v>675</v>
      </c>
      <c r="I816" s="92">
        <f>SUMIFS(Movimentações!$F$6:$F$4998,Movimentações!$C$6:$C$4998,A816,Movimentações!$M$6:$M$4998,M816)</f>
        <v>10</v>
      </c>
      <c r="J816" s="68" t="s">
        <v>670</v>
      </c>
      <c r="K816" s="49" t="s">
        <v>671</v>
      </c>
      <c r="L816" s="67">
        <v>2</v>
      </c>
      <c r="M816" s="49" t="s">
        <v>1871</v>
      </c>
      <c r="N816" s="49" t="str">
        <f t="shared" si="29"/>
        <v>Rua A · Prat 2 · C-305</v>
      </c>
      <c r="P816">
        <f>IF(A816="","",IF(AND(K816&lt;&gt;"",L816&lt;&gt;""),IF(COUNTIFS($K$6:K816,K816,$L$6:L816,L816)=1,1,0),0))</f>
        <v>0</v>
      </c>
      <c r="Q816">
        <f>IF(A816="","",IF(AND(K816&lt;&gt;"",M816&lt;&gt;""),IF(COUNTIFS($K$6:K816,K816,$M$6:M816,M816)=1,1,0),0))</f>
        <v>0</v>
      </c>
      <c r="R816">
        <f>IF(A816="","",IF(M816&lt;&gt;"",IF(COUNTIF($M$6:M816,M816)=1,1,0),0))</f>
        <v>0</v>
      </c>
      <c r="T816" t="str">
        <f>IF($A816="","",IF(AND($M816&lt;&gt;"",$M816='Mapa do Galpão'!$C$20),COUNTIF($M$6:$M816,'Mapa do Galpão'!$C$20),""))</f>
        <v/>
      </c>
    </row>
    <row r="817" spans="1:20" ht="14.25" hidden="1" customHeight="1" x14ac:dyDescent="0.3">
      <c r="A817" s="68" t="s">
        <v>1867</v>
      </c>
      <c r="B817" s="82" t="s">
        <v>1424</v>
      </c>
      <c r="C817" s="175" t="s">
        <v>570</v>
      </c>
      <c r="D817" s="56" t="str">
        <f t="shared" si="28"/>
        <v>Masculino</v>
      </c>
      <c r="E817" s="68" t="s">
        <v>1864</v>
      </c>
      <c r="F817" s="68" t="s">
        <v>1865</v>
      </c>
      <c r="G817" s="68" t="s">
        <v>1079</v>
      </c>
      <c r="H817" s="90" t="s">
        <v>682</v>
      </c>
      <c r="I817" s="49">
        <f>SUMIFS(Movimentações!$F$6:$F$4998,Movimentações!$C$6:$C$4998,A817,Movimentações!$M$6:$M$4998,M817)</f>
        <v>3</v>
      </c>
      <c r="J817" s="68" t="s">
        <v>670</v>
      </c>
      <c r="K817" s="49" t="s">
        <v>671</v>
      </c>
      <c r="L817" s="67">
        <v>2</v>
      </c>
      <c r="M817" s="49" t="s">
        <v>1871</v>
      </c>
      <c r="N817" s="49" t="str">
        <f t="shared" si="29"/>
        <v>Rua A · Prat 2 · C-305</v>
      </c>
      <c r="P817">
        <f>IF(A817="","",IF(AND(K817&lt;&gt;"",L817&lt;&gt;""),IF(COUNTIFS($K$6:K817,K817,$L$6:L817,L817)=1,1,0),0))</f>
        <v>0</v>
      </c>
      <c r="Q817">
        <f>IF(A817="","",IF(AND(K817&lt;&gt;"",M817&lt;&gt;""),IF(COUNTIFS($K$6:K817,K817,$M$6:M817,M817)=1,1,0),0))</f>
        <v>0</v>
      </c>
      <c r="R817">
        <f>IF(A817="","",IF(M817&lt;&gt;"",IF(COUNTIF($M$6:M817,M817)=1,1,0),0))</f>
        <v>0</v>
      </c>
      <c r="T817" t="str">
        <f>IF($A817="","",IF(AND($M817&lt;&gt;"",$M817='Mapa do Galpão'!$C$20),COUNTIF($M$6:$M817,'Mapa do Galpão'!$C$20),""))</f>
        <v/>
      </c>
    </row>
    <row r="818" spans="1:20" ht="14.25" hidden="1" customHeight="1" x14ac:dyDescent="0.3">
      <c r="A818" s="49" t="s">
        <v>1872</v>
      </c>
      <c r="B818" s="82" t="s">
        <v>1424</v>
      </c>
      <c r="C818" s="175" t="s">
        <v>573</v>
      </c>
      <c r="D818" s="56" t="str">
        <f t="shared" si="28"/>
        <v>Masculino</v>
      </c>
      <c r="E818" s="68" t="s">
        <v>1864</v>
      </c>
      <c r="F818" s="68" t="s">
        <v>1865</v>
      </c>
      <c r="G818" s="68" t="s">
        <v>1075</v>
      </c>
      <c r="H818" s="49" t="s">
        <v>669</v>
      </c>
      <c r="I818" s="92">
        <f>SUMIFS(Movimentações!$F$6:$F$4998,Movimentações!$C$6:$C$4998,A818,Movimentações!$M$6:$M$4998,M818)</f>
        <v>9</v>
      </c>
      <c r="J818" s="68" t="s">
        <v>670</v>
      </c>
      <c r="K818" s="92" t="s">
        <v>671</v>
      </c>
      <c r="L818" s="41">
        <v>1</v>
      </c>
      <c r="M818" s="92" t="s">
        <v>1873</v>
      </c>
      <c r="N818" s="92" t="str">
        <f t="shared" si="29"/>
        <v>Rua A · Prat 1 · C-306</v>
      </c>
      <c r="P818">
        <f>IF(A818="","",IF(AND(K818&lt;&gt;"",L818&lt;&gt;""),IF(COUNTIFS($K$6:K818,K818,$L$6:L818,L818)=1,1,0),0))</f>
        <v>0</v>
      </c>
      <c r="Q818">
        <f>IF(A818="","",IF(AND(K818&lt;&gt;"",M818&lt;&gt;""),IF(COUNTIFS($K$6:K818,K818,$M$6:M818,M818)=1,1,0),0))</f>
        <v>1</v>
      </c>
      <c r="R818">
        <f>IF(A818="","",IF(M818&lt;&gt;"",IF(COUNTIF($M$6:M818,M818)=1,1,0),0))</f>
        <v>1</v>
      </c>
      <c r="T818" t="str">
        <f>IF($A818="","",IF(AND($M818&lt;&gt;"",$M818='Mapa do Galpão'!$C$20),COUNTIF($M$6:$M818,'Mapa do Galpão'!$C$20),""))</f>
        <v/>
      </c>
    </row>
    <row r="819" spans="1:20" ht="14.25" hidden="1" customHeight="1" x14ac:dyDescent="0.3">
      <c r="A819" s="68" t="s">
        <v>1874</v>
      </c>
      <c r="B819" s="82" t="s">
        <v>1424</v>
      </c>
      <c r="C819" s="175" t="s">
        <v>574</v>
      </c>
      <c r="D819" s="56" t="str">
        <f t="shared" si="28"/>
        <v>Masculino</v>
      </c>
      <c r="E819" s="68" t="s">
        <v>1864</v>
      </c>
      <c r="F819" s="68" t="s">
        <v>1865</v>
      </c>
      <c r="G819" s="68" t="s">
        <v>1075</v>
      </c>
      <c r="H819" s="90" t="s">
        <v>682</v>
      </c>
      <c r="I819" s="92">
        <f>SUMIFS(Movimentações!$F$6:$F$4998,Movimentações!$C$6:$C$4998,A819,Movimentações!$M$6:$M$4998,M819)</f>
        <v>15</v>
      </c>
      <c r="J819" s="68" t="s">
        <v>670</v>
      </c>
      <c r="K819" s="92" t="s">
        <v>671</v>
      </c>
      <c r="L819" s="41">
        <v>1</v>
      </c>
      <c r="M819" s="92" t="s">
        <v>1873</v>
      </c>
      <c r="N819" s="92" t="str">
        <f t="shared" si="29"/>
        <v>Rua A · Prat 1 · C-306</v>
      </c>
      <c r="P819">
        <f>IF(A819="","",IF(AND(K819&lt;&gt;"",L819&lt;&gt;""),IF(COUNTIFS($K$6:K819,K819,$L$6:L819,L819)=1,1,0),0))</f>
        <v>0</v>
      </c>
      <c r="Q819">
        <f>IF(A819="","",IF(AND(K819&lt;&gt;"",M819&lt;&gt;""),IF(COUNTIFS($K$6:K819,K819,$M$6:M819,M819)=1,1,0),0))</f>
        <v>0</v>
      </c>
      <c r="R819">
        <f>IF(A819="","",IF(M819&lt;&gt;"",IF(COUNTIF($M$6:M819,M819)=1,1,0),0))</f>
        <v>0</v>
      </c>
      <c r="T819" t="str">
        <f>IF($A819="","",IF(AND($M819&lt;&gt;"",$M819='Mapa do Galpão'!$C$20),COUNTIF($M$6:$M819,'Mapa do Galpão'!$C$20),""))</f>
        <v/>
      </c>
    </row>
    <row r="820" spans="1:20" ht="14.25" hidden="1" customHeight="1" x14ac:dyDescent="0.3">
      <c r="A820" s="49" t="s">
        <v>1875</v>
      </c>
      <c r="B820" s="82" t="s">
        <v>1424</v>
      </c>
      <c r="C820" s="175" t="s">
        <v>575</v>
      </c>
      <c r="D820" s="56" t="str">
        <f t="shared" si="28"/>
        <v>Masculino</v>
      </c>
      <c r="E820" s="68" t="s">
        <v>1864</v>
      </c>
      <c r="F820" s="68" t="s">
        <v>1865</v>
      </c>
      <c r="G820" s="68" t="s">
        <v>1075</v>
      </c>
      <c r="H820" s="90" t="s">
        <v>680</v>
      </c>
      <c r="I820" s="92">
        <f>SUMIFS(Movimentações!$F$6:$F$4998,Movimentações!$C$6:$C$4998,A820,Movimentações!$M$6:$M$4998,M820)</f>
        <v>15</v>
      </c>
      <c r="J820" s="68" t="s">
        <v>670</v>
      </c>
      <c r="K820" s="92" t="s">
        <v>671</v>
      </c>
      <c r="L820" s="41">
        <v>1</v>
      </c>
      <c r="M820" s="92" t="s">
        <v>1876</v>
      </c>
      <c r="N820" s="92" t="str">
        <f t="shared" si="29"/>
        <v>Rua A · Prat 1 · C-307</v>
      </c>
      <c r="P820">
        <f>IF(A820="","",IF(AND(K820&lt;&gt;"",L820&lt;&gt;""),IF(COUNTIFS($K$6:K820,K820,$L$6:L820,L820)=1,1,0),0))</f>
        <v>0</v>
      </c>
      <c r="Q820">
        <f>IF(A820="","",IF(AND(K820&lt;&gt;"",M820&lt;&gt;""),IF(COUNTIFS($K$6:K820,K820,$M$6:M820,M820)=1,1,0),0))</f>
        <v>1</v>
      </c>
      <c r="R820">
        <f>IF(A820="","",IF(M820&lt;&gt;"",IF(COUNTIF($M$6:M820,M820)=1,1,0),0))</f>
        <v>1</v>
      </c>
      <c r="T820" t="str">
        <f>IF($A820="","",IF(AND($M820&lt;&gt;"",$M820='Mapa do Galpão'!$C$20),COUNTIF($M$6:$M820,'Mapa do Galpão'!$C$20),""))</f>
        <v/>
      </c>
    </row>
    <row r="821" spans="1:20" ht="14.25" hidden="1" customHeight="1" x14ac:dyDescent="0.3">
      <c r="A821" s="49" t="s">
        <v>1877</v>
      </c>
      <c r="B821" s="82" t="s">
        <v>1424</v>
      </c>
      <c r="C821" s="175" t="s">
        <v>576</v>
      </c>
      <c r="D821" s="56" t="str">
        <f t="shared" si="28"/>
        <v>Masculino</v>
      </c>
      <c r="E821" s="68" t="s">
        <v>1864</v>
      </c>
      <c r="F821" s="68" t="s">
        <v>1865</v>
      </c>
      <c r="G821" s="68" t="s">
        <v>1075</v>
      </c>
      <c r="H821" s="90" t="s">
        <v>675</v>
      </c>
      <c r="I821" s="92">
        <f>SUMIFS(Movimentações!$F$6:$F$4998,Movimentações!$C$6:$C$4998,A821,Movimentações!$M$6:$M$4998,M821)</f>
        <v>19</v>
      </c>
      <c r="J821" s="68" t="s">
        <v>670</v>
      </c>
      <c r="K821" s="92" t="s">
        <v>671</v>
      </c>
      <c r="L821" s="41">
        <v>1</v>
      </c>
      <c r="M821" s="92" t="s">
        <v>1876</v>
      </c>
      <c r="N821" s="92" t="str">
        <f t="shared" si="29"/>
        <v>Rua A · Prat 1 · C-307</v>
      </c>
      <c r="P821">
        <f>IF(A821="","",IF(AND(K821&lt;&gt;"",L821&lt;&gt;""),IF(COUNTIFS($K$6:K821,K821,$L$6:L821,L821)=1,1,0),0))</f>
        <v>0</v>
      </c>
      <c r="Q821">
        <f>IF(A821="","",IF(AND(K821&lt;&gt;"",M821&lt;&gt;""),IF(COUNTIFS($K$6:K821,K821,$M$6:M821,M821)=1,1,0),0))</f>
        <v>0</v>
      </c>
      <c r="R821">
        <f>IF(A821="","",IF(M821&lt;&gt;"",IF(COUNTIF($M$6:M821,M821)=1,1,0),0))</f>
        <v>0</v>
      </c>
      <c r="T821" t="str">
        <f>IF($A821="","",IF(AND($M821&lt;&gt;"",$M821='Mapa do Galpão'!$C$20),COUNTIF($M$6:$M821,'Mapa do Galpão'!$C$20),""))</f>
        <v/>
      </c>
    </row>
    <row r="822" spans="1:20" ht="14.25" hidden="1" customHeight="1" x14ac:dyDescent="0.3">
      <c r="A822" s="49" t="s">
        <v>1877</v>
      </c>
      <c r="B822" s="82" t="s">
        <v>1424</v>
      </c>
      <c r="C822" s="175" t="s">
        <v>576</v>
      </c>
      <c r="D822" s="56" t="str">
        <f t="shared" si="28"/>
        <v>Masculino</v>
      </c>
      <c r="E822" s="68" t="s">
        <v>1864</v>
      </c>
      <c r="F822" s="68" t="s">
        <v>1865</v>
      </c>
      <c r="G822" s="68" t="s">
        <v>1075</v>
      </c>
      <c r="H822" s="90" t="s">
        <v>675</v>
      </c>
      <c r="I822" s="92">
        <f>SUMIFS(Movimentações!$F$6:$F$4998,Movimentações!$C$6:$C$4998,A822,Movimentações!$M$6:$M$4998,M822)</f>
        <v>10</v>
      </c>
      <c r="J822" s="68" t="s">
        <v>670</v>
      </c>
      <c r="K822" s="92" t="s">
        <v>671</v>
      </c>
      <c r="L822" s="41">
        <v>1</v>
      </c>
      <c r="M822" s="92" t="s">
        <v>1878</v>
      </c>
      <c r="N822" s="92" t="str">
        <f t="shared" si="29"/>
        <v>Rua A · Prat 1 · C-308</v>
      </c>
      <c r="P822">
        <f>IF(A822="","",IF(AND(K822&lt;&gt;"",L822&lt;&gt;""),IF(COUNTIFS($K$6:K822,K822,$L$6:L822,L822)=1,1,0),0))</f>
        <v>0</v>
      </c>
      <c r="Q822">
        <f>IF(A822="","",IF(AND(K822&lt;&gt;"",M822&lt;&gt;""),IF(COUNTIFS($K$6:K822,K822,$M$6:M822,M822)=1,1,0),0))</f>
        <v>1</v>
      </c>
      <c r="R822">
        <f>IF(A822="","",IF(M822&lt;&gt;"",IF(COUNTIF($M$6:M822,M822)=1,1,0),0))</f>
        <v>1</v>
      </c>
      <c r="T822" t="str">
        <f>IF($A822="","",IF(AND($M822&lt;&gt;"",$M822='Mapa do Galpão'!$C$20),COUNTIF($M$6:$M822,'Mapa do Galpão'!$C$20),""))</f>
        <v/>
      </c>
    </row>
    <row r="823" spans="1:20" ht="14.25" hidden="1" customHeight="1" x14ac:dyDescent="0.3">
      <c r="A823" s="49" t="s">
        <v>1872</v>
      </c>
      <c r="B823" s="82" t="s">
        <v>1424</v>
      </c>
      <c r="C823" s="175" t="s">
        <v>573</v>
      </c>
      <c r="D823" s="56" t="str">
        <f t="shared" ref="D823:D886" si="30">IF(C823="","",IFERROR(IF(TRIM(MID(SUBSTITUTE(C823,".",REPT(" ",50)),51,50))="01","Masculino",IF(TRIM(MID(SUBSTITUTE(C823,".",REPT(" ",50)),51,50))="02","Feminino",IF(TRIM(MID(SUBSTITUTE(C823,".",REPT(" ",50)),51,50))="03","Outros","—"))),"—"))</f>
        <v>Masculino</v>
      </c>
      <c r="E823" s="68" t="s">
        <v>1864</v>
      </c>
      <c r="F823" s="68" t="s">
        <v>1865</v>
      </c>
      <c r="G823" s="68" t="s">
        <v>1075</v>
      </c>
      <c r="H823" s="49" t="s">
        <v>669</v>
      </c>
      <c r="I823" s="92">
        <f>SUMIFS(Movimentações!$F$6:$F$4998,Movimentações!$C$6:$C$4998,A823,Movimentações!$M$6:$M$4998,M823)</f>
        <v>21</v>
      </c>
      <c r="J823" s="68" t="s">
        <v>670</v>
      </c>
      <c r="K823" s="92" t="s">
        <v>671</v>
      </c>
      <c r="L823" s="41">
        <v>1</v>
      </c>
      <c r="M823" s="92" t="s">
        <v>1878</v>
      </c>
      <c r="N823" s="92" t="str">
        <f t="shared" ref="N823:N886" si="31">IF(AND(K823="",L823="",M823=""),"⚠ sem endereço","Rua "&amp;K823&amp;IF(L823="",""," · Prat "&amp;L823)&amp;IF(M823="",""," · "&amp;M823))</f>
        <v>Rua A · Prat 1 · C-308</v>
      </c>
      <c r="P823">
        <f>IF(A823="","",IF(AND(K823&lt;&gt;"",L823&lt;&gt;""),IF(COUNTIFS($K$6:K823,K823,$L$6:L823,L823)=1,1,0),0))</f>
        <v>0</v>
      </c>
      <c r="Q823">
        <f>IF(A823="","",IF(AND(K823&lt;&gt;"",M823&lt;&gt;""),IF(COUNTIFS($K$6:K823,K823,$M$6:M823,M823)=1,1,0),0))</f>
        <v>0</v>
      </c>
      <c r="R823">
        <f>IF(A823="","",IF(M823&lt;&gt;"",IF(COUNTIF($M$6:M823,M823)=1,1,0),0))</f>
        <v>0</v>
      </c>
      <c r="T823" t="str">
        <f>IF($A823="","",IF(AND($M823&lt;&gt;"",$M823='Mapa do Galpão'!$C$20),COUNTIF($M$6:$M823,'Mapa do Galpão'!$C$20),""))</f>
        <v/>
      </c>
    </row>
    <row r="824" spans="1:20" ht="14.25" customHeight="1" x14ac:dyDescent="0.3">
      <c r="A824" s="49" t="s">
        <v>1879</v>
      </c>
      <c r="B824" s="82" t="s">
        <v>1424</v>
      </c>
      <c r="C824" s="175" t="s">
        <v>577</v>
      </c>
      <c r="D824" s="56" t="str">
        <f t="shared" si="30"/>
        <v>Masculino</v>
      </c>
      <c r="E824" s="49" t="s">
        <v>1864</v>
      </c>
      <c r="F824" s="49" t="s">
        <v>1880</v>
      </c>
      <c r="G824" s="49" t="s">
        <v>668</v>
      </c>
      <c r="H824" s="90" t="s">
        <v>682</v>
      </c>
      <c r="I824" s="92">
        <f>SUMIFS(Movimentações!$F$6:$F$4998,Movimentações!$C$6:$C$4998,A824,Movimentações!$M$6:$M$4998,M824)</f>
        <v>6</v>
      </c>
      <c r="J824" s="68" t="s">
        <v>670</v>
      </c>
      <c r="K824" s="92" t="s">
        <v>671</v>
      </c>
      <c r="L824" s="41">
        <v>1</v>
      </c>
      <c r="M824" s="92" t="s">
        <v>1881</v>
      </c>
      <c r="N824" s="92" t="str">
        <f t="shared" si="31"/>
        <v>Rua A · Prat 1 · C-309</v>
      </c>
      <c r="P824">
        <f>IF(A824="","",IF(AND(K824&lt;&gt;"",L824&lt;&gt;""),IF(COUNTIFS($K$6:K824,K824,$L$6:L824,L824)=1,1,0),0))</f>
        <v>0</v>
      </c>
      <c r="Q824">
        <f>IF(A824="","",IF(AND(K824&lt;&gt;"",M824&lt;&gt;""),IF(COUNTIFS($K$6:K824,K824,$M$6:M824,M824)=1,1,0),0))</f>
        <v>1</v>
      </c>
      <c r="R824">
        <f>IF(A824="","",IF(M824&lt;&gt;"",IF(COUNTIF($M$6:M824,M824)=1,1,0),0))</f>
        <v>1</v>
      </c>
      <c r="T824" t="str">
        <f>IF($A824="","",IF(AND($M824&lt;&gt;"",$M824='Mapa do Galpão'!$C$20),COUNTIF($M$6:$M824,'Mapa do Galpão'!$C$20),""))</f>
        <v/>
      </c>
    </row>
    <row r="825" spans="1:20" ht="14.25" hidden="1" customHeight="1" x14ac:dyDescent="0.3">
      <c r="A825" s="49" t="s">
        <v>1882</v>
      </c>
      <c r="B825" s="82" t="s">
        <v>1424</v>
      </c>
      <c r="C825" s="175" t="s">
        <v>578</v>
      </c>
      <c r="D825" s="56" t="str">
        <f t="shared" si="30"/>
        <v>Masculino</v>
      </c>
      <c r="E825" s="49" t="s">
        <v>709</v>
      </c>
      <c r="F825" s="93" t="s">
        <v>1072</v>
      </c>
      <c r="G825" s="49" t="s">
        <v>1075</v>
      </c>
      <c r="H825" s="90" t="s">
        <v>680</v>
      </c>
      <c r="I825" s="92">
        <f>SUMIFS(Movimentações!$F$6:$F$4998,Movimentações!$C$6:$C$4998,A825,Movimentações!$M$6:$M$4998,M825)</f>
        <v>10</v>
      </c>
      <c r="J825" s="68" t="s">
        <v>670</v>
      </c>
      <c r="K825" s="92" t="s">
        <v>671</v>
      </c>
      <c r="L825" s="41">
        <v>1</v>
      </c>
      <c r="M825" s="92" t="s">
        <v>1883</v>
      </c>
      <c r="N825" s="92" t="str">
        <f t="shared" si="31"/>
        <v>Rua A · Prat 1 · C-310</v>
      </c>
      <c r="P825">
        <f>IF(A825="","",IF(AND(K825&lt;&gt;"",L825&lt;&gt;""),IF(COUNTIFS($K$6:K825,K825,$L$6:L825,L825)=1,1,0),0))</f>
        <v>0</v>
      </c>
      <c r="Q825">
        <f>IF(A825="","",IF(AND(K825&lt;&gt;"",M825&lt;&gt;""),IF(COUNTIFS($K$6:K825,K825,$M$6:M825,M825)=1,1,0),0))</f>
        <v>1</v>
      </c>
      <c r="R825">
        <f>IF(A825="","",IF(M825&lt;&gt;"",IF(COUNTIF($M$6:M825,M825)=1,1,0),0))</f>
        <v>1</v>
      </c>
      <c r="T825" t="str">
        <f>IF($A825="","",IF(AND($M825&lt;&gt;"",$M825='Mapa do Galpão'!$C$20),COUNTIF($M$6:$M825,'Mapa do Galpão'!$C$20),""))</f>
        <v/>
      </c>
    </row>
    <row r="826" spans="1:20" ht="14.25" hidden="1" customHeight="1" x14ac:dyDescent="0.3">
      <c r="A826" s="43" t="s">
        <v>1074</v>
      </c>
      <c r="B826" s="82" t="s">
        <v>1424</v>
      </c>
      <c r="C826" s="165" t="s">
        <v>329</v>
      </c>
      <c r="D826" s="45" t="str">
        <f t="shared" si="30"/>
        <v>Masculino</v>
      </c>
      <c r="E826" s="43" t="s">
        <v>709</v>
      </c>
      <c r="F826" s="43" t="s">
        <v>1072</v>
      </c>
      <c r="G826" s="49" t="s">
        <v>1075</v>
      </c>
      <c r="H826" s="43" t="s">
        <v>669</v>
      </c>
      <c r="I826" s="91">
        <f>SUMIFS(Movimentações!$F$6:$F$4998,Movimentações!$C$6:$C$4998,A826,Movimentações!$M$6:$M$4998,M826)</f>
        <v>14</v>
      </c>
      <c r="J826" s="68" t="s">
        <v>670</v>
      </c>
      <c r="K826" s="92" t="s">
        <v>671</v>
      </c>
      <c r="L826" s="41">
        <v>1</v>
      </c>
      <c r="M826" s="92" t="s">
        <v>1884</v>
      </c>
      <c r="N826" s="92" t="str">
        <f t="shared" si="31"/>
        <v>Rua A · Prat 1 · C-311</v>
      </c>
      <c r="P826">
        <f>IF(A826="","",IF(AND(K826&lt;&gt;"",L826&lt;&gt;""),IF(COUNTIFS($K$6:K826,K826,$L$6:L826,L826)=1,1,0),0))</f>
        <v>0</v>
      </c>
      <c r="Q826">
        <f>IF(A826="","",IF(AND(K826&lt;&gt;"",M826&lt;&gt;""),IF(COUNTIFS($K$6:K826,K826,$M$6:M826,M826)=1,1,0),0))</f>
        <v>1</v>
      </c>
      <c r="R826">
        <f>IF(A826="","",IF(M826&lt;&gt;"",IF(COUNTIF($M$6:M826,M826)=1,1,0),0))</f>
        <v>1</v>
      </c>
      <c r="T826" t="str">
        <f>IF($A826="","",IF(AND($M826&lt;&gt;"",$M826='Mapa do Galpão'!$C$20),COUNTIF($M$6:$M826,'Mapa do Galpão'!$C$20),""))</f>
        <v/>
      </c>
    </row>
    <row r="827" spans="1:20" ht="14.25" hidden="1" customHeight="1" x14ac:dyDescent="0.3">
      <c r="A827" s="43" t="s">
        <v>1077</v>
      </c>
      <c r="B827" s="82" t="s">
        <v>1424</v>
      </c>
      <c r="C827" s="165" t="s">
        <v>330</v>
      </c>
      <c r="D827" s="45" t="str">
        <f t="shared" si="30"/>
        <v>Masculino</v>
      </c>
      <c r="E827" s="43" t="s">
        <v>709</v>
      </c>
      <c r="F827" s="43" t="s">
        <v>1072</v>
      </c>
      <c r="G827" s="49" t="s">
        <v>1075</v>
      </c>
      <c r="H827" s="43" t="s">
        <v>682</v>
      </c>
      <c r="I827" s="91">
        <f>SUMIFS(Movimentações!$F$6:$F$4998,Movimentações!$C$6:$C$4998,A827,Movimentações!$M$6:$M$4998,M827)</f>
        <v>14</v>
      </c>
      <c r="J827" s="68" t="s">
        <v>670</v>
      </c>
      <c r="K827" s="92" t="s">
        <v>671</v>
      </c>
      <c r="L827" s="41">
        <v>1</v>
      </c>
      <c r="M827" s="92" t="s">
        <v>1885</v>
      </c>
      <c r="N827" s="92" t="str">
        <f t="shared" si="31"/>
        <v>Rua A · Prat 1 · C-312</v>
      </c>
      <c r="P827">
        <f>IF(A827="","",IF(AND(K827&lt;&gt;"",L827&lt;&gt;""),IF(COUNTIFS($K$6:K827,K827,$L$6:L827,L827)=1,1,0),0))</f>
        <v>0</v>
      </c>
      <c r="Q827">
        <f>IF(A827="","",IF(AND(K827&lt;&gt;"",M827&lt;&gt;""),IF(COUNTIFS($K$6:K827,K827,$M$6:M827,M827)=1,1,0),0))</f>
        <v>1</v>
      </c>
      <c r="R827">
        <f>IF(A827="","",IF(M827&lt;&gt;"",IF(COUNTIF($M$6:M827,M827)=1,1,0),0))</f>
        <v>1</v>
      </c>
      <c r="T827" t="str">
        <f>IF($A827="","",IF(AND($M827&lt;&gt;"",$M827='Mapa do Galpão'!$C$20),COUNTIF($M$6:$M827,'Mapa do Galpão'!$C$20),""))</f>
        <v/>
      </c>
    </row>
    <row r="828" spans="1:20" ht="14.25" hidden="1" customHeight="1" x14ac:dyDescent="0.3">
      <c r="A828" s="43" t="s">
        <v>1484</v>
      </c>
      <c r="B828" s="50" t="s">
        <v>1424</v>
      </c>
      <c r="C828" s="165" t="s">
        <v>480</v>
      </c>
      <c r="D828" s="45" t="str">
        <f t="shared" si="30"/>
        <v>Masculino</v>
      </c>
      <c r="E828" s="43" t="s">
        <v>709</v>
      </c>
      <c r="F828" s="43" t="s">
        <v>1055</v>
      </c>
      <c r="G828" s="43" t="s">
        <v>1079</v>
      </c>
      <c r="H828" s="43" t="s">
        <v>680</v>
      </c>
      <c r="I828" s="91">
        <f>SUMIFS(Movimentações!$F$6:$F$4998,Movimentações!$C$6:$C$4998,A828,Movimentações!$M$6:$M$4998,M828)</f>
        <v>8</v>
      </c>
      <c r="J828" s="68" t="s">
        <v>670</v>
      </c>
      <c r="K828" s="92" t="s">
        <v>671</v>
      </c>
      <c r="L828" s="41">
        <v>1</v>
      </c>
      <c r="M828" s="92" t="s">
        <v>1886</v>
      </c>
      <c r="N828" s="92" t="str">
        <f t="shared" si="31"/>
        <v>Rua A · Prat 1 · C-313</v>
      </c>
      <c r="P828">
        <f>IF(A828="","",IF(AND(K828&lt;&gt;"",L828&lt;&gt;""),IF(COUNTIFS($K$6:K828,K828,$L$6:L828,L828)=1,1,0),0))</f>
        <v>0</v>
      </c>
      <c r="Q828">
        <f>IF(A828="","",IF(AND(K828&lt;&gt;"",M828&lt;&gt;""),IF(COUNTIFS($K$6:K828,K828,$M$6:M828,M828)=1,1,0),0))</f>
        <v>1</v>
      </c>
      <c r="R828">
        <f>IF(A828="","",IF(M828&lt;&gt;"",IF(COUNTIF($M$6:M828,M828)=1,1,0),0))</f>
        <v>1</v>
      </c>
      <c r="T828" t="str">
        <f>IF($A828="","",IF(AND($M828&lt;&gt;"",$M828='Mapa do Galpão'!$C$20),COUNTIF($M$6:$M828,'Mapa do Galpão'!$C$20),""))</f>
        <v/>
      </c>
    </row>
    <row r="829" spans="1:20" ht="14.25" hidden="1" customHeight="1" x14ac:dyDescent="0.3">
      <c r="A829" s="43" t="s">
        <v>1486</v>
      </c>
      <c r="B829" s="50" t="s">
        <v>1424</v>
      </c>
      <c r="C829" s="165" t="s">
        <v>331</v>
      </c>
      <c r="D829" s="45" t="str">
        <f t="shared" si="30"/>
        <v>Masculino</v>
      </c>
      <c r="E829" s="43" t="s">
        <v>709</v>
      </c>
      <c r="F829" s="43" t="s">
        <v>1055</v>
      </c>
      <c r="G829" s="43" t="s">
        <v>1079</v>
      </c>
      <c r="H829" s="43" t="s">
        <v>675</v>
      </c>
      <c r="I829" s="91">
        <f>SUMIFS(Movimentações!$F$6:$F$4998,Movimentações!$C$6:$C$4998,A829,Movimentações!$M$6:$M$4998,M829)</f>
        <v>14</v>
      </c>
      <c r="J829" s="68" t="s">
        <v>670</v>
      </c>
      <c r="K829" s="92" t="s">
        <v>671</v>
      </c>
      <c r="L829" s="41">
        <v>1</v>
      </c>
      <c r="M829" s="92" t="s">
        <v>1886</v>
      </c>
      <c r="N829" s="92" t="str">
        <f t="shared" si="31"/>
        <v>Rua A · Prat 1 · C-313</v>
      </c>
      <c r="P829">
        <f>IF(A829="","",IF(AND(K829&lt;&gt;"",L829&lt;&gt;""),IF(COUNTIFS($K$6:K829,K829,$L$6:L829,L829)=1,1,0),0))</f>
        <v>0</v>
      </c>
      <c r="Q829">
        <f>IF(A829="","",IF(AND(K829&lt;&gt;"",M829&lt;&gt;""),IF(COUNTIFS($K$6:K829,K829,$M$6:M829,M829)=1,1,0),0))</f>
        <v>0</v>
      </c>
      <c r="R829">
        <f>IF(A829="","",IF(M829&lt;&gt;"",IF(COUNTIF($M$6:M829,M829)=1,1,0),0))</f>
        <v>0</v>
      </c>
      <c r="T829" t="str">
        <f>IF($A829="","",IF(AND($M829&lt;&gt;"",$M829='Mapa do Galpão'!$C$20),COUNTIF($M$6:$M829,'Mapa do Galpão'!$C$20),""))</f>
        <v/>
      </c>
    </row>
    <row r="830" spans="1:20" ht="14.25" hidden="1" customHeight="1" x14ac:dyDescent="0.3">
      <c r="A830" s="49" t="s">
        <v>1887</v>
      </c>
      <c r="B830" s="82" t="s">
        <v>1424</v>
      </c>
      <c r="C830" s="166" t="s">
        <v>579</v>
      </c>
      <c r="D830" s="56" t="str">
        <f t="shared" si="30"/>
        <v>Masculino</v>
      </c>
      <c r="E830" s="49" t="s">
        <v>709</v>
      </c>
      <c r="F830" s="43" t="s">
        <v>1055</v>
      </c>
      <c r="G830" s="43" t="s">
        <v>1079</v>
      </c>
      <c r="H830" s="94" t="s">
        <v>669</v>
      </c>
      <c r="I830" s="91">
        <f>SUMIFS(Movimentações!$F$6:$F$4998,Movimentações!$C$6:$C$4998,A830,Movimentações!$M$6:$M$4998,M830)</f>
        <v>4</v>
      </c>
      <c r="J830" s="68" t="s">
        <v>670</v>
      </c>
      <c r="K830" s="92" t="s">
        <v>671</v>
      </c>
      <c r="L830" s="41">
        <v>1</v>
      </c>
      <c r="M830" s="92" t="s">
        <v>1886</v>
      </c>
      <c r="N830" s="92" t="str">
        <f t="shared" si="31"/>
        <v>Rua A · Prat 1 · C-313</v>
      </c>
      <c r="P830">
        <f>IF(A830="","",IF(AND(K830&lt;&gt;"",L830&lt;&gt;""),IF(COUNTIFS($K$6:K830,K830,$L$6:L830,L830)=1,1,0),0))</f>
        <v>0</v>
      </c>
      <c r="Q830">
        <f>IF(A830="","",IF(AND(K830&lt;&gt;"",M830&lt;&gt;""),IF(COUNTIFS($K$6:K830,K830,$M$6:M830,M830)=1,1,0),0))</f>
        <v>0</v>
      </c>
      <c r="R830">
        <f>IF(A830="","",IF(M830&lt;&gt;"",IF(COUNTIF($M$6:M830,M830)=1,1,0),0))</f>
        <v>0</v>
      </c>
      <c r="T830" t="str">
        <f>IF($A830="","",IF(AND($M830&lt;&gt;"",$M830='Mapa do Galpão'!$C$20),COUNTIF($M$6:$M830,'Mapa do Galpão'!$C$20),""))</f>
        <v/>
      </c>
    </row>
    <row r="831" spans="1:20" ht="14.25" hidden="1" customHeight="1" x14ac:dyDescent="0.3">
      <c r="A831" s="49" t="s">
        <v>1888</v>
      </c>
      <c r="B831" s="82" t="s">
        <v>1424</v>
      </c>
      <c r="C831" s="176" t="s">
        <v>580</v>
      </c>
      <c r="D831" s="56" t="str">
        <f t="shared" si="30"/>
        <v>Masculino</v>
      </c>
      <c r="E831" s="49" t="s">
        <v>1864</v>
      </c>
      <c r="F831" s="49" t="s">
        <v>1889</v>
      </c>
      <c r="G831" s="49" t="s">
        <v>1075</v>
      </c>
      <c r="H831" s="94" t="s">
        <v>682</v>
      </c>
      <c r="I831" s="91">
        <f>SUMIFS(Movimentações!$F$6:$F$4998,Movimentações!$C$6:$C$4998,A831,Movimentações!$M$6:$M$4998,M831)</f>
        <v>21</v>
      </c>
      <c r="J831" s="68" t="s">
        <v>670</v>
      </c>
      <c r="K831" s="92" t="s">
        <v>671</v>
      </c>
      <c r="L831" s="41">
        <v>5</v>
      </c>
      <c r="M831" s="92" t="s">
        <v>1890</v>
      </c>
      <c r="N831" s="92" t="str">
        <f t="shared" si="31"/>
        <v>Rua A · Prat 5 · C-314</v>
      </c>
      <c r="P831">
        <f>IF(A831="","",IF(AND(K831&lt;&gt;"",L831&lt;&gt;""),IF(COUNTIFS($K$6:K831,K831,$L$6:L831,L831)=1,1,0),0))</f>
        <v>0</v>
      </c>
      <c r="Q831">
        <f>IF(A831="","",IF(AND(K831&lt;&gt;"",M831&lt;&gt;""),IF(COUNTIFS($K$6:K831,K831,$M$6:M831,M831)=1,1,0),0))</f>
        <v>1</v>
      </c>
      <c r="R831">
        <f>IF(A831="","",IF(M831&lt;&gt;"",IF(COUNTIF($M$6:M831,M831)=1,1,0),0))</f>
        <v>1</v>
      </c>
      <c r="T831" t="str">
        <f>IF($A831="","",IF(AND($M831&lt;&gt;"",$M831='Mapa do Galpão'!$C$20),COUNTIF($M$6:$M831,'Mapa do Galpão'!$C$20),""))</f>
        <v/>
      </c>
    </row>
    <row r="832" spans="1:20" ht="14.25" hidden="1" customHeight="1" x14ac:dyDescent="0.3">
      <c r="A832" s="49" t="s">
        <v>1891</v>
      </c>
      <c r="B832" s="82" t="s">
        <v>1424</v>
      </c>
      <c r="C832" s="176" t="s">
        <v>581</v>
      </c>
      <c r="D832" s="56" t="str">
        <f t="shared" si="30"/>
        <v>Masculino</v>
      </c>
      <c r="E832" s="49" t="s">
        <v>1864</v>
      </c>
      <c r="F832" s="49" t="s">
        <v>1892</v>
      </c>
      <c r="G832" s="49" t="s">
        <v>1075</v>
      </c>
      <c r="H832" s="94" t="s">
        <v>675</v>
      </c>
      <c r="I832" s="91">
        <f>SUMIFS(Movimentações!$F$6:$F$4998,Movimentações!$C$6:$C$4998,A832,Movimentações!$M$6:$M$4998,M832)</f>
        <v>42</v>
      </c>
      <c r="J832" s="68" t="s">
        <v>670</v>
      </c>
      <c r="K832" s="92" t="s">
        <v>671</v>
      </c>
      <c r="L832" s="41">
        <v>5</v>
      </c>
      <c r="M832" s="92" t="s">
        <v>1893</v>
      </c>
      <c r="N832" s="92" t="str">
        <f t="shared" si="31"/>
        <v>Rua A · Prat 5 · C-315</v>
      </c>
      <c r="P832">
        <f>IF(A832="","",IF(AND(K832&lt;&gt;"",L832&lt;&gt;""),IF(COUNTIFS($K$6:K832,K832,$L$6:L832,L832)=1,1,0),0))</f>
        <v>0</v>
      </c>
      <c r="Q832">
        <f>IF(A832="","",IF(AND(K832&lt;&gt;"",M832&lt;&gt;""),IF(COUNTIFS($K$6:K832,K832,$M$6:M832,M832)=1,1,0),0))</f>
        <v>1</v>
      </c>
      <c r="R832">
        <f>IF(A832="","",IF(M832&lt;&gt;"",IF(COUNTIF($M$6:M832,M832)=1,1,0),0))</f>
        <v>1</v>
      </c>
      <c r="T832" t="str">
        <f>IF($A832="","",IF(AND($M832&lt;&gt;"",$M832='Mapa do Galpão'!$C$20),COUNTIF($M$6:$M832,'Mapa do Galpão'!$C$20),""))</f>
        <v/>
      </c>
    </row>
    <row r="833" spans="1:20" ht="14.25" customHeight="1" x14ac:dyDescent="0.3">
      <c r="A833" s="49" t="s">
        <v>1894</v>
      </c>
      <c r="B833" s="82" t="s">
        <v>1424</v>
      </c>
      <c r="C833" s="176" t="s">
        <v>582</v>
      </c>
      <c r="D833" s="56" t="str">
        <f t="shared" si="30"/>
        <v>Masculino</v>
      </c>
      <c r="E833" s="49" t="s">
        <v>1864</v>
      </c>
      <c r="F833" s="49" t="s">
        <v>1880</v>
      </c>
      <c r="G833" s="49" t="s">
        <v>668</v>
      </c>
      <c r="H833" s="94" t="s">
        <v>680</v>
      </c>
      <c r="I833" s="91">
        <f>SUMIFS(Movimentações!$F$6:$F$4998,Movimentações!$C$6:$C$4998,A833,Movimentações!$M$6:$M$4998,M833)</f>
        <v>6</v>
      </c>
      <c r="J833" s="68" t="s">
        <v>670</v>
      </c>
      <c r="K833" s="92" t="s">
        <v>671</v>
      </c>
      <c r="L833" s="41">
        <v>5</v>
      </c>
      <c r="M833" s="92" t="s">
        <v>1895</v>
      </c>
      <c r="N833" s="92" t="str">
        <f t="shared" si="31"/>
        <v>Rua A · Prat 5 · C-316</v>
      </c>
      <c r="P833">
        <f>IF(A833="","",IF(AND(K833&lt;&gt;"",L833&lt;&gt;""),IF(COUNTIFS($K$6:K833,K833,$L$6:L833,L833)=1,1,0),0))</f>
        <v>0</v>
      </c>
      <c r="Q833">
        <f>IF(A833="","",IF(AND(K833&lt;&gt;"",M833&lt;&gt;""),IF(COUNTIFS($K$6:K833,K833,$M$6:M833,M833)=1,1,0),0))</f>
        <v>1</v>
      </c>
      <c r="R833">
        <f>IF(A833="","",IF(M833&lt;&gt;"",IF(COUNTIF($M$6:M833,M833)=1,1,0),0))</f>
        <v>1</v>
      </c>
      <c r="T833" t="str">
        <f>IF($A833="","",IF(AND($M833&lt;&gt;"",$M833='Mapa do Galpão'!$C$20),COUNTIF($M$6:$M833,'Mapa do Galpão'!$C$20),""))</f>
        <v/>
      </c>
    </row>
    <row r="834" spans="1:20" ht="14.25" customHeight="1" x14ac:dyDescent="0.3">
      <c r="A834" t="s">
        <v>1896</v>
      </c>
      <c r="B834" s="95" t="s">
        <v>1424</v>
      </c>
      <c r="C834" s="176" t="s">
        <v>583</v>
      </c>
      <c r="D834" s="62" t="str">
        <f t="shared" si="30"/>
        <v>Masculino</v>
      </c>
      <c r="E834" t="s">
        <v>1864</v>
      </c>
      <c r="F834" s="49" t="s">
        <v>1880</v>
      </c>
      <c r="G834" s="49" t="s">
        <v>668</v>
      </c>
      <c r="H834" s="94" t="s">
        <v>675</v>
      </c>
      <c r="I834" s="91">
        <f>SUMIFS(Movimentações!$F$6:$F$4998,Movimentações!$C$6:$C$4998,A834,Movimentações!$M$6:$M$4998,M834)</f>
        <v>16</v>
      </c>
      <c r="J834" s="68" t="s">
        <v>670</v>
      </c>
      <c r="K834" s="92" t="s">
        <v>671</v>
      </c>
      <c r="L834" s="41">
        <v>5</v>
      </c>
      <c r="M834" s="92" t="s">
        <v>1895</v>
      </c>
      <c r="N834" s="92" t="str">
        <f t="shared" si="31"/>
        <v>Rua A · Prat 5 · C-316</v>
      </c>
      <c r="P834">
        <f>IF(A834="","",IF(AND(K834&lt;&gt;"",L834&lt;&gt;""),IF(COUNTIFS($K$6:K834,K834,$L$6:L834,L834)=1,1,0),0))</f>
        <v>0</v>
      </c>
      <c r="Q834">
        <f>IF(A834="","",IF(AND(K834&lt;&gt;"",M834&lt;&gt;""),IF(COUNTIFS($K$6:K834,K834,$M$6:M834,M834)=1,1,0),0))</f>
        <v>0</v>
      </c>
      <c r="R834">
        <f>IF(A834="","",IF(M834&lt;&gt;"",IF(COUNTIF($M$6:M834,M834)=1,1,0),0))</f>
        <v>0</v>
      </c>
      <c r="T834" t="str">
        <f>IF($A834="","",IF(AND($M834&lt;&gt;"",$M834='Mapa do Galpão'!$C$20),COUNTIF($M$6:$M834,'Mapa do Galpão'!$C$20),""))</f>
        <v/>
      </c>
    </row>
    <row r="835" spans="1:20" ht="14.25" customHeight="1" x14ac:dyDescent="0.3">
      <c r="A835" t="s">
        <v>1897</v>
      </c>
      <c r="B835" s="95" t="s">
        <v>1424</v>
      </c>
      <c r="C835" s="176" t="s">
        <v>2120</v>
      </c>
      <c r="D835" s="56" t="str">
        <f t="shared" si="30"/>
        <v>Masculino</v>
      </c>
      <c r="E835" t="s">
        <v>1864</v>
      </c>
      <c r="F835" s="49" t="s">
        <v>1880</v>
      </c>
      <c r="G835" s="49" t="s">
        <v>668</v>
      </c>
      <c r="H835" s="94" t="s">
        <v>669</v>
      </c>
      <c r="I835" s="91">
        <f>SUMIFS(Movimentações!$F$6:$F$4998,Movimentações!$C$6:$C$4998,A835,Movimentações!$M$6:$M$4998,M835)</f>
        <v>17</v>
      </c>
      <c r="J835" s="68" t="s">
        <v>670</v>
      </c>
      <c r="K835" s="92" t="s">
        <v>671</v>
      </c>
      <c r="L835" s="41">
        <v>5</v>
      </c>
      <c r="M835" s="92" t="s">
        <v>1898</v>
      </c>
      <c r="N835" s="92" t="str">
        <f t="shared" si="31"/>
        <v>Rua A · Prat 5 · C-317</v>
      </c>
      <c r="P835">
        <f>IF(A835="","",IF(AND(K835&lt;&gt;"",L835&lt;&gt;""),IF(COUNTIFS($K$6:K835,K835,$L$6:L835,L835)=1,1,0),0))</f>
        <v>0</v>
      </c>
      <c r="Q835">
        <f>IF(A835="","",IF(AND(K835&lt;&gt;"",M835&lt;&gt;""),IF(COUNTIFS($K$6:K835,K835,$M$6:M835,M835)=1,1,0),0))</f>
        <v>1</v>
      </c>
      <c r="R835">
        <f>IF(A835="","",IF(M835&lt;&gt;"",IF(COUNTIF($M$6:M835,M835)=1,1,0),0))</f>
        <v>1</v>
      </c>
      <c r="T835" t="str">
        <f>IF($A835="","",IF(AND($M835&lt;&gt;"",$M835='Mapa do Galpão'!$C$20),COUNTIF($M$6:$M835,'Mapa do Galpão'!$C$20),""))</f>
        <v/>
      </c>
    </row>
    <row r="836" spans="1:20" ht="14.25" hidden="1" customHeight="1" x14ac:dyDescent="0.3">
      <c r="A836" s="43" t="s">
        <v>1501</v>
      </c>
      <c r="B836" s="50" t="s">
        <v>1424</v>
      </c>
      <c r="C836" s="165" t="s">
        <v>488</v>
      </c>
      <c r="D836" s="45" t="str">
        <f t="shared" si="30"/>
        <v>Masculino</v>
      </c>
      <c r="E836" s="43" t="s">
        <v>982</v>
      </c>
      <c r="F836" s="43" t="s">
        <v>1497</v>
      </c>
      <c r="G836" s="48" t="s">
        <v>1075</v>
      </c>
      <c r="H836" s="43" t="s">
        <v>669</v>
      </c>
      <c r="I836" s="91">
        <f>SUMIFS(Movimentações!$F$6:$F$4998,Movimentações!$C$6:$C$4998,A836,Movimentações!$M$6:$M$4998,M836)</f>
        <v>17</v>
      </c>
      <c r="J836" s="68" t="s">
        <v>670</v>
      </c>
      <c r="K836" s="92" t="s">
        <v>671</v>
      </c>
      <c r="L836" s="41">
        <v>5</v>
      </c>
      <c r="M836" s="92" t="s">
        <v>1899</v>
      </c>
      <c r="N836" s="92" t="str">
        <f t="shared" si="31"/>
        <v>Rua A · Prat 5 · C-318</v>
      </c>
      <c r="P836">
        <f>IF(A836="","",IF(AND(K836&lt;&gt;"",L836&lt;&gt;""),IF(COUNTIFS($K$6:K836,K836,$L$6:L836,L836)=1,1,0),0))</f>
        <v>0</v>
      </c>
      <c r="Q836">
        <f>IF(A836="","",IF(AND(K836&lt;&gt;"",M836&lt;&gt;""),IF(COUNTIFS($K$6:K836,K836,$M$6:M836,M836)=1,1,0),0))</f>
        <v>1</v>
      </c>
      <c r="R836">
        <f>IF(A836="","",IF(M836&lt;&gt;"",IF(COUNTIF($M$6:M836,M836)=1,1,0),0))</f>
        <v>1</v>
      </c>
      <c r="T836" t="str">
        <f>IF($A836="","",IF(AND($M836&lt;&gt;"",$M836='Mapa do Galpão'!$C$20),COUNTIF($M$6:$M836,'Mapa do Galpão'!$C$20),""))</f>
        <v/>
      </c>
    </row>
    <row r="837" spans="1:20" ht="14.25" hidden="1" customHeight="1" x14ac:dyDescent="0.3">
      <c r="A837" s="43" t="s">
        <v>1502</v>
      </c>
      <c r="B837" s="50" t="s">
        <v>1424</v>
      </c>
      <c r="C837" s="165" t="s">
        <v>489</v>
      </c>
      <c r="D837" s="45" t="str">
        <f t="shared" si="30"/>
        <v>Masculino</v>
      </c>
      <c r="E837" s="43" t="s">
        <v>982</v>
      </c>
      <c r="F837" s="43" t="s">
        <v>1497</v>
      </c>
      <c r="G837" s="48" t="s">
        <v>1075</v>
      </c>
      <c r="H837" s="43" t="s">
        <v>682</v>
      </c>
      <c r="I837" s="91">
        <f>SUMIFS(Movimentações!$F$6:$F$4998,Movimentações!$C$6:$C$4998,A837,Movimentações!$M$6:$M$4998,M837)</f>
        <v>7</v>
      </c>
      <c r="J837" s="68" t="s">
        <v>670</v>
      </c>
      <c r="K837" s="92" t="s">
        <v>671</v>
      </c>
      <c r="L837" s="41">
        <v>5</v>
      </c>
      <c r="M837" s="92" t="s">
        <v>1899</v>
      </c>
      <c r="N837" s="92" t="str">
        <f t="shared" si="31"/>
        <v>Rua A · Prat 5 · C-318</v>
      </c>
      <c r="P837">
        <f>IF(A837="","",IF(AND(K837&lt;&gt;"",L837&lt;&gt;""),IF(COUNTIFS($K$6:K837,K837,$L$6:L837,L837)=1,1,0),0))</f>
        <v>0</v>
      </c>
      <c r="Q837">
        <f>IF(A837="","",IF(AND(K837&lt;&gt;"",M837&lt;&gt;""),IF(COUNTIFS($K$6:K837,K837,$M$6:M837,M837)=1,1,0),0))</f>
        <v>0</v>
      </c>
      <c r="R837">
        <f>IF(A837="","",IF(M837&lt;&gt;"",IF(COUNTIF($M$6:M837,M837)=1,1,0),0))</f>
        <v>0</v>
      </c>
      <c r="T837" t="str">
        <f>IF($A837="","",IF(AND($M837&lt;&gt;"",$M837='Mapa do Galpão'!$C$20),COUNTIF($M$6:$M837,'Mapa do Galpão'!$C$20),""))</f>
        <v/>
      </c>
    </row>
    <row r="838" spans="1:20" ht="14.25" hidden="1" customHeight="1" x14ac:dyDescent="0.3">
      <c r="A838" t="s">
        <v>1900</v>
      </c>
      <c r="B838" s="95" t="s">
        <v>1424</v>
      </c>
      <c r="C838" s="166" t="s">
        <v>584</v>
      </c>
      <c r="D838" s="56" t="str">
        <f t="shared" si="30"/>
        <v>Masculino</v>
      </c>
      <c r="E838" s="43" t="s">
        <v>982</v>
      </c>
      <c r="F838" s="43" t="s">
        <v>1497</v>
      </c>
      <c r="G838" s="48" t="s">
        <v>1075</v>
      </c>
      <c r="H838" s="48" t="s">
        <v>680</v>
      </c>
      <c r="I838" s="91">
        <f>SUMIFS(Movimentações!$F$6:$F$4998,Movimentações!$C$6:$C$4998,A838,Movimentações!$M$6:$M$4998,M838)</f>
        <v>7</v>
      </c>
      <c r="J838" s="68" t="s">
        <v>670</v>
      </c>
      <c r="K838" s="92" t="s">
        <v>671</v>
      </c>
      <c r="L838" s="41">
        <v>5</v>
      </c>
      <c r="M838" s="92" t="s">
        <v>1899</v>
      </c>
      <c r="N838" s="92" t="str">
        <f t="shared" si="31"/>
        <v>Rua A · Prat 5 · C-318</v>
      </c>
      <c r="P838">
        <f>IF(A838="","",IF(AND(K838&lt;&gt;"",L838&lt;&gt;""),IF(COUNTIFS($K$6:K838,K838,$L$6:L838,L838)=1,1,0),0))</f>
        <v>0</v>
      </c>
      <c r="Q838">
        <f>IF(A838="","",IF(AND(K838&lt;&gt;"",M838&lt;&gt;""),IF(COUNTIFS($K$6:K838,K838,$M$6:M838,M838)=1,1,0),0))</f>
        <v>0</v>
      </c>
      <c r="R838">
        <f>IF(A838="","",IF(M838&lt;&gt;"",IF(COUNTIF($M$6:M838,M838)=1,1,0),0))</f>
        <v>0</v>
      </c>
      <c r="T838" t="str">
        <f>IF($A838="","",IF(AND($M838&lt;&gt;"",$M838='Mapa do Galpão'!$C$20),COUNTIF($M$6:$M838,'Mapa do Galpão'!$C$20),""))</f>
        <v/>
      </c>
    </row>
    <row r="839" spans="1:20" ht="14.25" hidden="1" customHeight="1" x14ac:dyDescent="0.3">
      <c r="A839" t="s">
        <v>1901</v>
      </c>
      <c r="B839" s="95" t="s">
        <v>1424</v>
      </c>
      <c r="C839" s="166" t="s">
        <v>585</v>
      </c>
      <c r="D839" s="56" t="str">
        <f t="shared" si="30"/>
        <v>Masculino</v>
      </c>
      <c r="E839" s="43" t="s">
        <v>982</v>
      </c>
      <c r="F839" s="43" t="s">
        <v>1497</v>
      </c>
      <c r="G839" s="48" t="s">
        <v>1075</v>
      </c>
      <c r="H839" s="48" t="s">
        <v>675</v>
      </c>
      <c r="I839" s="91">
        <f>SUMIFS(Movimentações!$F$6:$F$4998,Movimentações!$C$6:$C$4998,A839,Movimentações!$M$6:$M$4998,M839)</f>
        <v>4</v>
      </c>
      <c r="J839" s="68" t="s">
        <v>670</v>
      </c>
      <c r="K839" s="92" t="s">
        <v>671</v>
      </c>
      <c r="L839" s="41">
        <v>5</v>
      </c>
      <c r="M839" s="92" t="s">
        <v>1899</v>
      </c>
      <c r="N839" s="92" t="str">
        <f t="shared" si="31"/>
        <v>Rua A · Prat 5 · C-318</v>
      </c>
      <c r="P839">
        <f>IF(A839="","",IF(AND(K839&lt;&gt;"",L839&lt;&gt;""),IF(COUNTIFS($K$6:K839,K839,$L$6:L839,L839)=1,1,0),0))</f>
        <v>0</v>
      </c>
      <c r="Q839">
        <f>IF(A839="","",IF(AND(K839&lt;&gt;"",M839&lt;&gt;""),IF(COUNTIFS($K$6:K839,K839,$M$6:M839,M839)=1,1,0),0))</f>
        <v>0</v>
      </c>
      <c r="R839">
        <f>IF(A839="","",IF(M839&lt;&gt;"",IF(COUNTIF($M$6:M839,M839)=1,1,0),0))</f>
        <v>0</v>
      </c>
      <c r="T839" t="str">
        <f>IF($A839="","",IF(AND($M839&lt;&gt;"",$M839='Mapa do Galpão'!$C$20),COUNTIF($M$6:$M839,'Mapa do Galpão'!$C$20),""))</f>
        <v/>
      </c>
    </row>
    <row r="840" spans="1:20" ht="14.25" hidden="1" customHeight="1" x14ac:dyDescent="0.3">
      <c r="A840" t="s">
        <v>1902</v>
      </c>
      <c r="B840" s="95" t="s">
        <v>1424</v>
      </c>
      <c r="C840" s="177" t="s">
        <v>586</v>
      </c>
      <c r="D840" s="56" t="str">
        <f t="shared" si="30"/>
        <v>Masculino</v>
      </c>
      <c r="E840" s="96" t="s">
        <v>709</v>
      </c>
      <c r="F840" s="96" t="s">
        <v>1903</v>
      </c>
      <c r="G840" s="96" t="s">
        <v>1904</v>
      </c>
      <c r="H840" s="94" t="s">
        <v>680</v>
      </c>
      <c r="I840" s="91">
        <f>SUMIFS(Movimentações!$F$6:$F$4998,Movimentações!$C$6:$C$4998,A840,Movimentações!$M$6:$M$4998,M840)</f>
        <v>12</v>
      </c>
      <c r="J840" s="68" t="s">
        <v>670</v>
      </c>
      <c r="K840" s="92" t="s">
        <v>671</v>
      </c>
      <c r="L840" s="41">
        <v>5</v>
      </c>
      <c r="M840" s="92" t="s">
        <v>1905</v>
      </c>
      <c r="N840" s="92" t="str">
        <f t="shared" si="31"/>
        <v>Rua A · Prat 5 · C-319</v>
      </c>
      <c r="P840">
        <f>IF(A840="","",IF(AND(K840&lt;&gt;"",L840&lt;&gt;""),IF(COUNTIFS($K$6:K840,K840,$L$6:L840,L840)=1,1,0),0))</f>
        <v>0</v>
      </c>
      <c r="Q840">
        <f>IF(A840="","",IF(AND(K840&lt;&gt;"",M840&lt;&gt;""),IF(COUNTIFS($K$6:K840,K840,$M$6:M840,M840)=1,1,0),0))</f>
        <v>1</v>
      </c>
      <c r="R840">
        <f>IF(A840="","",IF(M840&lt;&gt;"",IF(COUNTIF($M$6:M840,M840)=1,1,0),0))</f>
        <v>1</v>
      </c>
      <c r="T840" t="str">
        <f>IF($A840="","",IF(AND($M840&lt;&gt;"",$M840='Mapa do Galpão'!$C$20),COUNTIF($M$6:$M840,'Mapa do Galpão'!$C$20),""))</f>
        <v/>
      </c>
    </row>
    <row r="841" spans="1:20" ht="14.25" hidden="1" customHeight="1" x14ac:dyDescent="0.3">
      <c r="A841" t="s">
        <v>1906</v>
      </c>
      <c r="B841" s="95" t="s">
        <v>1424</v>
      </c>
      <c r="C841" s="177" t="s">
        <v>587</v>
      </c>
      <c r="D841" s="56" t="str">
        <f t="shared" si="30"/>
        <v>Masculino</v>
      </c>
      <c r="E841" s="96" t="s">
        <v>709</v>
      </c>
      <c r="F841" s="96" t="s">
        <v>1903</v>
      </c>
      <c r="G841" s="96" t="s">
        <v>1904</v>
      </c>
      <c r="H841" s="94" t="s">
        <v>675</v>
      </c>
      <c r="I841" s="91">
        <f>SUMIFS(Movimentações!$F$6:$F$4998,Movimentações!$C$6:$C$4998,A841,Movimentações!$M$6:$M$4998,M841)</f>
        <v>24</v>
      </c>
      <c r="J841" s="68" t="s">
        <v>670</v>
      </c>
      <c r="K841" s="92" t="s">
        <v>671</v>
      </c>
      <c r="L841" s="41">
        <v>5</v>
      </c>
      <c r="M841" s="92" t="s">
        <v>1905</v>
      </c>
      <c r="N841" s="92" t="str">
        <f t="shared" si="31"/>
        <v>Rua A · Prat 5 · C-319</v>
      </c>
      <c r="P841">
        <f>IF(A841="","",IF(AND(K841&lt;&gt;"",L841&lt;&gt;""),IF(COUNTIFS($K$6:K841,K841,$L$6:L841,L841)=1,1,0),0))</f>
        <v>0</v>
      </c>
      <c r="Q841">
        <f>IF(A841="","",IF(AND(K841&lt;&gt;"",M841&lt;&gt;""),IF(COUNTIFS($K$6:K841,K841,$M$6:M841,M841)=1,1,0),0))</f>
        <v>0</v>
      </c>
      <c r="R841">
        <f>IF(A841="","",IF(M841&lt;&gt;"",IF(COUNTIF($M$6:M841,M841)=1,1,0),0))</f>
        <v>0</v>
      </c>
      <c r="T841" t="str">
        <f>IF($A841="","",IF(AND($M841&lt;&gt;"",$M841='Mapa do Galpão'!$C$20),COUNTIF($M$6:$M841,'Mapa do Galpão'!$C$20),""))</f>
        <v/>
      </c>
    </row>
    <row r="842" spans="1:20" ht="14.25" hidden="1" customHeight="1" x14ac:dyDescent="0.3">
      <c r="A842" s="43" t="s">
        <v>1077</v>
      </c>
      <c r="B842" s="95" t="s">
        <v>1424</v>
      </c>
      <c r="C842" s="165" t="s">
        <v>330</v>
      </c>
      <c r="D842" s="45" t="str">
        <f t="shared" si="30"/>
        <v>Masculino</v>
      </c>
      <c r="E842" s="43" t="s">
        <v>709</v>
      </c>
      <c r="F842" s="43" t="s">
        <v>1072</v>
      </c>
      <c r="G842" s="49" t="s">
        <v>1075</v>
      </c>
      <c r="H842" s="43" t="s">
        <v>682</v>
      </c>
      <c r="I842" s="91">
        <f>SUMIFS(Movimentações!$F$6:$F$4998,Movimentações!$C$6:$C$4998,A842,Movimentações!$M$6:$M$4998,M842)</f>
        <v>4</v>
      </c>
      <c r="J842" s="68" t="s">
        <v>670</v>
      </c>
      <c r="K842" s="92" t="s">
        <v>671</v>
      </c>
      <c r="L842" s="41">
        <v>5</v>
      </c>
      <c r="M842" s="92" t="s">
        <v>1907</v>
      </c>
      <c r="N842" s="92" t="str">
        <f t="shared" si="31"/>
        <v>Rua A · Prat 5 · C-320</v>
      </c>
      <c r="P842">
        <f>IF(A842="","",IF(AND(K842&lt;&gt;"",L842&lt;&gt;""),IF(COUNTIFS($K$6:K842,K842,$L$6:L842,L842)=1,1,0),0))</f>
        <v>0</v>
      </c>
      <c r="Q842">
        <f>IF(A842="","",IF(AND(K842&lt;&gt;"",M842&lt;&gt;""),IF(COUNTIFS($K$6:K842,K842,$M$6:M842,M842)=1,1,0),0))</f>
        <v>1</v>
      </c>
      <c r="R842">
        <f>IF(A842="","",IF(M842&lt;&gt;"",IF(COUNTIF($M$6:M842,M842)=1,1,0),0))</f>
        <v>1</v>
      </c>
      <c r="T842" t="str">
        <f>IF($A842="","",IF(AND($M842&lt;&gt;"",$M842='Mapa do Galpão'!$C$20),COUNTIF($M$6:$M842,'Mapa do Galpão'!$C$20),""))</f>
        <v/>
      </c>
    </row>
    <row r="843" spans="1:20" ht="14.25" hidden="1" customHeight="1" x14ac:dyDescent="0.3">
      <c r="A843" s="43" t="s">
        <v>1074</v>
      </c>
      <c r="B843" s="82" t="s">
        <v>1424</v>
      </c>
      <c r="C843" s="165" t="s">
        <v>329</v>
      </c>
      <c r="D843" s="45" t="str">
        <f t="shared" si="30"/>
        <v>Masculino</v>
      </c>
      <c r="E843" s="43" t="s">
        <v>709</v>
      </c>
      <c r="F843" s="43" t="s">
        <v>1072</v>
      </c>
      <c r="G843" s="49" t="s">
        <v>1075</v>
      </c>
      <c r="H843" s="43" t="s">
        <v>669</v>
      </c>
      <c r="I843" s="91">
        <f>SUMIFS(Movimentações!$F$6:$F$4998,Movimentações!$C$6:$C$4998,A843,Movimentações!$M$6:$M$4998,M843)</f>
        <v>5</v>
      </c>
      <c r="J843" s="68" t="s">
        <v>670</v>
      </c>
      <c r="K843" s="92" t="s">
        <v>671</v>
      </c>
      <c r="L843" s="41">
        <v>5</v>
      </c>
      <c r="M843" s="92" t="s">
        <v>1908</v>
      </c>
      <c r="N843" s="92" t="str">
        <f t="shared" si="31"/>
        <v>Rua A · Prat 5 · C-321</v>
      </c>
      <c r="P843">
        <f>IF(A843="","",IF(AND(K843&lt;&gt;"",L843&lt;&gt;""),IF(COUNTIFS($K$6:K843,K843,$L$6:L843,L843)=1,1,0),0))</f>
        <v>0</v>
      </c>
      <c r="Q843">
        <f>IF(A843="","",IF(AND(K843&lt;&gt;"",M843&lt;&gt;""),IF(COUNTIFS($K$6:K843,K843,$M$6:M843,M843)=1,1,0),0))</f>
        <v>1</v>
      </c>
      <c r="R843">
        <f>IF(A843="","",IF(M843&lt;&gt;"",IF(COUNTIF($M$6:M843,M843)=1,1,0),0))</f>
        <v>1</v>
      </c>
      <c r="T843" t="str">
        <f>IF($A843="","",IF(AND($M843&lt;&gt;"",$M843='Mapa do Galpão'!$C$20),COUNTIF($M$6:$M843,'Mapa do Galpão'!$C$20),""))</f>
        <v/>
      </c>
    </row>
    <row r="844" spans="1:20" ht="14.25" hidden="1" customHeight="1" x14ac:dyDescent="0.3">
      <c r="A844" t="s">
        <v>1909</v>
      </c>
      <c r="B844" s="95" t="s">
        <v>1424</v>
      </c>
      <c r="C844" s="177" t="s">
        <v>587</v>
      </c>
      <c r="D844" s="56" t="str">
        <f t="shared" si="30"/>
        <v>Masculino</v>
      </c>
      <c r="E844" s="96" t="s">
        <v>709</v>
      </c>
      <c r="F844" s="96" t="s">
        <v>1903</v>
      </c>
      <c r="G844" s="96" t="s">
        <v>1904</v>
      </c>
      <c r="H844" s="94" t="s">
        <v>682</v>
      </c>
      <c r="I844" s="91">
        <f>SUMIFS(Movimentações!$F$6:$F$4998,Movimentações!$C$6:$C$4998,A844,Movimentações!$M$6:$M$4998,M844)</f>
        <v>12</v>
      </c>
      <c r="J844" s="68" t="s">
        <v>670</v>
      </c>
      <c r="K844" s="92" t="s">
        <v>671</v>
      </c>
      <c r="L844" s="41">
        <v>5</v>
      </c>
      <c r="M844" s="92" t="s">
        <v>1910</v>
      </c>
      <c r="N844" s="92" t="str">
        <f t="shared" si="31"/>
        <v>Rua A · Prat 5 · C-322</v>
      </c>
      <c r="P844">
        <f>IF(A844="","",IF(AND(K844&lt;&gt;"",L844&lt;&gt;""),IF(COUNTIFS($K$6:K844,K844,$L$6:L844,L844)=1,1,0),0))</f>
        <v>0</v>
      </c>
      <c r="Q844">
        <f>IF(A844="","",IF(AND(K844&lt;&gt;"",M844&lt;&gt;""),IF(COUNTIFS($K$6:K844,K844,$M$6:M844,M844)=1,1,0),0))</f>
        <v>1</v>
      </c>
      <c r="R844">
        <f>IF(A844="","",IF(M844&lt;&gt;"",IF(COUNTIF($M$6:M844,M844)=1,1,0),0))</f>
        <v>1</v>
      </c>
      <c r="T844" t="str">
        <f>IF($A844="","",IF(AND($M844&lt;&gt;"",$M844='Mapa do Galpão'!$C$20),COUNTIF($M$6:$M844,'Mapa do Galpão'!$C$20),""))</f>
        <v/>
      </c>
    </row>
    <row r="845" spans="1:20" ht="14.25" hidden="1" customHeight="1" x14ac:dyDescent="0.3">
      <c r="A845" t="s">
        <v>1911</v>
      </c>
      <c r="B845" s="95" t="s">
        <v>1424</v>
      </c>
      <c r="C845" s="177" t="s">
        <v>588</v>
      </c>
      <c r="D845" s="56" t="str">
        <f t="shared" si="30"/>
        <v>Masculino</v>
      </c>
      <c r="E845" s="96" t="s">
        <v>982</v>
      </c>
      <c r="F845" s="96" t="s">
        <v>1889</v>
      </c>
      <c r="G845" s="96" t="s">
        <v>668</v>
      </c>
      <c r="H845" s="94" t="s">
        <v>680</v>
      </c>
      <c r="I845" s="91">
        <f>SUMIFS(Movimentações!$F$6:$F$4998,Movimentações!$C$6:$C$4998,A845,Movimentações!$M$6:$M$4998,M845)</f>
        <v>11</v>
      </c>
      <c r="J845" s="68" t="s">
        <v>670</v>
      </c>
      <c r="K845" s="92" t="s">
        <v>671</v>
      </c>
      <c r="L845" s="41">
        <v>5</v>
      </c>
      <c r="M845" s="92" t="s">
        <v>1912</v>
      </c>
      <c r="N845" s="92" t="str">
        <f t="shared" si="31"/>
        <v>Rua A · Prat 5 · C-323</v>
      </c>
      <c r="P845">
        <f>IF(A845="","",IF(AND(K845&lt;&gt;"",L845&lt;&gt;""),IF(COUNTIFS($K$6:K845,K845,$L$6:L845,L845)=1,1,0),0))</f>
        <v>0</v>
      </c>
      <c r="Q845">
        <f>IF(A845="","",IF(AND(K845&lt;&gt;"",M845&lt;&gt;""),IF(COUNTIFS($K$6:K845,K845,$M$6:M845,M845)=1,1,0),0))</f>
        <v>1</v>
      </c>
      <c r="R845">
        <f>IF(A845="","",IF(M845&lt;&gt;"",IF(COUNTIF($M$6:M845,M845)=1,1,0),0))</f>
        <v>1</v>
      </c>
      <c r="T845" t="str">
        <f>IF($A845="","",IF(AND($M845&lt;&gt;"",$M845='Mapa do Galpão'!$C$20),COUNTIF($M$6:$M845,'Mapa do Galpão'!$C$20),""))</f>
        <v/>
      </c>
    </row>
    <row r="846" spans="1:20" ht="14.25" hidden="1" customHeight="1" x14ac:dyDescent="0.3">
      <c r="A846" t="s">
        <v>1913</v>
      </c>
      <c r="B846" s="95" t="s">
        <v>1424</v>
      </c>
      <c r="C846" s="177" t="s">
        <v>589</v>
      </c>
      <c r="D846" s="56" t="str">
        <f t="shared" si="30"/>
        <v>Masculino</v>
      </c>
      <c r="E846" s="96" t="s">
        <v>982</v>
      </c>
      <c r="F846" s="96" t="s">
        <v>1889</v>
      </c>
      <c r="G846" s="96" t="s">
        <v>668</v>
      </c>
      <c r="H846" s="94" t="s">
        <v>675</v>
      </c>
      <c r="I846" s="91">
        <f>SUMIFS(Movimentações!$F$6:$F$4998,Movimentações!$C$6:$C$4998,A846,Movimentações!$M$6:$M$4998,M846)</f>
        <v>20</v>
      </c>
      <c r="J846" s="68" t="s">
        <v>670</v>
      </c>
      <c r="K846" s="92" t="s">
        <v>671</v>
      </c>
      <c r="L846" s="41">
        <v>5</v>
      </c>
      <c r="M846" s="92" t="s">
        <v>1912</v>
      </c>
      <c r="N846" s="92" t="str">
        <f t="shared" si="31"/>
        <v>Rua A · Prat 5 · C-323</v>
      </c>
      <c r="P846">
        <f>IF(A846="","",IF(AND(K846&lt;&gt;"",L846&lt;&gt;""),IF(COUNTIFS($K$6:K846,K846,$L$6:L846,L846)=1,1,0),0))</f>
        <v>0</v>
      </c>
      <c r="Q846">
        <f>IF(A846="","",IF(AND(K846&lt;&gt;"",M846&lt;&gt;""),IF(COUNTIFS($K$6:K846,K846,$M$6:M846,M846)=1,1,0),0))</f>
        <v>0</v>
      </c>
      <c r="R846">
        <f>IF(A846="","",IF(M846&lt;&gt;"",IF(COUNTIF($M$6:M846,M846)=1,1,0),0))</f>
        <v>0</v>
      </c>
      <c r="T846" t="str">
        <f>IF($A846="","",IF(AND($M846&lt;&gt;"",$M846='Mapa do Galpão'!$C$20),COUNTIF($M$6:$M846,'Mapa do Galpão'!$C$20),""))</f>
        <v/>
      </c>
    </row>
    <row r="847" spans="1:20" ht="14.25" hidden="1" customHeight="1" x14ac:dyDescent="0.3">
      <c r="A847" t="s">
        <v>1914</v>
      </c>
      <c r="B847" s="95" t="s">
        <v>1424</v>
      </c>
      <c r="C847" s="177" t="s">
        <v>590</v>
      </c>
      <c r="D847" s="56" t="str">
        <f t="shared" si="30"/>
        <v>Masculino</v>
      </c>
      <c r="E847" s="96" t="s">
        <v>982</v>
      </c>
      <c r="F847" s="96" t="s">
        <v>1889</v>
      </c>
      <c r="G847" s="96" t="s">
        <v>668</v>
      </c>
      <c r="H847" s="94" t="s">
        <v>669</v>
      </c>
      <c r="I847" s="91">
        <f>SUMIFS(Movimentações!$F$6:$F$4998,Movimentações!$C$6:$C$4998,A847,Movimentações!$M$6:$M$4998,M847)</f>
        <v>21</v>
      </c>
      <c r="J847" s="68" t="s">
        <v>670</v>
      </c>
      <c r="K847" s="92" t="s">
        <v>671</v>
      </c>
      <c r="L847" s="41">
        <v>5</v>
      </c>
      <c r="M847" s="92" t="s">
        <v>1912</v>
      </c>
      <c r="N847" s="92" t="str">
        <f t="shared" si="31"/>
        <v>Rua A · Prat 5 · C-323</v>
      </c>
      <c r="P847">
        <f>IF(A847="","",IF(AND(K847&lt;&gt;"",L847&lt;&gt;""),IF(COUNTIFS($K$6:K847,K847,$L$6:L847,L847)=1,1,0),0))</f>
        <v>0</v>
      </c>
      <c r="Q847">
        <f>IF(A847="","",IF(AND(K847&lt;&gt;"",M847&lt;&gt;""),IF(COUNTIFS($K$6:K847,K847,$M$6:M847,M847)=1,1,0),0))</f>
        <v>0</v>
      </c>
      <c r="R847">
        <f>IF(A847="","",IF(M847&lt;&gt;"",IF(COUNTIF($M$6:M847,M847)=1,1,0),0))</f>
        <v>0</v>
      </c>
      <c r="T847" t="str">
        <f>IF($A847="","",IF(AND($M847&lt;&gt;"",$M847='Mapa do Galpão'!$C$20),COUNTIF($M$6:$M847,'Mapa do Galpão'!$C$20),""))</f>
        <v/>
      </c>
    </row>
    <row r="848" spans="1:20" ht="14.25" hidden="1" customHeight="1" x14ac:dyDescent="0.3">
      <c r="A848" t="s">
        <v>1915</v>
      </c>
      <c r="B848" s="95" t="s">
        <v>1424</v>
      </c>
      <c r="C848" s="177" t="s">
        <v>591</v>
      </c>
      <c r="D848" s="56" t="str">
        <f t="shared" si="30"/>
        <v>Masculino</v>
      </c>
      <c r="E848" s="96" t="s">
        <v>982</v>
      </c>
      <c r="F848" s="96" t="s">
        <v>1889</v>
      </c>
      <c r="G848" s="96" t="s">
        <v>668</v>
      </c>
      <c r="H848" s="94" t="s">
        <v>682</v>
      </c>
      <c r="I848" s="91">
        <f>SUMIFS(Movimentações!$F$6:$F$4998,Movimentações!$C$6:$C$4998,A848,Movimentações!$M$6:$M$4998,M848)</f>
        <v>11</v>
      </c>
      <c r="J848" s="68" t="s">
        <v>670</v>
      </c>
      <c r="K848" s="92" t="s">
        <v>671</v>
      </c>
      <c r="L848" s="41">
        <v>5</v>
      </c>
      <c r="M848" s="92" t="s">
        <v>1912</v>
      </c>
      <c r="N848" s="92" t="str">
        <f t="shared" si="31"/>
        <v>Rua A · Prat 5 · C-323</v>
      </c>
      <c r="P848">
        <f>IF(A848="","",IF(AND(K848&lt;&gt;"",L848&lt;&gt;""),IF(COUNTIFS($K$6:K848,K848,$L$6:L848,L848)=1,1,0),0))</f>
        <v>0</v>
      </c>
      <c r="Q848">
        <f>IF(A848="","",IF(AND(K848&lt;&gt;"",M848&lt;&gt;""),IF(COUNTIFS($K$6:K848,K848,$M$6:M848,M848)=1,1,0),0))</f>
        <v>0</v>
      </c>
      <c r="R848">
        <f>IF(A848="","",IF(M848&lt;&gt;"",IF(COUNTIF($M$6:M848,M848)=1,1,0),0))</f>
        <v>0</v>
      </c>
      <c r="T848" t="str">
        <f>IF($A848="","",IF(AND($M848&lt;&gt;"",$M848='Mapa do Galpão'!$C$20),COUNTIF($M$6:$M848,'Mapa do Galpão'!$C$20),""))</f>
        <v/>
      </c>
    </row>
    <row r="849" spans="1:20" ht="14.25" hidden="1" customHeight="1" x14ac:dyDescent="0.3">
      <c r="A849" t="s">
        <v>1916</v>
      </c>
      <c r="B849" s="95" t="s">
        <v>1424</v>
      </c>
      <c r="C849" s="177" t="s">
        <v>592</v>
      </c>
      <c r="D849" s="56" t="str">
        <f t="shared" si="30"/>
        <v>Masculino</v>
      </c>
      <c r="E849" s="96" t="s">
        <v>709</v>
      </c>
      <c r="F849" s="96" t="s">
        <v>1917</v>
      </c>
      <c r="G849" s="96" t="s">
        <v>1918</v>
      </c>
      <c r="H849" s="94" t="s">
        <v>682</v>
      </c>
      <c r="I849" s="91">
        <f>SUMIFS(Movimentações!$F$6:$F$4998,Movimentações!$C$6:$C$4998,A849,Movimentações!$M$6:$M$4998,M849)</f>
        <v>8</v>
      </c>
      <c r="J849" s="68" t="s">
        <v>670</v>
      </c>
      <c r="K849" s="92" t="s">
        <v>671</v>
      </c>
      <c r="L849" s="41">
        <v>5</v>
      </c>
      <c r="M849" s="92" t="s">
        <v>1919</v>
      </c>
      <c r="N849" s="92" t="str">
        <f t="shared" si="31"/>
        <v>Rua A · Prat 5 · C-324</v>
      </c>
      <c r="P849">
        <f>IF(A849="","",IF(AND(K849&lt;&gt;"",L849&lt;&gt;""),IF(COUNTIFS($K$6:K849,K849,$L$6:L849,L849)=1,1,0),0))</f>
        <v>0</v>
      </c>
      <c r="Q849">
        <f>IF(A849="","",IF(AND(K849&lt;&gt;"",M849&lt;&gt;""),IF(COUNTIFS($K$6:K849,K849,$M$6:M849,M849)=1,1,0),0))</f>
        <v>1</v>
      </c>
      <c r="R849">
        <f>IF(A849="","",IF(M849&lt;&gt;"",IF(COUNTIF($M$6:M849,M849)=1,1,0),0))</f>
        <v>1</v>
      </c>
      <c r="T849" t="str">
        <f>IF($A849="","",IF(AND($M849&lt;&gt;"",$M849='Mapa do Galpão'!$C$20),COUNTIF($M$6:$M849,'Mapa do Galpão'!$C$20),""))</f>
        <v/>
      </c>
    </row>
    <row r="850" spans="1:20" ht="14.25" hidden="1" customHeight="1" x14ac:dyDescent="0.3">
      <c r="A850" t="s">
        <v>1920</v>
      </c>
      <c r="B850" s="95" t="s">
        <v>1424</v>
      </c>
      <c r="C850" s="177" t="s">
        <v>593</v>
      </c>
      <c r="D850" s="56" t="str">
        <f t="shared" si="30"/>
        <v>Masculino</v>
      </c>
      <c r="E850" s="96" t="s">
        <v>982</v>
      </c>
      <c r="F850" s="96" t="s">
        <v>1892</v>
      </c>
      <c r="G850" s="96" t="s">
        <v>755</v>
      </c>
      <c r="H850" s="94" t="s">
        <v>675</v>
      </c>
      <c r="I850" s="91">
        <f>SUMIFS(Movimentações!$F$6:$F$4998,Movimentações!$C$6:$C$4998,A850,Movimentações!$M$6:$M$4998,M850)</f>
        <v>20</v>
      </c>
      <c r="J850" s="68" t="s">
        <v>670</v>
      </c>
      <c r="K850" s="92" t="s">
        <v>671</v>
      </c>
      <c r="L850" s="41">
        <v>5</v>
      </c>
      <c r="M850" s="92" t="s">
        <v>1921</v>
      </c>
      <c r="N850" s="92" t="str">
        <f t="shared" si="31"/>
        <v>Rua A · Prat 5 · C-325</v>
      </c>
      <c r="P850">
        <f>IF(A850="","",IF(AND(K850&lt;&gt;"",L850&lt;&gt;""),IF(COUNTIFS($K$6:K850,K850,$L$6:L850,L850)=1,1,0),0))</f>
        <v>0</v>
      </c>
      <c r="Q850">
        <f>IF(A850="","",IF(AND(K850&lt;&gt;"",M850&lt;&gt;""),IF(COUNTIFS($K$6:K850,K850,$M$6:M850,M850)=1,1,0),0))</f>
        <v>1</v>
      </c>
      <c r="R850">
        <f>IF(A850="","",IF(M850&lt;&gt;"",IF(COUNTIF($M$6:M850,M850)=1,1,0),0))</f>
        <v>1</v>
      </c>
      <c r="T850" t="str">
        <f>IF($A850="","",IF(AND($M850&lt;&gt;"",$M850='Mapa do Galpão'!$C$20),COUNTIF($M$6:$M850,'Mapa do Galpão'!$C$20),""))</f>
        <v/>
      </c>
    </row>
    <row r="851" spans="1:20" ht="14.25" hidden="1" customHeight="1" x14ac:dyDescent="0.3">
      <c r="A851" t="s">
        <v>1922</v>
      </c>
      <c r="B851" s="95" t="s">
        <v>1424</v>
      </c>
      <c r="C851" s="177" t="s">
        <v>594</v>
      </c>
      <c r="D851" s="56" t="str">
        <f t="shared" si="30"/>
        <v>Masculino</v>
      </c>
      <c r="E851" s="96" t="s">
        <v>982</v>
      </c>
      <c r="F851" s="96" t="s">
        <v>1892</v>
      </c>
      <c r="G851" s="96" t="s">
        <v>755</v>
      </c>
      <c r="H851" s="94" t="s">
        <v>669</v>
      </c>
      <c r="I851" s="91">
        <f>SUMIFS(Movimentações!$F$6:$F$4998,Movimentações!$C$6:$C$4998,A851,Movimentações!$M$6:$M$4998,M851)</f>
        <v>20</v>
      </c>
      <c r="J851" s="68" t="s">
        <v>670</v>
      </c>
      <c r="K851" s="92" t="s">
        <v>671</v>
      </c>
      <c r="L851" s="41">
        <v>5</v>
      </c>
      <c r="M851" s="92" t="s">
        <v>1921</v>
      </c>
      <c r="N851" s="92" t="str">
        <f t="shared" si="31"/>
        <v>Rua A · Prat 5 · C-325</v>
      </c>
      <c r="P851">
        <f>IF(A851="","",IF(AND(K851&lt;&gt;"",L851&lt;&gt;""),IF(COUNTIFS($K$6:K851,K851,$L$6:L851,L851)=1,1,0),0))</f>
        <v>0</v>
      </c>
      <c r="Q851">
        <f>IF(A851="","",IF(AND(K851&lt;&gt;"",M851&lt;&gt;""),IF(COUNTIFS($K$6:K851,K851,$M$6:M851,M851)=1,1,0),0))</f>
        <v>0</v>
      </c>
      <c r="R851">
        <f>IF(A851="","",IF(M851&lt;&gt;"",IF(COUNTIF($M$6:M851,M851)=1,1,0),0))</f>
        <v>0</v>
      </c>
      <c r="T851" t="str">
        <f>IF($A851="","",IF(AND($M851&lt;&gt;"",$M851='Mapa do Galpão'!$C$20),COUNTIF($M$6:$M851,'Mapa do Galpão'!$C$20),""))</f>
        <v/>
      </c>
    </row>
    <row r="852" spans="1:20" ht="14.25" hidden="1" customHeight="1" x14ac:dyDescent="0.3">
      <c r="A852" t="s">
        <v>1923</v>
      </c>
      <c r="B852" s="95" t="s">
        <v>1424</v>
      </c>
      <c r="C852" s="176" t="s">
        <v>595</v>
      </c>
      <c r="D852" s="56" t="str">
        <f t="shared" si="30"/>
        <v>—</v>
      </c>
      <c r="E852" t="s">
        <v>1864</v>
      </c>
      <c r="F852" s="49" t="s">
        <v>1880</v>
      </c>
      <c r="G852" s="49" t="s">
        <v>1918</v>
      </c>
      <c r="H852" s="94" t="s">
        <v>669</v>
      </c>
      <c r="I852" s="91">
        <f>SUMIFS(Movimentações!$F$6:$F$4998,Movimentações!$C$6:$C$4998,A852,Movimentações!$M$6:$M$4998,M852)</f>
        <v>18</v>
      </c>
      <c r="J852" s="68" t="s">
        <v>670</v>
      </c>
      <c r="K852" s="92" t="s">
        <v>671</v>
      </c>
      <c r="L852" s="41">
        <v>5</v>
      </c>
      <c r="M852" s="92" t="s">
        <v>1924</v>
      </c>
      <c r="N852" s="92" t="str">
        <f t="shared" si="31"/>
        <v>Rua A · Prat 5 · C-326</v>
      </c>
      <c r="P852">
        <f>IF(A852="","",IF(AND(K852&lt;&gt;"",L852&lt;&gt;""),IF(COUNTIFS($K$6:K852,K852,$L$6:L852,L852)=1,1,0),0))</f>
        <v>0</v>
      </c>
      <c r="Q852">
        <f>IF(A852="","",IF(AND(K852&lt;&gt;"",M852&lt;&gt;""),IF(COUNTIFS($K$6:K852,K852,$M$6:M852,M852)=1,1,0),0))</f>
        <v>1</v>
      </c>
      <c r="R852">
        <f>IF(A852="","",IF(M852&lt;&gt;"",IF(COUNTIF($M$6:M852,M852)=1,1,0),0))</f>
        <v>1</v>
      </c>
      <c r="T852" t="str">
        <f>IF($A852="","",IF(AND($M852&lt;&gt;"",$M852='Mapa do Galpão'!$C$20),COUNTIF($M$6:$M852,'Mapa do Galpão'!$C$20),""))</f>
        <v/>
      </c>
    </row>
    <row r="853" spans="1:20" ht="14.25" hidden="1" customHeight="1" x14ac:dyDescent="0.3">
      <c r="A853" t="s">
        <v>1925</v>
      </c>
      <c r="B853" s="95" t="s">
        <v>1424</v>
      </c>
      <c r="C853" s="177" t="s">
        <v>2121</v>
      </c>
      <c r="D853" s="56" t="str">
        <f t="shared" si="30"/>
        <v>Masculino</v>
      </c>
      <c r="E853" s="96" t="s">
        <v>709</v>
      </c>
      <c r="F853" s="96" t="s">
        <v>1903</v>
      </c>
      <c r="G853" s="96" t="s">
        <v>1904</v>
      </c>
      <c r="H853" s="94" t="s">
        <v>669</v>
      </c>
      <c r="I853" s="91">
        <f>SUMIFS(Movimentações!$F$6:$F$4998,Movimentações!$C$6:$C$4998,A853,Movimentações!$M$6:$M$4998,M853)</f>
        <v>23</v>
      </c>
      <c r="J853" s="68" t="s">
        <v>670</v>
      </c>
      <c r="K853" s="92" t="s">
        <v>671</v>
      </c>
      <c r="L853" s="41">
        <v>5</v>
      </c>
      <c r="M853" s="92" t="s">
        <v>1926</v>
      </c>
      <c r="N853" s="92" t="str">
        <f t="shared" si="31"/>
        <v>Rua A · Prat 5 · C-327</v>
      </c>
      <c r="P853">
        <f>IF(A853="","",IF(AND(K853&lt;&gt;"",L853&lt;&gt;""),IF(COUNTIFS($K$6:K853,K853,$L$6:L853,L853)=1,1,0),0))</f>
        <v>0</v>
      </c>
      <c r="Q853">
        <f>IF(A853="","",IF(AND(K853&lt;&gt;"",M853&lt;&gt;""),IF(COUNTIFS($K$6:K853,K853,$M$6:M853,M853)=1,1,0),0))</f>
        <v>1</v>
      </c>
      <c r="R853">
        <f>IF(A853="","",IF(M853&lt;&gt;"",IF(COUNTIF($M$6:M853,M853)=1,1,0),0))</f>
        <v>1</v>
      </c>
      <c r="T853" t="str">
        <f>IF($A853="","",IF(AND($M853&lt;&gt;"",$M853='Mapa do Galpão'!$C$20),COUNTIF($M$6:$M853,'Mapa do Galpão'!$C$20),""))</f>
        <v/>
      </c>
    </row>
    <row r="854" spans="1:20" ht="14.25" hidden="1" customHeight="1" x14ac:dyDescent="0.3">
      <c r="A854" t="s">
        <v>1927</v>
      </c>
      <c r="B854" s="95" t="s">
        <v>1424</v>
      </c>
      <c r="C854" s="177" t="s">
        <v>596</v>
      </c>
      <c r="D854" s="56" t="str">
        <f t="shared" si="30"/>
        <v>Masculino</v>
      </c>
      <c r="E854" s="96" t="s">
        <v>982</v>
      </c>
      <c r="F854" s="96" t="s">
        <v>1889</v>
      </c>
      <c r="G854" s="96" t="s">
        <v>1075</v>
      </c>
      <c r="H854" s="94" t="s">
        <v>680</v>
      </c>
      <c r="I854" s="91">
        <f>SUMIFS(Movimentações!$F$6:$F$4998,Movimentações!$C$6:$C$4998,A854,Movimentações!$M$6:$M$4998,M854)</f>
        <v>22</v>
      </c>
      <c r="J854" s="68" t="s">
        <v>670</v>
      </c>
      <c r="K854" s="92" t="s">
        <v>671</v>
      </c>
      <c r="L854" s="41">
        <v>5</v>
      </c>
      <c r="M854" s="92" t="s">
        <v>1928</v>
      </c>
      <c r="N854" s="92" t="str">
        <f t="shared" si="31"/>
        <v>Rua A · Prat 5 · C-328</v>
      </c>
      <c r="P854">
        <f>IF(A854="","",IF(AND(K854&lt;&gt;"",L854&lt;&gt;""),IF(COUNTIFS($K$6:K854,K854,$L$6:L854,L854)=1,1,0),0))</f>
        <v>0</v>
      </c>
      <c r="Q854">
        <f>IF(A854="","",IF(AND(K854&lt;&gt;"",M854&lt;&gt;""),IF(COUNTIFS($K$6:K854,K854,$M$6:M854,M854)=1,1,0),0))</f>
        <v>1</v>
      </c>
      <c r="R854">
        <f>IF(A854="","",IF(M854&lt;&gt;"",IF(COUNTIF($M$6:M854,M854)=1,1,0),0))</f>
        <v>1</v>
      </c>
      <c r="T854" t="str">
        <f>IF($A854="","",IF(AND($M854&lt;&gt;"",$M854='Mapa do Galpão'!$C$20),COUNTIF($M$6:$M854,'Mapa do Galpão'!$C$20),""))</f>
        <v/>
      </c>
    </row>
    <row r="855" spans="1:20" ht="14.25" customHeight="1" thickBot="1" x14ac:dyDescent="0.35">
      <c r="A855" t="s">
        <v>1929</v>
      </c>
      <c r="B855" s="95" t="s">
        <v>1424</v>
      </c>
      <c r="C855" s="183" t="s">
        <v>2120</v>
      </c>
      <c r="D855" s="56" t="str">
        <f t="shared" si="30"/>
        <v>Masculino</v>
      </c>
      <c r="E855" s="96" t="s">
        <v>982</v>
      </c>
      <c r="F855" s="96" t="s">
        <v>1889</v>
      </c>
      <c r="G855" s="96" t="s">
        <v>1075</v>
      </c>
      <c r="H855" s="94" t="s">
        <v>669</v>
      </c>
      <c r="I855" s="91">
        <f>SUMIFS(Movimentações!$F$6:$F$4998,Movimentações!$C$6:$C$4998,A855,Movimentações!$M$6:$M$4998,M855)</f>
        <v>44</v>
      </c>
      <c r="J855" s="68" t="s">
        <v>670</v>
      </c>
      <c r="K855" s="92" t="s">
        <v>671</v>
      </c>
      <c r="L855" s="41">
        <v>5</v>
      </c>
      <c r="M855" s="92" t="s">
        <v>1928</v>
      </c>
      <c r="N855" s="92" t="str">
        <f t="shared" si="31"/>
        <v>Rua A · Prat 5 · C-328</v>
      </c>
      <c r="P855">
        <f>IF(A855="","",IF(AND(K855&lt;&gt;"",L855&lt;&gt;""),IF(COUNTIFS($K$6:K855,K855,$L$6:L855,L855)=1,1,0),0))</f>
        <v>0</v>
      </c>
      <c r="Q855">
        <f>IF(A855="","",IF(AND(K855&lt;&gt;"",M855&lt;&gt;""),IF(COUNTIFS($K$6:K855,K855,$M$6:M855,M855)=1,1,0),0))</f>
        <v>0</v>
      </c>
      <c r="R855">
        <f>IF(A855="","",IF(M855&lt;&gt;"",IF(COUNTIF($M$6:M855,M855)=1,1,0),0))</f>
        <v>0</v>
      </c>
      <c r="T855" t="str">
        <f>IF($A855="","",IF(AND($M855&lt;&gt;"",$M855='Mapa do Galpão'!$C$20),COUNTIF($M$6:$M855,'Mapa do Galpão'!$C$20),""))</f>
        <v/>
      </c>
    </row>
    <row r="856" spans="1:20" ht="14.25" hidden="1" customHeight="1" x14ac:dyDescent="0.3">
      <c r="A856" t="s">
        <v>1930</v>
      </c>
      <c r="B856" s="95" t="s">
        <v>1424</v>
      </c>
      <c r="C856" s="177" t="s">
        <v>597</v>
      </c>
      <c r="D856" s="56" t="str">
        <f t="shared" si="30"/>
        <v>Masculino</v>
      </c>
      <c r="E856" s="96" t="s">
        <v>709</v>
      </c>
      <c r="F856" s="96" t="s">
        <v>1931</v>
      </c>
      <c r="G856" s="96" t="s">
        <v>1075</v>
      </c>
      <c r="H856" s="94" t="s">
        <v>675</v>
      </c>
      <c r="I856" s="91">
        <f>SUMIFS(Movimentações!$F$6:$F$4998,Movimentações!$C$6:$C$4998,A856,Movimentações!$M$6:$M$4998,M856)</f>
        <v>7</v>
      </c>
      <c r="J856" s="68" t="s">
        <v>670</v>
      </c>
      <c r="K856" s="92" t="s">
        <v>1932</v>
      </c>
      <c r="L856" s="41">
        <v>8</v>
      </c>
      <c r="M856" s="92" t="s">
        <v>1933</v>
      </c>
      <c r="N856" s="92" t="str">
        <f t="shared" si="31"/>
        <v>Rua C · Prat 8 · C-329</v>
      </c>
      <c r="P856">
        <f>IF(A856="","",IF(AND(K856&lt;&gt;"",L856&lt;&gt;""),IF(COUNTIFS($K$6:K856,K856,$L$6:L856,L856)=1,1,0),0))</f>
        <v>1</v>
      </c>
      <c r="Q856">
        <f>IF(A856="","",IF(AND(K856&lt;&gt;"",M856&lt;&gt;""),IF(COUNTIFS($K$6:K856,K856,$M$6:M856,M856)=1,1,0),0))</f>
        <v>1</v>
      </c>
      <c r="R856">
        <f>IF(A856="","",IF(M856&lt;&gt;"",IF(COUNTIF($M$6:M856,M856)=1,1,0),0))</f>
        <v>1</v>
      </c>
      <c r="T856" t="str">
        <f>IF($A856="","",IF(AND($M856&lt;&gt;"",$M856='Mapa do Galpão'!$C$20),COUNTIF($M$6:$M856,'Mapa do Galpão'!$C$20),""))</f>
        <v/>
      </c>
    </row>
    <row r="857" spans="1:20" ht="14.25" hidden="1" customHeight="1" x14ac:dyDescent="0.3">
      <c r="A857" t="s">
        <v>1934</v>
      </c>
      <c r="B857" s="95" t="s">
        <v>1424</v>
      </c>
      <c r="C857" s="179" t="s">
        <v>598</v>
      </c>
      <c r="D857" s="97" t="str">
        <f t="shared" si="30"/>
        <v>Masculino</v>
      </c>
      <c r="E857" s="96" t="s">
        <v>709</v>
      </c>
      <c r="F857" s="96" t="s">
        <v>1931</v>
      </c>
      <c r="G857" s="96" t="s">
        <v>1075</v>
      </c>
      <c r="H857" s="94" t="s">
        <v>669</v>
      </c>
      <c r="I857" s="91">
        <f>SUMIFS(Movimentações!$F$6:$F$4998,Movimentações!$C$6:$C$4998,A857,Movimentações!$M$6:$M$4998,M857)</f>
        <v>14</v>
      </c>
      <c r="J857" s="68" t="s">
        <v>670</v>
      </c>
      <c r="K857" s="92" t="s">
        <v>1932</v>
      </c>
      <c r="L857" s="41">
        <v>8</v>
      </c>
      <c r="M857" s="92" t="s">
        <v>1933</v>
      </c>
      <c r="N857" s="92" t="str">
        <f t="shared" si="31"/>
        <v>Rua C · Prat 8 · C-329</v>
      </c>
      <c r="P857">
        <f>IF(A857="","",IF(AND(K857&lt;&gt;"",L857&lt;&gt;""),IF(COUNTIFS($K$6:K857,K857,$L$6:L857,L857)=1,1,0),0))</f>
        <v>0</v>
      </c>
      <c r="Q857">
        <f>IF(A857="","",IF(AND(K857&lt;&gt;"",M857&lt;&gt;""),IF(COUNTIFS($K$6:K857,K857,$M$6:M857,M857)=1,1,0),0))</f>
        <v>0</v>
      </c>
      <c r="R857">
        <f>IF(A857="","",IF(M857&lt;&gt;"",IF(COUNTIF($M$6:M857,M857)=1,1,0),0))</f>
        <v>0</v>
      </c>
      <c r="T857" t="str">
        <f>IF($A857="","",IF(AND($M857&lt;&gt;"",$M857='Mapa do Galpão'!$C$20),COUNTIF($M$6:$M857,'Mapa do Galpão'!$C$20),""))</f>
        <v/>
      </c>
    </row>
    <row r="858" spans="1:20" ht="14.25" hidden="1" customHeight="1" x14ac:dyDescent="0.3">
      <c r="A858" t="s">
        <v>1935</v>
      </c>
      <c r="B858" s="95" t="s">
        <v>1424</v>
      </c>
      <c r="C858" s="179" t="s">
        <v>599</v>
      </c>
      <c r="D858" s="97" t="str">
        <f t="shared" si="30"/>
        <v>Masculino</v>
      </c>
      <c r="E858" s="96" t="s">
        <v>709</v>
      </c>
      <c r="F858" s="96" t="s">
        <v>1931</v>
      </c>
      <c r="G858" s="96" t="s">
        <v>1075</v>
      </c>
      <c r="H858" s="94" t="s">
        <v>682</v>
      </c>
      <c r="I858" s="91">
        <f>SUMIFS(Movimentações!$F$6:$F$4998,Movimentações!$C$6:$C$4998,A858,Movimentações!$M$6:$M$4998,M858)</f>
        <v>7</v>
      </c>
      <c r="J858" s="68" t="s">
        <v>670</v>
      </c>
      <c r="K858" s="92" t="s">
        <v>1932</v>
      </c>
      <c r="L858" s="41">
        <v>8</v>
      </c>
      <c r="M858" s="92" t="s">
        <v>1933</v>
      </c>
      <c r="N858" s="92" t="str">
        <f t="shared" si="31"/>
        <v>Rua C · Prat 8 · C-329</v>
      </c>
      <c r="P858">
        <f>IF(A858="","",IF(AND(K858&lt;&gt;"",L858&lt;&gt;""),IF(COUNTIFS($K$6:K858,K858,$L$6:L858,L858)=1,1,0),0))</f>
        <v>0</v>
      </c>
      <c r="Q858">
        <f>IF(A858="","",IF(AND(K858&lt;&gt;"",M858&lt;&gt;""),IF(COUNTIFS($K$6:K858,K858,$M$6:M858,M858)=1,1,0),0))</f>
        <v>0</v>
      </c>
      <c r="R858">
        <f>IF(A858="","",IF(M858&lt;&gt;"",IF(COUNTIF($M$6:M858,M858)=1,1,0),0))</f>
        <v>0</v>
      </c>
      <c r="T858" t="str">
        <f>IF($A858="","",IF(AND($M858&lt;&gt;"",$M858='Mapa do Galpão'!$C$20),COUNTIF($M$6:$M858,'Mapa do Galpão'!$C$20),""))</f>
        <v/>
      </c>
    </row>
    <row r="859" spans="1:20" ht="14.25" hidden="1" customHeight="1" x14ac:dyDescent="0.3">
      <c r="A859" t="s">
        <v>1936</v>
      </c>
      <c r="B859" s="95" t="s">
        <v>1424</v>
      </c>
      <c r="C859" s="179" t="s">
        <v>600</v>
      </c>
      <c r="D859" s="97" t="str">
        <f t="shared" si="30"/>
        <v>Masculino</v>
      </c>
      <c r="E859" s="96" t="s">
        <v>709</v>
      </c>
      <c r="F859" s="96" t="s">
        <v>1937</v>
      </c>
      <c r="G859" s="96" t="s">
        <v>1918</v>
      </c>
      <c r="H859" s="94" t="s">
        <v>680</v>
      </c>
      <c r="I859" s="91">
        <f>SUMIFS(Movimentações!$F$6:$F$4998,Movimentações!$C$6:$C$4998,A859,Movimentações!$M$6:$M$4998,M859)</f>
        <v>7</v>
      </c>
      <c r="J859" s="68" t="s">
        <v>670</v>
      </c>
      <c r="K859" s="92" t="s">
        <v>1932</v>
      </c>
      <c r="L859" s="41">
        <v>8</v>
      </c>
      <c r="M859" s="92" t="s">
        <v>1938</v>
      </c>
      <c r="N859" s="92" t="str">
        <f t="shared" si="31"/>
        <v>Rua C · Prat 8 · C-330</v>
      </c>
      <c r="P859">
        <f>IF(A859="","",IF(AND(K859&lt;&gt;"",L859&lt;&gt;""),IF(COUNTIFS($K$6:K859,K859,$L$6:L859,L859)=1,1,0),0))</f>
        <v>0</v>
      </c>
      <c r="Q859">
        <f>IF(A859="","",IF(AND(K859&lt;&gt;"",M859&lt;&gt;""),IF(COUNTIFS($K$6:K859,K859,$M$6:M859,M859)=1,1,0),0))</f>
        <v>1</v>
      </c>
      <c r="R859">
        <f>IF(A859="","",IF(M859&lt;&gt;"",IF(COUNTIF($M$6:M859,M859)=1,1,0),0))</f>
        <v>1</v>
      </c>
      <c r="T859" t="str">
        <f>IF($A859="","",IF(AND($M859&lt;&gt;"",$M859='Mapa do Galpão'!$C$20),COUNTIF($M$6:$M859,'Mapa do Galpão'!$C$20),""))</f>
        <v/>
      </c>
    </row>
    <row r="860" spans="1:20" ht="14.25" hidden="1" customHeight="1" x14ac:dyDescent="0.3">
      <c r="A860" t="s">
        <v>1939</v>
      </c>
      <c r="B860" s="95" t="s">
        <v>1424</v>
      </c>
      <c r="C860" s="179" t="s">
        <v>601</v>
      </c>
      <c r="D860" s="97" t="str">
        <f t="shared" si="30"/>
        <v>Masculino</v>
      </c>
      <c r="E860" s="96" t="s">
        <v>709</v>
      </c>
      <c r="F860" s="96" t="s">
        <v>1937</v>
      </c>
      <c r="G860" s="96" t="s">
        <v>1918</v>
      </c>
      <c r="H860" s="94" t="s">
        <v>675</v>
      </c>
      <c r="I860" s="91">
        <f>SUMIFS(Movimentações!$F$6:$F$4998,Movimentações!$C$6:$C$4998,A860,Movimentações!$M$6:$M$4998,M860)</f>
        <v>7</v>
      </c>
      <c r="J860" s="68" t="s">
        <v>670</v>
      </c>
      <c r="K860" s="92" t="s">
        <v>1932</v>
      </c>
      <c r="L860" s="41">
        <v>8</v>
      </c>
      <c r="M860" s="92" t="s">
        <v>1938</v>
      </c>
      <c r="N860" s="92" t="str">
        <f t="shared" si="31"/>
        <v>Rua C · Prat 8 · C-330</v>
      </c>
      <c r="P860">
        <f>IF(A860="","",IF(AND(K860&lt;&gt;"",L860&lt;&gt;""),IF(COUNTIFS($K$6:K860,K860,$L$6:L860,L860)=1,1,0),0))</f>
        <v>0</v>
      </c>
      <c r="Q860">
        <f>IF(A860="","",IF(AND(K860&lt;&gt;"",M860&lt;&gt;""),IF(COUNTIFS($K$6:K860,K860,$M$6:M860,M860)=1,1,0),0))</f>
        <v>0</v>
      </c>
      <c r="R860">
        <f>IF(A860="","",IF(M860&lt;&gt;"",IF(COUNTIF($M$6:M860,M860)=1,1,0),0))</f>
        <v>0</v>
      </c>
      <c r="T860" t="str">
        <f>IF($A860="","",IF(AND($M860&lt;&gt;"",$M860='Mapa do Galpão'!$C$20),COUNTIF($M$6:$M860,'Mapa do Galpão'!$C$20),""))</f>
        <v/>
      </c>
    </row>
    <row r="861" spans="1:20" ht="14.25" hidden="1" customHeight="1" x14ac:dyDescent="0.3">
      <c r="A861" t="s">
        <v>1940</v>
      </c>
      <c r="B861" s="95" t="s">
        <v>1424</v>
      </c>
      <c r="C861" s="179" t="s">
        <v>602</v>
      </c>
      <c r="D861" s="97" t="str">
        <f t="shared" si="30"/>
        <v>Masculino</v>
      </c>
      <c r="E861" s="96" t="s">
        <v>709</v>
      </c>
      <c r="F861" s="96" t="s">
        <v>1055</v>
      </c>
      <c r="G861" s="96" t="s">
        <v>1918</v>
      </c>
      <c r="H861" s="94" t="s">
        <v>680</v>
      </c>
      <c r="I861" s="91">
        <f>SUMIFS(Movimentações!$F$6:$F$4998,Movimentações!$C$6:$C$4998,A861,Movimentações!$M$6:$M$4998,M861)</f>
        <v>8</v>
      </c>
      <c r="J861" s="68" t="s">
        <v>670</v>
      </c>
      <c r="K861" s="92" t="s">
        <v>1932</v>
      </c>
      <c r="L861" s="41">
        <v>8</v>
      </c>
      <c r="M861" s="92" t="s">
        <v>1941</v>
      </c>
      <c r="N861" s="92" t="str">
        <f t="shared" si="31"/>
        <v>Rua C · Prat 8 · C-331</v>
      </c>
      <c r="P861">
        <f>IF(A861="","",IF(AND(K861&lt;&gt;"",L861&lt;&gt;""),IF(COUNTIFS($K$6:K861,K861,$L$6:L861,L861)=1,1,0),0))</f>
        <v>0</v>
      </c>
      <c r="Q861">
        <f>IF(A861="","",IF(AND(K861&lt;&gt;"",M861&lt;&gt;""),IF(COUNTIFS($K$6:K861,K861,$M$6:M861,M861)=1,1,0),0))</f>
        <v>1</v>
      </c>
      <c r="R861">
        <f>IF(A861="","",IF(M861&lt;&gt;"",IF(COUNTIF($M$6:M861,M861)=1,1,0),0))</f>
        <v>1</v>
      </c>
      <c r="T861" t="str">
        <f>IF($A861="","",IF(AND($M861&lt;&gt;"",$M861='Mapa do Galpão'!$C$20),COUNTIF($M$6:$M861,'Mapa do Galpão'!$C$20),""))</f>
        <v/>
      </c>
    </row>
    <row r="862" spans="1:20" ht="14.25" hidden="1" customHeight="1" x14ac:dyDescent="0.3">
      <c r="A862" t="s">
        <v>1942</v>
      </c>
      <c r="B862" s="95" t="s">
        <v>1424</v>
      </c>
      <c r="C862" s="179" t="s">
        <v>603</v>
      </c>
      <c r="D862" s="97" t="str">
        <f t="shared" si="30"/>
        <v>Masculino</v>
      </c>
      <c r="E862" s="96" t="s">
        <v>709</v>
      </c>
      <c r="F862" s="96" t="s">
        <v>1055</v>
      </c>
      <c r="G862" s="96" t="s">
        <v>1918</v>
      </c>
      <c r="H862" s="94" t="s">
        <v>675</v>
      </c>
      <c r="I862" s="91">
        <f>SUMIFS(Movimentações!$F$6:$F$4998,Movimentações!$C$6:$C$4998,A862,Movimentações!$M$6:$M$4998,M862)</f>
        <v>16</v>
      </c>
      <c r="J862" s="68" t="s">
        <v>670</v>
      </c>
      <c r="K862" s="92" t="s">
        <v>1932</v>
      </c>
      <c r="L862" s="41">
        <v>8</v>
      </c>
      <c r="M862" s="92" t="s">
        <v>1941</v>
      </c>
      <c r="N862" s="92" t="str">
        <f t="shared" si="31"/>
        <v>Rua C · Prat 8 · C-331</v>
      </c>
      <c r="P862">
        <f>IF(A862="","",IF(AND(K862&lt;&gt;"",L862&lt;&gt;""),IF(COUNTIFS($K$6:K862,K862,$L$6:L862,L862)=1,1,0),0))</f>
        <v>0</v>
      </c>
      <c r="Q862">
        <f>IF(A862="","",IF(AND(K862&lt;&gt;"",M862&lt;&gt;""),IF(COUNTIFS($K$6:K862,K862,$M$6:M862,M862)=1,1,0),0))</f>
        <v>0</v>
      </c>
      <c r="R862">
        <f>IF(A862="","",IF(M862&lt;&gt;"",IF(COUNTIF($M$6:M862,M862)=1,1,0),0))</f>
        <v>0</v>
      </c>
      <c r="T862" t="str">
        <f>IF($A862="","",IF(AND($M862&lt;&gt;"",$M862='Mapa do Galpão'!$C$20),COUNTIF($M$6:$M862,'Mapa do Galpão'!$C$20),""))</f>
        <v/>
      </c>
    </row>
    <row r="863" spans="1:20" ht="14.25" hidden="1" customHeight="1" x14ac:dyDescent="0.3">
      <c r="A863" t="s">
        <v>1943</v>
      </c>
      <c r="B863" s="95" t="s">
        <v>1424</v>
      </c>
      <c r="C863" s="179" t="s">
        <v>604</v>
      </c>
      <c r="D863" s="97" t="str">
        <f t="shared" si="30"/>
        <v>Masculino</v>
      </c>
      <c r="E863" s="96" t="s">
        <v>709</v>
      </c>
      <c r="F863" s="96" t="s">
        <v>1055</v>
      </c>
      <c r="G863" s="96" t="s">
        <v>1918</v>
      </c>
      <c r="H863" s="94" t="s">
        <v>669</v>
      </c>
      <c r="I863" s="91">
        <f>SUMIFS(Movimentações!$F$6:$F$4998,Movimentações!$C$6:$C$4998,A863,Movimentações!$M$6:$M$4998,M863)</f>
        <v>16</v>
      </c>
      <c r="J863" s="68" t="s">
        <v>670</v>
      </c>
      <c r="K863" s="92" t="s">
        <v>1932</v>
      </c>
      <c r="L863" s="41">
        <v>9</v>
      </c>
      <c r="M863" s="92" t="s">
        <v>1944</v>
      </c>
      <c r="N863" s="92" t="str">
        <f t="shared" si="31"/>
        <v>Rua C · Prat 9 · C-332</v>
      </c>
      <c r="P863">
        <f>IF(A863="","",IF(AND(K863&lt;&gt;"",L863&lt;&gt;""),IF(COUNTIFS($K$6:K863,K863,$L$6:L863,L863)=1,1,0),0))</f>
        <v>1</v>
      </c>
      <c r="Q863">
        <f>IF(A863="","",IF(AND(K863&lt;&gt;"",M863&lt;&gt;""),IF(COUNTIFS($K$6:K863,K863,$M$6:M863,M863)=1,1,0),0))</f>
        <v>1</v>
      </c>
      <c r="R863">
        <f>IF(A863="","",IF(M863&lt;&gt;"",IF(COUNTIF($M$6:M863,M863)=1,1,0),0))</f>
        <v>1</v>
      </c>
      <c r="T863" t="str">
        <f>IF($A863="","",IF(AND($M863&lt;&gt;"",$M863='Mapa do Galpão'!$C$20),COUNTIF($M$6:$M863,'Mapa do Galpão'!$C$20),""))</f>
        <v/>
      </c>
    </row>
    <row r="864" spans="1:20" ht="14.25" hidden="1" customHeight="1" x14ac:dyDescent="0.3">
      <c r="A864" t="s">
        <v>1945</v>
      </c>
      <c r="B864" s="95" t="s">
        <v>1424</v>
      </c>
      <c r="C864" s="179" t="s">
        <v>605</v>
      </c>
      <c r="D864" s="97" t="str">
        <f t="shared" si="30"/>
        <v>Masculino</v>
      </c>
      <c r="E864" s="96" t="s">
        <v>709</v>
      </c>
      <c r="F864" s="96" t="s">
        <v>1072</v>
      </c>
      <c r="G864" s="49" t="s">
        <v>1075</v>
      </c>
      <c r="H864" s="94" t="s">
        <v>675</v>
      </c>
      <c r="I864" s="91">
        <f>SUMIFS(Movimentações!$F$6:$F$4998,Movimentações!$C$6:$C$4998,A864,Movimentações!$M$6:$M$4998,M864)</f>
        <v>14</v>
      </c>
      <c r="J864" s="68" t="s">
        <v>670</v>
      </c>
      <c r="K864" s="92" t="s">
        <v>1932</v>
      </c>
      <c r="L864" s="41">
        <v>9</v>
      </c>
      <c r="M864" s="92" t="s">
        <v>1946</v>
      </c>
      <c r="N864" s="92" t="str">
        <f t="shared" si="31"/>
        <v>Rua C · Prat 9 · C-333</v>
      </c>
      <c r="P864">
        <f>IF(A864="","",IF(AND(K864&lt;&gt;"",L864&lt;&gt;""),IF(COUNTIFS($K$6:K864,K864,$L$6:L864,L864)=1,1,0),0))</f>
        <v>0</v>
      </c>
      <c r="Q864">
        <f>IF(A864="","",IF(AND(K864&lt;&gt;"",M864&lt;&gt;""),IF(COUNTIFS($K$6:K864,K864,$M$6:M864,M864)=1,1,0),0))</f>
        <v>1</v>
      </c>
      <c r="R864">
        <f>IF(A864="","",IF(M864&lt;&gt;"",IF(COUNTIF($M$6:M864,M864)=1,1,0),0))</f>
        <v>1</v>
      </c>
      <c r="T864" t="str">
        <f>IF($A864="","",IF(AND($M864&lt;&gt;"",$M864='Mapa do Galpão'!$C$20),COUNTIF($M$6:$M864,'Mapa do Galpão'!$C$20),""))</f>
        <v/>
      </c>
    </row>
    <row r="865" spans="1:20" ht="14.25" hidden="1" customHeight="1" x14ac:dyDescent="0.3">
      <c r="A865" t="s">
        <v>1947</v>
      </c>
      <c r="B865" s="95" t="s">
        <v>1424</v>
      </c>
      <c r="C865" s="179" t="s">
        <v>606</v>
      </c>
      <c r="D865" s="97" t="str">
        <f t="shared" si="30"/>
        <v>Masculino</v>
      </c>
      <c r="E865" s="43" t="s">
        <v>709</v>
      </c>
      <c r="F865" s="43" t="s">
        <v>1072</v>
      </c>
      <c r="G865" s="96" t="s">
        <v>668</v>
      </c>
      <c r="H865" s="94" t="s">
        <v>669</v>
      </c>
      <c r="I865" s="91">
        <f>SUMIFS(Movimentações!$F$6:$F$4998,Movimentações!$C$6:$C$4998,A865,Movimentações!$M$6:$M$4998,M865)</f>
        <v>10</v>
      </c>
      <c r="J865" s="68" t="s">
        <v>670</v>
      </c>
      <c r="K865" s="92" t="s">
        <v>671</v>
      </c>
      <c r="L865" s="41">
        <v>7</v>
      </c>
      <c r="M865" s="92" t="s">
        <v>1948</v>
      </c>
      <c r="N865" s="92" t="str">
        <f t="shared" si="31"/>
        <v>Rua A · Prat 7 · C-334</v>
      </c>
      <c r="P865">
        <f>IF(A865="","",IF(AND(K865&lt;&gt;"",L865&lt;&gt;""),IF(COUNTIFS($K$6:K865,K865,$L$6:L865,L865)=1,1,0),0))</f>
        <v>0</v>
      </c>
      <c r="Q865">
        <f>IF(A865="","",IF(AND(K865&lt;&gt;"",M865&lt;&gt;""),IF(COUNTIFS($K$6:K865,K865,$M$6:M865,M865)=1,1,0),0))</f>
        <v>1</v>
      </c>
      <c r="R865">
        <f>IF(A865="","",IF(M865&lt;&gt;"",IF(COUNTIF($M$6:M865,M865)=1,1,0),0))</f>
        <v>1</v>
      </c>
      <c r="T865" t="str">
        <f>IF($A865="","",IF(AND($M865&lt;&gt;"",$M865='Mapa do Galpão'!$C$20),COUNTIF($M$6:$M865,'Mapa do Galpão'!$C$20),""))</f>
        <v/>
      </c>
    </row>
    <row r="866" spans="1:20" ht="14.25" hidden="1" customHeight="1" x14ac:dyDescent="0.3">
      <c r="A866" s="43" t="s">
        <v>1728</v>
      </c>
      <c r="B866" s="50" t="s">
        <v>1424</v>
      </c>
      <c r="C866" s="180" t="s">
        <v>328</v>
      </c>
      <c r="D866" s="45" t="str">
        <f t="shared" si="30"/>
        <v>Masculino</v>
      </c>
      <c r="E866" s="43" t="s">
        <v>709</v>
      </c>
      <c r="F866" s="43" t="s">
        <v>1072</v>
      </c>
      <c r="G866" s="48" t="s">
        <v>668</v>
      </c>
      <c r="H866" s="43" t="s">
        <v>682</v>
      </c>
      <c r="I866" s="91">
        <f>SUMIFS(Movimentações!$F$6:$F$4998,Movimentações!$C$6:$C$4998,A866,Movimentações!$M$6:$M$4998,M866)</f>
        <v>10</v>
      </c>
      <c r="J866" s="68" t="s">
        <v>670</v>
      </c>
      <c r="K866" s="92" t="s">
        <v>671</v>
      </c>
      <c r="L866" s="41">
        <v>7</v>
      </c>
      <c r="M866" s="92" t="s">
        <v>1948</v>
      </c>
      <c r="N866" s="92" t="str">
        <f t="shared" si="31"/>
        <v>Rua A · Prat 7 · C-334</v>
      </c>
      <c r="P866">
        <f>IF(A866="","",IF(AND(K866&lt;&gt;"",L866&lt;&gt;""),IF(COUNTIFS($K$6:K866,K866,$L$6:L866,L866)=1,1,0),0))</f>
        <v>0</v>
      </c>
      <c r="Q866">
        <f>IF(A866="","",IF(AND(K866&lt;&gt;"",M866&lt;&gt;""),IF(COUNTIFS($K$6:K866,K866,$M$6:M866,M866)=1,1,0),0))</f>
        <v>0</v>
      </c>
      <c r="R866">
        <f>IF(A866="","",IF(M866&lt;&gt;"",IF(COUNTIF($M$6:M866,M866)=1,1,0),0))</f>
        <v>0</v>
      </c>
      <c r="T866" t="str">
        <f>IF($A866="","",IF(AND($M866&lt;&gt;"",$M866='Mapa do Galpão'!$C$20),COUNTIF($M$6:$M866,'Mapa do Galpão'!$C$20),""))</f>
        <v/>
      </c>
    </row>
    <row r="867" spans="1:20" ht="14.25" hidden="1" customHeight="1" x14ac:dyDescent="0.3">
      <c r="A867" s="43" t="s">
        <v>1729</v>
      </c>
      <c r="B867" s="50" t="s">
        <v>1424</v>
      </c>
      <c r="C867" s="165" t="s">
        <v>534</v>
      </c>
      <c r="D867" s="45" t="str">
        <f t="shared" si="30"/>
        <v>Masculino</v>
      </c>
      <c r="E867" s="43" t="s">
        <v>709</v>
      </c>
      <c r="F867" s="43" t="s">
        <v>1072</v>
      </c>
      <c r="G867" s="43" t="s">
        <v>668</v>
      </c>
      <c r="H867" s="43" t="s">
        <v>677</v>
      </c>
      <c r="I867" s="91">
        <f>SUMIFS(Movimentações!$F$6:$F$4998,Movimentações!$C$6:$C$4998,A867,Movimentações!$M$6:$M$4998,M867)</f>
        <v>5</v>
      </c>
      <c r="J867" s="68" t="s">
        <v>670</v>
      </c>
      <c r="K867" s="92" t="s">
        <v>671</v>
      </c>
      <c r="L867" s="41">
        <v>7</v>
      </c>
      <c r="M867" s="92" t="s">
        <v>1948</v>
      </c>
      <c r="N867" s="92" t="str">
        <f t="shared" si="31"/>
        <v>Rua A · Prat 7 · C-334</v>
      </c>
      <c r="P867">
        <f>IF(A867="","",IF(AND(K867&lt;&gt;"",L867&lt;&gt;""),IF(COUNTIFS($K$6:K867,K867,$L$6:L867,L867)=1,1,0),0))</f>
        <v>0</v>
      </c>
      <c r="Q867">
        <f>IF(A867="","",IF(AND(K867&lt;&gt;"",M867&lt;&gt;""),IF(COUNTIFS($K$6:K867,K867,$M$6:M867,M867)=1,1,0),0))</f>
        <v>0</v>
      </c>
      <c r="R867">
        <f>IF(A867="","",IF(M867&lt;&gt;"",IF(COUNTIF($M$6:M867,M867)=1,1,0),0))</f>
        <v>0</v>
      </c>
      <c r="T867" t="str">
        <f>IF($A867="","",IF(AND($M867&lt;&gt;"",$M867='Mapa do Galpão'!$C$20),COUNTIF($M$6:$M867,'Mapa do Galpão'!$C$20),""))</f>
        <v/>
      </c>
    </row>
    <row r="868" spans="1:20" ht="14.25" hidden="1" customHeight="1" x14ac:dyDescent="0.3">
      <c r="A868" t="s">
        <v>1949</v>
      </c>
      <c r="B868" s="95" t="s">
        <v>1424</v>
      </c>
      <c r="C868" s="166" t="s">
        <v>607</v>
      </c>
      <c r="D868" s="56" t="str">
        <f t="shared" si="30"/>
        <v>Masculino</v>
      </c>
      <c r="E868" s="43" t="s">
        <v>709</v>
      </c>
      <c r="F868" s="43" t="s">
        <v>1072</v>
      </c>
      <c r="G868" s="43" t="s">
        <v>668</v>
      </c>
      <c r="H868" s="94" t="s">
        <v>680</v>
      </c>
      <c r="I868" s="91">
        <f>SUMIFS(Movimentações!$F$6:$F$4998,Movimentações!$C$6:$C$4998,A868,Movimentações!$M$6:$M$4998,M868)</f>
        <v>4</v>
      </c>
      <c r="J868" s="68" t="s">
        <v>670</v>
      </c>
      <c r="K868" s="92" t="s">
        <v>671</v>
      </c>
      <c r="L868" s="41">
        <v>7</v>
      </c>
      <c r="M868" s="92" t="s">
        <v>1948</v>
      </c>
      <c r="N868" s="92" t="str">
        <f t="shared" si="31"/>
        <v>Rua A · Prat 7 · C-334</v>
      </c>
      <c r="P868">
        <f>IF(A868="","",IF(AND(K868&lt;&gt;"",L868&lt;&gt;""),IF(COUNTIFS($K$6:K868,K868,$L$6:L868,L868)=1,1,0),0))</f>
        <v>0</v>
      </c>
      <c r="Q868">
        <f>IF(A868="","",IF(AND(K868&lt;&gt;"",M868&lt;&gt;""),IF(COUNTIFS($K$6:K868,K868,$M$6:M868,M868)=1,1,0),0))</f>
        <v>0</v>
      </c>
      <c r="R868">
        <f>IF(A868="","",IF(M868&lt;&gt;"",IF(COUNTIF($M$6:M868,M868)=1,1,0),0))</f>
        <v>0</v>
      </c>
      <c r="T868" t="str">
        <f>IF($A868="","",IF(AND($M868&lt;&gt;"",$M868='Mapa do Galpão'!$C$20),COUNTIF($M$6:$M868,'Mapa do Galpão'!$C$20),""))</f>
        <v/>
      </c>
    </row>
    <row r="869" spans="1:20" ht="14.25" hidden="1" customHeight="1" x14ac:dyDescent="0.3">
      <c r="A869" t="s">
        <v>1950</v>
      </c>
      <c r="B869" s="95" t="s">
        <v>1424</v>
      </c>
      <c r="C869" s="166" t="s">
        <v>608</v>
      </c>
      <c r="D869" s="56" t="str">
        <f t="shared" si="30"/>
        <v>Masculino</v>
      </c>
      <c r="E869" s="43" t="s">
        <v>709</v>
      </c>
      <c r="F869" s="43" t="s">
        <v>1072</v>
      </c>
      <c r="G869" s="43" t="s">
        <v>668</v>
      </c>
      <c r="H869" s="94" t="s">
        <v>675</v>
      </c>
      <c r="I869" s="91">
        <f>SUMIFS(Movimentações!$F$6:$F$4998,Movimentações!$C$6:$C$4998,A869,Movimentações!$M$6:$M$4998,M869)</f>
        <v>10</v>
      </c>
      <c r="J869" s="68" t="s">
        <v>670</v>
      </c>
      <c r="K869" s="92" t="s">
        <v>671</v>
      </c>
      <c r="L869" s="41">
        <v>7</v>
      </c>
      <c r="M869" s="92" t="s">
        <v>1948</v>
      </c>
      <c r="N869" s="92" t="str">
        <f t="shared" si="31"/>
        <v>Rua A · Prat 7 · C-334</v>
      </c>
      <c r="P869">
        <f>IF(A869="","",IF(AND(K869&lt;&gt;"",L869&lt;&gt;""),IF(COUNTIFS($K$6:K869,K869,$L$6:L869,L869)=1,1,0),0))</f>
        <v>0</v>
      </c>
      <c r="Q869">
        <f>IF(A869="","",IF(AND(K869&lt;&gt;"",M869&lt;&gt;""),IF(COUNTIFS($K$6:K869,K869,$M$6:M869,M869)=1,1,0),0))</f>
        <v>0</v>
      </c>
      <c r="R869">
        <f>IF(A869="","",IF(M869&lt;&gt;"",IF(COUNTIF($M$6:M869,M869)=1,1,0),0))</f>
        <v>0</v>
      </c>
      <c r="T869" t="str">
        <f>IF($A869="","",IF(AND($M869&lt;&gt;"",$M869='Mapa do Galpão'!$C$20),COUNTIF($M$6:$M869,'Mapa do Galpão'!$C$20),""))</f>
        <v/>
      </c>
    </row>
    <row r="870" spans="1:20" ht="14.25" hidden="1" customHeight="1" x14ac:dyDescent="0.3">
      <c r="A870" t="s">
        <v>1930</v>
      </c>
      <c r="B870" s="95" t="s">
        <v>1424</v>
      </c>
      <c r="C870" s="177" t="s">
        <v>597</v>
      </c>
      <c r="D870" s="56" t="str">
        <f t="shared" si="30"/>
        <v>Masculino</v>
      </c>
      <c r="E870" s="96" t="s">
        <v>709</v>
      </c>
      <c r="F870" s="96" t="s">
        <v>1931</v>
      </c>
      <c r="G870" s="96" t="s">
        <v>1075</v>
      </c>
      <c r="H870" s="94" t="s">
        <v>675</v>
      </c>
      <c r="I870" s="91">
        <f>SUMIFS(Movimentações!$F$6:$F$4998,Movimentações!$C$6:$C$4998,A870,Movimentações!$M$6:$M$4998,M870)</f>
        <v>7</v>
      </c>
      <c r="J870" s="68" t="s">
        <v>670</v>
      </c>
      <c r="K870" s="92" t="s">
        <v>1419</v>
      </c>
      <c r="L870" s="47">
        <v>15</v>
      </c>
      <c r="M870" s="92" t="s">
        <v>1951</v>
      </c>
      <c r="N870" s="92" t="str">
        <f t="shared" si="31"/>
        <v>Rua B · Prat 15 · C-335</v>
      </c>
      <c r="P870">
        <f>IF(A870="","",IF(AND(K870&lt;&gt;"",L870&lt;&gt;""),IF(COUNTIFS($K$6:K870,K870,$L$6:L870,L870)=1,1,0),0))</f>
        <v>0</v>
      </c>
      <c r="Q870">
        <f>IF(A870="","",IF(AND(K870&lt;&gt;"",M870&lt;&gt;""),IF(COUNTIFS($K$6:K870,K870,$M$6:M870,M870)=1,1,0),0))</f>
        <v>1</v>
      </c>
      <c r="R870">
        <f>IF(A870="","",IF(M870&lt;&gt;"",IF(COUNTIF($M$6:M870,M870)=1,1,0),0))</f>
        <v>1</v>
      </c>
      <c r="T870" t="str">
        <f>IF($A870="","",IF(AND($M870&lt;&gt;"",$M870='Mapa do Galpão'!$C$20),COUNTIF($M$6:$M870,'Mapa do Galpão'!$C$20),""))</f>
        <v/>
      </c>
    </row>
    <row r="871" spans="1:20" ht="14.25" hidden="1" customHeight="1" x14ac:dyDescent="0.3">
      <c r="A871" t="s">
        <v>1952</v>
      </c>
      <c r="B871" s="95" t="s">
        <v>1424</v>
      </c>
      <c r="C871" s="177" t="s">
        <v>609</v>
      </c>
      <c r="D871" s="56" t="str">
        <f t="shared" si="30"/>
        <v>Masculino</v>
      </c>
      <c r="E871" s="96" t="s">
        <v>709</v>
      </c>
      <c r="F871" s="96" t="s">
        <v>1931</v>
      </c>
      <c r="G871" s="96" t="s">
        <v>1075</v>
      </c>
      <c r="H871" s="94" t="s">
        <v>680</v>
      </c>
      <c r="I871" s="91">
        <f>SUMIFS(Movimentações!$F$6:$F$4998,Movimentações!$C$6:$C$4998,A871,Movimentações!$M$6:$M$4998,M871)</f>
        <v>7</v>
      </c>
      <c r="J871" s="68" t="s">
        <v>670</v>
      </c>
      <c r="K871" s="92" t="s">
        <v>1419</v>
      </c>
      <c r="L871" s="47">
        <v>15</v>
      </c>
      <c r="M871" s="92" t="s">
        <v>1951</v>
      </c>
      <c r="N871" s="92" t="str">
        <f t="shared" si="31"/>
        <v>Rua B · Prat 15 · C-335</v>
      </c>
      <c r="P871">
        <f>IF(A871="","",IF(AND(K871&lt;&gt;"",L871&lt;&gt;""),IF(COUNTIFS($K$6:K871,K871,$L$6:L871,L871)=1,1,0),0))</f>
        <v>0</v>
      </c>
      <c r="Q871">
        <f>IF(A871="","",IF(AND(K871&lt;&gt;"",M871&lt;&gt;""),IF(COUNTIFS($K$6:K871,K871,$M$6:M871,M871)=1,1,0),0))</f>
        <v>0</v>
      </c>
      <c r="R871">
        <f>IF(A871="","",IF(M871&lt;&gt;"",IF(COUNTIF($M$6:M871,M871)=1,1,0),0))</f>
        <v>0</v>
      </c>
      <c r="T871" t="str">
        <f>IF($A871="","",IF(AND($M871&lt;&gt;"",$M871='Mapa do Galpão'!$C$20),COUNTIF($M$6:$M871,'Mapa do Galpão'!$C$20),""))</f>
        <v/>
      </c>
    </row>
    <row r="872" spans="1:20" ht="14.25" hidden="1" customHeight="1" x14ac:dyDescent="0.3">
      <c r="A872" s="43" t="s">
        <v>1464</v>
      </c>
      <c r="B872" s="50" t="s">
        <v>1424</v>
      </c>
      <c r="C872" s="165" t="s">
        <v>329</v>
      </c>
      <c r="D872" s="45" t="str">
        <f t="shared" si="30"/>
        <v>Masculino</v>
      </c>
      <c r="E872" s="43" t="s">
        <v>709</v>
      </c>
      <c r="F872" s="43" t="s">
        <v>1465</v>
      </c>
      <c r="G872" s="49" t="s">
        <v>1075</v>
      </c>
      <c r="H872" s="43" t="s">
        <v>669</v>
      </c>
      <c r="I872" s="91">
        <f>SUMIFS(Movimentações!$F$6:$F$4998,Movimentações!$C$6:$C$4998,A872,Movimentações!$M$6:$M$4998,M872)</f>
        <v>14</v>
      </c>
      <c r="J872" s="68" t="s">
        <v>670</v>
      </c>
      <c r="K872" s="92" t="s">
        <v>671</v>
      </c>
      <c r="L872" s="41">
        <v>7</v>
      </c>
      <c r="M872" s="92" t="s">
        <v>1953</v>
      </c>
      <c r="N872" s="92" t="str">
        <f t="shared" si="31"/>
        <v>Rua A · Prat 7 · C-336</v>
      </c>
      <c r="P872">
        <f>IF(A872="","",IF(AND(K872&lt;&gt;"",L872&lt;&gt;""),IF(COUNTIFS($K$6:K872,K872,$L$6:L872,L872)=1,1,0),0))</f>
        <v>0</v>
      </c>
      <c r="Q872">
        <f>IF(A872="","",IF(AND(K872&lt;&gt;"",M872&lt;&gt;""),IF(COUNTIFS($K$6:K872,K872,$M$6:M872,M872)=1,1,0),0))</f>
        <v>1</v>
      </c>
      <c r="R872">
        <f>IF(A872="","",IF(M872&lt;&gt;"",IF(COUNTIF($M$6:M872,M872)=1,1,0),0))</f>
        <v>1</v>
      </c>
      <c r="T872" t="str">
        <f>IF($A872="","",IF(AND($M872&lt;&gt;"",$M872='Mapa do Galpão'!$C$20),COUNTIF($M$6:$M872,'Mapa do Galpão'!$C$20),""))</f>
        <v/>
      </c>
    </row>
    <row r="873" spans="1:20" ht="14.25" hidden="1" customHeight="1" x14ac:dyDescent="0.3">
      <c r="A873" t="s">
        <v>1954</v>
      </c>
      <c r="B873" s="95" t="s">
        <v>1424</v>
      </c>
      <c r="C873" s="177" t="s">
        <v>610</v>
      </c>
      <c r="D873" s="56" t="str">
        <f t="shared" si="30"/>
        <v>Masculino</v>
      </c>
      <c r="E873" s="96" t="s">
        <v>982</v>
      </c>
      <c r="F873" s="96" t="s">
        <v>1892</v>
      </c>
      <c r="G873" s="96" t="s">
        <v>755</v>
      </c>
      <c r="H873" s="94" t="s">
        <v>680</v>
      </c>
      <c r="I873" s="91">
        <f>SUMIFS(Movimentações!$F$6:$F$4998,Movimentações!$C$6:$C$4998,A873,Movimentações!$M$6:$M$4998,M873)</f>
        <v>11</v>
      </c>
      <c r="J873" s="68" t="s">
        <v>670</v>
      </c>
      <c r="K873" s="92" t="s">
        <v>671</v>
      </c>
      <c r="L873" s="41">
        <v>7</v>
      </c>
      <c r="M873" s="92" t="s">
        <v>1955</v>
      </c>
      <c r="N873" s="92" t="str">
        <f t="shared" si="31"/>
        <v>Rua A · Prat 7 · C-337</v>
      </c>
      <c r="P873">
        <f>IF(A873="","",IF(AND(K873&lt;&gt;"",L873&lt;&gt;""),IF(COUNTIFS($K$6:K873,K873,$L$6:L873,L873)=1,1,0),0))</f>
        <v>0</v>
      </c>
      <c r="Q873">
        <f>IF(A873="","",IF(AND(K873&lt;&gt;"",M873&lt;&gt;""),IF(COUNTIFS($K$6:K873,K873,$M$6:M873,M873)=1,1,0),0))</f>
        <v>1</v>
      </c>
      <c r="R873">
        <f>IF(A873="","",IF(M873&lt;&gt;"",IF(COUNTIF($M$6:M873,M873)=1,1,0),0))</f>
        <v>1</v>
      </c>
      <c r="T873" t="str">
        <f>IF($A873="","",IF(AND($M873&lt;&gt;"",$M873='Mapa do Galpão'!$C$20),COUNTIF($M$6:$M873,'Mapa do Galpão'!$C$20),""))</f>
        <v/>
      </c>
    </row>
    <row r="874" spans="1:20" ht="14.25" hidden="1" customHeight="1" x14ac:dyDescent="0.3">
      <c r="A874" t="s">
        <v>1956</v>
      </c>
      <c r="B874" s="95" t="s">
        <v>1424</v>
      </c>
      <c r="C874" s="177" t="s">
        <v>611</v>
      </c>
      <c r="D874" s="98" t="str">
        <f t="shared" si="30"/>
        <v>Masculino</v>
      </c>
      <c r="E874" s="96" t="s">
        <v>982</v>
      </c>
      <c r="F874" s="96" t="s">
        <v>1892</v>
      </c>
      <c r="G874" s="96" t="s">
        <v>755</v>
      </c>
      <c r="H874" s="94" t="s">
        <v>682</v>
      </c>
      <c r="I874" s="91">
        <f>SUMIFS(Movimentações!$F$6:$F$4998,Movimentações!$C$6:$C$4998,A874,Movimentações!$M$6:$M$4998,M874)</f>
        <v>11</v>
      </c>
      <c r="J874" s="68" t="s">
        <v>670</v>
      </c>
      <c r="K874" s="92" t="s">
        <v>671</v>
      </c>
      <c r="L874" s="41">
        <v>7</v>
      </c>
      <c r="M874" s="92" t="s">
        <v>1955</v>
      </c>
      <c r="N874" s="92" t="str">
        <f t="shared" si="31"/>
        <v>Rua A · Prat 7 · C-337</v>
      </c>
      <c r="P874">
        <f>IF(A874="","",IF(AND(K874&lt;&gt;"",L874&lt;&gt;""),IF(COUNTIFS($K$6:K874,K874,$L$6:L874,L874)=1,1,0),0))</f>
        <v>0</v>
      </c>
      <c r="Q874">
        <f>IF(A874="","",IF(AND(K874&lt;&gt;"",M874&lt;&gt;""),IF(COUNTIFS($K$6:K874,K874,$M$6:M874,M874)=1,1,0),0))</f>
        <v>0</v>
      </c>
      <c r="R874">
        <f>IF(A874="","",IF(M874&lt;&gt;"",IF(COUNTIF($M$6:M874,M874)=1,1,0),0))</f>
        <v>0</v>
      </c>
      <c r="T874" t="str">
        <f>IF($A874="","",IF(AND($M874&lt;&gt;"",$M874='Mapa do Galpão'!$C$20),COUNTIF($M$6:$M874,'Mapa do Galpão'!$C$20),""))</f>
        <v/>
      </c>
    </row>
    <row r="875" spans="1:20" ht="14.25" hidden="1" customHeight="1" x14ac:dyDescent="0.3">
      <c r="A875" s="99" t="s">
        <v>1077</v>
      </c>
      <c r="B875" s="82" t="s">
        <v>1424</v>
      </c>
      <c r="C875" s="169" t="s">
        <v>330</v>
      </c>
      <c r="D875" s="56" t="str">
        <f t="shared" si="30"/>
        <v>Masculino</v>
      </c>
      <c r="E875" s="57" t="s">
        <v>709</v>
      </c>
      <c r="F875" s="43" t="s">
        <v>1072</v>
      </c>
      <c r="G875" s="49" t="s">
        <v>1075</v>
      </c>
      <c r="H875" s="43" t="s">
        <v>682</v>
      </c>
      <c r="I875" s="91">
        <f>SUMIFS(Movimentações!$F$6:$F$4998,Movimentações!$C$6:$C$4998,A875,Movimentações!$M$6:$M$4998,M875)</f>
        <v>14</v>
      </c>
      <c r="J875" s="68" t="s">
        <v>670</v>
      </c>
      <c r="K875" s="92" t="s">
        <v>671</v>
      </c>
      <c r="L875" s="41">
        <v>7</v>
      </c>
      <c r="M875" s="92" t="s">
        <v>1957</v>
      </c>
      <c r="N875" s="92" t="str">
        <f t="shared" si="31"/>
        <v>Rua A · Prat 7 · C-338</v>
      </c>
      <c r="P875">
        <f>IF(A875="","",IF(AND(K875&lt;&gt;"",L875&lt;&gt;""),IF(COUNTIFS($K$6:K875,K875,$L$6:L875,L875)=1,1,0),0))</f>
        <v>0</v>
      </c>
      <c r="Q875">
        <f>IF(A875="","",IF(AND(K875&lt;&gt;"",M875&lt;&gt;""),IF(COUNTIFS($K$6:K875,K875,$M$6:M875,M875)=1,1,0),0))</f>
        <v>1</v>
      </c>
      <c r="R875">
        <f>IF(A875="","",IF(M875&lt;&gt;"",IF(COUNTIF($M$6:M875,M875)=1,1,0),0))</f>
        <v>1</v>
      </c>
      <c r="T875" t="str">
        <f>IF($A875="","",IF(AND($M875&lt;&gt;"",$M875='Mapa do Galpão'!$C$20),COUNTIF($M$6:$M875,'Mapa do Galpão'!$C$20),""))</f>
        <v/>
      </c>
    </row>
    <row r="876" spans="1:20" ht="14.25" hidden="1" customHeight="1" x14ac:dyDescent="0.3">
      <c r="A876" t="s">
        <v>1958</v>
      </c>
      <c r="B876" s="100" t="s">
        <v>1424</v>
      </c>
      <c r="C876" s="179" t="s">
        <v>612</v>
      </c>
      <c r="D876" s="56" t="str">
        <f t="shared" si="30"/>
        <v>Masculino</v>
      </c>
      <c r="E876" s="96" t="s">
        <v>709</v>
      </c>
      <c r="F876" s="96" t="s">
        <v>1055</v>
      </c>
      <c r="G876" s="96" t="s">
        <v>1079</v>
      </c>
      <c r="H876" s="94" t="s">
        <v>669</v>
      </c>
      <c r="I876" s="91">
        <f>SUMIFS(Movimentações!$F$6:$F$4998,Movimentações!$C$6:$C$4998,A876,Movimentações!$M$6:$M$4998,M876)</f>
        <v>12</v>
      </c>
      <c r="J876" s="68" t="s">
        <v>670</v>
      </c>
      <c r="K876" s="92" t="s">
        <v>671</v>
      </c>
      <c r="L876" s="41">
        <v>7</v>
      </c>
      <c r="M876" s="92" t="s">
        <v>1959</v>
      </c>
      <c r="N876" s="92" t="str">
        <f t="shared" si="31"/>
        <v>Rua A · Prat 7 · C-339</v>
      </c>
      <c r="P876">
        <f>IF(A876="","",IF(AND(K876&lt;&gt;"",L876&lt;&gt;""),IF(COUNTIFS($K$6:K876,K876,$L$6:L876,L876)=1,1,0),0))</f>
        <v>0</v>
      </c>
      <c r="Q876">
        <f>IF(A876="","",IF(AND(K876&lt;&gt;"",M876&lt;&gt;""),IF(COUNTIFS($K$6:K876,K876,$M$6:M876,M876)=1,1,0),0))</f>
        <v>1</v>
      </c>
      <c r="R876">
        <f>IF(A876="","",IF(M876&lt;&gt;"",IF(COUNTIF($M$6:M876,M876)=1,1,0),0))</f>
        <v>1</v>
      </c>
      <c r="T876" t="str">
        <f>IF($A876="","",IF(AND($M876&lt;&gt;"",$M876='Mapa do Galpão'!$C$20),COUNTIF($M$6:$M876,'Mapa do Galpão'!$C$20),""))</f>
        <v/>
      </c>
    </row>
    <row r="877" spans="1:20" ht="14.25" hidden="1" customHeight="1" x14ac:dyDescent="0.3">
      <c r="A877" t="s">
        <v>1960</v>
      </c>
      <c r="B877" s="100" t="s">
        <v>1424</v>
      </c>
      <c r="C877" s="179" t="s">
        <v>613</v>
      </c>
      <c r="D877" s="56" t="str">
        <f t="shared" si="30"/>
        <v>Masculino</v>
      </c>
      <c r="E877" s="96" t="s">
        <v>709</v>
      </c>
      <c r="F877" s="96" t="s">
        <v>1055</v>
      </c>
      <c r="G877" s="96" t="s">
        <v>1079</v>
      </c>
      <c r="H877" s="94" t="s">
        <v>682</v>
      </c>
      <c r="I877" s="91">
        <f>SUMIFS(Movimentações!$F$6:$F$4998,Movimentações!$C$6:$C$4998,A877,Movimentações!$M$6:$M$4998,M877)</f>
        <v>8</v>
      </c>
      <c r="J877" s="68" t="s">
        <v>670</v>
      </c>
      <c r="K877" s="92" t="s">
        <v>671</v>
      </c>
      <c r="L877" s="41">
        <v>7</v>
      </c>
      <c r="M877" s="92" t="s">
        <v>1959</v>
      </c>
      <c r="N877" s="92" t="str">
        <f t="shared" si="31"/>
        <v>Rua A · Prat 7 · C-339</v>
      </c>
      <c r="P877">
        <f>IF(A877="","",IF(AND(K877&lt;&gt;"",L877&lt;&gt;""),IF(COUNTIFS($K$6:K877,K877,$L$6:L877,L877)=1,1,0),0))</f>
        <v>0</v>
      </c>
      <c r="Q877">
        <f>IF(A877="","",IF(AND(K877&lt;&gt;"",M877&lt;&gt;""),IF(COUNTIFS($K$6:K877,K877,$M$6:M877,M877)=1,1,0),0))</f>
        <v>0</v>
      </c>
      <c r="R877">
        <f>IF(A877="","",IF(M877&lt;&gt;"",IF(COUNTIF($M$6:M877,M877)=1,1,0),0))</f>
        <v>0</v>
      </c>
      <c r="T877" t="str">
        <f>IF($A877="","",IF(AND($M877&lt;&gt;"",$M877='Mapa do Galpão'!$C$20),COUNTIF($M$6:$M877,'Mapa do Galpão'!$C$20),""))</f>
        <v/>
      </c>
    </row>
    <row r="878" spans="1:20" ht="14.25" hidden="1" customHeight="1" x14ac:dyDescent="0.3">
      <c r="A878" t="s">
        <v>1961</v>
      </c>
      <c r="B878" s="100" t="s">
        <v>1424</v>
      </c>
      <c r="C878" s="179" t="s">
        <v>2122</v>
      </c>
      <c r="D878" s="56" t="str">
        <f t="shared" si="30"/>
        <v>Masculino</v>
      </c>
      <c r="E878" s="96" t="s">
        <v>709</v>
      </c>
      <c r="F878" s="96" t="s">
        <v>1903</v>
      </c>
      <c r="G878" s="96" t="s">
        <v>1079</v>
      </c>
      <c r="H878" s="94" t="s">
        <v>669</v>
      </c>
      <c r="I878" s="91">
        <f>SUMIFS(Movimentações!$F$6:$F$4998,Movimentações!$C$6:$C$4998,A878,Movimentações!$M$6:$M$4998,M878)</f>
        <v>23</v>
      </c>
      <c r="J878" s="68" t="s">
        <v>670</v>
      </c>
      <c r="K878" s="92" t="s">
        <v>1419</v>
      </c>
      <c r="L878" s="47">
        <v>15</v>
      </c>
      <c r="M878" s="92" t="s">
        <v>1962</v>
      </c>
      <c r="N878" s="92" t="str">
        <f t="shared" si="31"/>
        <v>Rua B · Prat 15 · C-340</v>
      </c>
      <c r="P878">
        <f>IF(A878="","",IF(AND(K878&lt;&gt;"",L878&lt;&gt;""),IF(COUNTIFS($K$6:K878,K878,$L$6:L878,L878)=1,1,0),0))</f>
        <v>0</v>
      </c>
      <c r="Q878">
        <f>IF(A878="","",IF(AND(K878&lt;&gt;"",M878&lt;&gt;""),IF(COUNTIFS($K$6:K878,K878,$M$6:M878,M878)=1,1,0),0))</f>
        <v>1</v>
      </c>
      <c r="R878">
        <f>IF(A878="","",IF(M878&lt;&gt;"",IF(COUNTIF($M$6:M878,M878)=1,1,0),0))</f>
        <v>1</v>
      </c>
      <c r="T878" t="str">
        <f>IF($A878="","",IF(AND($M878&lt;&gt;"",$M878='Mapa do Galpão'!$C$20),COUNTIF($M$6:$M878,'Mapa do Galpão'!$C$20),""))</f>
        <v/>
      </c>
    </row>
    <row r="879" spans="1:20" ht="14.25" hidden="1" customHeight="1" x14ac:dyDescent="0.3">
      <c r="A879" t="s">
        <v>1963</v>
      </c>
      <c r="B879" s="100" t="s">
        <v>1424</v>
      </c>
      <c r="C879" s="179" t="s">
        <v>2123</v>
      </c>
      <c r="D879" s="56" t="str">
        <f t="shared" si="30"/>
        <v>Masculino</v>
      </c>
      <c r="E879" s="96" t="s">
        <v>709</v>
      </c>
      <c r="F879" s="96" t="s">
        <v>1903</v>
      </c>
      <c r="G879" s="96" t="s">
        <v>1079</v>
      </c>
      <c r="H879" s="94" t="s">
        <v>682</v>
      </c>
      <c r="I879" s="91">
        <f>SUMIFS(Movimentações!$F$6:$F$4998,Movimentações!$C$6:$C$4998,A879,Movimentações!$M$6:$M$4998,M879)</f>
        <v>12</v>
      </c>
      <c r="J879" s="68" t="s">
        <v>670</v>
      </c>
      <c r="K879" s="92" t="s">
        <v>1419</v>
      </c>
      <c r="L879" s="47">
        <v>15</v>
      </c>
      <c r="M879" s="92" t="s">
        <v>1962</v>
      </c>
      <c r="N879" s="92" t="str">
        <f t="shared" si="31"/>
        <v>Rua B · Prat 15 · C-340</v>
      </c>
      <c r="P879">
        <f>IF(A879="","",IF(AND(K879&lt;&gt;"",L879&lt;&gt;""),IF(COUNTIFS($K$6:K879,K879,$L$6:L879,L879)=1,1,0),0))</f>
        <v>0</v>
      </c>
      <c r="Q879">
        <f>IF(A879="","",IF(AND(K879&lt;&gt;"",M879&lt;&gt;""),IF(COUNTIFS($K$6:K879,K879,$M$6:M879,M879)=1,1,0),0))</f>
        <v>0</v>
      </c>
      <c r="R879">
        <f>IF(A879="","",IF(M879&lt;&gt;"",IF(COUNTIF($M$6:M879,M879)=1,1,0),0))</f>
        <v>0</v>
      </c>
      <c r="T879" t="str">
        <f>IF($A879="","",IF(AND($M879&lt;&gt;"",$M879='Mapa do Galpão'!$C$20),COUNTIF($M$6:$M879,'Mapa do Galpão'!$C$20),""))</f>
        <v/>
      </c>
    </row>
    <row r="880" spans="1:20" ht="14.25" hidden="1" customHeight="1" x14ac:dyDescent="0.3">
      <c r="A880" t="s">
        <v>1964</v>
      </c>
      <c r="B880" s="100" t="s">
        <v>1424</v>
      </c>
      <c r="C880" s="179" t="s">
        <v>616</v>
      </c>
      <c r="D880" s="56" t="str">
        <f t="shared" si="30"/>
        <v>Masculino</v>
      </c>
      <c r="E880" s="96" t="s">
        <v>982</v>
      </c>
      <c r="F880" s="96" t="s">
        <v>1880</v>
      </c>
      <c r="G880" s="96" t="s">
        <v>1918</v>
      </c>
      <c r="H880" s="94" t="s">
        <v>682</v>
      </c>
      <c r="I880" s="91">
        <f>SUMIFS(Movimentações!$F$6:$F$4998,Movimentações!$C$6:$C$4998,A880,Movimentações!$M$6:$M$4998,M880)</f>
        <v>8</v>
      </c>
      <c r="J880" s="68" t="s">
        <v>670</v>
      </c>
      <c r="K880" s="92" t="s">
        <v>671</v>
      </c>
      <c r="L880" s="41">
        <v>7</v>
      </c>
      <c r="M880" s="92" t="s">
        <v>1965</v>
      </c>
      <c r="N880" s="92" t="str">
        <f t="shared" si="31"/>
        <v>Rua A · Prat 7 · C-341</v>
      </c>
      <c r="P880">
        <f>IF(A880="","",IF(AND(K880&lt;&gt;"",L880&lt;&gt;""),IF(COUNTIFS($K$6:K880,K880,$L$6:L880,L880)=1,1,0),0))</f>
        <v>0</v>
      </c>
      <c r="Q880">
        <f>IF(A880="","",IF(AND(K880&lt;&gt;"",M880&lt;&gt;""),IF(COUNTIFS($K$6:K880,K880,$M$6:M880,M880)=1,1,0),0))</f>
        <v>1</v>
      </c>
      <c r="R880">
        <f>IF(A880="","",IF(M880&lt;&gt;"",IF(COUNTIF($M$6:M880,M880)=1,1,0),0))</f>
        <v>1</v>
      </c>
      <c r="T880" t="str">
        <f>IF($A880="","",IF(AND($M880&lt;&gt;"",$M880='Mapa do Galpão'!$C$20),COUNTIF($M$6:$M880,'Mapa do Galpão'!$C$20),""))</f>
        <v/>
      </c>
    </row>
    <row r="881" spans="1:20" ht="14.25" hidden="1" customHeight="1" x14ac:dyDescent="0.3">
      <c r="A881" t="s">
        <v>1966</v>
      </c>
      <c r="B881" s="100" t="s">
        <v>1424</v>
      </c>
      <c r="C881" s="179" t="s">
        <v>617</v>
      </c>
      <c r="D881" s="56" t="str">
        <f t="shared" si="30"/>
        <v>Masculino</v>
      </c>
      <c r="E881" s="96" t="s">
        <v>982</v>
      </c>
      <c r="F881" s="96" t="s">
        <v>1880</v>
      </c>
      <c r="G881" s="96" t="s">
        <v>1918</v>
      </c>
      <c r="H881" s="94" t="s">
        <v>680</v>
      </c>
      <c r="I881" s="91">
        <f>SUMIFS(Movimentações!$F$6:$F$4998,Movimentações!$C$6:$C$4998,A881,Movimentações!$M$6:$M$4998,M881)</f>
        <v>7</v>
      </c>
      <c r="J881" s="68" t="s">
        <v>670</v>
      </c>
      <c r="K881" s="92" t="s">
        <v>671</v>
      </c>
      <c r="L881" s="41">
        <v>7</v>
      </c>
      <c r="M881" s="92" t="s">
        <v>1965</v>
      </c>
      <c r="N881" s="92" t="str">
        <f t="shared" si="31"/>
        <v>Rua A · Prat 7 · C-341</v>
      </c>
      <c r="P881">
        <f>IF(A881="","",IF(AND(K881&lt;&gt;"",L881&lt;&gt;""),IF(COUNTIFS($K$6:K881,K881,$L$6:L881,L881)=1,1,0),0))</f>
        <v>0</v>
      </c>
      <c r="Q881">
        <f>IF(A881="","",IF(AND(K881&lt;&gt;"",M881&lt;&gt;""),IF(COUNTIFS($K$6:K881,K881,$M$6:M881,M881)=1,1,0),0))</f>
        <v>0</v>
      </c>
      <c r="R881">
        <f>IF(A881="","",IF(M881&lt;&gt;"",IF(COUNTIF($M$6:M881,M881)=1,1,0),0))</f>
        <v>0</v>
      </c>
      <c r="T881" t="str">
        <f>IF($A881="","",IF(AND($M881&lt;&gt;"",$M881='Mapa do Galpão'!$C$20),COUNTIF($M$6:$M881,'Mapa do Galpão'!$C$20),""))</f>
        <v/>
      </c>
    </row>
    <row r="882" spans="1:20" ht="14.25" hidden="1" customHeight="1" x14ac:dyDescent="0.3">
      <c r="A882" t="s">
        <v>1967</v>
      </c>
      <c r="B882" s="100" t="s">
        <v>1424</v>
      </c>
      <c r="C882" s="179" t="s">
        <v>618</v>
      </c>
      <c r="D882" s="56" t="str">
        <f t="shared" si="30"/>
        <v>Masculino</v>
      </c>
      <c r="E882" s="96" t="s">
        <v>709</v>
      </c>
      <c r="F882" s="96" t="s">
        <v>1072</v>
      </c>
      <c r="G882" s="96" t="s">
        <v>1075</v>
      </c>
      <c r="H882" s="94" t="s">
        <v>677</v>
      </c>
      <c r="I882" s="91">
        <f>SUMIFS(Movimentações!$F$6:$F$4998,Movimentações!$C$6:$C$4998,A882,Movimentações!$M$6:$M$4998,M882)</f>
        <v>10</v>
      </c>
      <c r="J882" s="68" t="s">
        <v>670</v>
      </c>
      <c r="K882" s="92" t="s">
        <v>671</v>
      </c>
      <c r="L882" s="41">
        <v>7</v>
      </c>
      <c r="M882" s="92" t="s">
        <v>1968</v>
      </c>
      <c r="N882" s="92" t="str">
        <f t="shared" si="31"/>
        <v>Rua A · Prat 7 · C-342</v>
      </c>
      <c r="P882">
        <f>IF(A882="","",IF(AND(K882&lt;&gt;"",L882&lt;&gt;""),IF(COUNTIFS($K$6:K882,K882,$L$6:L882,L882)=1,1,0),0))</f>
        <v>0</v>
      </c>
      <c r="Q882">
        <f>IF(A882="","",IF(AND(K882&lt;&gt;"",M882&lt;&gt;""),IF(COUNTIFS($K$6:K882,K882,$M$6:M882,M882)=1,1,0),0))</f>
        <v>1</v>
      </c>
      <c r="R882">
        <f>IF(A882="","",IF(M882&lt;&gt;"",IF(COUNTIF($M$6:M882,M882)=1,1,0),0))</f>
        <v>1</v>
      </c>
      <c r="T882" t="str">
        <f>IF($A882="","",IF(AND($M882&lt;&gt;"",$M882='Mapa do Galpão'!$C$20),COUNTIF($M$6:$M882,'Mapa do Galpão'!$C$20),""))</f>
        <v/>
      </c>
    </row>
    <row r="883" spans="1:20" ht="14.25" hidden="1" customHeight="1" x14ac:dyDescent="0.3">
      <c r="A883" t="s">
        <v>1969</v>
      </c>
      <c r="B883" s="100" t="s">
        <v>1424</v>
      </c>
      <c r="C883" s="179" t="s">
        <v>2124</v>
      </c>
      <c r="D883" s="56" t="str">
        <f t="shared" si="30"/>
        <v>Masculino</v>
      </c>
      <c r="E883" s="96" t="s">
        <v>1970</v>
      </c>
      <c r="F883" s="96" t="s">
        <v>1903</v>
      </c>
      <c r="G883" s="96" t="s">
        <v>1079</v>
      </c>
      <c r="H883" s="94" t="s">
        <v>680</v>
      </c>
      <c r="I883" s="91">
        <f>SUMIFS(Movimentações!$F$6:$F$4998,Movimentações!$C$6:$C$4998,A883,Movimentações!$M$6:$M$4998,M883)</f>
        <v>12</v>
      </c>
      <c r="J883" s="68" t="s">
        <v>670</v>
      </c>
      <c r="K883" s="92" t="s">
        <v>1419</v>
      </c>
      <c r="L883" s="47">
        <v>15</v>
      </c>
      <c r="M883" s="92" t="s">
        <v>1971</v>
      </c>
      <c r="N883" s="92" t="str">
        <f t="shared" si="31"/>
        <v>Rua B · Prat 15 · C-343</v>
      </c>
      <c r="P883">
        <f>IF(A883="","",IF(AND(K883&lt;&gt;"",L883&lt;&gt;""),IF(COUNTIFS($K$6:K883,K883,$L$6:L883,L883)=1,1,0),0))</f>
        <v>0</v>
      </c>
      <c r="Q883">
        <f>IF(A883="","",IF(AND(K883&lt;&gt;"",M883&lt;&gt;""),IF(COUNTIFS($K$6:K883,K883,$M$6:M883,M883)=1,1,0),0))</f>
        <v>1</v>
      </c>
      <c r="R883">
        <f>IF(A883="","",IF(M883&lt;&gt;"",IF(COUNTIF($M$6:M883,M883)=1,1,0),0))</f>
        <v>1</v>
      </c>
      <c r="T883" t="str">
        <f>IF($A883="","",IF(AND($M883&lt;&gt;"",$M883='Mapa do Galpão'!$C$20),COUNTIF($M$6:$M883,'Mapa do Galpão'!$C$20),""))</f>
        <v/>
      </c>
    </row>
    <row r="884" spans="1:20" ht="14.25" hidden="1" customHeight="1" x14ac:dyDescent="0.3">
      <c r="A884" t="s">
        <v>1972</v>
      </c>
      <c r="B884" s="100" t="s">
        <v>1424</v>
      </c>
      <c r="C884" s="179" t="s">
        <v>2125</v>
      </c>
      <c r="D884" s="56" t="str">
        <f t="shared" si="30"/>
        <v>Masculino</v>
      </c>
      <c r="E884" s="96" t="s">
        <v>1970</v>
      </c>
      <c r="F884" s="96" t="s">
        <v>1903</v>
      </c>
      <c r="G884" s="96" t="s">
        <v>1079</v>
      </c>
      <c r="H884" s="94" t="s">
        <v>675</v>
      </c>
      <c r="I884" s="91">
        <f>SUMIFS(Movimentações!$F$6:$F$4998,Movimentações!$C$6:$C$4998,A884,Movimentações!$M$6:$M$4998,M884)</f>
        <v>24</v>
      </c>
      <c r="J884" s="68" t="s">
        <v>670</v>
      </c>
      <c r="K884" s="92" t="s">
        <v>1419</v>
      </c>
      <c r="L884" s="47">
        <v>15</v>
      </c>
      <c r="M884" s="92" t="s">
        <v>1971</v>
      </c>
      <c r="N884" s="92" t="str">
        <f t="shared" si="31"/>
        <v>Rua B · Prat 15 · C-343</v>
      </c>
      <c r="P884">
        <f>IF(A884="","",IF(AND(K884&lt;&gt;"",L884&lt;&gt;""),IF(COUNTIFS($K$6:K884,K884,$L$6:L884,L884)=1,1,0),0))</f>
        <v>0</v>
      </c>
      <c r="Q884">
        <f>IF(A884="","",IF(AND(K884&lt;&gt;"",M884&lt;&gt;""),IF(COUNTIFS($K$6:K884,K884,$M$6:M884,M884)=1,1,0),0))</f>
        <v>0</v>
      </c>
      <c r="R884">
        <f>IF(A884="","",IF(M884&lt;&gt;"",IF(COUNTIF($M$6:M884,M884)=1,1,0),0))</f>
        <v>0</v>
      </c>
      <c r="T884" t="str">
        <f>IF($A884="","",IF(AND($M884&lt;&gt;"",$M884='Mapa do Galpão'!$C$20),COUNTIF($M$6:$M884,'Mapa do Galpão'!$C$20),""))</f>
        <v/>
      </c>
    </row>
    <row r="885" spans="1:20" ht="14.25" hidden="1" customHeight="1" x14ac:dyDescent="0.3">
      <c r="A885" s="101" t="s">
        <v>1945</v>
      </c>
      <c r="B885" s="100" t="s">
        <v>1424</v>
      </c>
      <c r="C885" s="179" t="s">
        <v>605</v>
      </c>
      <c r="D885" s="56" t="str">
        <f t="shared" si="30"/>
        <v>Masculino</v>
      </c>
      <c r="E885" s="96" t="s">
        <v>709</v>
      </c>
      <c r="F885" s="96" t="s">
        <v>1072</v>
      </c>
      <c r="G885" s="49" t="s">
        <v>1075</v>
      </c>
      <c r="H885" s="94" t="s">
        <v>675</v>
      </c>
      <c r="I885" s="91">
        <f>SUMIFS(Movimentações!$F$6:$F$4998,Movimentações!$C$6:$C$4998,A885,Movimentações!$M$6:$M$4998,M885)</f>
        <v>14</v>
      </c>
      <c r="J885" s="68" t="s">
        <v>670</v>
      </c>
      <c r="K885" s="92" t="s">
        <v>1419</v>
      </c>
      <c r="L885" s="47">
        <v>15</v>
      </c>
      <c r="M885" s="92" t="s">
        <v>1973</v>
      </c>
      <c r="N885" s="92" t="str">
        <f t="shared" si="31"/>
        <v>Rua B · Prat 15 · C-344</v>
      </c>
      <c r="P885">
        <f>IF(A885="","",IF(AND(K885&lt;&gt;"",L885&lt;&gt;""),IF(COUNTIFS($K$6:K885,K885,$L$6:L885,L885)=1,1,0),0))</f>
        <v>0</v>
      </c>
      <c r="Q885">
        <f>IF(A885="","",IF(AND(K885&lt;&gt;"",M885&lt;&gt;""),IF(COUNTIFS($K$6:K885,K885,$M$6:M885,M885)=1,1,0),0))</f>
        <v>1</v>
      </c>
      <c r="R885">
        <f>IF(A885="","",IF(M885&lt;&gt;"",IF(COUNTIF($M$6:M885,M885)=1,1,0),0))</f>
        <v>1</v>
      </c>
      <c r="T885" t="str">
        <f>IF($A885="","",IF(AND($M885&lt;&gt;"",$M885='Mapa do Galpão'!$C$20),COUNTIF($M$6:$M885,'Mapa do Galpão'!$C$20),""))</f>
        <v/>
      </c>
    </row>
    <row r="886" spans="1:20" ht="14.25" hidden="1" customHeight="1" x14ac:dyDescent="0.3">
      <c r="A886" s="101" t="s">
        <v>1974</v>
      </c>
      <c r="B886" s="100" t="s">
        <v>1424</v>
      </c>
      <c r="C886" s="179" t="s">
        <v>601</v>
      </c>
      <c r="D886" s="56" t="str">
        <f t="shared" si="30"/>
        <v>Masculino</v>
      </c>
      <c r="E886" s="96" t="s">
        <v>709</v>
      </c>
      <c r="F886" s="96" t="s">
        <v>1931</v>
      </c>
      <c r="G886" s="96" t="s">
        <v>1918</v>
      </c>
      <c r="H886" s="94" t="s">
        <v>675</v>
      </c>
      <c r="I886" s="91">
        <f>SUMIFS(Movimentações!$F$6:$F$4998,Movimentações!$C$6:$C$4998,A886,Movimentações!$M$6:$M$4998,M886)</f>
        <v>7</v>
      </c>
      <c r="J886" s="68" t="s">
        <v>670</v>
      </c>
      <c r="K886" s="92" t="s">
        <v>1419</v>
      </c>
      <c r="L886" s="47">
        <v>15</v>
      </c>
      <c r="M886" s="92" t="s">
        <v>1975</v>
      </c>
      <c r="N886" s="92" t="str">
        <f t="shared" si="31"/>
        <v>Rua B · Prat 15 · C-345</v>
      </c>
      <c r="P886">
        <f>IF(A886="","",IF(AND(K886&lt;&gt;"",L886&lt;&gt;""),IF(COUNTIFS($K$6:K886,K886,$L$6:L886,L886)=1,1,0),0))</f>
        <v>0</v>
      </c>
      <c r="Q886">
        <f>IF(A886="","",IF(AND(K886&lt;&gt;"",M886&lt;&gt;""),IF(COUNTIFS($K$6:K886,K886,$M$6:M886,M886)=1,1,0),0))</f>
        <v>1</v>
      </c>
      <c r="R886">
        <f>IF(A886="","",IF(M886&lt;&gt;"",IF(COUNTIF($M$6:M886,M886)=1,1,0),0))</f>
        <v>1</v>
      </c>
      <c r="T886" t="str">
        <f>IF($A886="","",IF(AND($M886&lt;&gt;"",$M886='Mapa do Galpão'!$C$20),COUNTIF($M$6:$M886,'Mapa do Galpão'!$C$20),""))</f>
        <v/>
      </c>
    </row>
    <row r="887" spans="1:20" ht="14.25" hidden="1" customHeight="1" x14ac:dyDescent="0.3">
      <c r="A887" s="101" t="s">
        <v>1976</v>
      </c>
      <c r="B887" s="100" t="s">
        <v>1424</v>
      </c>
      <c r="C887" s="179" t="s">
        <v>621</v>
      </c>
      <c r="D887" s="56" t="str">
        <f t="shared" ref="D887:D950" si="32">IF(C887="","",IFERROR(IF(TRIM(MID(SUBSTITUTE(C887,".",REPT(" ",50)),51,50))="01","Masculino",IF(TRIM(MID(SUBSTITUTE(C887,".",REPT(" ",50)),51,50))="02","Feminino",IF(TRIM(MID(SUBSTITUTE(C887,".",REPT(" ",50)),51,50))="03","Outros","—"))),"—"))</f>
        <v>Masculino</v>
      </c>
      <c r="E887" s="96" t="s">
        <v>709</v>
      </c>
      <c r="F887" s="96" t="s">
        <v>1931</v>
      </c>
      <c r="G887" s="96" t="s">
        <v>1918</v>
      </c>
      <c r="H887" s="94" t="s">
        <v>669</v>
      </c>
      <c r="I887" s="91">
        <f>SUMIFS(Movimentações!$F$6:$F$4998,Movimentações!$C$6:$C$4998,A887,Movimentações!$M$6:$M$4998,M887)</f>
        <v>14</v>
      </c>
      <c r="J887" s="68" t="s">
        <v>670</v>
      </c>
      <c r="K887" s="92" t="s">
        <v>1419</v>
      </c>
      <c r="L887" s="47">
        <v>15</v>
      </c>
      <c r="M887" s="92" t="s">
        <v>1975</v>
      </c>
      <c r="N887" s="92" t="str">
        <f t="shared" ref="N887:N937" si="33">IF(AND(K887="",L887="",M887=""),"⚠ sem endereço","Rua "&amp;K887&amp;IF(L887="",""," · Prat "&amp;L887)&amp;IF(M887="",""," · "&amp;M887))</f>
        <v>Rua B · Prat 15 · C-345</v>
      </c>
      <c r="P887">
        <f>IF(A887="","",IF(AND(K887&lt;&gt;"",L887&lt;&gt;""),IF(COUNTIFS($K$6:K887,K887,$L$6:L887,L887)=1,1,0),0))</f>
        <v>0</v>
      </c>
      <c r="Q887">
        <f>IF(A887="","",IF(AND(K887&lt;&gt;"",M887&lt;&gt;""),IF(COUNTIFS($K$6:K887,K887,$M$6:M887,M887)=1,1,0),0))</f>
        <v>0</v>
      </c>
      <c r="R887">
        <f>IF(A887="","",IF(M887&lt;&gt;"",IF(COUNTIF($M$6:M887,M887)=1,1,0),0))</f>
        <v>0</v>
      </c>
      <c r="T887" t="str">
        <f>IF($A887="","",IF(AND($M887&lt;&gt;"",$M887='Mapa do Galpão'!$C$20),COUNTIF($M$6:$M887,'Mapa do Galpão'!$C$20),""))</f>
        <v/>
      </c>
    </row>
    <row r="888" spans="1:20" ht="14.25" hidden="1" customHeight="1" x14ac:dyDescent="0.3">
      <c r="A888" s="101" t="s">
        <v>1977</v>
      </c>
      <c r="B888" s="100" t="s">
        <v>1424</v>
      </c>
      <c r="C888" s="179" t="s">
        <v>622</v>
      </c>
      <c r="D888" s="56" t="str">
        <f t="shared" si="32"/>
        <v>Masculino</v>
      </c>
      <c r="E888" s="96" t="s">
        <v>709</v>
      </c>
      <c r="F888" s="96" t="s">
        <v>1931</v>
      </c>
      <c r="G888" s="96" t="s">
        <v>1918</v>
      </c>
      <c r="H888" s="94" t="s">
        <v>682</v>
      </c>
      <c r="I888" s="91">
        <f>SUMIFS(Movimentações!$F$6:$F$4998,Movimentações!$C$6:$C$4998,A888,Movimentações!$M$6:$M$4998,M888)</f>
        <v>7</v>
      </c>
      <c r="J888" s="68" t="s">
        <v>670</v>
      </c>
      <c r="K888" s="92" t="s">
        <v>1419</v>
      </c>
      <c r="L888" s="47">
        <v>15</v>
      </c>
      <c r="M888" s="92" t="s">
        <v>1975</v>
      </c>
      <c r="N888" s="92" t="str">
        <f t="shared" si="33"/>
        <v>Rua B · Prat 15 · C-345</v>
      </c>
      <c r="P888">
        <f>IF(A888="","",IF(AND(K888&lt;&gt;"",L888&lt;&gt;""),IF(COUNTIFS($K$6:K888,K888,$L$6:L888,L888)=1,1,0),0))</f>
        <v>0</v>
      </c>
      <c r="Q888">
        <f>IF(A888="","",IF(AND(K888&lt;&gt;"",M888&lt;&gt;""),IF(COUNTIFS($K$6:K888,K888,$M$6:M888,M888)=1,1,0),0))</f>
        <v>0</v>
      </c>
      <c r="R888">
        <f>IF(A888="","",IF(M888&lt;&gt;"",IF(COUNTIF($M$6:M888,M888)=1,1,0),0))</f>
        <v>0</v>
      </c>
      <c r="T888" t="str">
        <f>IF($A888="","",IF(AND($M888&lt;&gt;"",$M888='Mapa do Galpão'!$C$20),COUNTIF($M$6:$M888,'Mapa do Galpão'!$C$20),""))</f>
        <v/>
      </c>
    </row>
    <row r="889" spans="1:20" ht="14.25" hidden="1" customHeight="1" x14ac:dyDescent="0.3">
      <c r="A889" s="65" t="s">
        <v>1498</v>
      </c>
      <c r="B889" s="102" t="s">
        <v>1424</v>
      </c>
      <c r="C889" s="179" t="s">
        <v>623</v>
      </c>
      <c r="D889" s="56" t="str">
        <f t="shared" si="32"/>
        <v>Masculino</v>
      </c>
      <c r="E889" s="57" t="s">
        <v>982</v>
      </c>
      <c r="F889" s="43" t="s">
        <v>1497</v>
      </c>
      <c r="G889" s="43" t="s">
        <v>755</v>
      </c>
      <c r="H889" s="48" t="s">
        <v>675</v>
      </c>
      <c r="I889" s="91">
        <f>SUMIFS(Movimentações!$F$6:$F$4998,Movimentações!$C$6:$C$4998,A889,Movimentações!$M$6:$M$4998,M889)</f>
        <v>7</v>
      </c>
      <c r="J889" s="68" t="s">
        <v>670</v>
      </c>
      <c r="K889" s="92" t="s">
        <v>1419</v>
      </c>
      <c r="L889" s="41">
        <v>9</v>
      </c>
      <c r="M889" s="92" t="s">
        <v>1978</v>
      </c>
      <c r="N889" s="92" t="str">
        <f t="shared" si="33"/>
        <v>Rua B · Prat 9 · C-346</v>
      </c>
      <c r="P889">
        <f>IF(A889="","",IF(AND(K889&lt;&gt;"",L889&lt;&gt;""),IF(COUNTIFS($K$6:K889,K889,$L$6:L889,L889)=1,1,0),0))</f>
        <v>0</v>
      </c>
      <c r="Q889">
        <f>IF(A889="","",IF(AND(K889&lt;&gt;"",M889&lt;&gt;""),IF(COUNTIFS($K$6:K889,K889,$M$6:M889,M889)=1,1,0),0))</f>
        <v>1</v>
      </c>
      <c r="R889">
        <f>IF(A889="","",IF(M889&lt;&gt;"",IF(COUNTIF($M$6:M889,M889)=1,1,0),0))</f>
        <v>1</v>
      </c>
      <c r="T889" t="str">
        <f>IF($A889="","",IF(AND($M889&lt;&gt;"",$M889='Mapa do Galpão'!$C$20),COUNTIF($M$6:$M889,'Mapa do Galpão'!$C$20),""))</f>
        <v/>
      </c>
    </row>
    <row r="890" spans="1:20" ht="14.25" hidden="1" customHeight="1" x14ac:dyDescent="0.3">
      <c r="A890" s="103" t="s">
        <v>1979</v>
      </c>
      <c r="B890" s="82" t="s">
        <v>1424</v>
      </c>
      <c r="C890" s="169" t="s">
        <v>486</v>
      </c>
      <c r="D890" s="56" t="str">
        <f t="shared" si="32"/>
        <v>Masculino</v>
      </c>
      <c r="E890" s="57" t="s">
        <v>982</v>
      </c>
      <c r="F890" s="43" t="s">
        <v>1497</v>
      </c>
      <c r="G890" s="48" t="s">
        <v>755</v>
      </c>
      <c r="H890" s="43" t="s">
        <v>669</v>
      </c>
      <c r="I890" s="91">
        <f>SUMIFS(Movimentações!$F$6:$F$4998,Movimentações!$C$6:$C$4998,A890,Movimentações!$M$6:$M$4998,M890)</f>
        <v>7</v>
      </c>
      <c r="J890" s="68" t="s">
        <v>670</v>
      </c>
      <c r="K890" s="92" t="s">
        <v>1419</v>
      </c>
      <c r="L890" s="41">
        <v>9</v>
      </c>
      <c r="M890" s="92" t="s">
        <v>1978</v>
      </c>
      <c r="N890" s="92" t="str">
        <f t="shared" si="33"/>
        <v>Rua B · Prat 9 · C-346</v>
      </c>
      <c r="P890">
        <f>IF(A890="","",IF(AND(K890&lt;&gt;"",L890&lt;&gt;""),IF(COUNTIFS($K$6:K890,K890,$L$6:L890,L890)=1,1,0),0))</f>
        <v>0</v>
      </c>
      <c r="Q890">
        <f>IF(A890="","",IF(AND(K890&lt;&gt;"",M890&lt;&gt;""),IF(COUNTIFS($K$6:K890,K890,$M$6:M890,M890)=1,1,0),0))</f>
        <v>0</v>
      </c>
      <c r="R890">
        <f>IF(A890="","",IF(M890&lt;&gt;"",IF(COUNTIF($M$6:M890,M890)=1,1,0),0))</f>
        <v>0</v>
      </c>
      <c r="T890" t="str">
        <f>IF($A890="","",IF(AND($M890&lt;&gt;"",$M890='Mapa do Galpão'!$C$20),COUNTIF($M$6:$M890,'Mapa do Galpão'!$C$20),""))</f>
        <v/>
      </c>
    </row>
    <row r="891" spans="1:20" ht="14.25" hidden="1" customHeight="1" x14ac:dyDescent="0.3">
      <c r="A891" s="65" t="s">
        <v>1503</v>
      </c>
      <c r="B891" s="82" t="s">
        <v>1424</v>
      </c>
      <c r="C891" s="179" t="s">
        <v>624</v>
      </c>
      <c r="D891" s="56" t="str">
        <f t="shared" si="32"/>
        <v>Masculino</v>
      </c>
      <c r="E891" s="57" t="s">
        <v>982</v>
      </c>
      <c r="F891" s="43" t="s">
        <v>1497</v>
      </c>
      <c r="G891" s="48" t="s">
        <v>1079</v>
      </c>
      <c r="H891" s="48" t="s">
        <v>675</v>
      </c>
      <c r="I891" s="91">
        <f>SUMIFS(Movimentações!$F$6:$F$4998,Movimentações!$C$6:$C$4998,A891,Movimentações!$M$6:$M$4998,M891)</f>
        <v>7</v>
      </c>
      <c r="J891" s="68" t="s">
        <v>670</v>
      </c>
      <c r="K891" s="92" t="s">
        <v>1419</v>
      </c>
      <c r="L891" s="41">
        <v>9</v>
      </c>
      <c r="M891" s="92" t="s">
        <v>1978</v>
      </c>
      <c r="N891" s="92" t="str">
        <f t="shared" si="33"/>
        <v>Rua B · Prat 9 · C-346</v>
      </c>
      <c r="P891">
        <f>IF(A891="","",IF(AND(K891&lt;&gt;"",L891&lt;&gt;""),IF(COUNTIFS($K$6:K891,K891,$L$6:L891,L891)=1,1,0),0))</f>
        <v>0</v>
      </c>
      <c r="Q891">
        <f>IF(A891="","",IF(AND(K891&lt;&gt;"",M891&lt;&gt;""),IF(COUNTIFS($K$6:K891,K891,$M$6:M891,M891)=1,1,0),0))</f>
        <v>0</v>
      </c>
      <c r="R891">
        <f>IF(A891="","",IF(M891&lt;&gt;"",IF(COUNTIF($M$6:M891,M891)=1,1,0),0))</f>
        <v>0</v>
      </c>
      <c r="T891" t="str">
        <f>IF($A891="","",IF(AND($M891&lt;&gt;"",$M891='Mapa do Galpão'!$C$20),COUNTIF($M$6:$M891,'Mapa do Galpão'!$C$20),""))</f>
        <v/>
      </c>
    </row>
    <row r="892" spans="1:20" ht="14.25" hidden="1" customHeight="1" x14ac:dyDescent="0.3">
      <c r="A892" s="103" t="s">
        <v>1980</v>
      </c>
      <c r="B892" s="82" t="s">
        <v>1424</v>
      </c>
      <c r="C892" s="207" t="s">
        <v>485</v>
      </c>
      <c r="D892" s="208" t="str">
        <f t="shared" si="32"/>
        <v>Masculino</v>
      </c>
      <c r="E892" s="209" t="s">
        <v>982</v>
      </c>
      <c r="F892" s="47" t="s">
        <v>1497</v>
      </c>
      <c r="G892" s="205" t="s">
        <v>1079</v>
      </c>
      <c r="H892" s="47" t="s">
        <v>669</v>
      </c>
      <c r="I892" s="210">
        <v>8</v>
      </c>
      <c r="J892" s="68" t="s">
        <v>670</v>
      </c>
      <c r="K892" s="92" t="s">
        <v>1419</v>
      </c>
      <c r="L892" s="41">
        <v>9</v>
      </c>
      <c r="M892" s="92" t="s">
        <v>1978</v>
      </c>
      <c r="N892" s="92" t="str">
        <f t="shared" si="33"/>
        <v>Rua B · Prat 9 · C-346</v>
      </c>
      <c r="P892">
        <f>IF(A892="","",IF(AND(K892&lt;&gt;"",L892&lt;&gt;""),IF(COUNTIFS($K$6:K892,K892,$L$6:L892,L892)=1,1,0),0))</f>
        <v>0</v>
      </c>
      <c r="Q892">
        <f>IF(A892="","",IF(AND(K892&lt;&gt;"",M892&lt;&gt;""),IF(COUNTIFS($K$6:K892,K892,$M$6:M892,M892)=1,1,0),0))</f>
        <v>0</v>
      </c>
      <c r="R892">
        <f>IF(A892="","",IF(M892&lt;&gt;"",IF(COUNTIF($M$6:M892,M892)=1,1,0),0))</f>
        <v>0</v>
      </c>
      <c r="T892" t="str">
        <f>IF($A892="","",IF(AND($M892&lt;&gt;"",$M892='Mapa do Galpão'!$C$20),COUNTIF($M$6:$M892,'Mapa do Galpão'!$C$20),""))</f>
        <v/>
      </c>
    </row>
    <row r="893" spans="1:20" ht="14.25" hidden="1" customHeight="1" x14ac:dyDescent="0.3">
      <c r="A893" s="103" t="s">
        <v>1981</v>
      </c>
      <c r="B893" s="100" t="s">
        <v>1424</v>
      </c>
      <c r="C893" s="179" t="s">
        <v>625</v>
      </c>
      <c r="D893" s="56" t="str">
        <f t="shared" si="32"/>
        <v>Masculino</v>
      </c>
      <c r="E893" s="96" t="s">
        <v>982</v>
      </c>
      <c r="F893" s="49" t="s">
        <v>1880</v>
      </c>
      <c r="G893" s="96" t="s">
        <v>1918</v>
      </c>
      <c r="H893" s="94" t="s">
        <v>675</v>
      </c>
      <c r="I893" s="91">
        <f>SUMIFS(Movimentações!$F$6:$F$4998,Movimentações!$C$6:$C$4998,A893,Movimentações!$M$6:$M$4998,M893)</f>
        <v>16</v>
      </c>
      <c r="J893" s="68" t="s">
        <v>670</v>
      </c>
      <c r="K893" s="92" t="s">
        <v>671</v>
      </c>
      <c r="L893" s="41">
        <v>7</v>
      </c>
      <c r="M893" s="92" t="s">
        <v>1982</v>
      </c>
      <c r="N893" s="92" t="str">
        <f t="shared" si="33"/>
        <v>Rua A · Prat 7 · C-347</v>
      </c>
      <c r="P893">
        <f>IF(A893="","",IF(AND(K893&lt;&gt;"",L893&lt;&gt;""),IF(COUNTIFS($K$6:K893,K893,$L$6:L893,L893)=1,1,0),0))</f>
        <v>0</v>
      </c>
      <c r="Q893">
        <f>IF(A893="","",IF(AND(K893&lt;&gt;"",M893&lt;&gt;""),IF(COUNTIFS($K$6:K893,K893,$M$6:M893,M893)=1,1,0),0))</f>
        <v>1</v>
      </c>
      <c r="R893">
        <f>IF(A893="","",IF(M893&lt;&gt;"",IF(COUNTIF($M$6:M893,M893)=1,1,0),0))</f>
        <v>1</v>
      </c>
      <c r="T893" t="str">
        <f>IF($A893="","",IF(AND($M893&lt;&gt;"",$M893='Mapa do Galpão'!$C$20),COUNTIF($M$6:$M893,'Mapa do Galpão'!$C$20),""))</f>
        <v/>
      </c>
    </row>
    <row r="894" spans="1:20" ht="14.25" hidden="1" customHeight="1" x14ac:dyDescent="0.3">
      <c r="A894" s="49" t="s">
        <v>1983</v>
      </c>
      <c r="B894" s="100" t="s">
        <v>1424</v>
      </c>
      <c r="C894" s="181" t="s">
        <v>626</v>
      </c>
      <c r="D894" s="56" t="str">
        <f t="shared" si="32"/>
        <v>Masculino</v>
      </c>
      <c r="E894" s="105" t="s">
        <v>1984</v>
      </c>
      <c r="F894" s="61" t="s">
        <v>754</v>
      </c>
      <c r="G894" s="96" t="s">
        <v>1075</v>
      </c>
      <c r="H894" s="94" t="s">
        <v>682</v>
      </c>
      <c r="I894" s="91">
        <f>SUMIFS(Movimentações!$F$6:$F$4998,Movimentações!$C$6:$C$4998,A894,Movimentações!$M$6:$M$4998,M894)</f>
        <v>58</v>
      </c>
      <c r="J894" s="68" t="s">
        <v>670</v>
      </c>
      <c r="K894" s="92" t="s">
        <v>1932</v>
      </c>
      <c r="L894" s="41">
        <v>9</v>
      </c>
      <c r="M894" s="92" t="s">
        <v>1985</v>
      </c>
      <c r="N894" s="92" t="str">
        <f t="shared" si="33"/>
        <v>Rua C · Prat 9 · C-348</v>
      </c>
      <c r="P894">
        <f>IF(A894="","",IF(AND(K894&lt;&gt;"",L894&lt;&gt;""),IF(COUNTIFS($K$6:K894,K894,$L$6:L894,L894)=1,1,0),0))</f>
        <v>0</v>
      </c>
      <c r="Q894">
        <f>IF(A894="","",IF(AND(K894&lt;&gt;"",M894&lt;&gt;""),IF(COUNTIFS($K$6:K894,K894,$M$6:M894,M894)=1,1,0),0))</f>
        <v>1</v>
      </c>
      <c r="R894">
        <f>IF(A894="","",IF(M894&lt;&gt;"",IF(COUNTIF($M$6:M894,M894)=1,1,0),0))</f>
        <v>1</v>
      </c>
      <c r="T894" t="str">
        <f>IF($A894="","",IF(AND($M894&lt;&gt;"",$M894='Mapa do Galpão'!$C$20),COUNTIF($M$6:$M894,'Mapa do Galpão'!$C$20),""))</f>
        <v/>
      </c>
    </row>
    <row r="895" spans="1:20" ht="14.25" hidden="1" customHeight="1" x14ac:dyDescent="0.3">
      <c r="A895" s="49" t="s">
        <v>1986</v>
      </c>
      <c r="B895" s="100" t="s">
        <v>1424</v>
      </c>
      <c r="C895" s="181" t="s">
        <v>627</v>
      </c>
      <c r="D895" s="56" t="str">
        <f t="shared" si="32"/>
        <v>Masculino</v>
      </c>
      <c r="E895" s="106" t="s">
        <v>1984</v>
      </c>
      <c r="F895" s="61" t="s">
        <v>754</v>
      </c>
      <c r="G895" s="96" t="s">
        <v>1075</v>
      </c>
      <c r="H895" s="94" t="s">
        <v>756</v>
      </c>
      <c r="I895" s="91">
        <f>SUMIFS(Movimentações!$F$6:$F$4998,Movimentações!$C$6:$C$4998,A895,Movimentações!$M$6:$M$4998,M895)</f>
        <v>9</v>
      </c>
      <c r="J895" s="68" t="s">
        <v>670</v>
      </c>
      <c r="K895" s="92" t="s">
        <v>1932</v>
      </c>
      <c r="L895" s="41">
        <v>9</v>
      </c>
      <c r="M895" s="92" t="s">
        <v>1985</v>
      </c>
      <c r="N895" s="92" t="str">
        <f t="shared" si="33"/>
        <v>Rua C · Prat 9 · C-348</v>
      </c>
      <c r="P895">
        <f>IF(A895="","",IF(AND(K895&lt;&gt;"",L895&lt;&gt;""),IF(COUNTIFS($K$6:K895,K895,$L$6:L895,L895)=1,1,0),0))</f>
        <v>0</v>
      </c>
      <c r="Q895">
        <f>IF(A895="","",IF(AND(K895&lt;&gt;"",M895&lt;&gt;""),IF(COUNTIFS($K$6:K895,K895,$M$6:M895,M895)=1,1,0),0))</f>
        <v>0</v>
      </c>
      <c r="R895">
        <f>IF(A895="","",IF(M895&lt;&gt;"",IF(COUNTIF($M$6:M895,M895)=1,1,0),0))</f>
        <v>0</v>
      </c>
      <c r="T895" t="str">
        <f>IF($A895="","",IF(AND($M895&lt;&gt;"",$M895='Mapa do Galpão'!$C$20),COUNTIF($M$6:$M895,'Mapa do Galpão'!$C$20),""))</f>
        <v/>
      </c>
    </row>
    <row r="896" spans="1:20" ht="14.25" hidden="1" customHeight="1" x14ac:dyDescent="0.3">
      <c r="A896" s="49" t="s">
        <v>1987</v>
      </c>
      <c r="B896" s="100" t="s">
        <v>1424</v>
      </c>
      <c r="C896" s="181" t="s">
        <v>628</v>
      </c>
      <c r="D896" s="56" t="str">
        <f t="shared" si="32"/>
        <v>Masculino</v>
      </c>
      <c r="E896" s="104" t="s">
        <v>1984</v>
      </c>
      <c r="F896" s="61" t="s">
        <v>754</v>
      </c>
      <c r="G896" s="96" t="s">
        <v>1075</v>
      </c>
      <c r="H896" s="94" t="s">
        <v>675</v>
      </c>
      <c r="I896" s="91">
        <f>SUMIFS(Movimentações!$F$6:$F$4998,Movimentações!$C$6:$C$4998,A896,Movimentações!$M$6:$M$4998,M896)</f>
        <v>46</v>
      </c>
      <c r="J896" s="68" t="s">
        <v>670</v>
      </c>
      <c r="K896" s="92" t="s">
        <v>1419</v>
      </c>
      <c r="L896" s="41">
        <v>13</v>
      </c>
      <c r="M896" s="92" t="s">
        <v>1988</v>
      </c>
      <c r="N896" s="92" t="str">
        <f t="shared" si="33"/>
        <v>Rua B · Prat 13 · C-349</v>
      </c>
      <c r="P896">
        <f>IF(A896="","",IF(AND(K896&lt;&gt;"",L896&lt;&gt;""),IF(COUNTIFS($K$6:K896,K896,$L$6:L896,L896)=1,1,0),0))</f>
        <v>0</v>
      </c>
      <c r="Q896">
        <f>IF(A896="","",IF(AND(K896&lt;&gt;"",M896&lt;&gt;""),IF(COUNTIFS($K$6:K896,K896,$M$6:M896,M896)=1,1,0),0))</f>
        <v>1</v>
      </c>
      <c r="R896">
        <f>IF(A896="","",IF(M896&lt;&gt;"",IF(COUNTIF($M$6:M896,M896)=1,1,0),0))</f>
        <v>1</v>
      </c>
      <c r="T896" t="str">
        <f>IF($A896="","",IF(AND($M896&lt;&gt;"",$M896='Mapa do Galpão'!$C$20),COUNTIF($M$6:$M896,'Mapa do Galpão'!$C$20),""))</f>
        <v/>
      </c>
    </row>
    <row r="897" spans="1:20" ht="14.25" hidden="1" customHeight="1" x14ac:dyDescent="0.3">
      <c r="A897" s="49" t="s">
        <v>1989</v>
      </c>
      <c r="B897" s="100" t="s">
        <v>1424</v>
      </c>
      <c r="C897" s="181" t="s">
        <v>629</v>
      </c>
      <c r="D897" s="56" t="str">
        <f t="shared" si="32"/>
        <v>Masculino</v>
      </c>
      <c r="E897" s="107" t="s">
        <v>1984</v>
      </c>
      <c r="F897" s="61" t="s">
        <v>754</v>
      </c>
      <c r="G897" s="96" t="s">
        <v>1075</v>
      </c>
      <c r="H897" s="94" t="s">
        <v>669</v>
      </c>
      <c r="I897" s="91">
        <f>SUMIFS(Movimentações!$F$6:$F$4998,Movimentações!$C$6:$C$4998,A897,Movimentações!$M$6:$M$4998,M897)</f>
        <v>35</v>
      </c>
      <c r="J897" s="68" t="s">
        <v>670</v>
      </c>
      <c r="K897" s="92" t="s">
        <v>1419</v>
      </c>
      <c r="L897" s="41">
        <v>13</v>
      </c>
      <c r="M897" s="92" t="s">
        <v>1988</v>
      </c>
      <c r="N897" s="92" t="str">
        <f t="shared" si="33"/>
        <v>Rua B · Prat 13 · C-349</v>
      </c>
      <c r="P897">
        <f>IF(A897="","",IF(AND(K897&lt;&gt;"",L897&lt;&gt;""),IF(COUNTIFS($K$6:K897,K897,$L$6:L897,L897)=1,1,0),0))</f>
        <v>0</v>
      </c>
      <c r="Q897">
        <f>IF(A897="","",IF(AND(K897&lt;&gt;"",M897&lt;&gt;""),IF(COUNTIFS($K$6:K897,K897,$M$6:M897,M897)=1,1,0),0))</f>
        <v>0</v>
      </c>
      <c r="R897">
        <f>IF(A897="","",IF(M897&lt;&gt;"",IF(COUNTIF($M$6:M897,M897)=1,1,0),0))</f>
        <v>0</v>
      </c>
      <c r="T897" t="str">
        <f>IF($A897="","",IF(AND($M897&lt;&gt;"",$M897='Mapa do Galpão'!$C$20),COUNTIF($M$6:$M897,'Mapa do Galpão'!$C$20),""))</f>
        <v/>
      </c>
    </row>
    <row r="898" spans="1:20" ht="14.25" hidden="1" customHeight="1" x14ac:dyDescent="0.3">
      <c r="A898" s="49" t="s">
        <v>1990</v>
      </c>
      <c r="B898" s="100" t="s">
        <v>1424</v>
      </c>
      <c r="C898" s="181" t="s">
        <v>630</v>
      </c>
      <c r="D898" s="56" t="str">
        <f t="shared" si="32"/>
        <v>Masculino</v>
      </c>
      <c r="E898" s="104" t="s">
        <v>1984</v>
      </c>
      <c r="F898" s="61" t="s">
        <v>754</v>
      </c>
      <c r="G898" s="96" t="s">
        <v>1075</v>
      </c>
      <c r="H898" s="94" t="s">
        <v>1842</v>
      </c>
      <c r="I898" s="91">
        <f>SUMIFS(Movimentações!$F$6:$F$4998,Movimentações!$C$6:$C$4998,A898,Movimentações!$M$6:$M$4998,M898)</f>
        <v>12</v>
      </c>
      <c r="J898" s="68" t="s">
        <v>670</v>
      </c>
      <c r="K898" s="92" t="s">
        <v>1419</v>
      </c>
      <c r="L898" s="41">
        <v>13</v>
      </c>
      <c r="M898" s="92" t="s">
        <v>1991</v>
      </c>
      <c r="N898" s="92" t="str">
        <f t="shared" si="33"/>
        <v>Rua B · Prat 13 · C-350</v>
      </c>
      <c r="P898">
        <f>IF(A898="","",IF(AND(K898&lt;&gt;"",L898&lt;&gt;""),IF(COUNTIFS($K$6:K898,K898,$L$6:L898,L898)=1,1,0),0))</f>
        <v>0</v>
      </c>
      <c r="Q898">
        <f>IF(A898="","",IF(AND(K898&lt;&gt;"",M898&lt;&gt;""),IF(COUNTIFS($K$6:K898,K898,$M$6:M898,M898)=1,1,0),0))</f>
        <v>1</v>
      </c>
      <c r="R898">
        <f>IF(A898="","",IF(M898&lt;&gt;"",IF(COUNTIF($M$6:M898,M898)=1,1,0),0))</f>
        <v>1</v>
      </c>
      <c r="T898" t="str">
        <f>IF($A898="","",IF(AND($M898&lt;&gt;"",$M898='Mapa do Galpão'!$C$20),COUNTIF($M$6:$M898,'Mapa do Galpão'!$C$20),""))</f>
        <v/>
      </c>
    </row>
    <row r="899" spans="1:20" ht="14.25" hidden="1" customHeight="1" x14ac:dyDescent="0.3">
      <c r="A899" s="49" t="s">
        <v>1987</v>
      </c>
      <c r="B899" s="100" t="s">
        <v>1424</v>
      </c>
      <c r="C899" s="181" t="s">
        <v>628</v>
      </c>
      <c r="D899" s="56" t="str">
        <f t="shared" si="32"/>
        <v>Masculino</v>
      </c>
      <c r="E899" s="104" t="s">
        <v>1984</v>
      </c>
      <c r="F899" s="61" t="s">
        <v>754</v>
      </c>
      <c r="G899" s="96" t="s">
        <v>1075</v>
      </c>
      <c r="H899" s="94" t="s">
        <v>675</v>
      </c>
      <c r="I899" s="91">
        <f>SUMIFS(Movimentações!$F$6:$F$4998,Movimentações!$C$6:$C$4998,A899,Movimentações!$M$6:$M$4998,M899)</f>
        <v>77</v>
      </c>
      <c r="J899" s="68" t="s">
        <v>670</v>
      </c>
      <c r="K899" s="92" t="s">
        <v>1419</v>
      </c>
      <c r="L899" s="41">
        <v>13</v>
      </c>
      <c r="M899" s="92" t="s">
        <v>1991</v>
      </c>
      <c r="N899" s="92" t="str">
        <f t="shared" si="33"/>
        <v>Rua B · Prat 13 · C-350</v>
      </c>
      <c r="P899">
        <f>IF(A899="","",IF(AND(K899&lt;&gt;"",L899&lt;&gt;""),IF(COUNTIFS($K$6:K899,K899,$L$6:L899,L899)=1,1,0),0))</f>
        <v>0</v>
      </c>
      <c r="Q899">
        <f>IF(A899="","",IF(AND(K899&lt;&gt;"",M899&lt;&gt;""),IF(COUNTIFS($K$6:K899,K899,$M$6:M899,M899)=1,1,0),0))</f>
        <v>0</v>
      </c>
      <c r="R899">
        <f>IF(A899="","",IF(M899&lt;&gt;"",IF(COUNTIF($M$6:M899,M899)=1,1,0),0))</f>
        <v>0</v>
      </c>
      <c r="T899" t="str">
        <f>IF($A899="","",IF(AND($M899&lt;&gt;"",$M899='Mapa do Galpão'!$C$20),COUNTIF($M$6:$M899,'Mapa do Galpão'!$C$20),""))</f>
        <v/>
      </c>
    </row>
    <row r="900" spans="1:20" ht="14.25" hidden="1" customHeight="1" x14ac:dyDescent="0.3">
      <c r="A900" s="49" t="s">
        <v>1992</v>
      </c>
      <c r="B900" s="100" t="s">
        <v>1424</v>
      </c>
      <c r="C900" s="181" t="s">
        <v>631</v>
      </c>
      <c r="D900" s="56" t="str">
        <f t="shared" si="32"/>
        <v>Masculino</v>
      </c>
      <c r="E900" s="106" t="s">
        <v>1984</v>
      </c>
      <c r="F900" s="61" t="s">
        <v>754</v>
      </c>
      <c r="G900" s="96" t="s">
        <v>1075</v>
      </c>
      <c r="H900" s="94" t="s">
        <v>680</v>
      </c>
      <c r="I900" s="91">
        <f>SUMIFS(Movimentações!$F$6:$F$4998,Movimentações!$C$6:$C$4998,A900,Movimentações!$M$6:$M$4998,M900)</f>
        <v>45</v>
      </c>
      <c r="J900" s="68" t="s">
        <v>670</v>
      </c>
      <c r="K900" s="92" t="s">
        <v>1419</v>
      </c>
      <c r="L900" s="41">
        <v>13</v>
      </c>
      <c r="M900" s="92" t="s">
        <v>1993</v>
      </c>
      <c r="N900" s="92" t="str">
        <f t="shared" si="33"/>
        <v>Rua B · Prat 13 · C-351</v>
      </c>
      <c r="P900">
        <f>IF(A900="","",IF(AND(K900&lt;&gt;"",L900&lt;&gt;""),IF(COUNTIFS($K$6:K900,K900,$L$6:L900,L900)=1,1,0),0))</f>
        <v>0</v>
      </c>
      <c r="Q900">
        <f>IF(A900="","",IF(AND(K900&lt;&gt;"",M900&lt;&gt;""),IF(COUNTIFS($K$6:K900,K900,$M$6:M900,M900)=1,1,0),0))</f>
        <v>1</v>
      </c>
      <c r="R900">
        <f>IF(A900="","",IF(M900&lt;&gt;"",IF(COUNTIF($M$6:M900,M900)=1,1,0),0))</f>
        <v>1</v>
      </c>
      <c r="T900" t="str">
        <f>IF($A900="","",IF(AND($M900&lt;&gt;"",$M900='Mapa do Galpão'!$C$20),COUNTIF($M$6:$M900,'Mapa do Galpão'!$C$20),""))</f>
        <v/>
      </c>
    </row>
    <row r="901" spans="1:20" ht="14.25" hidden="1" customHeight="1" x14ac:dyDescent="0.3">
      <c r="A901" s="49" t="s">
        <v>1994</v>
      </c>
      <c r="B901" s="100" t="s">
        <v>1424</v>
      </c>
      <c r="C901" s="181" t="s">
        <v>632</v>
      </c>
      <c r="D901" s="56" t="str">
        <f t="shared" si="32"/>
        <v>Masculino</v>
      </c>
      <c r="E901" s="104" t="s">
        <v>1984</v>
      </c>
      <c r="F901" s="61" t="s">
        <v>754</v>
      </c>
      <c r="G901" s="96" t="s">
        <v>1075</v>
      </c>
      <c r="H901" s="94" t="s">
        <v>677</v>
      </c>
      <c r="I901" s="91">
        <f>SUMIFS(Movimentações!$F$6:$F$4998,Movimentações!$C$6:$C$4998,A901,Movimentações!$M$6:$M$4998,M901)</f>
        <v>38</v>
      </c>
      <c r="J901" s="68" t="s">
        <v>670</v>
      </c>
      <c r="K901" s="92" t="s">
        <v>1419</v>
      </c>
      <c r="L901" s="41">
        <v>13</v>
      </c>
      <c r="M901" s="92" t="s">
        <v>1993</v>
      </c>
      <c r="N901" s="92" t="str">
        <f t="shared" si="33"/>
        <v>Rua B · Prat 13 · C-351</v>
      </c>
      <c r="P901">
        <f>IF(A901="","",IF(AND(K901&lt;&gt;"",L901&lt;&gt;""),IF(COUNTIFS($K$6:K901,K901,$L$6:L901,L901)=1,1,0),0))</f>
        <v>0</v>
      </c>
      <c r="Q901">
        <f>IF(A901="","",IF(AND(K901&lt;&gt;"",M901&lt;&gt;""),IF(COUNTIFS($K$6:K901,K901,$M$6:M901,M901)=1,1,0),0))</f>
        <v>0</v>
      </c>
      <c r="R901">
        <f>IF(A901="","",IF(M901&lt;&gt;"",IF(COUNTIF($M$6:M901,M901)=1,1,0),0))</f>
        <v>0</v>
      </c>
      <c r="T901" t="str">
        <f>IF($A901="","",IF(AND($M901&lt;&gt;"",$M901='Mapa do Galpão'!$C$20),COUNTIF($M$6:$M901,'Mapa do Galpão'!$C$20),""))</f>
        <v/>
      </c>
    </row>
    <row r="902" spans="1:20" ht="14.25" hidden="1" customHeight="1" x14ac:dyDescent="0.3">
      <c r="A902" s="49" t="s">
        <v>1989</v>
      </c>
      <c r="B902" s="100" t="s">
        <v>1424</v>
      </c>
      <c r="C902" s="181" t="s">
        <v>629</v>
      </c>
      <c r="D902" s="56" t="str">
        <f t="shared" si="32"/>
        <v>Masculino</v>
      </c>
      <c r="E902" s="104" t="s">
        <v>1984</v>
      </c>
      <c r="F902" s="61" t="s">
        <v>754</v>
      </c>
      <c r="G902" s="96" t="s">
        <v>1075</v>
      </c>
      <c r="H902" s="94" t="s">
        <v>669</v>
      </c>
      <c r="I902" s="91">
        <f>SUMIFS(Movimentações!$F$6:$F$4998,Movimentações!$C$6:$C$4998,A902,Movimentações!$M$6:$M$4998,M902)</f>
        <v>82</v>
      </c>
      <c r="J902" s="68" t="s">
        <v>670</v>
      </c>
      <c r="K902" s="92" t="s">
        <v>1419</v>
      </c>
      <c r="L902" s="41">
        <v>13</v>
      </c>
      <c r="M902" s="92" t="s">
        <v>1995</v>
      </c>
      <c r="N902" s="92" t="str">
        <f t="shared" si="33"/>
        <v>Rua B · Prat 13 · C-352</v>
      </c>
      <c r="P902">
        <f>IF(A902="","",IF(AND(K902&lt;&gt;"",L902&lt;&gt;""),IF(COUNTIFS($K$6:K902,K902,$L$6:L902,L902)=1,1,0),0))</f>
        <v>0</v>
      </c>
      <c r="Q902">
        <f>IF(A902="","",IF(AND(K902&lt;&gt;"",M902&lt;&gt;""),IF(COUNTIFS($K$6:K902,K902,$M$6:M902,M902)=1,1,0),0))</f>
        <v>1</v>
      </c>
      <c r="R902">
        <f>IF(A902="","",IF(M902&lt;&gt;"",IF(COUNTIF($M$6:M902,M902)=1,1,0),0))</f>
        <v>1</v>
      </c>
      <c r="T902" t="str">
        <f>IF($A902="","",IF(AND($M902&lt;&gt;"",$M902='Mapa do Galpão'!$C$20),COUNTIF($M$6:$M902,'Mapa do Galpão'!$C$20),""))</f>
        <v/>
      </c>
    </row>
    <row r="903" spans="1:20" ht="14.25" hidden="1" customHeight="1" x14ac:dyDescent="0.3">
      <c r="A903" s="49" t="s">
        <v>1996</v>
      </c>
      <c r="B903" s="100" t="s">
        <v>1424</v>
      </c>
      <c r="C903" s="181" t="s">
        <v>633</v>
      </c>
      <c r="D903" s="56" t="str">
        <f t="shared" si="32"/>
        <v>Feminino</v>
      </c>
      <c r="E903" s="104" t="s">
        <v>1984</v>
      </c>
      <c r="F903" s="61" t="s">
        <v>822</v>
      </c>
      <c r="G903" s="96" t="s">
        <v>1075</v>
      </c>
      <c r="H903" s="94" t="s">
        <v>669</v>
      </c>
      <c r="I903" s="91">
        <f>SUMIFS(Movimentações!$F$6:$F$4998,Movimentações!$C$6:$C$4998,A903,Movimentações!$M$6:$M$4998,M903)</f>
        <v>39</v>
      </c>
      <c r="J903" s="68" t="s">
        <v>670</v>
      </c>
      <c r="K903" s="92" t="s">
        <v>1419</v>
      </c>
      <c r="L903" s="41">
        <v>13</v>
      </c>
      <c r="M903" s="92" t="s">
        <v>1997</v>
      </c>
      <c r="N903" s="92" t="str">
        <f t="shared" si="33"/>
        <v>Rua B · Prat 13 · C-353</v>
      </c>
      <c r="P903">
        <f>IF(A903="","",IF(AND(K903&lt;&gt;"",L903&lt;&gt;""),IF(COUNTIFS($K$6:K903,K903,$L$6:L903,L903)=1,1,0),0))</f>
        <v>0</v>
      </c>
      <c r="Q903">
        <f>IF(A903="","",IF(AND(K903&lt;&gt;"",M903&lt;&gt;""),IF(COUNTIFS($K$6:K903,K903,$M$6:M903,M903)=1,1,0),0))</f>
        <v>1</v>
      </c>
      <c r="R903">
        <f>IF(A903="","",IF(M903&lt;&gt;"",IF(COUNTIF($M$6:M903,M903)=1,1,0),0))</f>
        <v>1</v>
      </c>
      <c r="T903" t="str">
        <f>IF($A903="","",IF(AND($M903&lt;&gt;"",$M903='Mapa do Galpão'!$C$20),COUNTIF($M$6:$M903,'Mapa do Galpão'!$C$20),""))</f>
        <v/>
      </c>
    </row>
    <row r="904" spans="1:20" ht="14.25" hidden="1" customHeight="1" x14ac:dyDescent="0.3">
      <c r="A904" s="49" t="s">
        <v>1998</v>
      </c>
      <c r="B904" s="100" t="s">
        <v>1424</v>
      </c>
      <c r="C904" s="181" t="s">
        <v>634</v>
      </c>
      <c r="D904" s="56" t="str">
        <f t="shared" si="32"/>
        <v>Feminino</v>
      </c>
      <c r="E904" s="104" t="s">
        <v>1984</v>
      </c>
      <c r="F904" s="61" t="s">
        <v>822</v>
      </c>
      <c r="G904" s="96" t="s">
        <v>1075</v>
      </c>
      <c r="H904" s="94" t="s">
        <v>680</v>
      </c>
      <c r="I904" s="91">
        <f>SUMIFS(Movimentações!$F$6:$F$4998,Movimentações!$C$6:$C$4998,A904,Movimentações!$M$6:$M$4998,M904)</f>
        <v>44</v>
      </c>
      <c r="J904" s="68" t="s">
        <v>670</v>
      </c>
      <c r="K904" s="92" t="s">
        <v>1419</v>
      </c>
      <c r="L904" s="41">
        <v>13</v>
      </c>
      <c r="M904" s="92" t="s">
        <v>1997</v>
      </c>
      <c r="N904" s="92" t="str">
        <f t="shared" si="33"/>
        <v>Rua B · Prat 13 · C-353</v>
      </c>
      <c r="P904">
        <f>IF(A904="","",IF(AND(K904&lt;&gt;"",L904&lt;&gt;""),IF(COUNTIFS($K$6:K904,K904,$L$6:L904,L904)=1,1,0),0))</f>
        <v>0</v>
      </c>
      <c r="Q904">
        <f>IF(A904="","",IF(AND(K904&lt;&gt;"",M904&lt;&gt;""),IF(COUNTIFS($K$6:K904,K904,$M$6:M904,M904)=1,1,0),0))</f>
        <v>0</v>
      </c>
      <c r="R904">
        <f>IF(A904="","",IF(M904&lt;&gt;"",IF(COUNTIF($M$6:M904,M904)=1,1,0),0))</f>
        <v>0</v>
      </c>
      <c r="T904" t="str">
        <f>IF($A904="","",IF(AND($M904&lt;&gt;"",$M904='Mapa do Galpão'!$C$20),COUNTIF($M$6:$M904,'Mapa do Galpão'!$C$20),""))</f>
        <v/>
      </c>
    </row>
    <row r="905" spans="1:20" ht="14.25" hidden="1" customHeight="1" x14ac:dyDescent="0.3">
      <c r="A905" s="49" t="s">
        <v>1999</v>
      </c>
      <c r="B905" s="100" t="s">
        <v>1424</v>
      </c>
      <c r="C905" s="181" t="s">
        <v>635</v>
      </c>
      <c r="D905" s="56" t="str">
        <f t="shared" si="32"/>
        <v>Feminino</v>
      </c>
      <c r="E905" s="104" t="s">
        <v>1984</v>
      </c>
      <c r="F905" s="61" t="s">
        <v>822</v>
      </c>
      <c r="G905" s="96" t="s">
        <v>1075</v>
      </c>
      <c r="H905" s="94" t="s">
        <v>756</v>
      </c>
      <c r="I905" s="91">
        <f>SUMIFS(Movimentações!$F$6:$F$4998,Movimentações!$C$6:$C$4998,A905,Movimentações!$M$6:$M$4998,M905)</f>
        <v>22</v>
      </c>
      <c r="J905" s="68" t="s">
        <v>670</v>
      </c>
      <c r="K905" s="92" t="s">
        <v>1419</v>
      </c>
      <c r="L905" s="41">
        <v>13</v>
      </c>
      <c r="M905" s="92" t="s">
        <v>2000</v>
      </c>
      <c r="N905" s="92" t="str">
        <f t="shared" si="33"/>
        <v>Rua B · Prat 13 · C-354</v>
      </c>
      <c r="P905">
        <f>IF(A905="","",IF(AND(K905&lt;&gt;"",L905&lt;&gt;""),IF(COUNTIFS($K$6:K905,K905,$L$6:L905,L905)=1,1,0),0))</f>
        <v>0</v>
      </c>
      <c r="Q905">
        <f>IF(A905="","",IF(AND(K905&lt;&gt;"",M905&lt;&gt;""),IF(COUNTIFS($K$6:K905,K905,$M$6:M905,M905)=1,1,0),0))</f>
        <v>1</v>
      </c>
      <c r="R905">
        <f>IF(A905="","",IF(M905&lt;&gt;"",IF(COUNTIF($M$6:M905,M905)=1,1,0),0))</f>
        <v>1</v>
      </c>
      <c r="T905" t="str">
        <f>IF($A905="","",IF(AND($M905&lt;&gt;"",$M905='Mapa do Galpão'!$C$20),COUNTIF($M$6:$M905,'Mapa do Galpão'!$C$20),""))</f>
        <v/>
      </c>
    </row>
    <row r="906" spans="1:20" ht="14.25" hidden="1" customHeight="1" x14ac:dyDescent="0.3">
      <c r="A906" s="49" t="s">
        <v>2001</v>
      </c>
      <c r="B906" s="100" t="s">
        <v>1424</v>
      </c>
      <c r="C906" s="181" t="s">
        <v>636</v>
      </c>
      <c r="D906" s="56" t="str">
        <f t="shared" si="32"/>
        <v>Feminino</v>
      </c>
      <c r="E906" s="104" t="s">
        <v>1984</v>
      </c>
      <c r="F906" s="61" t="s">
        <v>822</v>
      </c>
      <c r="G906" s="96" t="s">
        <v>1075</v>
      </c>
      <c r="H906" s="94" t="s">
        <v>682</v>
      </c>
      <c r="I906" s="91">
        <f>SUMIFS(Movimentações!$F$6:$F$4998,Movimentações!$C$6:$C$4998,A906,Movimentações!$M$6:$M$4998,M906)</f>
        <v>16</v>
      </c>
      <c r="J906" s="68" t="s">
        <v>670</v>
      </c>
      <c r="K906" s="92" t="s">
        <v>1419</v>
      </c>
      <c r="L906" s="41">
        <v>13</v>
      </c>
      <c r="M906" s="92" t="s">
        <v>2000</v>
      </c>
      <c r="N906" s="92" t="str">
        <f t="shared" si="33"/>
        <v>Rua B · Prat 13 · C-354</v>
      </c>
      <c r="P906">
        <f>IF(A906="","",IF(AND(K906&lt;&gt;"",L906&lt;&gt;""),IF(COUNTIFS($K$6:K906,K906,$L$6:L906,L906)=1,1,0),0))</f>
        <v>0</v>
      </c>
      <c r="Q906">
        <f>IF(A906="","",IF(AND(K906&lt;&gt;"",M906&lt;&gt;""),IF(COUNTIFS($K$6:K906,K906,$M$6:M906,M906)=1,1,0),0))</f>
        <v>0</v>
      </c>
      <c r="R906">
        <f>IF(A906="","",IF(M906&lt;&gt;"",IF(COUNTIF($M$6:M906,M906)=1,1,0),0))</f>
        <v>0</v>
      </c>
      <c r="T906" t="str">
        <f>IF($A906="","",IF(AND($M906&lt;&gt;"",$M906='Mapa do Galpão'!$C$20),COUNTIF($M$6:$M906,'Mapa do Galpão'!$C$20),""))</f>
        <v/>
      </c>
    </row>
    <row r="907" spans="1:20" ht="14.25" hidden="1" customHeight="1" x14ac:dyDescent="0.3">
      <c r="A907" s="49" t="s">
        <v>2002</v>
      </c>
      <c r="B907" s="100" t="s">
        <v>1424</v>
      </c>
      <c r="C907" s="181" t="s">
        <v>637</v>
      </c>
      <c r="D907" s="56" t="str">
        <f t="shared" si="32"/>
        <v>Feminino</v>
      </c>
      <c r="E907" s="104" t="s">
        <v>1984</v>
      </c>
      <c r="F907" s="61" t="s">
        <v>822</v>
      </c>
      <c r="G907" s="96" t="s">
        <v>1075</v>
      </c>
      <c r="H907" s="94" t="s">
        <v>677</v>
      </c>
      <c r="I907" s="91">
        <f>SUMIFS(Movimentações!$F$6:$F$4998,Movimentações!$C$6:$C$4998,A907,Movimentações!$M$6:$M$4998,M907)</f>
        <v>16</v>
      </c>
      <c r="J907" s="68" t="s">
        <v>670</v>
      </c>
      <c r="K907" s="92" t="s">
        <v>1419</v>
      </c>
      <c r="L907" s="41">
        <v>13</v>
      </c>
      <c r="M907" s="92" t="s">
        <v>2000</v>
      </c>
      <c r="N907" s="92" t="str">
        <f t="shared" si="33"/>
        <v>Rua B · Prat 13 · C-354</v>
      </c>
      <c r="P907">
        <f>IF(A907="","",IF(AND(K907&lt;&gt;"",L907&lt;&gt;""),IF(COUNTIFS($K$6:K907,K907,$L$6:L907,L907)=1,1,0),0))</f>
        <v>0</v>
      </c>
      <c r="Q907">
        <f>IF(A907="","",IF(AND(K907&lt;&gt;"",M907&lt;&gt;""),IF(COUNTIFS($K$6:K907,K907,$M$6:M907,M907)=1,1,0),0))</f>
        <v>0</v>
      </c>
      <c r="R907">
        <f>IF(A907="","",IF(M907&lt;&gt;"",IF(COUNTIF($M$6:M907,M907)=1,1,0),0))</f>
        <v>0</v>
      </c>
      <c r="T907" t="str">
        <f>IF($A907="","",IF(AND($M907&lt;&gt;"",$M907='Mapa do Galpão'!$C$20),COUNTIF($M$6:$M907,'Mapa do Galpão'!$C$20),""))</f>
        <v/>
      </c>
    </row>
    <row r="908" spans="1:20" ht="14.25" hidden="1" customHeight="1" x14ac:dyDescent="0.3">
      <c r="A908" s="49" t="s">
        <v>2003</v>
      </c>
      <c r="B908" s="100" t="s">
        <v>1424</v>
      </c>
      <c r="C908" s="181" t="s">
        <v>638</v>
      </c>
      <c r="D908" s="56" t="str">
        <f t="shared" si="32"/>
        <v>Feminino</v>
      </c>
      <c r="E908" s="104" t="s">
        <v>1984</v>
      </c>
      <c r="F908" s="90" t="s">
        <v>822</v>
      </c>
      <c r="G908" s="96" t="s">
        <v>1075</v>
      </c>
      <c r="H908" s="94" t="s">
        <v>675</v>
      </c>
      <c r="I908" s="91">
        <f>SUMIFS(Movimentações!$F$6:$F$4998,Movimentações!$C$6:$C$4998,A908,Movimentações!$M$6:$M$4998,M908)</f>
        <v>44</v>
      </c>
      <c r="J908" s="68" t="s">
        <v>670</v>
      </c>
      <c r="K908" s="92" t="s">
        <v>1419</v>
      </c>
      <c r="L908" s="41">
        <v>13</v>
      </c>
      <c r="M908" s="92" t="s">
        <v>2000</v>
      </c>
      <c r="N908" s="92" t="str">
        <f t="shared" si="33"/>
        <v>Rua B · Prat 13 · C-354</v>
      </c>
      <c r="P908">
        <f>IF(A908="","",IF(AND(K908&lt;&gt;"",L908&lt;&gt;""),IF(COUNTIFS($K$6:K908,K908,$L$6:L908,L908)=1,1,0),0))</f>
        <v>0</v>
      </c>
      <c r="Q908">
        <f>IF(A908="","",IF(AND(K908&lt;&gt;"",M908&lt;&gt;""),IF(COUNTIFS($K$6:K908,K908,$M$6:M908,M908)=1,1,0),0))</f>
        <v>0</v>
      </c>
      <c r="R908">
        <f>IF(A908="","",IF(M908&lt;&gt;"",IF(COUNTIF($M$6:M908,M908)=1,1,0),0))</f>
        <v>0</v>
      </c>
      <c r="T908" t="str">
        <f>IF($A908="","",IF(AND($M908&lt;&gt;"",$M908='Mapa do Galpão'!$C$20),COUNTIF($M$6:$M908,'Mapa do Galpão'!$C$20),""))</f>
        <v/>
      </c>
    </row>
    <row r="909" spans="1:20" ht="14.25" hidden="1" customHeight="1" x14ac:dyDescent="0.3">
      <c r="A909" s="49" t="s">
        <v>1996</v>
      </c>
      <c r="B909" s="100" t="s">
        <v>1424</v>
      </c>
      <c r="C909" s="181" t="s">
        <v>633</v>
      </c>
      <c r="D909" s="56" t="str">
        <f t="shared" si="32"/>
        <v>Feminino</v>
      </c>
      <c r="E909" s="104" t="s">
        <v>1984</v>
      </c>
      <c r="F909" s="61" t="s">
        <v>822</v>
      </c>
      <c r="G909" s="96" t="s">
        <v>1075</v>
      </c>
      <c r="H909" s="94" t="s">
        <v>669</v>
      </c>
      <c r="I909" s="91">
        <f>SUMIFS(Movimentações!$F$6:$F$4998,Movimentações!$C$6:$C$4998,A909,Movimentações!$M$6:$M$4998,M909)</f>
        <v>21</v>
      </c>
      <c r="J909" s="68" t="s">
        <v>670</v>
      </c>
      <c r="K909" s="92" t="s">
        <v>671</v>
      </c>
      <c r="L909" s="41">
        <v>7</v>
      </c>
      <c r="M909" s="92" t="s">
        <v>2004</v>
      </c>
      <c r="N909" s="92" t="str">
        <f t="shared" si="33"/>
        <v>Rua A · Prat 7 · C-355</v>
      </c>
      <c r="P909">
        <f>IF(A909="","",IF(AND(K909&lt;&gt;"",L909&lt;&gt;""),IF(COUNTIFS($K$6:K909,K909,$L$6:L909,L909)=1,1,0),0))</f>
        <v>0</v>
      </c>
      <c r="Q909">
        <f>IF(A909="","",IF(AND(K909&lt;&gt;"",M909&lt;&gt;""),IF(COUNTIFS($K$6:K909,K909,$M$6:M909,M909)=1,1,0),0))</f>
        <v>1</v>
      </c>
      <c r="R909">
        <f>IF(A909="","",IF(M909&lt;&gt;"",IF(COUNTIF($M$6:M909,M909)=1,1,0),0))</f>
        <v>1</v>
      </c>
      <c r="T909" t="str">
        <f>IF($A909="","",IF(AND($M909&lt;&gt;"",$M909='Mapa do Galpão'!$C$20),COUNTIF($M$6:$M909,'Mapa do Galpão'!$C$20),""))</f>
        <v/>
      </c>
    </row>
    <row r="910" spans="1:20" ht="14.25" hidden="1" customHeight="1" x14ac:dyDescent="0.3">
      <c r="A910" s="49" t="s">
        <v>2005</v>
      </c>
      <c r="B910" s="100" t="s">
        <v>1424</v>
      </c>
      <c r="C910" s="181" t="s">
        <v>639</v>
      </c>
      <c r="D910" s="56" t="str">
        <f t="shared" si="32"/>
        <v>Feminino</v>
      </c>
      <c r="E910" s="104" t="s">
        <v>1984</v>
      </c>
      <c r="F910" s="90" t="s">
        <v>2006</v>
      </c>
      <c r="G910" s="96" t="s">
        <v>2007</v>
      </c>
      <c r="H910" s="94" t="s">
        <v>680</v>
      </c>
      <c r="I910" s="91">
        <f>SUMIFS(Movimentações!$F$6:$F$4998,Movimentações!$C$6:$C$4998,A910,Movimentações!$M$6:$M$4998,M910)</f>
        <v>66</v>
      </c>
      <c r="J910" s="68" t="s">
        <v>670</v>
      </c>
      <c r="K910" s="92" t="s">
        <v>1419</v>
      </c>
      <c r="L910" s="41">
        <v>13</v>
      </c>
      <c r="M910" s="92" t="s">
        <v>2008</v>
      </c>
      <c r="N910" s="92" t="str">
        <f t="shared" si="33"/>
        <v>Rua B · Prat 13 · C-356</v>
      </c>
      <c r="P910">
        <f>IF(A910="","",IF(AND(K910&lt;&gt;"",L910&lt;&gt;""),IF(COUNTIFS($K$6:K910,K910,$L$6:L910,L910)=1,1,0),0))</f>
        <v>0</v>
      </c>
      <c r="Q910">
        <f>IF(A910="","",IF(AND(K910&lt;&gt;"",M910&lt;&gt;""),IF(COUNTIFS($K$6:K910,K910,$M$6:M910,M910)=1,1,0),0))</f>
        <v>1</v>
      </c>
      <c r="R910">
        <f>IF(A910="","",IF(M910&lt;&gt;"",IF(COUNTIF($M$6:M910,M910)=1,1,0),0))</f>
        <v>1</v>
      </c>
      <c r="T910" t="str">
        <f>IF($A910="","",IF(AND($M910&lt;&gt;"",$M910='Mapa do Galpão'!$C$20),COUNTIF($M$6:$M910,'Mapa do Galpão'!$C$20),""))</f>
        <v/>
      </c>
    </row>
    <row r="911" spans="1:20" ht="14.25" hidden="1" customHeight="1" x14ac:dyDescent="0.3">
      <c r="A911" s="49" t="s">
        <v>2009</v>
      </c>
      <c r="B911" s="100" t="s">
        <v>1424</v>
      </c>
      <c r="C911" s="181" t="s">
        <v>640</v>
      </c>
      <c r="D911" s="56" t="str">
        <f t="shared" si="32"/>
        <v>Feminino</v>
      </c>
      <c r="E911" s="104" t="s">
        <v>1984</v>
      </c>
      <c r="F911" s="90" t="s">
        <v>2006</v>
      </c>
      <c r="G911" s="96" t="s">
        <v>2007</v>
      </c>
      <c r="H911" s="94" t="s">
        <v>756</v>
      </c>
      <c r="I911" s="91">
        <f>SUMIFS(Movimentações!$F$6:$F$4998,Movimentações!$C$6:$C$4998,A911,Movimentações!$M$6:$M$4998,M911)</f>
        <v>32</v>
      </c>
      <c r="J911" s="68" t="s">
        <v>670</v>
      </c>
      <c r="K911" s="92" t="s">
        <v>1419</v>
      </c>
      <c r="L911" s="41">
        <v>13</v>
      </c>
      <c r="M911" s="92" t="s">
        <v>2008</v>
      </c>
      <c r="N911" s="92" t="str">
        <f t="shared" si="33"/>
        <v>Rua B · Prat 13 · C-356</v>
      </c>
      <c r="P911">
        <f>IF(A911="","",IF(AND(K911&lt;&gt;"",L911&lt;&gt;""),IF(COUNTIFS($K$6:K911,K911,$L$6:L911,L911)=1,1,0),0))</f>
        <v>0</v>
      </c>
      <c r="Q911">
        <f>IF(A911="","",IF(AND(K911&lt;&gt;"",M911&lt;&gt;""),IF(COUNTIFS($K$6:K911,K911,$M$6:M911,M911)=1,1,0),0))</f>
        <v>0</v>
      </c>
      <c r="R911">
        <f>IF(A911="","",IF(M911&lt;&gt;"",IF(COUNTIF($M$6:M911,M911)=1,1,0),0))</f>
        <v>0</v>
      </c>
      <c r="T911" t="str">
        <f>IF($A911="","",IF(AND($M911&lt;&gt;"",$M911='Mapa do Galpão'!$C$20),COUNTIF($M$6:$M911,'Mapa do Galpão'!$C$20),""))</f>
        <v/>
      </c>
    </row>
    <row r="912" spans="1:20" ht="14.25" hidden="1" customHeight="1" x14ac:dyDescent="0.3">
      <c r="A912" s="49" t="s">
        <v>2010</v>
      </c>
      <c r="B912" s="100" t="s">
        <v>1424</v>
      </c>
      <c r="C912" s="181" t="s">
        <v>641</v>
      </c>
      <c r="D912" s="56" t="str">
        <f t="shared" si="32"/>
        <v>Feminino</v>
      </c>
      <c r="E912" s="104" t="s">
        <v>1984</v>
      </c>
      <c r="F912" s="90" t="s">
        <v>2006</v>
      </c>
      <c r="G912" s="96" t="s">
        <v>2007</v>
      </c>
      <c r="H912" s="94" t="s">
        <v>677</v>
      </c>
      <c r="I912" s="91">
        <f>SUMIFS(Movimentações!$F$6:$F$4998,Movimentações!$C$6:$C$4998,A912,Movimentações!$M$6:$M$4998,M912)</f>
        <v>10</v>
      </c>
      <c r="J912" s="68" t="s">
        <v>670</v>
      </c>
      <c r="K912" s="92" t="s">
        <v>1419</v>
      </c>
      <c r="L912" s="41">
        <v>13</v>
      </c>
      <c r="M912" s="92" t="s">
        <v>2011</v>
      </c>
      <c r="N912" s="92" t="str">
        <f t="shared" si="33"/>
        <v>Rua B · Prat 13 · C-357</v>
      </c>
      <c r="P912">
        <f>IF(A912="","",IF(AND(K912&lt;&gt;"",L912&lt;&gt;""),IF(COUNTIFS($K$6:K912,K912,$L$6:L912,L912)=1,1,0),0))</f>
        <v>0</v>
      </c>
      <c r="Q912">
        <f>IF(A912="","",IF(AND(K912&lt;&gt;"",M912&lt;&gt;""),IF(COUNTIFS($K$6:K912,K912,$M$6:M912,M912)=1,1,0),0))</f>
        <v>1</v>
      </c>
      <c r="R912">
        <f>IF(A912="","",IF(M912&lt;&gt;"",IF(COUNTIF($M$6:M912,M912)=1,1,0),0))</f>
        <v>1</v>
      </c>
      <c r="T912" t="str">
        <f>IF($A912="","",IF(AND($M912&lt;&gt;"",$M912='Mapa do Galpão'!$C$20),COUNTIF($M$6:$M912,'Mapa do Galpão'!$C$20),""))</f>
        <v/>
      </c>
    </row>
    <row r="913" spans="1:20" ht="14.25" hidden="1" customHeight="1" x14ac:dyDescent="0.3">
      <c r="A913" s="49" t="s">
        <v>2012</v>
      </c>
      <c r="B913" s="100" t="s">
        <v>1424</v>
      </c>
      <c r="C913" s="181" t="s">
        <v>642</v>
      </c>
      <c r="D913" s="56" t="str">
        <f t="shared" si="32"/>
        <v>Feminino</v>
      </c>
      <c r="E913" s="104" t="s">
        <v>1984</v>
      </c>
      <c r="F913" s="90" t="s">
        <v>2006</v>
      </c>
      <c r="G913" s="96" t="s">
        <v>2007</v>
      </c>
      <c r="H913" s="94" t="s">
        <v>682</v>
      </c>
      <c r="I913" s="91">
        <f>SUMIFS(Movimentações!$F$6:$F$4998,Movimentações!$C$6:$C$4998,A913,Movimentações!$M$6:$M$4998,M913)</f>
        <v>19</v>
      </c>
      <c r="J913" s="68" t="s">
        <v>670</v>
      </c>
      <c r="K913" s="92" t="s">
        <v>1419</v>
      </c>
      <c r="L913" s="41">
        <v>13</v>
      </c>
      <c r="M913" s="92" t="s">
        <v>2011</v>
      </c>
      <c r="N913" s="92" t="str">
        <f t="shared" si="33"/>
        <v>Rua B · Prat 13 · C-357</v>
      </c>
      <c r="P913">
        <f>IF(A913="","",IF(AND(K913&lt;&gt;"",L913&lt;&gt;""),IF(COUNTIFS($K$6:K913,K913,$L$6:L913,L913)=1,1,0),0))</f>
        <v>0</v>
      </c>
      <c r="Q913">
        <f>IF(A913="","",IF(AND(K913&lt;&gt;"",M913&lt;&gt;""),IF(COUNTIFS($K$6:K913,K913,$M$6:M913,M913)=1,1,0),0))</f>
        <v>0</v>
      </c>
      <c r="R913">
        <f>IF(A913="","",IF(M913&lt;&gt;"",IF(COUNTIF($M$6:M913,M913)=1,1,0),0))</f>
        <v>0</v>
      </c>
      <c r="T913" t="str">
        <f>IF($A913="","",IF(AND($M913&lt;&gt;"",$M913='Mapa do Galpão'!$C$20),COUNTIF($M$6:$M913,'Mapa do Galpão'!$C$20),""))</f>
        <v/>
      </c>
    </row>
    <row r="914" spans="1:20" ht="14.25" hidden="1" customHeight="1" x14ac:dyDescent="0.3">
      <c r="A914" s="49" t="s">
        <v>2013</v>
      </c>
      <c r="B914" s="100" t="s">
        <v>1424</v>
      </c>
      <c r="C914" s="181" t="s">
        <v>643</v>
      </c>
      <c r="D914" s="56" t="str">
        <f t="shared" si="32"/>
        <v>Feminino</v>
      </c>
      <c r="E914" s="104" t="s">
        <v>1984</v>
      </c>
      <c r="F914" s="90" t="s">
        <v>2006</v>
      </c>
      <c r="G914" s="96" t="s">
        <v>2007</v>
      </c>
      <c r="H914" s="94" t="s">
        <v>669</v>
      </c>
      <c r="I914" s="91">
        <f>SUMIFS(Movimentações!$F$6:$F$4998,Movimentações!$C$6:$C$4998,A914,Movimentações!$M$6:$M$4998,M914)</f>
        <v>57</v>
      </c>
      <c r="J914" s="68" t="s">
        <v>670</v>
      </c>
      <c r="K914" s="92" t="s">
        <v>1419</v>
      </c>
      <c r="L914" s="41">
        <v>13</v>
      </c>
      <c r="M914" s="92" t="s">
        <v>2011</v>
      </c>
      <c r="N914" s="92" t="str">
        <f t="shared" si="33"/>
        <v>Rua B · Prat 13 · C-357</v>
      </c>
      <c r="P914">
        <f>IF(A914="","",IF(AND(K914&lt;&gt;"",L914&lt;&gt;""),IF(COUNTIFS($K$6:K914,K914,$L$6:L914,L914)=1,1,0),0))</f>
        <v>0</v>
      </c>
      <c r="Q914">
        <f>IF(A914="","",IF(AND(K914&lt;&gt;"",M914&lt;&gt;""),IF(COUNTIFS($K$6:K914,K914,$M$6:M914,M914)=1,1,0),0))</f>
        <v>0</v>
      </c>
      <c r="R914">
        <f>IF(A914="","",IF(M914&lt;&gt;"",IF(COUNTIF($M$6:M914,M914)=1,1,0),0))</f>
        <v>0</v>
      </c>
      <c r="T914" t="str">
        <f>IF($A914="","",IF(AND($M914&lt;&gt;"",$M914='Mapa do Galpão'!$C$20),COUNTIF($M$6:$M914,'Mapa do Galpão'!$C$20),""))</f>
        <v/>
      </c>
    </row>
    <row r="915" spans="1:20" ht="14.25" hidden="1" customHeight="1" x14ac:dyDescent="0.3">
      <c r="A915" s="49" t="s">
        <v>2014</v>
      </c>
      <c r="B915" s="100" t="s">
        <v>1424</v>
      </c>
      <c r="C915" s="181" t="s">
        <v>644</v>
      </c>
      <c r="D915" s="56" t="str">
        <f t="shared" si="32"/>
        <v>Feminino</v>
      </c>
      <c r="E915" s="104" t="s">
        <v>1984</v>
      </c>
      <c r="F915" s="90" t="s">
        <v>2006</v>
      </c>
      <c r="G915" s="96" t="s">
        <v>2007</v>
      </c>
      <c r="H915" s="94" t="s">
        <v>675</v>
      </c>
      <c r="I915" s="91">
        <f>SUMIFS(Movimentações!$F$6:$F$4998,Movimentações!$C$6:$C$4998,A915,Movimentações!$M$6:$M$4998,M915)</f>
        <v>75</v>
      </c>
      <c r="J915" s="68" t="s">
        <v>670</v>
      </c>
      <c r="K915" s="92" t="s">
        <v>1419</v>
      </c>
      <c r="L915" s="47">
        <v>15</v>
      </c>
      <c r="M915" s="92" t="s">
        <v>2015</v>
      </c>
      <c r="N915" s="92" t="str">
        <f t="shared" si="33"/>
        <v>Rua B · Prat 15 · C-358</v>
      </c>
      <c r="P915">
        <f>IF(A915="","",IF(AND(K915&lt;&gt;"",L915&lt;&gt;""),IF(COUNTIFS($K$6:K915,K915,$L$6:L915,L915)=1,1,0),0))</f>
        <v>0</v>
      </c>
      <c r="Q915">
        <f>IF(A915="","",IF(AND(K915&lt;&gt;"",M915&lt;&gt;""),IF(COUNTIFS($K$6:K915,K915,$M$6:M915,M915)=1,1,0),0))</f>
        <v>1</v>
      </c>
      <c r="R915">
        <f>IF(A915="","",IF(M915&lt;&gt;"",IF(COUNTIF($M$6:M915,M915)=1,1,0),0))</f>
        <v>1</v>
      </c>
      <c r="T915" t="str">
        <f>IF($A915="","",IF(AND($M915&lt;&gt;"",$M915='Mapa do Galpão'!$C$20),COUNTIF($M$6:$M915,'Mapa do Galpão'!$C$20),""))</f>
        <v/>
      </c>
    </row>
    <row r="916" spans="1:20" ht="14.25" hidden="1" customHeight="1" x14ac:dyDescent="0.3">
      <c r="A916" s="49" t="s">
        <v>2016</v>
      </c>
      <c r="B916" s="100" t="s">
        <v>1424</v>
      </c>
      <c r="C916" s="181" t="s">
        <v>640</v>
      </c>
      <c r="D916" s="56" t="str">
        <f t="shared" si="32"/>
        <v>Feminino</v>
      </c>
      <c r="E916" s="104" t="s">
        <v>1984</v>
      </c>
      <c r="F916" s="49" t="s">
        <v>2017</v>
      </c>
      <c r="G916" s="96" t="s">
        <v>2018</v>
      </c>
      <c r="H916" s="94" t="s">
        <v>756</v>
      </c>
      <c r="I916" s="91">
        <f>SUMIFS(Movimentações!$F$6:$F$4998,Movimentações!$C$6:$C$4998,A916,Movimentações!$M$6:$M$4998,M916)</f>
        <v>33</v>
      </c>
      <c r="J916" s="68" t="s">
        <v>670</v>
      </c>
      <c r="K916" s="92" t="s">
        <v>1419</v>
      </c>
      <c r="L916" s="47">
        <v>15</v>
      </c>
      <c r="M916" s="92" t="s">
        <v>2019</v>
      </c>
      <c r="N916" s="92" t="str">
        <f t="shared" si="33"/>
        <v>Rua B · Prat 15 · C-359</v>
      </c>
      <c r="P916">
        <f>IF(A916="","",IF(AND(K916&lt;&gt;"",L916&lt;&gt;""),IF(COUNTIFS($K$6:K916,K916,$L$6:L916,L916)=1,1,0),0))</f>
        <v>0</v>
      </c>
      <c r="Q916">
        <f>IF(A916="","",IF(AND(K916&lt;&gt;"",M916&lt;&gt;""),IF(COUNTIFS($K$6:K916,K916,$M$6:M916,M916)=1,1,0),0))</f>
        <v>1</v>
      </c>
      <c r="R916">
        <f>IF(A916="","",IF(M916&lt;&gt;"",IF(COUNTIF($M$6:M916,M916)=1,1,0),0))</f>
        <v>1</v>
      </c>
      <c r="T916" t="str">
        <f>IF($A916="","",IF(AND($M916&lt;&gt;"",$M916='Mapa do Galpão'!$C$20),COUNTIF($M$6:$M916,'Mapa do Galpão'!$C$20),""))</f>
        <v/>
      </c>
    </row>
    <row r="917" spans="1:20" ht="14.25" hidden="1" customHeight="1" x14ac:dyDescent="0.3">
      <c r="A917" s="49" t="s">
        <v>2020</v>
      </c>
      <c r="B917" s="100" t="s">
        <v>1424</v>
      </c>
      <c r="C917" s="181" t="s">
        <v>644</v>
      </c>
      <c r="D917" s="56" t="str">
        <f t="shared" si="32"/>
        <v>Feminino</v>
      </c>
      <c r="E917" s="104" t="s">
        <v>1984</v>
      </c>
      <c r="F917" s="49" t="s">
        <v>2017</v>
      </c>
      <c r="G917" s="96" t="s">
        <v>2018</v>
      </c>
      <c r="H917" s="94" t="s">
        <v>675</v>
      </c>
      <c r="I917" s="91">
        <f>SUMIFS(Movimentações!$F$6:$F$4998,Movimentações!$C$6:$C$4998,A917,Movimentações!$M$6:$M$4998,M917)</f>
        <v>76</v>
      </c>
      <c r="J917" s="68" t="s">
        <v>670</v>
      </c>
      <c r="K917" s="92" t="s">
        <v>1419</v>
      </c>
      <c r="L917" s="47">
        <v>15</v>
      </c>
      <c r="M917" s="92" t="s">
        <v>2019</v>
      </c>
      <c r="N917" s="92" t="str">
        <f t="shared" si="33"/>
        <v>Rua B · Prat 15 · C-359</v>
      </c>
      <c r="P917">
        <f>IF(A917="","",IF(AND(K917&lt;&gt;"",L917&lt;&gt;""),IF(COUNTIFS($K$6:K917,K917,$L$6:L917,L917)=1,1,0),0))</f>
        <v>0</v>
      </c>
      <c r="Q917">
        <f>IF(A917="","",IF(AND(K917&lt;&gt;"",M917&lt;&gt;""),IF(COUNTIFS($K$6:K917,K917,$M$6:M917,M917)=1,1,0),0))</f>
        <v>0</v>
      </c>
      <c r="R917">
        <f>IF(A917="","",IF(M917&lt;&gt;"",IF(COUNTIF($M$6:M917,M917)=1,1,0),0))</f>
        <v>0</v>
      </c>
      <c r="T917" t="str">
        <f>IF($A917="","",IF(AND($M917&lt;&gt;"",$M917='Mapa do Galpão'!$C$20),COUNTIF($M$6:$M917,'Mapa do Galpão'!$C$20),""))</f>
        <v/>
      </c>
    </row>
    <row r="918" spans="1:20" ht="14.25" hidden="1" customHeight="1" x14ac:dyDescent="0.3">
      <c r="A918" s="49" t="s">
        <v>2021</v>
      </c>
      <c r="B918" s="100" t="s">
        <v>1424</v>
      </c>
      <c r="C918" s="181" t="s">
        <v>639</v>
      </c>
      <c r="D918" s="56" t="str">
        <f t="shared" si="32"/>
        <v>Feminino</v>
      </c>
      <c r="E918" s="104" t="s">
        <v>1984</v>
      </c>
      <c r="F918" s="49" t="s">
        <v>2017</v>
      </c>
      <c r="G918" s="96" t="s">
        <v>2018</v>
      </c>
      <c r="H918" s="94" t="s">
        <v>680</v>
      </c>
      <c r="I918" s="91">
        <f>SUMIFS(Movimentações!$F$6:$F$4998,Movimentações!$C$6:$C$4998,A918,Movimentações!$M$6:$M$4998,M918)</f>
        <v>66</v>
      </c>
      <c r="J918" s="68" t="s">
        <v>670</v>
      </c>
      <c r="K918" s="92" t="s">
        <v>1419</v>
      </c>
      <c r="L918" s="47">
        <v>15</v>
      </c>
      <c r="M918" s="92" t="s">
        <v>2022</v>
      </c>
      <c r="N918" s="92" t="str">
        <f t="shared" si="33"/>
        <v>Rua B · Prat 15 · C-360</v>
      </c>
      <c r="P918">
        <f>IF(A918="","",IF(AND(K918&lt;&gt;"",L918&lt;&gt;""),IF(COUNTIFS($K$6:K918,K918,$L$6:L918,L918)=1,1,0),0))</f>
        <v>0</v>
      </c>
      <c r="Q918">
        <f>IF(A918="","",IF(AND(K918&lt;&gt;"",M918&lt;&gt;""),IF(COUNTIFS($K$6:K918,K918,$M$6:M918,M918)=1,1,0),0))</f>
        <v>1</v>
      </c>
      <c r="R918">
        <f>IF(A918="","",IF(M918&lt;&gt;"",IF(COUNTIF($M$6:M918,M918)=1,1,0),0))</f>
        <v>1</v>
      </c>
      <c r="T918" t="str">
        <f>IF($A918="","",IF(AND($M918&lt;&gt;"",$M918='Mapa do Galpão'!$C$20),COUNTIF($M$6:$M918,'Mapa do Galpão'!$C$20),""))</f>
        <v/>
      </c>
    </row>
    <row r="919" spans="1:20" ht="14.25" hidden="1" customHeight="1" x14ac:dyDescent="0.3">
      <c r="A919" s="49" t="s">
        <v>2023</v>
      </c>
      <c r="B919" s="100" t="s">
        <v>1424</v>
      </c>
      <c r="C919" s="181" t="s">
        <v>642</v>
      </c>
      <c r="D919" s="56" t="str">
        <f t="shared" si="32"/>
        <v>Feminino</v>
      </c>
      <c r="E919" s="104" t="s">
        <v>1984</v>
      </c>
      <c r="F919" s="49" t="s">
        <v>2017</v>
      </c>
      <c r="G919" s="96" t="s">
        <v>2018</v>
      </c>
      <c r="H919" s="94" t="s">
        <v>682</v>
      </c>
      <c r="I919" s="91">
        <f>SUMIFS(Movimentações!$F$6:$F$4998,Movimentações!$C$6:$C$4998,A919,Movimentações!$M$6:$M$4998,M919)</f>
        <v>21</v>
      </c>
      <c r="J919" s="68" t="s">
        <v>670</v>
      </c>
      <c r="K919" s="92" t="s">
        <v>1419</v>
      </c>
      <c r="L919" s="47">
        <v>15</v>
      </c>
      <c r="M919" s="92" t="s">
        <v>2024</v>
      </c>
      <c r="N919" s="92" t="str">
        <f t="shared" si="33"/>
        <v>Rua B · Prat 15 · C-361</v>
      </c>
      <c r="P919">
        <f>IF(A919="","",IF(AND(K919&lt;&gt;"",L919&lt;&gt;""),IF(COUNTIFS($K$6:K919,K919,$L$6:L919,L919)=1,1,0),0))</f>
        <v>0</v>
      </c>
      <c r="Q919">
        <f>IF(A919="","",IF(AND(K919&lt;&gt;"",M919&lt;&gt;""),IF(COUNTIFS($K$6:K919,K919,$M$6:M919,M919)=1,1,0),0))</f>
        <v>1</v>
      </c>
      <c r="R919">
        <f>IF(A919="","",IF(M919&lt;&gt;"",IF(COUNTIF($M$6:M919,M919)=1,1,0),0))</f>
        <v>1</v>
      </c>
      <c r="T919" t="str">
        <f>IF($A919="","",IF(AND($M919&lt;&gt;"",$M919='Mapa do Galpão'!$C$20),COUNTIF($M$6:$M919,'Mapa do Galpão'!$C$20),""))</f>
        <v/>
      </c>
    </row>
    <row r="920" spans="1:20" ht="14.25" hidden="1" customHeight="1" x14ac:dyDescent="0.3">
      <c r="A920" s="49" t="s">
        <v>2025</v>
      </c>
      <c r="B920" s="100" t="s">
        <v>1424</v>
      </c>
      <c r="C920" s="181" t="s">
        <v>641</v>
      </c>
      <c r="D920" s="56" t="str">
        <f t="shared" si="32"/>
        <v>Feminino</v>
      </c>
      <c r="E920" s="104" t="s">
        <v>1984</v>
      </c>
      <c r="F920" s="49" t="s">
        <v>2017</v>
      </c>
      <c r="G920" s="96" t="s">
        <v>2018</v>
      </c>
      <c r="H920" s="94" t="s">
        <v>677</v>
      </c>
      <c r="I920" s="91">
        <f>SUMIFS(Movimentações!$F$6:$F$4998,Movimentações!$C$6:$C$4998,A920,Movimentações!$M$6:$M$4998,M920)</f>
        <v>13</v>
      </c>
      <c r="J920" s="68" t="s">
        <v>670</v>
      </c>
      <c r="K920" s="92" t="s">
        <v>1419</v>
      </c>
      <c r="L920" s="47">
        <v>15</v>
      </c>
      <c r="M920" s="92" t="s">
        <v>2024</v>
      </c>
      <c r="N920" s="92" t="str">
        <f t="shared" si="33"/>
        <v>Rua B · Prat 15 · C-361</v>
      </c>
      <c r="P920">
        <f>IF(A920="","",IF(AND(K920&lt;&gt;"",L920&lt;&gt;""),IF(COUNTIFS($K$6:K920,K920,$L$6:L920,L920)=1,1,0),0))</f>
        <v>0</v>
      </c>
      <c r="Q920">
        <f>IF(A920="","",IF(AND(K920&lt;&gt;"",M920&lt;&gt;""),IF(COUNTIFS($K$6:K920,K920,$M$6:M920,M920)=1,1,0),0))</f>
        <v>0</v>
      </c>
      <c r="R920">
        <f>IF(A920="","",IF(M920&lt;&gt;"",IF(COUNTIF($M$6:M920,M920)=1,1,0),0))</f>
        <v>0</v>
      </c>
      <c r="T920" t="str">
        <f>IF($A920="","",IF(AND($M920&lt;&gt;"",$M920='Mapa do Galpão'!$C$20),COUNTIF($M$6:$M920,'Mapa do Galpão'!$C$20),""))</f>
        <v/>
      </c>
    </row>
    <row r="921" spans="1:20" ht="14.25" hidden="1" customHeight="1" x14ac:dyDescent="0.3">
      <c r="A921" s="49" t="s">
        <v>2026</v>
      </c>
      <c r="B921" s="100" t="s">
        <v>1424</v>
      </c>
      <c r="C921" s="181" t="s">
        <v>643</v>
      </c>
      <c r="D921" s="56" t="str">
        <f t="shared" si="32"/>
        <v>Feminino</v>
      </c>
      <c r="E921" s="104" t="s">
        <v>1984</v>
      </c>
      <c r="F921" s="49" t="s">
        <v>2017</v>
      </c>
      <c r="G921" s="96" t="s">
        <v>2018</v>
      </c>
      <c r="H921" s="94" t="s">
        <v>669</v>
      </c>
      <c r="I921" s="91">
        <f>SUMIFS(Movimentações!$F$6:$F$4998,Movimentações!$C$6:$C$4998,A921,Movimentações!$M$6:$M$4998,M921)</f>
        <v>55</v>
      </c>
      <c r="J921" s="68" t="s">
        <v>670</v>
      </c>
      <c r="K921" s="92" t="s">
        <v>1419</v>
      </c>
      <c r="L921" s="47">
        <v>15</v>
      </c>
      <c r="M921" s="92" t="s">
        <v>2024</v>
      </c>
      <c r="N921" s="92" t="str">
        <f t="shared" si="33"/>
        <v>Rua B · Prat 15 · C-361</v>
      </c>
      <c r="P921">
        <f>IF(A921="","",IF(AND(K921&lt;&gt;"",L921&lt;&gt;""),IF(COUNTIFS($K$6:K921,K921,$L$6:L921,L921)=1,1,0),0))</f>
        <v>0</v>
      </c>
      <c r="Q921">
        <f>IF(A921="","",IF(AND(K921&lt;&gt;"",M921&lt;&gt;""),IF(COUNTIFS($K$6:K921,K921,$M$6:M921,M921)=1,1,0),0))</f>
        <v>0</v>
      </c>
      <c r="R921">
        <f>IF(A921="","",IF(M921&lt;&gt;"",IF(COUNTIF($M$6:M921,M921)=1,1,0),0))</f>
        <v>0</v>
      </c>
      <c r="T921" t="str">
        <f>IF($A921="","",IF(AND($M921&lt;&gt;"",$M921='Mapa do Galpão'!$C$20),COUNTIF($M$6:$M921,'Mapa do Galpão'!$C$20),""))</f>
        <v/>
      </c>
    </row>
    <row r="922" spans="1:20" ht="14.25" hidden="1" customHeight="1" x14ac:dyDescent="0.3">
      <c r="A922" s="49" t="s">
        <v>2027</v>
      </c>
      <c r="B922" s="100" t="s">
        <v>1424</v>
      </c>
      <c r="C922" s="181" t="s">
        <v>645</v>
      </c>
      <c r="D922" s="56" t="str">
        <f t="shared" si="32"/>
        <v>Masculino</v>
      </c>
      <c r="E922" s="104" t="s">
        <v>1984</v>
      </c>
      <c r="F922" s="49" t="s">
        <v>2028</v>
      </c>
      <c r="G922" s="96" t="s">
        <v>2018</v>
      </c>
      <c r="H922" s="94" t="s">
        <v>675</v>
      </c>
      <c r="I922" s="91">
        <f>SUMIFS(Movimentações!$F$6:$F$4998,Movimentações!$C$6:$C$4998,A922,Movimentações!$M$6:$M$4998,M922)</f>
        <v>92</v>
      </c>
      <c r="J922" s="68" t="s">
        <v>670</v>
      </c>
      <c r="K922" s="92" t="s">
        <v>1419</v>
      </c>
      <c r="L922" s="41">
        <v>14</v>
      </c>
      <c r="M922" s="92" t="s">
        <v>2029</v>
      </c>
      <c r="N922" s="92" t="str">
        <f t="shared" si="33"/>
        <v>Rua B · Prat 14 · C-362</v>
      </c>
      <c r="P922">
        <f>IF(A922="","",IF(AND(K922&lt;&gt;"",L922&lt;&gt;""),IF(COUNTIFS($K$6:K922,K922,$L$6:L922,L922)=1,1,0),0))</f>
        <v>0</v>
      </c>
      <c r="Q922">
        <f>IF(A922="","",IF(AND(K922&lt;&gt;"",M922&lt;&gt;""),IF(COUNTIFS($K$6:K922,K922,$M$6:M922,M922)=1,1,0),0))</f>
        <v>1</v>
      </c>
      <c r="R922">
        <f>IF(A922="","",IF(M922&lt;&gt;"",IF(COUNTIF($M$6:M922,M922)=1,1,0),0))</f>
        <v>1</v>
      </c>
      <c r="T922" t="str">
        <f>IF($A922="","",IF(AND($M922&lt;&gt;"",$M922='Mapa do Galpão'!$C$20),COUNTIF($M$6:$M922,'Mapa do Galpão'!$C$20),""))</f>
        <v/>
      </c>
    </row>
    <row r="923" spans="1:20" ht="14.25" hidden="1" customHeight="1" x14ac:dyDescent="0.3">
      <c r="A923" s="49" t="s">
        <v>2030</v>
      </c>
      <c r="B923" s="100" t="s">
        <v>1424</v>
      </c>
      <c r="C923" s="181" t="s">
        <v>646</v>
      </c>
      <c r="D923" s="56" t="str">
        <f t="shared" si="32"/>
        <v>Masculino</v>
      </c>
      <c r="E923" s="104" t="s">
        <v>1984</v>
      </c>
      <c r="F923" s="49" t="s">
        <v>2028</v>
      </c>
      <c r="G923" s="96" t="s">
        <v>2018</v>
      </c>
      <c r="H923" s="94" t="s">
        <v>669</v>
      </c>
      <c r="I923" s="91">
        <f>SUMIFS(Movimentações!$F$6:$F$4998,Movimentações!$C$6:$C$4998,A923,Movimentações!$M$6:$M$4998,M923)</f>
        <v>40</v>
      </c>
      <c r="J923" s="68" t="s">
        <v>670</v>
      </c>
      <c r="K923" s="92" t="s">
        <v>1419</v>
      </c>
      <c r="L923" s="47">
        <v>15</v>
      </c>
      <c r="M923" s="92" t="s">
        <v>2031</v>
      </c>
      <c r="N923" s="92" t="str">
        <f t="shared" si="33"/>
        <v>Rua B · Prat 15 · C-363</v>
      </c>
      <c r="P923">
        <f>IF(A923="","",IF(AND(K923&lt;&gt;"",L923&lt;&gt;""),IF(COUNTIFS($K$6:K923,K923,$L$6:L923,L923)=1,1,0),0))</f>
        <v>0</v>
      </c>
      <c r="Q923">
        <f>IF(A923="","",IF(AND(K923&lt;&gt;"",M923&lt;&gt;""),IF(COUNTIFS($K$6:K923,K923,$M$6:M923,M923)=1,1,0),0))</f>
        <v>1</v>
      </c>
      <c r="R923">
        <f>IF(A923="","",IF(M923&lt;&gt;"",IF(COUNTIF($M$6:M923,M923)=1,1,0),0))</f>
        <v>1</v>
      </c>
      <c r="T923" t="str">
        <f>IF($A923="","",IF(AND($M923&lt;&gt;"",$M923='Mapa do Galpão'!$C$20),COUNTIF($M$6:$M923,'Mapa do Galpão'!$C$20),""))</f>
        <v/>
      </c>
    </row>
    <row r="924" spans="1:20" ht="14.25" hidden="1" customHeight="1" x14ac:dyDescent="0.3">
      <c r="A924" s="49" t="s">
        <v>2027</v>
      </c>
      <c r="B924" s="100" t="s">
        <v>1424</v>
      </c>
      <c r="C924" s="181" t="s">
        <v>645</v>
      </c>
      <c r="D924" s="56" t="str">
        <f t="shared" si="32"/>
        <v>Masculino</v>
      </c>
      <c r="E924" s="104" t="s">
        <v>1984</v>
      </c>
      <c r="F924" s="49" t="s">
        <v>2028</v>
      </c>
      <c r="G924" s="96" t="s">
        <v>2018</v>
      </c>
      <c r="H924" s="94" t="s">
        <v>675</v>
      </c>
      <c r="I924" s="91">
        <f>SUMIFS(Movimentações!$F$6:$F$4998,Movimentações!$C$6:$C$4998,A924,Movimentações!$M$6:$M$4998,M924)</f>
        <v>48</v>
      </c>
      <c r="J924" s="68" t="s">
        <v>670</v>
      </c>
      <c r="K924" s="92" t="s">
        <v>1419</v>
      </c>
      <c r="L924" s="47">
        <v>15</v>
      </c>
      <c r="M924" s="92" t="s">
        <v>2031</v>
      </c>
      <c r="N924" s="92" t="str">
        <f t="shared" si="33"/>
        <v>Rua B · Prat 15 · C-363</v>
      </c>
      <c r="P924">
        <f>IF(A924="","",IF(AND(K924&lt;&gt;"",L924&lt;&gt;""),IF(COUNTIFS($K$6:K924,K924,$L$6:L924,L924)=1,1,0),0))</f>
        <v>0</v>
      </c>
      <c r="Q924">
        <f>IF(A924="","",IF(AND(K924&lt;&gt;"",M924&lt;&gt;""),IF(COUNTIFS($K$6:K924,K924,$M$6:M924,M924)=1,1,0),0))</f>
        <v>0</v>
      </c>
      <c r="R924">
        <f>IF(A924="","",IF(M924&lt;&gt;"",IF(COUNTIF($M$6:M924,M924)=1,1,0),0))</f>
        <v>0</v>
      </c>
      <c r="T924" t="str">
        <f>IF($A924="","",IF(AND($M924&lt;&gt;"",$M924='Mapa do Galpão'!$C$20),COUNTIF($M$6:$M924,'Mapa do Galpão'!$C$20),""))</f>
        <v/>
      </c>
    </row>
    <row r="925" spans="1:20" ht="14.25" hidden="1" customHeight="1" x14ac:dyDescent="0.3">
      <c r="A925" s="49" t="s">
        <v>2030</v>
      </c>
      <c r="B925" s="100" t="s">
        <v>1424</v>
      </c>
      <c r="C925" s="181" t="s">
        <v>646</v>
      </c>
      <c r="D925" s="56" t="str">
        <f t="shared" si="32"/>
        <v>Masculino</v>
      </c>
      <c r="E925" s="104" t="s">
        <v>1984</v>
      </c>
      <c r="F925" s="49" t="s">
        <v>2028</v>
      </c>
      <c r="G925" s="96" t="s">
        <v>2018</v>
      </c>
      <c r="H925" s="94" t="s">
        <v>669</v>
      </c>
      <c r="I925" s="91">
        <f>SUMIFS(Movimentações!$F$6:$F$4998,Movimentações!$C$6:$C$4998,A925,Movimentações!$M$6:$M$4998,M925)</f>
        <v>76</v>
      </c>
      <c r="J925" s="68" t="s">
        <v>670</v>
      </c>
      <c r="K925" s="92" t="s">
        <v>1932</v>
      </c>
      <c r="L925" s="41">
        <v>9</v>
      </c>
      <c r="M925" s="92" t="s">
        <v>2032</v>
      </c>
      <c r="N925" s="92" t="str">
        <f t="shared" si="33"/>
        <v>Rua C · Prat 9 · C-364</v>
      </c>
      <c r="P925">
        <f>IF(A925="","",IF(AND(K925&lt;&gt;"",L925&lt;&gt;""),IF(COUNTIFS($K$6:K925,K925,$L$6:L925,L925)=1,1,0),0))</f>
        <v>0</v>
      </c>
      <c r="Q925">
        <f>IF(A925="","",IF(AND(K925&lt;&gt;"",M925&lt;&gt;""),IF(COUNTIFS($K$6:K925,K925,$M$6:M925,M925)=1,1,0),0))</f>
        <v>1</v>
      </c>
      <c r="R925">
        <f>IF(A925="","",IF(M925&lt;&gt;"",IF(COUNTIF($M$6:M925,M925)=1,1,0),0))</f>
        <v>1</v>
      </c>
      <c r="T925" t="str">
        <f>IF($A925="","",IF(AND($M925&lt;&gt;"",$M925='Mapa do Galpão'!$C$20),COUNTIF($M$6:$M925,'Mapa do Galpão'!$C$20),""))</f>
        <v/>
      </c>
    </row>
    <row r="926" spans="1:20" ht="14.25" hidden="1" customHeight="1" x14ac:dyDescent="0.3">
      <c r="A926" s="49" t="s">
        <v>2027</v>
      </c>
      <c r="B926" s="100" t="s">
        <v>1424</v>
      </c>
      <c r="C926" s="181" t="s">
        <v>645</v>
      </c>
      <c r="D926" s="56" t="str">
        <f t="shared" si="32"/>
        <v>Masculino</v>
      </c>
      <c r="E926" s="104" t="s">
        <v>1984</v>
      </c>
      <c r="F926" s="49" t="s">
        <v>2028</v>
      </c>
      <c r="G926" s="96" t="s">
        <v>2018</v>
      </c>
      <c r="H926" s="94" t="s">
        <v>675</v>
      </c>
      <c r="I926" s="91">
        <f>SUMIFS(Movimentações!$F$6:$F$4998,Movimentações!$C$6:$C$4998,A926,Movimentações!$M$6:$M$4998,M926)</f>
        <v>0</v>
      </c>
      <c r="J926" s="68" t="s">
        <v>670</v>
      </c>
      <c r="K926" s="92" t="s">
        <v>1932</v>
      </c>
      <c r="L926" s="41">
        <v>9</v>
      </c>
      <c r="M926" s="92" t="s">
        <v>2033</v>
      </c>
      <c r="N926" s="92" t="str">
        <f t="shared" si="33"/>
        <v>Rua C · Prat 9 · C-365</v>
      </c>
      <c r="P926">
        <f>IF(A926="","",IF(AND(K926&lt;&gt;"",L926&lt;&gt;""),IF(COUNTIFS($K$6:K926,K926,$L$6:L926,L926)=1,1,0),0))</f>
        <v>0</v>
      </c>
      <c r="Q926">
        <f>IF(A926="","",IF(AND(K926&lt;&gt;"",M926&lt;&gt;""),IF(COUNTIFS($K$6:K926,K926,$M$6:M926,M926)=1,1,0),0))</f>
        <v>1</v>
      </c>
      <c r="R926">
        <f>IF(A926="","",IF(M926&lt;&gt;"",IF(COUNTIF($M$6:M926,M926)=1,1,0),0))</f>
        <v>1</v>
      </c>
      <c r="T926" t="str">
        <f>IF($A926="","",IF(AND($M926&lt;&gt;"",$M926='Mapa do Galpão'!$C$20),COUNTIF($M$6:$M926,'Mapa do Galpão'!$C$20),""))</f>
        <v/>
      </c>
    </row>
    <row r="927" spans="1:20" ht="14.25" hidden="1" customHeight="1" x14ac:dyDescent="0.3">
      <c r="A927" s="49" t="s">
        <v>2027</v>
      </c>
      <c r="B927" s="100" t="s">
        <v>1424</v>
      </c>
      <c r="C927" s="181" t="s">
        <v>645</v>
      </c>
      <c r="D927" s="56" t="str">
        <f t="shared" si="32"/>
        <v>Masculino</v>
      </c>
      <c r="E927" s="104" t="s">
        <v>1984</v>
      </c>
      <c r="F927" s="49" t="s">
        <v>2028</v>
      </c>
      <c r="G927" s="96" t="s">
        <v>2018</v>
      </c>
      <c r="H927" s="94" t="s">
        <v>675</v>
      </c>
      <c r="I927" s="91">
        <f>SUMIFS(Movimentações!$F$6:$F$4998,Movimentações!$C$6:$C$4998,A927,Movimentações!$M$6:$M$4998,M927)</f>
        <v>60</v>
      </c>
      <c r="J927" s="68" t="s">
        <v>670</v>
      </c>
      <c r="K927" s="92" t="s">
        <v>1932</v>
      </c>
      <c r="L927" s="41">
        <v>9</v>
      </c>
      <c r="M927" s="92" t="s">
        <v>2034</v>
      </c>
      <c r="N927" s="92" t="str">
        <f t="shared" si="33"/>
        <v>Rua C · Prat 9 · C-366</v>
      </c>
      <c r="P927">
        <f>IF(A927="","",IF(AND(K927&lt;&gt;"",L927&lt;&gt;""),IF(COUNTIFS($K$6:K927,K927,$L$6:L927,L927)=1,1,0),0))</f>
        <v>0</v>
      </c>
      <c r="Q927">
        <f>IF(A927="","",IF(AND(K927&lt;&gt;"",M927&lt;&gt;""),IF(COUNTIFS($K$6:K927,K927,$M$6:M927,M927)=1,1,0),0))</f>
        <v>1</v>
      </c>
      <c r="R927">
        <f>IF(A927="","",IF(M927&lt;&gt;"",IF(COUNTIF($M$6:M927,M927)=1,1,0),0))</f>
        <v>1</v>
      </c>
      <c r="T927" t="str">
        <f>IF($A927="","",IF(AND($M927&lt;&gt;"",$M927='Mapa do Galpão'!$C$20),COUNTIF($M$6:$M927,'Mapa do Galpão'!$C$20),""))</f>
        <v/>
      </c>
    </row>
    <row r="928" spans="1:20" ht="14.25" hidden="1" customHeight="1" x14ac:dyDescent="0.3">
      <c r="A928" s="49" t="s">
        <v>2035</v>
      </c>
      <c r="B928" s="100" t="s">
        <v>1424</v>
      </c>
      <c r="C928" s="181" t="s">
        <v>647</v>
      </c>
      <c r="D928" s="56" t="str">
        <f t="shared" si="32"/>
        <v>Masculino</v>
      </c>
      <c r="E928" s="104" t="s">
        <v>1984</v>
      </c>
      <c r="F928" s="49" t="s">
        <v>2028</v>
      </c>
      <c r="G928" s="96" t="s">
        <v>2018</v>
      </c>
      <c r="H928" s="94" t="s">
        <v>682</v>
      </c>
      <c r="I928" s="91">
        <f>SUMIFS(Movimentações!$F$6:$F$4998,Movimentações!$C$6:$C$4998,A928,Movimentações!$M$6:$M$4998,M928)</f>
        <v>24</v>
      </c>
      <c r="J928" s="68" t="s">
        <v>670</v>
      </c>
      <c r="K928" s="92" t="s">
        <v>1932</v>
      </c>
      <c r="L928" s="41">
        <v>9</v>
      </c>
      <c r="M928" s="92" t="s">
        <v>2034</v>
      </c>
      <c r="N928" s="92" t="str">
        <f t="shared" si="33"/>
        <v>Rua C · Prat 9 · C-366</v>
      </c>
      <c r="P928">
        <f>IF(A928="","",IF(AND(K928&lt;&gt;"",L928&lt;&gt;""),IF(COUNTIFS($K$6:K928,K928,$L$6:L928,L928)=1,1,0),0))</f>
        <v>0</v>
      </c>
      <c r="Q928">
        <f>IF(A928="","",IF(AND(K928&lt;&gt;"",M928&lt;&gt;""),IF(COUNTIFS($K$6:K928,K928,$M$6:M928,M928)=1,1,0),0))</f>
        <v>0</v>
      </c>
      <c r="R928">
        <f>IF(A928="","",IF(M928&lt;&gt;"",IF(COUNTIF($M$6:M928,M928)=1,1,0),0))</f>
        <v>0</v>
      </c>
      <c r="T928" t="str">
        <f>IF($A928="","",IF(AND($M928&lt;&gt;"",$M928='Mapa do Galpão'!$C$20),COUNTIF($M$6:$M928,'Mapa do Galpão'!$C$20),""))</f>
        <v/>
      </c>
    </row>
    <row r="929" spans="1:20" ht="14.25" hidden="1" customHeight="1" x14ac:dyDescent="0.3">
      <c r="A929" s="49" t="s">
        <v>2035</v>
      </c>
      <c r="B929" s="100" t="s">
        <v>1424</v>
      </c>
      <c r="C929" s="181" t="s">
        <v>647</v>
      </c>
      <c r="D929" s="56" t="str">
        <f t="shared" si="32"/>
        <v>Masculino</v>
      </c>
      <c r="E929" s="104" t="s">
        <v>1984</v>
      </c>
      <c r="F929" s="49" t="s">
        <v>2028</v>
      </c>
      <c r="G929" s="96" t="s">
        <v>2018</v>
      </c>
      <c r="H929" s="94" t="s">
        <v>682</v>
      </c>
      <c r="I929" s="91">
        <f>SUMIFS(Movimentações!$F$6:$F$4998,Movimentações!$C$6:$C$4998,A929,Movimentações!$M$6:$M$4998,M929)</f>
        <v>60</v>
      </c>
      <c r="J929" s="68" t="s">
        <v>670</v>
      </c>
      <c r="K929" s="92" t="s">
        <v>1932</v>
      </c>
      <c r="L929" s="41">
        <v>9</v>
      </c>
      <c r="M929" s="92" t="s">
        <v>2036</v>
      </c>
      <c r="N929" s="92" t="str">
        <f t="shared" si="33"/>
        <v>Rua C · Prat 9 · C-367</v>
      </c>
      <c r="P929">
        <f>IF(A929="","",IF(AND(K929&lt;&gt;"",L929&lt;&gt;""),IF(COUNTIFS($K$6:K929,K929,$L$6:L929,L929)=1,1,0),0))</f>
        <v>0</v>
      </c>
      <c r="Q929">
        <f>IF(A929="","",IF(AND(K929&lt;&gt;"",M929&lt;&gt;""),IF(COUNTIFS($K$6:K929,K929,$M$6:M929,M929)=1,1,0),0))</f>
        <v>1</v>
      </c>
      <c r="R929">
        <f>IF(A929="","",IF(M929&lt;&gt;"",IF(COUNTIF($M$6:M929,M929)=1,1,0),0))</f>
        <v>1</v>
      </c>
      <c r="T929" t="str">
        <f>IF($A929="","",IF(AND($M929&lt;&gt;"",$M929='Mapa do Galpão'!$C$20),COUNTIF($M$6:$M929,'Mapa do Galpão'!$C$20),""))</f>
        <v/>
      </c>
    </row>
    <row r="930" spans="1:20" ht="14.25" hidden="1" customHeight="1" x14ac:dyDescent="0.3">
      <c r="A930" s="49" t="s">
        <v>2037</v>
      </c>
      <c r="B930" s="100" t="s">
        <v>1424</v>
      </c>
      <c r="C930" s="181" t="s">
        <v>648</v>
      </c>
      <c r="D930" s="56" t="str">
        <f t="shared" si="32"/>
        <v>Masculino</v>
      </c>
      <c r="E930" s="104" t="s">
        <v>1984</v>
      </c>
      <c r="F930" s="49" t="s">
        <v>2028</v>
      </c>
      <c r="G930" s="96" t="s">
        <v>2018</v>
      </c>
      <c r="H930" s="94" t="s">
        <v>677</v>
      </c>
      <c r="I930" s="91">
        <f>SUMIFS(Movimentações!$F$6:$F$4998,Movimentações!$C$6:$C$4998,A930,Movimentações!$M$6:$M$4998,M930)</f>
        <v>18</v>
      </c>
      <c r="J930" s="68" t="s">
        <v>670</v>
      </c>
      <c r="K930" s="92" t="s">
        <v>1932</v>
      </c>
      <c r="L930" s="41">
        <v>9</v>
      </c>
      <c r="M930" s="92" t="s">
        <v>2036</v>
      </c>
      <c r="N930" s="92" t="str">
        <f t="shared" si="33"/>
        <v>Rua C · Prat 9 · C-367</v>
      </c>
      <c r="P930">
        <f>IF(A930="","",IF(AND(K930&lt;&gt;"",L930&lt;&gt;""),IF(COUNTIFS($K$6:K930,K930,$L$6:L930,L930)=1,1,0),0))</f>
        <v>0</v>
      </c>
      <c r="Q930">
        <f>IF(A930="","",IF(AND(K930&lt;&gt;"",M930&lt;&gt;""),IF(COUNTIFS($K$6:K930,K930,$M$6:M930,M930)=1,1,0),0))</f>
        <v>0</v>
      </c>
      <c r="R930">
        <f>IF(A930="","",IF(M930&lt;&gt;"",IF(COUNTIF($M$6:M930,M930)=1,1,0),0))</f>
        <v>0</v>
      </c>
      <c r="T930" t="str">
        <f>IF($A930="","",IF(AND($M930&lt;&gt;"",$M930='Mapa do Galpão'!$C$20),COUNTIF($M$6:$M930,'Mapa do Galpão'!$C$20),""))</f>
        <v/>
      </c>
    </row>
    <row r="931" spans="1:20" ht="14.25" hidden="1" customHeight="1" x14ac:dyDescent="0.3">
      <c r="A931" s="49" t="s">
        <v>2038</v>
      </c>
      <c r="B931" s="100" t="s">
        <v>1424</v>
      </c>
      <c r="C931" s="181" t="s">
        <v>649</v>
      </c>
      <c r="D931" s="56" t="str">
        <f t="shared" si="32"/>
        <v>Masculino</v>
      </c>
      <c r="E931" s="104" t="s">
        <v>1984</v>
      </c>
      <c r="F931" s="49" t="s">
        <v>2028</v>
      </c>
      <c r="G931" s="96" t="s">
        <v>2018</v>
      </c>
      <c r="H931" s="94" t="s">
        <v>756</v>
      </c>
      <c r="I931" s="91">
        <f>SUMIFS(Movimentações!$F$6:$F$4998,Movimentações!$C$6:$C$4998,A931,Movimentações!$M$6:$M$4998,M931)</f>
        <v>17</v>
      </c>
      <c r="J931" s="68" t="s">
        <v>670</v>
      </c>
      <c r="K931" s="92" t="s">
        <v>1932</v>
      </c>
      <c r="L931" s="41">
        <v>9</v>
      </c>
      <c r="M931" s="92" t="s">
        <v>2039</v>
      </c>
      <c r="N931" s="92" t="str">
        <f t="shared" si="33"/>
        <v>Rua C · Prat 9 · C-368</v>
      </c>
      <c r="P931">
        <f>IF(A931="","",IF(AND(K931&lt;&gt;"",L931&lt;&gt;""),IF(COUNTIFS($K$6:K931,K931,$L$6:L931,L931)=1,1,0),0))</f>
        <v>0</v>
      </c>
      <c r="Q931">
        <f>IF(A931="","",IF(AND(K931&lt;&gt;"",M931&lt;&gt;""),IF(COUNTIFS($K$6:K931,K931,$M$6:M931,M931)=1,1,0),0))</f>
        <v>1</v>
      </c>
      <c r="R931">
        <f>IF(A931="","",IF(M931&lt;&gt;"",IF(COUNTIF($M$6:M931,M931)=1,1,0),0))</f>
        <v>1</v>
      </c>
      <c r="T931" t="str">
        <f>IF($A931="","",IF(AND($M931&lt;&gt;"",$M931='Mapa do Galpão'!$C$20),COUNTIF($M$6:$M931,'Mapa do Galpão'!$C$20),""))</f>
        <v/>
      </c>
    </row>
    <row r="932" spans="1:20" ht="14.25" hidden="1" customHeight="1" x14ac:dyDescent="0.3">
      <c r="A932" s="49" t="s">
        <v>2037</v>
      </c>
      <c r="B932" s="100" t="s">
        <v>1424</v>
      </c>
      <c r="C932" s="181" t="s">
        <v>648</v>
      </c>
      <c r="D932" s="56" t="str">
        <f t="shared" si="32"/>
        <v>Masculino</v>
      </c>
      <c r="E932" s="104" t="s">
        <v>1984</v>
      </c>
      <c r="F932" s="49" t="s">
        <v>2028</v>
      </c>
      <c r="G932" s="96" t="s">
        <v>2018</v>
      </c>
      <c r="H932" s="94" t="s">
        <v>677</v>
      </c>
      <c r="I932" s="91">
        <f>SUMIFS(Movimentações!$F$6:$F$4998,Movimentações!$C$6:$C$4998,A932,Movimentações!$M$6:$M$4998,M932)</f>
        <v>50</v>
      </c>
      <c r="J932" s="68" t="s">
        <v>670</v>
      </c>
      <c r="K932" s="92" t="s">
        <v>1932</v>
      </c>
      <c r="L932" s="41">
        <v>9</v>
      </c>
      <c r="M932" s="92" t="s">
        <v>2039</v>
      </c>
      <c r="N932" s="92" t="str">
        <f t="shared" si="33"/>
        <v>Rua C · Prat 9 · C-368</v>
      </c>
      <c r="P932">
        <f>IF(A932="","",IF(AND(K932&lt;&gt;"",L932&lt;&gt;""),IF(COUNTIFS($K$6:K932,K932,$L$6:L932,L932)=1,1,0),0))</f>
        <v>0</v>
      </c>
      <c r="Q932">
        <f>IF(A932="","",IF(AND(K932&lt;&gt;"",M932&lt;&gt;""),IF(COUNTIFS($K$6:K932,K932,$M$6:M932,M932)=1,1,0),0))</f>
        <v>0</v>
      </c>
      <c r="R932">
        <f>IF(A932="","",IF(M932&lt;&gt;"",IF(COUNTIF($M$6:M932,M932)=1,1,0),0))</f>
        <v>0</v>
      </c>
      <c r="T932" t="str">
        <f>IF($A932="","",IF(AND($M932&lt;&gt;"",$M932='Mapa do Galpão'!$C$20),COUNTIF($M$6:$M932,'Mapa do Galpão'!$C$20),""))</f>
        <v/>
      </c>
    </row>
    <row r="933" spans="1:20" ht="14.25" hidden="1" customHeight="1" x14ac:dyDescent="0.3">
      <c r="A933" s="49" t="s">
        <v>2038</v>
      </c>
      <c r="B933" s="100" t="s">
        <v>1424</v>
      </c>
      <c r="C933" s="181" t="s">
        <v>649</v>
      </c>
      <c r="D933" s="56" t="str">
        <f t="shared" si="32"/>
        <v>Masculino</v>
      </c>
      <c r="E933" s="104" t="s">
        <v>1984</v>
      </c>
      <c r="F933" s="49" t="s">
        <v>2028</v>
      </c>
      <c r="G933" s="96" t="s">
        <v>2018</v>
      </c>
      <c r="H933" s="94" t="s">
        <v>756</v>
      </c>
      <c r="I933" s="91">
        <f>SUMIFS(Movimentações!$F$6:$F$4998,Movimentações!$C$6:$C$4998,A933,Movimentações!$M$6:$M$4998,M933)</f>
        <v>1</v>
      </c>
      <c r="J933" s="68" t="s">
        <v>670</v>
      </c>
      <c r="K933" s="92" t="s">
        <v>1932</v>
      </c>
      <c r="L933" s="41">
        <v>9</v>
      </c>
      <c r="M933" s="92" t="s">
        <v>2040</v>
      </c>
      <c r="N933" s="92" t="str">
        <f t="shared" si="33"/>
        <v>Rua C · Prat 9 · C-369</v>
      </c>
      <c r="P933">
        <f>IF(A933="","",IF(AND(K933&lt;&gt;"",L933&lt;&gt;""),IF(COUNTIFS($K$6:K933,K933,$L$6:L933,L933)=1,1,0),0))</f>
        <v>0</v>
      </c>
      <c r="Q933">
        <f>IF(A933="","",IF(AND(K933&lt;&gt;"",M933&lt;&gt;""),IF(COUNTIFS($K$6:K933,K933,$M$6:M933,M933)=1,1,0),0))</f>
        <v>1</v>
      </c>
      <c r="R933">
        <f>IF(A933="","",IF(M933&lt;&gt;"",IF(COUNTIF($M$6:M933,M933)=1,1,0),0))</f>
        <v>1</v>
      </c>
      <c r="T933" t="str">
        <f>IF($A933="","",IF(AND($M933&lt;&gt;"",$M933='Mapa do Galpão'!$C$20),COUNTIF($M$6:$M933,'Mapa do Galpão'!$C$20),""))</f>
        <v/>
      </c>
    </row>
    <row r="934" spans="1:20" ht="14.25" hidden="1" customHeight="1" x14ac:dyDescent="0.3">
      <c r="A934" s="49" t="s">
        <v>2041</v>
      </c>
      <c r="B934" s="100" t="s">
        <v>1424</v>
      </c>
      <c r="C934" s="181" t="s">
        <v>650</v>
      </c>
      <c r="D934" s="56" t="str">
        <f t="shared" si="32"/>
        <v>Masculino</v>
      </c>
      <c r="E934" s="104" t="s">
        <v>1984</v>
      </c>
      <c r="F934" s="49" t="s">
        <v>2028</v>
      </c>
      <c r="G934" s="96" t="s">
        <v>2018</v>
      </c>
      <c r="H934" s="94" t="s">
        <v>680</v>
      </c>
      <c r="I934" s="91">
        <f>SUMIFS(Movimentações!$F$6:$F$4998,Movimentações!$C$6:$C$4998,A934,Movimentações!$M$6:$M$4998,M934)</f>
        <v>68</v>
      </c>
      <c r="J934" s="68" t="s">
        <v>670</v>
      </c>
      <c r="K934" s="92" t="s">
        <v>1932</v>
      </c>
      <c r="L934" s="41">
        <v>9</v>
      </c>
      <c r="M934" s="92" t="s">
        <v>2040</v>
      </c>
      <c r="N934" s="92" t="str">
        <f t="shared" si="33"/>
        <v>Rua C · Prat 9 · C-369</v>
      </c>
      <c r="P934">
        <f>IF(A934="","",IF(AND(K934&lt;&gt;"",L934&lt;&gt;""),IF(COUNTIFS($K$6:K934,K934,$L$6:L934,L934)=1,1,0),0))</f>
        <v>0</v>
      </c>
      <c r="Q934">
        <f>IF(A934="","",IF(AND(K934&lt;&gt;"",M934&lt;&gt;""),IF(COUNTIFS($K$6:K934,K934,$M$6:M934,M934)=1,1,0),0))</f>
        <v>0</v>
      </c>
      <c r="R934">
        <f>IF(A934="","",IF(M934&lt;&gt;"",IF(COUNTIF($M$6:M934,M934)=1,1,0),0))</f>
        <v>0</v>
      </c>
      <c r="T934" t="str">
        <f>IF($A934="","",IF(AND($M934&lt;&gt;"",$M934='Mapa do Galpão'!$C$20),COUNTIF($M$6:$M934,'Mapa do Galpão'!$C$20),""))</f>
        <v/>
      </c>
    </row>
    <row r="935" spans="1:20" ht="14.25" hidden="1" customHeight="1" x14ac:dyDescent="0.3">
      <c r="A935" s="49" t="s">
        <v>2027</v>
      </c>
      <c r="B935" s="100" t="s">
        <v>1424</v>
      </c>
      <c r="C935" s="181" t="s">
        <v>645</v>
      </c>
      <c r="D935" s="56" t="str">
        <f t="shared" si="32"/>
        <v>Masculino</v>
      </c>
      <c r="E935" s="104" t="s">
        <v>1984</v>
      </c>
      <c r="F935" s="49" t="s">
        <v>2028</v>
      </c>
      <c r="G935" s="96" t="s">
        <v>2018</v>
      </c>
      <c r="H935" s="94" t="s">
        <v>675</v>
      </c>
      <c r="I935" s="91">
        <f>SUMIFS(Movimentações!$F$6:$F$4998,Movimentações!$C$6:$C$4998,A935,Movimentações!$M$6:$M$4998,M935)</f>
        <v>7</v>
      </c>
      <c r="J935" s="68" t="s">
        <v>670</v>
      </c>
      <c r="K935" s="92" t="s">
        <v>1932</v>
      </c>
      <c r="L935" s="41">
        <v>9</v>
      </c>
      <c r="M935" s="92" t="s">
        <v>2040</v>
      </c>
      <c r="N935" s="92" t="str">
        <f t="shared" si="33"/>
        <v>Rua C · Prat 9 · C-369</v>
      </c>
      <c r="P935">
        <f>IF(A935="","",IF(AND(K935&lt;&gt;"",L935&lt;&gt;""),IF(COUNTIFS($K$6:K935,K935,$L$6:L935,L935)=1,1,0),0))</f>
        <v>0</v>
      </c>
      <c r="Q935">
        <f>IF(A935="","",IF(AND(K935&lt;&gt;"",M935&lt;&gt;""),IF(COUNTIFS($K$6:K935,K935,$M$6:M935,M935)=1,1,0),0))</f>
        <v>0</v>
      </c>
      <c r="R935">
        <f>IF(A935="","",IF(M935&lt;&gt;"",IF(COUNTIF($M$6:M935,M935)=1,1,0),0))</f>
        <v>0</v>
      </c>
      <c r="T935" t="str">
        <f>IF($A935="","",IF(AND($M935&lt;&gt;"",$M935='Mapa do Galpão'!$C$20),COUNTIF($M$6:$M935,'Mapa do Galpão'!$C$20),""))</f>
        <v/>
      </c>
    </row>
    <row r="936" spans="1:20" ht="14.25" hidden="1" customHeight="1" x14ac:dyDescent="0.3">
      <c r="A936" s="49" t="s">
        <v>2030</v>
      </c>
      <c r="B936" s="100" t="s">
        <v>1424</v>
      </c>
      <c r="C936" s="181" t="s">
        <v>646</v>
      </c>
      <c r="D936" s="56" t="str">
        <f t="shared" si="32"/>
        <v>Masculino</v>
      </c>
      <c r="E936" s="104" t="s">
        <v>1984</v>
      </c>
      <c r="F936" s="49" t="s">
        <v>2028</v>
      </c>
      <c r="G936" s="96" t="s">
        <v>2018</v>
      </c>
      <c r="H936" s="94" t="s">
        <v>669</v>
      </c>
      <c r="I936" s="91">
        <f>SUMIFS(Movimentações!$F$6:$F$4998,Movimentações!$C$6:$C$4998,A936,Movimentações!$M$6:$M$4998,M936)</f>
        <v>1</v>
      </c>
      <c r="J936" s="68" t="s">
        <v>670</v>
      </c>
      <c r="K936" s="92" t="s">
        <v>1932</v>
      </c>
      <c r="L936" s="41">
        <v>9</v>
      </c>
      <c r="M936" s="92" t="s">
        <v>2040</v>
      </c>
      <c r="N936" s="92" t="str">
        <f t="shared" si="33"/>
        <v>Rua C · Prat 9 · C-369</v>
      </c>
      <c r="P936">
        <f>IF(A936="","",IF(AND(K936&lt;&gt;"",L936&lt;&gt;""),IF(COUNTIFS($K$6:K936,K936,$L$6:L936,L936)=1,1,0),0))</f>
        <v>0</v>
      </c>
      <c r="Q936">
        <f>IF(A936="","",IF(AND(K936&lt;&gt;"",M936&lt;&gt;""),IF(COUNTIFS($K$6:K936,K936,$M$6:M936,M936)=1,1,0),0))</f>
        <v>0</v>
      </c>
      <c r="R936">
        <f>IF(A936="","",IF(M936&lt;&gt;"",IF(COUNTIF($M$6:M936,M936)=1,1,0),0))</f>
        <v>0</v>
      </c>
      <c r="T936" t="str">
        <f>IF($A936="","",IF(AND($M936&lt;&gt;"",$M936='Mapa do Galpão'!$C$20),COUNTIF($M$6:$M936,'Mapa do Galpão'!$C$20),""))</f>
        <v/>
      </c>
    </row>
    <row r="937" spans="1:20" ht="14.25" hidden="1" customHeight="1" x14ac:dyDescent="0.3">
      <c r="A937" s="49" t="s">
        <v>2035</v>
      </c>
      <c r="B937" s="100" t="s">
        <v>1424</v>
      </c>
      <c r="C937" s="181" t="s">
        <v>647</v>
      </c>
      <c r="D937" s="56" t="str">
        <f t="shared" si="32"/>
        <v>Masculino</v>
      </c>
      <c r="E937" s="104" t="s">
        <v>1984</v>
      </c>
      <c r="F937" s="49" t="s">
        <v>2028</v>
      </c>
      <c r="G937" s="96" t="s">
        <v>2018</v>
      </c>
      <c r="H937" s="94" t="s">
        <v>682</v>
      </c>
      <c r="I937" s="91">
        <f>SUMIFS(Movimentações!$F$6:$F$4998,Movimentações!$C$6:$C$4998,A937,Movimentações!$M$6:$M$4998,M937)</f>
        <v>2</v>
      </c>
      <c r="J937" s="68" t="s">
        <v>670</v>
      </c>
      <c r="K937" s="92" t="s">
        <v>1932</v>
      </c>
      <c r="L937" s="41">
        <v>9</v>
      </c>
      <c r="M937" s="92" t="s">
        <v>2040</v>
      </c>
      <c r="N937" s="92" t="str">
        <f t="shared" si="33"/>
        <v>Rua C · Prat 9 · C-369</v>
      </c>
      <c r="P937">
        <f>IF(A937="","",IF(AND(K937&lt;&gt;"",L937&lt;&gt;""),IF(COUNTIFS($K$6:K937,K937,$L$6:L937,L937)=1,1,0),0))</f>
        <v>0</v>
      </c>
      <c r="Q937">
        <f>IF(A937="","",IF(AND(K937&lt;&gt;"",M937&lt;&gt;""),IF(COUNTIFS($K$6:K937,K937,$M$6:M937,M937)=1,1,0),0))</f>
        <v>0</v>
      </c>
      <c r="R937">
        <f>IF(A937="","",IF(M937&lt;&gt;"",IF(COUNTIF($M$6:M937,M937)=1,1,0),0))</f>
        <v>0</v>
      </c>
      <c r="T937" t="str">
        <f>IF($A937="","",IF(AND($M937&lt;&gt;"",$M937='Mapa do Galpão'!$C$20),COUNTIF($M$6:$M937,'Mapa do Galpão'!$C$20),""))</f>
        <v/>
      </c>
    </row>
    <row r="938" spans="1:20" ht="14.25" hidden="1" customHeight="1" x14ac:dyDescent="0.3">
      <c r="C938" s="181"/>
      <c r="D938" s="45" t="str">
        <f t="shared" si="32"/>
        <v/>
      </c>
      <c r="E938" s="104"/>
      <c r="I938" s="46" t="str">
        <f>IF($A938="","",SUMIFS(Movimentações!$F$6:$F$4998,Movimentações!$C$6:$C$4998,A938,Movimentações!$M$6:$M$4998,M938))</f>
        <v/>
      </c>
      <c r="N938" s="43" t="str">
        <f t="shared" ref="N938:N969" si="34">IF($A938="","",IF(AND(K938="",L938="",M938=""),"⚠ sem endereço","Rua "&amp;K938&amp;IF(L938="",""," · Prat "&amp;L938)&amp;IF(M938="",""," · "&amp;M938)))</f>
        <v/>
      </c>
      <c r="P938" t="str">
        <f>IF(A938="","",IF(AND(K938&lt;&gt;"",L938&lt;&gt;""),IF(COUNTIFS($K$6:K938,K938,$L$6:L938,L938)=1,1,0),0))</f>
        <v/>
      </c>
      <c r="Q938" t="str">
        <f>IF(A938="","",IF(AND(K938&lt;&gt;"",M938&lt;&gt;""),IF(COUNTIFS($K$6:K938,K938,$M$6:M938,M938)=1,1,0),0))</f>
        <v/>
      </c>
      <c r="R938" t="str">
        <f>IF(A938="","",IF(M938&lt;&gt;"",IF(COUNTIF($M$6:M938,M938)=1,1,0),0))</f>
        <v/>
      </c>
      <c r="T938" t="str">
        <f>IF($A938="","",IF(AND($M938&lt;&gt;"",$M938='Mapa do Galpão'!$C$20),COUNTIF($M$6:$M938,'Mapa do Galpão'!$C$20),""))</f>
        <v/>
      </c>
    </row>
    <row r="939" spans="1:20" ht="14.25" hidden="1" customHeight="1" x14ac:dyDescent="0.3">
      <c r="C939" s="181"/>
      <c r="D939" s="45" t="str">
        <f t="shared" si="32"/>
        <v/>
      </c>
      <c r="E939" s="104"/>
      <c r="I939" s="46" t="str">
        <f>IF($A939="","",SUMIFS(Movimentações!$F$6:$F$4998,Movimentações!$C$6:$C$4998,A939,Movimentações!$M$6:$M$4998,M939))</f>
        <v/>
      </c>
      <c r="N939" s="43" t="str">
        <f t="shared" si="34"/>
        <v/>
      </c>
      <c r="P939" t="str">
        <f>IF(A939="","",IF(AND(K939&lt;&gt;"",L939&lt;&gt;""),IF(COUNTIFS($K$6:K939,K939,$L$6:L939,L939)=1,1,0),0))</f>
        <v/>
      </c>
      <c r="Q939" t="str">
        <f>IF(A939="","",IF(AND(K939&lt;&gt;"",M939&lt;&gt;""),IF(COUNTIFS($K$6:K939,K939,$M$6:M939,M939)=1,1,0),0))</f>
        <v/>
      </c>
      <c r="R939" t="str">
        <f>IF(A939="","",IF(M939&lt;&gt;"",IF(COUNTIF($M$6:M939,M939)=1,1,0),0))</f>
        <v/>
      </c>
      <c r="T939" t="str">
        <f>IF($A939="","",IF(AND($M939&lt;&gt;"",$M939='Mapa do Galpão'!$C$20),COUNTIF($M$6:$M939,'Mapa do Galpão'!$C$20),""))</f>
        <v/>
      </c>
    </row>
    <row r="940" spans="1:20" ht="14.25" hidden="1" customHeight="1" x14ac:dyDescent="0.3">
      <c r="C940" s="181"/>
      <c r="D940" s="45" t="str">
        <f t="shared" si="32"/>
        <v/>
      </c>
      <c r="E940" s="104"/>
      <c r="I940" s="46" t="str">
        <f>IF($A940="","",SUMIFS(Movimentações!$F$6:$F$4998,Movimentações!$C$6:$C$4998,A940,Movimentações!$M$6:$M$4998,M940))</f>
        <v/>
      </c>
      <c r="N940" s="43" t="str">
        <f t="shared" si="34"/>
        <v/>
      </c>
      <c r="P940" t="str">
        <f>IF(A940="","",IF(AND(K940&lt;&gt;"",L940&lt;&gt;""),IF(COUNTIFS($K$6:K940,K940,$L$6:L940,L940)=1,1,0),0))</f>
        <v/>
      </c>
      <c r="Q940" t="str">
        <f>IF(A940="","",IF(AND(K940&lt;&gt;"",M940&lt;&gt;""),IF(COUNTIFS($K$6:K940,K940,$M$6:M940,M940)=1,1,0),0))</f>
        <v/>
      </c>
      <c r="R940" t="str">
        <f>IF(A940="","",IF(M940&lt;&gt;"",IF(COUNTIF($M$6:M940,M940)=1,1,0),0))</f>
        <v/>
      </c>
      <c r="T940" t="str">
        <f>IF($A940="","",IF(AND($M940&lt;&gt;"",$M940='Mapa do Galpão'!$C$20),COUNTIF($M$6:$M940,'Mapa do Galpão'!$C$20),""))</f>
        <v/>
      </c>
    </row>
    <row r="941" spans="1:20" ht="14.25" hidden="1" customHeight="1" x14ac:dyDescent="0.3">
      <c r="C941" s="181"/>
      <c r="D941" s="45" t="str">
        <f t="shared" si="32"/>
        <v/>
      </c>
      <c r="E941" s="104"/>
      <c r="I941" s="46" t="str">
        <f>IF($A941="","",SUMIFS(Movimentações!$F$6:$F$4998,Movimentações!$C$6:$C$4998,A941,Movimentações!$M$6:$M$4998,M941))</f>
        <v/>
      </c>
      <c r="N941" s="43" t="str">
        <f t="shared" si="34"/>
        <v/>
      </c>
      <c r="P941" t="str">
        <f>IF(A941="","",IF(AND(K941&lt;&gt;"",L941&lt;&gt;""),IF(COUNTIFS($K$6:K941,K941,$L$6:L941,L941)=1,1,0),0))</f>
        <v/>
      </c>
      <c r="Q941" t="str">
        <f>IF(A941="","",IF(AND(K941&lt;&gt;"",M941&lt;&gt;""),IF(COUNTIFS($K$6:K941,K941,$M$6:M941,M941)=1,1,0),0))</f>
        <v/>
      </c>
      <c r="R941" t="str">
        <f>IF(A941="","",IF(M941&lt;&gt;"",IF(COUNTIF($M$6:M941,M941)=1,1,0),0))</f>
        <v/>
      </c>
      <c r="T941" t="str">
        <f>IF($A941="","",IF(AND($M941&lt;&gt;"",$M941='Mapa do Galpão'!$C$20),COUNTIF($M$6:$M941,'Mapa do Galpão'!$C$20),""))</f>
        <v/>
      </c>
    </row>
    <row r="942" spans="1:20" ht="14.25" hidden="1" customHeight="1" x14ac:dyDescent="0.3">
      <c r="C942" s="181"/>
      <c r="D942" s="45" t="str">
        <f t="shared" si="32"/>
        <v/>
      </c>
      <c r="E942" s="104"/>
      <c r="I942" s="46" t="str">
        <f>IF($A942="","",SUMIFS(Movimentações!$F$6:$F$4998,Movimentações!$C$6:$C$4998,A942,Movimentações!$M$6:$M$4998,M942))</f>
        <v/>
      </c>
      <c r="N942" s="43" t="str">
        <f t="shared" si="34"/>
        <v/>
      </c>
      <c r="P942" t="str">
        <f>IF(A942="","",IF(AND(K942&lt;&gt;"",L942&lt;&gt;""),IF(COUNTIFS($K$6:K942,K942,$L$6:L942,L942)=1,1,0),0))</f>
        <v/>
      </c>
      <c r="Q942" t="str">
        <f>IF(A942="","",IF(AND(K942&lt;&gt;"",M942&lt;&gt;""),IF(COUNTIFS($K$6:K942,K942,$M$6:M942,M942)=1,1,0),0))</f>
        <v/>
      </c>
      <c r="R942" t="str">
        <f>IF(A942="","",IF(M942&lt;&gt;"",IF(COUNTIF($M$6:M942,M942)=1,1,0),0))</f>
        <v/>
      </c>
      <c r="T942" t="str">
        <f>IF($A942="","",IF(AND($M942&lt;&gt;"",$M942='Mapa do Galpão'!$C$20),COUNTIF($M$6:$M942,'Mapa do Galpão'!$C$20),""))</f>
        <v/>
      </c>
    </row>
    <row r="943" spans="1:20" ht="14.25" hidden="1" customHeight="1" x14ac:dyDescent="0.3">
      <c r="C943" s="181"/>
      <c r="D943" s="45" t="str">
        <f t="shared" si="32"/>
        <v/>
      </c>
      <c r="E943" s="104"/>
      <c r="I943" s="46" t="str">
        <f>IF($A943="","",SUMIFS(Movimentações!$F$6:$F$4998,Movimentações!$C$6:$C$4998,A943,Movimentações!$M$6:$M$4998,M943))</f>
        <v/>
      </c>
      <c r="N943" s="43" t="str">
        <f t="shared" si="34"/>
        <v/>
      </c>
      <c r="P943" t="str">
        <f>IF(A943="","",IF(AND(K943&lt;&gt;"",L943&lt;&gt;""),IF(COUNTIFS($K$6:K943,K943,$L$6:L943,L943)=1,1,0),0))</f>
        <v/>
      </c>
      <c r="Q943" t="str">
        <f>IF(A943="","",IF(AND(K943&lt;&gt;"",M943&lt;&gt;""),IF(COUNTIFS($K$6:K943,K943,$M$6:M943,M943)=1,1,0),0))</f>
        <v/>
      </c>
      <c r="R943" t="str">
        <f>IF(A943="","",IF(M943&lt;&gt;"",IF(COUNTIF($M$6:M943,M943)=1,1,0),0))</f>
        <v/>
      </c>
      <c r="T943" t="str">
        <f>IF($A943="","",IF(AND($M943&lt;&gt;"",$M943='Mapa do Galpão'!$C$20),COUNTIF($M$6:$M943,'Mapa do Galpão'!$C$20),""))</f>
        <v/>
      </c>
    </row>
    <row r="944" spans="1:20" ht="14.25" hidden="1" customHeight="1" x14ac:dyDescent="0.3">
      <c r="C944" s="181"/>
      <c r="D944" s="45" t="str">
        <f t="shared" si="32"/>
        <v/>
      </c>
      <c r="E944" s="104"/>
      <c r="I944" s="46" t="str">
        <f>IF($A944="","",SUMIFS(Movimentações!$F$6:$F$4998,Movimentações!$C$6:$C$4998,A944,Movimentações!$M$6:$M$4998,M944))</f>
        <v/>
      </c>
      <c r="N944" s="43" t="str">
        <f t="shared" si="34"/>
        <v/>
      </c>
      <c r="P944" t="str">
        <f>IF(A944="","",IF(AND(K944&lt;&gt;"",L944&lt;&gt;""),IF(COUNTIFS($K$6:K944,K944,$L$6:L944,L944)=1,1,0),0))</f>
        <v/>
      </c>
      <c r="Q944" t="str">
        <f>IF(A944="","",IF(AND(K944&lt;&gt;"",M944&lt;&gt;""),IF(COUNTIFS($K$6:K944,K944,$M$6:M944,M944)=1,1,0),0))</f>
        <v/>
      </c>
      <c r="R944" t="str">
        <f>IF(A944="","",IF(M944&lt;&gt;"",IF(COUNTIF($M$6:M944,M944)=1,1,0),0))</f>
        <v/>
      </c>
      <c r="T944" t="str">
        <f>IF($A944="","",IF(AND($M944&lt;&gt;"",$M944='Mapa do Galpão'!$C$20),COUNTIF($M$6:$M944,'Mapa do Galpão'!$C$20),""))</f>
        <v/>
      </c>
    </row>
    <row r="945" spans="2:20" ht="14.25" hidden="1" customHeight="1" x14ac:dyDescent="0.3">
      <c r="C945" s="181"/>
      <c r="D945" s="45" t="str">
        <f t="shared" si="32"/>
        <v/>
      </c>
      <c r="E945" s="104"/>
      <c r="I945" s="46" t="str">
        <f>IF($A945="","",SUMIFS(Movimentações!$F$6:$F$4998,Movimentações!$C$6:$C$4998,A945,Movimentações!$M$6:$M$4998,M945))</f>
        <v/>
      </c>
      <c r="N945" s="43" t="str">
        <f t="shared" si="34"/>
        <v/>
      </c>
      <c r="P945" t="str">
        <f>IF(A945="","",IF(AND(K945&lt;&gt;"",L945&lt;&gt;""),IF(COUNTIFS($K$6:K945,K945,$L$6:L945,L945)=1,1,0),0))</f>
        <v/>
      </c>
      <c r="Q945" t="str">
        <f>IF(A945="","",IF(AND(K945&lt;&gt;"",M945&lt;&gt;""),IF(COUNTIFS($K$6:K945,K945,$M$6:M945,M945)=1,1,0),0))</f>
        <v/>
      </c>
      <c r="R945" t="str">
        <f>IF(A945="","",IF(M945&lt;&gt;"",IF(COUNTIF($M$6:M945,M945)=1,1,0),0))</f>
        <v/>
      </c>
      <c r="T945" t="str">
        <f>IF($A945="","",IF(AND($M945&lt;&gt;"",$M945='Mapa do Galpão'!$C$20),COUNTIF($M$6:$M945,'Mapa do Galpão'!$C$20),""))</f>
        <v/>
      </c>
    </row>
    <row r="946" spans="2:20" ht="14.25" hidden="1" customHeight="1" x14ac:dyDescent="0.3">
      <c r="C946" s="181"/>
      <c r="D946" s="45" t="str">
        <f t="shared" si="32"/>
        <v/>
      </c>
      <c r="E946" s="104"/>
      <c r="I946" s="46" t="str">
        <f>IF($A946="","",SUMIFS(Movimentações!$F$6:$F$4998,Movimentações!$C$6:$C$4998,A946,Movimentações!$M$6:$M$4998,M946))</f>
        <v/>
      </c>
      <c r="N946" s="43" t="str">
        <f t="shared" si="34"/>
        <v/>
      </c>
      <c r="P946" t="str">
        <f>IF(A946="","",IF(AND(K946&lt;&gt;"",L946&lt;&gt;""),IF(COUNTIFS($K$6:K946,K946,$L$6:L946,L946)=1,1,0),0))</f>
        <v/>
      </c>
      <c r="Q946" t="str">
        <f>IF(A946="","",IF(AND(K946&lt;&gt;"",M946&lt;&gt;""),IF(COUNTIFS($K$6:K946,K946,$M$6:M946,M946)=1,1,0),0))</f>
        <v/>
      </c>
      <c r="R946" t="str">
        <f>IF(A946="","",IF(M946&lt;&gt;"",IF(COUNTIF($M$6:M946,M946)=1,1,0),0))</f>
        <v/>
      </c>
      <c r="T946" t="str">
        <f>IF($A946="","",IF(AND($M946&lt;&gt;"",$M946='Mapa do Galpão'!$C$20),COUNTIF($M$6:$M946,'Mapa do Galpão'!$C$20),""))</f>
        <v/>
      </c>
    </row>
    <row r="947" spans="2:20" ht="14.25" hidden="1" customHeight="1" x14ac:dyDescent="0.3">
      <c r="C947" s="181"/>
      <c r="D947" s="45" t="str">
        <f t="shared" si="32"/>
        <v/>
      </c>
      <c r="E947" s="104"/>
      <c r="I947" s="46" t="str">
        <f>IF($A947="","",SUMIFS(Movimentações!$F$6:$F$4998,Movimentações!$C$6:$C$4998,A947,Movimentações!$M$6:$M$4998,M947))</f>
        <v/>
      </c>
      <c r="N947" s="43" t="str">
        <f t="shared" si="34"/>
        <v/>
      </c>
      <c r="P947" t="str">
        <f>IF(A947="","",IF(AND(K947&lt;&gt;"",L947&lt;&gt;""),IF(COUNTIFS($K$6:K947,K947,$L$6:L947,L947)=1,1,0),0))</f>
        <v/>
      </c>
      <c r="Q947" t="str">
        <f>IF(A947="","",IF(AND(K947&lt;&gt;"",M947&lt;&gt;""),IF(COUNTIFS($K$6:K947,K947,$M$6:M947,M947)=1,1,0),0))</f>
        <v/>
      </c>
      <c r="R947" t="str">
        <f>IF(A947="","",IF(M947&lt;&gt;"",IF(COUNTIF($M$6:M947,M947)=1,1,0),0))</f>
        <v/>
      </c>
      <c r="T947" t="str">
        <f>IF($A947="","",IF(AND($M947&lt;&gt;"",$M947='Mapa do Galpão'!$C$20),COUNTIF($M$6:$M947,'Mapa do Galpão'!$C$20),""))</f>
        <v/>
      </c>
    </row>
    <row r="948" spans="2:20" ht="14.25" hidden="1" customHeight="1" x14ac:dyDescent="0.3">
      <c r="C948" s="181"/>
      <c r="D948" s="45" t="str">
        <f t="shared" si="32"/>
        <v/>
      </c>
      <c r="E948" s="104"/>
      <c r="I948" s="46" t="str">
        <f>IF($A948="","",SUMIFS(Movimentações!$F$6:$F$4998,Movimentações!$C$6:$C$4998,A948,Movimentações!$M$6:$M$4998,M948))</f>
        <v/>
      </c>
      <c r="N948" s="43" t="str">
        <f t="shared" si="34"/>
        <v/>
      </c>
      <c r="P948" t="str">
        <f>IF(A948="","",IF(AND(K948&lt;&gt;"",L948&lt;&gt;""),IF(COUNTIFS($K$6:K948,K948,$L$6:L948,L948)=1,1,0),0))</f>
        <v/>
      </c>
      <c r="Q948" t="str">
        <f>IF(A948="","",IF(AND(K948&lt;&gt;"",M948&lt;&gt;""),IF(COUNTIFS($K$6:K948,K948,$M$6:M948,M948)=1,1,0),0))</f>
        <v/>
      </c>
      <c r="R948" t="str">
        <f>IF(A948="","",IF(M948&lt;&gt;"",IF(COUNTIF($M$6:M948,M948)=1,1,0),0))</f>
        <v/>
      </c>
      <c r="T948" t="str">
        <f>IF($A948="","",IF(AND($M948&lt;&gt;"",$M948='Mapa do Galpão'!$C$20),COUNTIF($M$6:$M948,'Mapa do Galpão'!$C$20),""))</f>
        <v/>
      </c>
    </row>
    <row r="949" spans="2:20" ht="14.25" hidden="1" customHeight="1" x14ac:dyDescent="0.3">
      <c r="C949" s="181"/>
      <c r="D949" s="45" t="str">
        <f t="shared" si="32"/>
        <v/>
      </c>
      <c r="E949" s="104"/>
      <c r="I949" s="46" t="str">
        <f>IF($A949="","",SUMIFS(Movimentações!$F$6:$F$4998,Movimentações!$C$6:$C$4998,A949,Movimentações!$M$6:$M$4998,M949))</f>
        <v/>
      </c>
      <c r="N949" s="43" t="str">
        <f t="shared" si="34"/>
        <v/>
      </c>
      <c r="P949" t="str">
        <f>IF(A949="","",IF(AND(K949&lt;&gt;"",L949&lt;&gt;""),IF(COUNTIFS($K$6:K949,K949,$L$6:L949,L949)=1,1,0),0))</f>
        <v/>
      </c>
      <c r="Q949" t="str">
        <f>IF(A949="","",IF(AND(K949&lt;&gt;"",M949&lt;&gt;""),IF(COUNTIFS($K$6:K949,K949,$M$6:M949,M949)=1,1,0),0))</f>
        <v/>
      </c>
      <c r="R949" t="str">
        <f>IF(A949="","",IF(M949&lt;&gt;"",IF(COUNTIF($M$6:M949,M949)=1,1,0),0))</f>
        <v/>
      </c>
      <c r="T949" t="str">
        <f>IF($A949="","",IF(AND($M949&lt;&gt;"",$M949='Mapa do Galpão'!$C$20),COUNTIF($M$6:$M949,'Mapa do Galpão'!$C$20),""))</f>
        <v/>
      </c>
    </row>
    <row r="950" spans="2:20" ht="14.25" hidden="1" customHeight="1" x14ac:dyDescent="0.3">
      <c r="C950" s="181"/>
      <c r="D950" s="45" t="str">
        <f t="shared" si="32"/>
        <v/>
      </c>
      <c r="E950" s="104"/>
      <c r="I950" s="46" t="str">
        <f>IF($A950="","",SUMIFS(Movimentações!$F$6:$F$4998,Movimentações!$C$6:$C$4998,A950,Movimentações!$M$6:$M$4998,M950))</f>
        <v/>
      </c>
      <c r="N950" s="43" t="str">
        <f t="shared" si="34"/>
        <v/>
      </c>
      <c r="P950" t="str">
        <f>IF(A950="","",IF(AND(K950&lt;&gt;"",L950&lt;&gt;""),IF(COUNTIFS($K$6:K950,K950,$L$6:L950,L950)=1,1,0),0))</f>
        <v/>
      </c>
      <c r="Q950" t="str">
        <f>IF(A950="","",IF(AND(K950&lt;&gt;"",M950&lt;&gt;""),IF(COUNTIFS($K$6:K950,K950,$M$6:M950,M950)=1,1,0),0))</f>
        <v/>
      </c>
      <c r="R950" t="str">
        <f>IF(A950="","",IF(M950&lt;&gt;"",IF(COUNTIF($M$6:M950,M950)=1,1,0),0))</f>
        <v/>
      </c>
      <c r="T950" t="str">
        <f>IF($A950="","",IF(AND($M950&lt;&gt;"",$M950='Mapa do Galpão'!$C$20),COUNTIF($M$6:$M950,'Mapa do Galpão'!$C$20),""))</f>
        <v/>
      </c>
    </row>
    <row r="951" spans="2:20" ht="14.25" hidden="1" customHeight="1" x14ac:dyDescent="0.3">
      <c r="C951" s="181"/>
      <c r="D951" s="45" t="str">
        <f t="shared" ref="D951:D997" si="35">IF(C951="","",IFERROR(IF(TRIM(MID(SUBSTITUTE(C951,".",REPT(" ",50)),51,50))="01","Masculino",IF(TRIM(MID(SUBSTITUTE(C951,".",REPT(" ",50)),51,50))="02","Feminino",IF(TRIM(MID(SUBSTITUTE(C951,".",REPT(" ",50)),51,50))="03","Outros","—"))),"—"))</f>
        <v/>
      </c>
      <c r="E951" s="104"/>
      <c r="I951" s="46" t="str">
        <f>IF($A951="","",SUMIFS(Movimentações!$F$6:$F$4998,Movimentações!$C$6:$C$4998,A951,Movimentações!$M$6:$M$4998,M951))</f>
        <v/>
      </c>
      <c r="N951" s="43" t="str">
        <f t="shared" si="34"/>
        <v/>
      </c>
      <c r="P951" t="str">
        <f>IF(A951="","",IF(AND(K951&lt;&gt;"",L951&lt;&gt;""),IF(COUNTIFS($K$6:K951,K951,$L$6:L951,L951)=1,1,0),0))</f>
        <v/>
      </c>
      <c r="Q951" t="str">
        <f>IF(A951="","",IF(AND(K951&lt;&gt;"",M951&lt;&gt;""),IF(COUNTIFS($K$6:K951,K951,$M$6:M951,M951)=1,1,0),0))</f>
        <v/>
      </c>
      <c r="R951" t="str">
        <f>IF(A951="","",IF(M951&lt;&gt;"",IF(COUNTIF($M$6:M951,M951)=1,1,0),0))</f>
        <v/>
      </c>
      <c r="T951" t="str">
        <f>IF($A951="","",IF(AND($M951&lt;&gt;"",$M951='Mapa do Galpão'!$C$20),COUNTIF($M$6:$M951,'Mapa do Galpão'!$C$20),""))</f>
        <v/>
      </c>
    </row>
    <row r="952" spans="2:20" ht="14.25" hidden="1" customHeight="1" x14ac:dyDescent="0.3">
      <c r="B952" s="101"/>
      <c r="C952" s="181"/>
      <c r="D952" s="45" t="str">
        <f t="shared" si="35"/>
        <v/>
      </c>
      <c r="E952" s="104"/>
      <c r="I952" s="46" t="str">
        <f>IF($A952="","",SUMIFS(Movimentações!$F$6:$F$4998,Movimentações!$C$6:$C$4998,A952,Movimentações!$M$6:$M$4998,M952))</f>
        <v/>
      </c>
      <c r="N952" s="43" t="str">
        <f t="shared" si="34"/>
        <v/>
      </c>
      <c r="P952" t="str">
        <f>IF(A952="","",IF(AND(K952&lt;&gt;"",L952&lt;&gt;""),IF(COUNTIFS($K$6:K952,K952,$L$6:L952,L952)=1,1,0),0))</f>
        <v/>
      </c>
      <c r="Q952" t="str">
        <f>IF(A952="","",IF(AND(K952&lt;&gt;"",M952&lt;&gt;""),IF(COUNTIFS($K$6:K952,K952,$M$6:M952,M952)=1,1,0),0))</f>
        <v/>
      </c>
      <c r="R952" t="str">
        <f>IF(A952="","",IF(M952&lt;&gt;"",IF(COUNTIF($M$6:M952,M952)=1,1,0),0))</f>
        <v/>
      </c>
      <c r="T952" t="str">
        <f>IF($A952="","",IF(AND($M952&lt;&gt;"",$M952='Mapa do Galpão'!$C$20),COUNTIF($M$6:$M952,'Mapa do Galpão'!$C$20),""))</f>
        <v/>
      </c>
    </row>
    <row r="953" spans="2:20" ht="14.25" hidden="1" customHeight="1" x14ac:dyDescent="0.3">
      <c r="B953" s="101"/>
      <c r="C953" s="181"/>
      <c r="D953" s="45" t="str">
        <f t="shared" si="35"/>
        <v/>
      </c>
      <c r="E953" s="104"/>
      <c r="I953" s="46" t="str">
        <f>IF($A953="","",SUMIFS(Movimentações!$F$6:$F$4998,Movimentações!$C$6:$C$4998,A953,Movimentações!$M$6:$M$4998,M953))</f>
        <v/>
      </c>
      <c r="N953" s="43" t="str">
        <f t="shared" si="34"/>
        <v/>
      </c>
      <c r="P953" t="str">
        <f>IF(A953="","",IF(AND(K953&lt;&gt;"",L953&lt;&gt;""),IF(COUNTIFS($K$6:K953,K953,$L$6:L953,L953)=1,1,0),0))</f>
        <v/>
      </c>
      <c r="Q953" t="str">
        <f>IF(A953="","",IF(AND(K953&lt;&gt;"",M953&lt;&gt;""),IF(COUNTIFS($K$6:K953,K953,$M$6:M953,M953)=1,1,0),0))</f>
        <v/>
      </c>
      <c r="R953" t="str">
        <f>IF(A953="","",IF(M953&lt;&gt;"",IF(COUNTIF($M$6:M953,M953)=1,1,0),0))</f>
        <v/>
      </c>
      <c r="T953" t="str">
        <f>IF($A953="","",IF(AND($M953&lt;&gt;"",$M953='Mapa do Galpão'!$C$20),COUNTIF($M$6:$M953,'Mapa do Galpão'!$C$20),""))</f>
        <v/>
      </c>
    </row>
    <row r="954" spans="2:20" ht="14.25" hidden="1" customHeight="1" x14ac:dyDescent="0.3">
      <c r="B954" s="101"/>
      <c r="C954" s="181"/>
      <c r="D954" s="45" t="str">
        <f t="shared" si="35"/>
        <v/>
      </c>
      <c r="E954" s="104"/>
      <c r="I954" s="46" t="str">
        <f>IF($A954="","",SUMIFS(Movimentações!$F$6:$F$4998,Movimentações!$C$6:$C$4998,A954,Movimentações!$M$6:$M$4998,M954))</f>
        <v/>
      </c>
      <c r="N954" s="43" t="str">
        <f t="shared" si="34"/>
        <v/>
      </c>
      <c r="P954" t="str">
        <f>IF(A954="","",IF(AND(K954&lt;&gt;"",L954&lt;&gt;""),IF(COUNTIFS($K$6:K954,K954,$L$6:L954,L954)=1,1,0),0))</f>
        <v/>
      </c>
      <c r="Q954" t="str">
        <f>IF(A954="","",IF(AND(K954&lt;&gt;"",M954&lt;&gt;""),IF(COUNTIFS($K$6:K954,K954,$M$6:M954,M954)=1,1,0),0))</f>
        <v/>
      </c>
      <c r="R954" t="str">
        <f>IF(A954="","",IF(M954&lt;&gt;"",IF(COUNTIF($M$6:M954,M954)=1,1,0),0))</f>
        <v/>
      </c>
      <c r="T954" t="str">
        <f>IF($A954="","",IF(AND($M954&lt;&gt;"",$M954='Mapa do Galpão'!$C$20),COUNTIF($M$6:$M954,'Mapa do Galpão'!$C$20),""))</f>
        <v/>
      </c>
    </row>
    <row r="955" spans="2:20" ht="14.25" hidden="1" customHeight="1" x14ac:dyDescent="0.3">
      <c r="B955" s="101"/>
      <c r="C955" s="181"/>
      <c r="D955" s="45" t="str">
        <f t="shared" si="35"/>
        <v/>
      </c>
      <c r="E955" s="104"/>
      <c r="I955" s="46" t="str">
        <f>IF($A955="","",SUMIFS(Movimentações!$F$6:$F$4998,Movimentações!$C$6:$C$4998,A955,Movimentações!$M$6:$M$4998,M955))</f>
        <v/>
      </c>
      <c r="N955" s="43" t="str">
        <f t="shared" si="34"/>
        <v/>
      </c>
      <c r="P955" t="str">
        <f>IF(A955="","",IF(AND(K955&lt;&gt;"",L955&lt;&gt;""),IF(COUNTIFS($K$6:K955,K955,$L$6:L955,L955)=1,1,0),0))</f>
        <v/>
      </c>
      <c r="Q955" t="str">
        <f>IF(A955="","",IF(AND(K955&lt;&gt;"",M955&lt;&gt;""),IF(COUNTIFS($K$6:K955,K955,$M$6:M955,M955)=1,1,0),0))</f>
        <v/>
      </c>
      <c r="R955" t="str">
        <f>IF(A955="","",IF(M955&lt;&gt;"",IF(COUNTIF($M$6:M955,M955)=1,1,0),0))</f>
        <v/>
      </c>
      <c r="T955" t="str">
        <f>IF($A955="","",IF(AND($M955&lt;&gt;"",$M955='Mapa do Galpão'!$C$20),COUNTIF($M$6:$M955,'Mapa do Galpão'!$C$20),""))</f>
        <v/>
      </c>
    </row>
    <row r="956" spans="2:20" ht="14.25" hidden="1" customHeight="1" x14ac:dyDescent="0.3">
      <c r="B956" s="101"/>
      <c r="C956" s="181"/>
      <c r="D956" s="45" t="str">
        <f t="shared" si="35"/>
        <v/>
      </c>
      <c r="E956" s="104"/>
      <c r="I956" s="46" t="str">
        <f>IF($A956="","",SUMIFS(Movimentações!$F$6:$F$4998,Movimentações!$C$6:$C$4998,A956,Movimentações!$M$6:$M$4998,M956))</f>
        <v/>
      </c>
      <c r="N956" s="43" t="str">
        <f t="shared" si="34"/>
        <v/>
      </c>
      <c r="P956" t="str">
        <f>IF(A956="","",IF(AND(K956&lt;&gt;"",L956&lt;&gt;""),IF(COUNTIFS($K$6:K956,K956,$L$6:L956,L956)=1,1,0),0))</f>
        <v/>
      </c>
      <c r="Q956" t="str">
        <f>IF(A956="","",IF(AND(K956&lt;&gt;"",M956&lt;&gt;""),IF(COUNTIFS($K$6:K956,K956,$M$6:M956,M956)=1,1,0),0))</f>
        <v/>
      </c>
      <c r="R956" t="str">
        <f>IF(A956="","",IF(M956&lt;&gt;"",IF(COUNTIF($M$6:M956,M956)=1,1,0),0))</f>
        <v/>
      </c>
      <c r="T956" t="str">
        <f>IF($A956="","",IF(AND($M956&lt;&gt;"",$M956='Mapa do Galpão'!$C$20),COUNTIF($M$6:$M956,'Mapa do Galpão'!$C$20),""))</f>
        <v/>
      </c>
    </row>
    <row r="957" spans="2:20" ht="14.25" hidden="1" customHeight="1" x14ac:dyDescent="0.3">
      <c r="B957" s="101"/>
      <c r="C957" s="181"/>
      <c r="D957" s="45" t="str">
        <f t="shared" si="35"/>
        <v/>
      </c>
      <c r="E957" s="104"/>
      <c r="I957" s="46" t="str">
        <f>IF($A957="","",SUMIFS(Movimentações!$F$6:$F$4998,Movimentações!$C$6:$C$4998,A957,Movimentações!$M$6:$M$4998,M957))</f>
        <v/>
      </c>
      <c r="N957" s="43" t="str">
        <f t="shared" si="34"/>
        <v/>
      </c>
      <c r="P957" t="str">
        <f>IF(A957="","",IF(AND(K957&lt;&gt;"",L957&lt;&gt;""),IF(COUNTIFS($K$6:K957,K957,$L$6:L957,L957)=1,1,0),0))</f>
        <v/>
      </c>
      <c r="Q957" t="str">
        <f>IF(A957="","",IF(AND(K957&lt;&gt;"",M957&lt;&gt;""),IF(COUNTIFS($K$6:K957,K957,$M$6:M957,M957)=1,1,0),0))</f>
        <v/>
      </c>
      <c r="R957" t="str">
        <f>IF(A957="","",IF(M957&lt;&gt;"",IF(COUNTIF($M$6:M957,M957)=1,1,0),0))</f>
        <v/>
      </c>
      <c r="T957" t="str">
        <f>IF($A957="","",IF(AND($M957&lt;&gt;"",$M957='Mapa do Galpão'!$C$20),COUNTIF($M$6:$M957,'Mapa do Galpão'!$C$20),""))</f>
        <v/>
      </c>
    </row>
    <row r="958" spans="2:20" ht="14.25" hidden="1" customHeight="1" x14ac:dyDescent="0.3">
      <c r="B958" s="101"/>
      <c r="C958" s="104"/>
      <c r="D958" s="45" t="str">
        <f t="shared" si="35"/>
        <v/>
      </c>
      <c r="E958" s="104"/>
      <c r="I958" s="46" t="str">
        <f>IF($A958="","",SUMIFS(Movimentações!$F$6:$F$4998,Movimentações!$C$6:$C$4998,A958,Movimentações!$M$6:$M$4998,M958))</f>
        <v/>
      </c>
      <c r="N958" s="43" t="str">
        <f t="shared" si="34"/>
        <v/>
      </c>
      <c r="P958" t="str">
        <f>IF(A958="","",IF(AND(K958&lt;&gt;"",L958&lt;&gt;""),IF(COUNTIFS($K$6:K958,K958,$L$6:L958,L958)=1,1,0),0))</f>
        <v/>
      </c>
      <c r="Q958" t="str">
        <f>IF(A958="","",IF(AND(K958&lt;&gt;"",M958&lt;&gt;""),IF(COUNTIFS($K$6:K958,K958,$M$6:M958,M958)=1,1,0),0))</f>
        <v/>
      </c>
      <c r="R958" t="str">
        <f>IF(A958="","",IF(M958&lt;&gt;"",IF(COUNTIF($M$6:M958,M958)=1,1,0),0))</f>
        <v/>
      </c>
      <c r="T958" t="str">
        <f>IF($A958="","",IF(AND($M958&lt;&gt;"",$M958='Mapa do Galpão'!$C$20),COUNTIF($M$6:$M958,'Mapa do Galpão'!$C$20),""))</f>
        <v/>
      </c>
    </row>
    <row r="959" spans="2:20" ht="14.25" hidden="1" customHeight="1" x14ac:dyDescent="0.3">
      <c r="B959" s="101"/>
      <c r="C959" s="104"/>
      <c r="D959" s="45" t="str">
        <f t="shared" si="35"/>
        <v/>
      </c>
      <c r="E959" s="104"/>
      <c r="I959" s="46" t="str">
        <f>IF($A959="","",SUMIFS(Movimentações!$F$6:$F$4998,Movimentações!$C$6:$C$4998,A959,Movimentações!$M$6:$M$4998,M959))</f>
        <v/>
      </c>
      <c r="N959" s="43" t="str">
        <f t="shared" si="34"/>
        <v/>
      </c>
      <c r="P959" t="str">
        <f>IF(A959="","",IF(AND(K959&lt;&gt;"",L959&lt;&gt;""),IF(COUNTIFS($K$6:K959,K959,$L$6:L959,L959)=1,1,0),0))</f>
        <v/>
      </c>
      <c r="Q959" t="str">
        <f>IF(A959="","",IF(AND(K959&lt;&gt;"",M959&lt;&gt;""),IF(COUNTIFS($K$6:K959,K959,$M$6:M959,M959)=1,1,0),0))</f>
        <v/>
      </c>
      <c r="R959" t="str">
        <f>IF(A959="","",IF(M959&lt;&gt;"",IF(COUNTIF($M$6:M959,M959)=1,1,0),0))</f>
        <v/>
      </c>
      <c r="T959" t="str">
        <f>IF($A959="","",IF(AND($M959&lt;&gt;"",$M959='Mapa do Galpão'!$C$20),COUNTIF($M$6:$M959,'Mapa do Galpão'!$C$20),""))</f>
        <v/>
      </c>
    </row>
    <row r="960" spans="2:20" ht="14.25" hidden="1" customHeight="1" x14ac:dyDescent="0.3">
      <c r="B960" s="101"/>
      <c r="C960" s="104"/>
      <c r="D960" s="45" t="str">
        <f t="shared" si="35"/>
        <v/>
      </c>
      <c r="E960" s="104"/>
      <c r="I960" s="46" t="str">
        <f>IF($A960="","",SUMIFS(Movimentações!$F$6:$F$4998,Movimentações!$C$6:$C$4998,A960,Movimentações!$M$6:$M$4998,M960))</f>
        <v/>
      </c>
      <c r="N960" s="43" t="str">
        <f t="shared" si="34"/>
        <v/>
      </c>
      <c r="P960" t="str">
        <f>IF(A960="","",IF(AND(K960&lt;&gt;"",L960&lt;&gt;""),IF(COUNTIFS($K$6:K960,K960,$L$6:L960,L960)=1,1,0),0))</f>
        <v/>
      </c>
      <c r="Q960" t="str">
        <f>IF(A960="","",IF(AND(K960&lt;&gt;"",M960&lt;&gt;""),IF(COUNTIFS($K$6:K960,K960,$M$6:M960,M960)=1,1,0),0))</f>
        <v/>
      </c>
      <c r="R960" t="str">
        <f>IF(A960="","",IF(M960&lt;&gt;"",IF(COUNTIF($M$6:M960,M960)=1,1,0),0))</f>
        <v/>
      </c>
      <c r="T960" t="str">
        <f>IF($A960="","",IF(AND($M960&lt;&gt;"",$M960='Mapa do Galpão'!$C$20),COUNTIF($M$6:$M960,'Mapa do Galpão'!$C$20),""))</f>
        <v/>
      </c>
    </row>
    <row r="961" spans="1:20" ht="14.25" hidden="1" customHeight="1" x14ac:dyDescent="0.3">
      <c r="B961" s="101"/>
      <c r="C961" s="104"/>
      <c r="D961" s="45" t="str">
        <f t="shared" si="35"/>
        <v/>
      </c>
      <c r="E961" s="104"/>
      <c r="F961" s="90"/>
      <c r="I961" s="46" t="str">
        <f>IF($A961="","",SUMIFS(Movimentações!$F$6:$F$4998,Movimentações!$C$6:$C$4998,A961,Movimentações!$M$6:$M$4998,M961))</f>
        <v/>
      </c>
      <c r="N961" s="43" t="str">
        <f t="shared" si="34"/>
        <v/>
      </c>
      <c r="P961" t="str">
        <f>IF(A961="","",IF(AND(K961&lt;&gt;"",L961&lt;&gt;""),IF(COUNTIFS($K$6:K961,K961,$L$6:L961,L961)=1,1,0),0))</f>
        <v/>
      </c>
      <c r="Q961" t="str">
        <f>IF(A961="","",IF(AND(K961&lt;&gt;"",M961&lt;&gt;""),IF(COUNTIFS($K$6:K961,K961,$M$6:M961,M961)=1,1,0),0))</f>
        <v/>
      </c>
      <c r="R961" t="str">
        <f>IF(A961="","",IF(M961&lt;&gt;"",IF(COUNTIF($M$6:M961,M961)=1,1,0),0))</f>
        <v/>
      </c>
      <c r="T961" t="str">
        <f>IF($A961="","",IF(AND($M961&lt;&gt;"",$M961='Mapa do Galpão'!$C$20),COUNTIF($M$6:$M961,'Mapa do Galpão'!$C$20),""))</f>
        <v/>
      </c>
    </row>
    <row r="962" spans="1:20" ht="14.25" hidden="1" customHeight="1" x14ac:dyDescent="0.3">
      <c r="B962" s="101"/>
      <c r="C962" s="104"/>
      <c r="D962" s="45" t="str">
        <f t="shared" si="35"/>
        <v/>
      </c>
      <c r="E962" s="104"/>
      <c r="F962" s="90"/>
      <c r="I962" s="46" t="str">
        <f>IF($A962="","",SUMIFS(Movimentações!$F$6:$F$4998,Movimentações!$C$6:$C$4998,A962,Movimentações!$M$6:$M$4998,M962))</f>
        <v/>
      </c>
      <c r="N962" s="43" t="str">
        <f t="shared" si="34"/>
        <v/>
      </c>
      <c r="P962" t="str">
        <f>IF(A962="","",IF(AND(K962&lt;&gt;"",L962&lt;&gt;""),IF(COUNTIFS($K$6:K962,K962,$L$6:L962,L962)=1,1,0),0))</f>
        <v/>
      </c>
      <c r="Q962" t="str">
        <f>IF(A962="","",IF(AND(K962&lt;&gt;"",M962&lt;&gt;""),IF(COUNTIFS($K$6:K962,K962,$M$6:M962,M962)=1,1,0),0))</f>
        <v/>
      </c>
      <c r="R962" t="str">
        <f>IF(A962="","",IF(M962&lt;&gt;"",IF(COUNTIF($M$6:M962,M962)=1,1,0),0))</f>
        <v/>
      </c>
      <c r="T962" t="str">
        <f>IF($A962="","",IF(AND($M962&lt;&gt;"",$M962='Mapa do Galpão'!$C$20),COUNTIF($M$6:$M962,'Mapa do Galpão'!$C$20),""))</f>
        <v/>
      </c>
    </row>
    <row r="963" spans="1:20" ht="14.25" hidden="1" customHeight="1" x14ac:dyDescent="0.3">
      <c r="B963" s="101"/>
      <c r="C963" s="104"/>
      <c r="D963" s="45" t="str">
        <f t="shared" si="35"/>
        <v/>
      </c>
      <c r="E963" s="104"/>
      <c r="F963" s="90"/>
      <c r="I963" s="46" t="str">
        <f>IF($A963="","",SUMIFS(Movimentações!$F$6:$F$4998,Movimentações!$C$6:$C$4998,A963,Movimentações!$M$6:$M$4998,M963))</f>
        <v/>
      </c>
      <c r="N963" s="43" t="str">
        <f t="shared" si="34"/>
        <v/>
      </c>
      <c r="P963" t="str">
        <f>IF(A963="","",IF(AND(K963&lt;&gt;"",L963&lt;&gt;""),IF(COUNTIFS($K$6:K963,K963,$L$6:L963,L963)=1,1,0),0))</f>
        <v/>
      </c>
      <c r="Q963" t="str">
        <f>IF(A963="","",IF(AND(K963&lt;&gt;"",M963&lt;&gt;""),IF(COUNTIFS($K$6:K963,K963,$M$6:M963,M963)=1,1,0),0))</f>
        <v/>
      </c>
      <c r="R963" t="str">
        <f>IF(A963="","",IF(M963&lt;&gt;"",IF(COUNTIF($M$6:M963,M963)=1,1,0),0))</f>
        <v/>
      </c>
      <c r="T963" t="str">
        <f>IF($A963="","",IF(AND($M963&lt;&gt;"",$M963='Mapa do Galpão'!$C$20),COUNTIF($M$6:$M963,'Mapa do Galpão'!$C$20),""))</f>
        <v/>
      </c>
    </row>
    <row r="964" spans="1:20" ht="14.25" hidden="1" customHeight="1" x14ac:dyDescent="0.3">
      <c r="C964" s="104"/>
      <c r="D964" s="45" t="str">
        <f t="shared" si="35"/>
        <v/>
      </c>
      <c r="E964" s="104"/>
      <c r="I964" s="46" t="str">
        <f>IF($A964="","",SUMIFS(Movimentações!$F$6:$F$4998,Movimentações!$C$6:$C$4998,A964,Movimentações!$M$6:$M$4998,M964))</f>
        <v/>
      </c>
      <c r="N964" s="43" t="str">
        <f t="shared" si="34"/>
        <v/>
      </c>
      <c r="P964" t="str">
        <f>IF(A964="","",IF(AND(K964&lt;&gt;"",L964&lt;&gt;""),IF(COUNTIFS($K$6:K964,K964,$L$6:L964,L964)=1,1,0),0))</f>
        <v/>
      </c>
      <c r="Q964" t="str">
        <f>IF(A964="","",IF(AND(K964&lt;&gt;"",M964&lt;&gt;""),IF(COUNTIFS($K$6:K964,K964,$M$6:M964,M964)=1,1,0),0))</f>
        <v/>
      </c>
      <c r="R964" t="str">
        <f>IF(A964="","",IF(M964&lt;&gt;"",IF(COUNTIF($M$6:M964,M964)=1,1,0),0))</f>
        <v/>
      </c>
      <c r="T964" t="str">
        <f>IF($A964="","",IF(AND($M964&lt;&gt;"",$M964='Mapa do Galpão'!$C$20),COUNTIF($M$6:$M964,'Mapa do Galpão'!$C$20),""))</f>
        <v/>
      </c>
    </row>
    <row r="965" spans="1:20" ht="14.25" hidden="1" customHeight="1" x14ac:dyDescent="0.3">
      <c r="A965" s="43"/>
      <c r="B965" s="55"/>
      <c r="C965" s="68"/>
      <c r="D965" s="45" t="str">
        <f t="shared" si="35"/>
        <v/>
      </c>
      <c r="E965" s="68"/>
      <c r="F965" s="57"/>
      <c r="G965" s="43"/>
      <c r="H965" s="43"/>
      <c r="I965" s="46" t="str">
        <f>IF($A965="","",SUMIFS(Movimentações!$F$6:$F$4998,Movimentações!$C$6:$C$4998,A965,Movimentações!$M$6:$M$4998,M965))</f>
        <v/>
      </c>
      <c r="N965" s="43" t="str">
        <f t="shared" si="34"/>
        <v/>
      </c>
      <c r="P965" t="str">
        <f>IF(A965="","",IF(AND(K965&lt;&gt;"",L965&lt;&gt;""),IF(COUNTIFS($K$6:K965,K965,$L$6:L965,L965)=1,1,0),0))</f>
        <v/>
      </c>
      <c r="Q965" t="str">
        <f>IF(A965="","",IF(AND(K965&lt;&gt;"",M965&lt;&gt;""),IF(COUNTIFS($K$6:K965,K965,$M$6:M965,M965)=1,1,0),0))</f>
        <v/>
      </c>
      <c r="R965" t="str">
        <f>IF(A965="","",IF(M965&lt;&gt;"",IF(COUNTIF($M$6:M965,M965)=1,1,0),0))</f>
        <v/>
      </c>
      <c r="T965" t="str">
        <f>IF($A965="","",IF(AND($M965&lt;&gt;"",$M965='Mapa do Galpão'!$C$20),COUNTIF($M$6:$M965,'Mapa do Galpão'!$C$20),""))</f>
        <v/>
      </c>
    </row>
    <row r="966" spans="1:20" ht="14.25" hidden="1" customHeight="1" x14ac:dyDescent="0.3">
      <c r="C966" s="49"/>
      <c r="D966" s="45" t="str">
        <f t="shared" si="35"/>
        <v/>
      </c>
      <c r="E966" s="49"/>
      <c r="I966" s="46" t="str">
        <f>IF($A966="","",SUMIFS(Movimentações!$F$6:$F$4998,Movimentações!$C$6:$C$4998,A966,Movimentações!$M$6:$M$4998,M966))</f>
        <v/>
      </c>
      <c r="N966" s="43" t="str">
        <f t="shared" si="34"/>
        <v/>
      </c>
      <c r="P966" t="str">
        <f>IF(A966="","",IF(AND(K966&lt;&gt;"",L966&lt;&gt;""),IF(COUNTIFS($K$6:K966,K966,$L$6:L966,L966)=1,1,0),0))</f>
        <v/>
      </c>
      <c r="Q966" t="str">
        <f>IF(A966="","",IF(AND(K966&lt;&gt;"",M966&lt;&gt;""),IF(COUNTIFS($K$6:K966,K966,$M$6:M966,M966)=1,1,0),0))</f>
        <v/>
      </c>
      <c r="R966" t="str">
        <f>IF(A966="","",IF(M966&lt;&gt;"",IF(COUNTIF($M$6:M966,M966)=1,1,0),0))</f>
        <v/>
      </c>
      <c r="T966" t="str">
        <f>IF($A966="","",IF(AND($M966&lt;&gt;"",$M966='Mapa do Galpão'!$C$20),COUNTIF($M$6:$M966,'Mapa do Galpão'!$C$20),""))</f>
        <v/>
      </c>
    </row>
    <row r="967" spans="1:20" ht="14.25" hidden="1" customHeight="1" x14ac:dyDescent="0.3">
      <c r="C967" s="49"/>
      <c r="D967" s="45" t="str">
        <f t="shared" si="35"/>
        <v/>
      </c>
      <c r="E967" s="49"/>
      <c r="I967" s="46" t="str">
        <f>IF($A967="","",SUMIFS(Movimentações!$F$6:$F$4998,Movimentações!$C$6:$C$4998,A967,Movimentações!$M$6:$M$4998,M967))</f>
        <v/>
      </c>
      <c r="N967" s="43" t="str">
        <f t="shared" si="34"/>
        <v/>
      </c>
      <c r="P967" t="str">
        <f>IF(A967="","",IF(AND(K967&lt;&gt;"",L967&lt;&gt;""),IF(COUNTIFS($K$6:K967,K967,$L$6:L967,L967)=1,1,0),0))</f>
        <v/>
      </c>
      <c r="Q967" t="str">
        <f>IF(A967="","",IF(AND(K967&lt;&gt;"",M967&lt;&gt;""),IF(COUNTIFS($K$6:K967,K967,$M$6:M967,M967)=1,1,0),0))</f>
        <v/>
      </c>
      <c r="R967" t="str">
        <f>IF(A967="","",IF(M967&lt;&gt;"",IF(COUNTIF($M$6:M967,M967)=1,1,0),0))</f>
        <v/>
      </c>
      <c r="T967" t="str">
        <f>IF($A967="","",IF(AND($M967&lt;&gt;"",$M967='Mapa do Galpão'!$C$20),COUNTIF($M$6:$M967,'Mapa do Galpão'!$C$20),""))</f>
        <v/>
      </c>
    </row>
    <row r="968" spans="1:20" ht="14.25" hidden="1" customHeight="1" x14ac:dyDescent="0.3">
      <c r="C968" s="49"/>
      <c r="D968" s="45" t="str">
        <f t="shared" si="35"/>
        <v/>
      </c>
      <c r="E968" s="108"/>
      <c r="I968" s="46" t="str">
        <f>IF($A968="","",SUMIFS(Movimentações!$F$6:$F$4998,Movimentações!$C$6:$C$4998,A968,Movimentações!$M$6:$M$4998,M968))</f>
        <v/>
      </c>
      <c r="N968" s="43" t="str">
        <f t="shared" si="34"/>
        <v/>
      </c>
      <c r="P968" t="str">
        <f>IF(A968="","",IF(AND(K968&lt;&gt;"",L968&lt;&gt;""),IF(COUNTIFS($K$6:K968,K968,$L$6:L968,L968)=1,1,0),0))</f>
        <v/>
      </c>
      <c r="Q968" t="str">
        <f>IF(A968="","",IF(AND(K968&lt;&gt;"",M968&lt;&gt;""),IF(COUNTIFS($K$6:K968,K968,$M$6:M968,M968)=1,1,0),0))</f>
        <v/>
      </c>
      <c r="R968" t="str">
        <f>IF(A968="","",IF(M968&lt;&gt;"",IF(COUNTIF($M$6:M968,M968)=1,1,0),0))</f>
        <v/>
      </c>
      <c r="T968" t="str">
        <f>IF($A968="","",IF(AND($M968&lt;&gt;"",$M968='Mapa do Galpão'!$C$20),COUNTIF($M$6:$M968,'Mapa do Galpão'!$C$20),""))</f>
        <v/>
      </c>
    </row>
    <row r="969" spans="1:20" ht="14.25" hidden="1" customHeight="1" x14ac:dyDescent="0.3">
      <c r="D969" s="45" t="str">
        <f t="shared" si="35"/>
        <v/>
      </c>
      <c r="I969" s="46" t="str">
        <f>IF($A969="","",SUMIFS(Movimentações!$F$6:$F$4998,Movimentações!$C$6:$C$4998,A969,Movimentações!$M$6:$M$4998,M969))</f>
        <v/>
      </c>
      <c r="N969" s="43" t="str">
        <f t="shared" si="34"/>
        <v/>
      </c>
      <c r="P969" t="str">
        <f>IF(A969="","",IF(AND(K969&lt;&gt;"",L969&lt;&gt;""),IF(COUNTIFS($K$6:K969,K969,$L$6:L969,L969)=1,1,0),0))</f>
        <v/>
      </c>
      <c r="Q969" t="str">
        <f>IF(A969="","",IF(AND(K969&lt;&gt;"",M969&lt;&gt;""),IF(COUNTIFS($K$6:K969,K969,$M$6:M969,M969)=1,1,0),0))</f>
        <v/>
      </c>
      <c r="R969" t="str">
        <f>IF(A969="","",IF(M969&lt;&gt;"",IF(COUNTIF($M$6:M969,M969)=1,1,0),0))</f>
        <v/>
      </c>
      <c r="T969" t="str">
        <f>IF($A969="","",IF(AND($M969&lt;&gt;"",$M969='Mapa do Galpão'!$C$20),COUNTIF($M$6:$M969,'Mapa do Galpão'!$C$20),""))</f>
        <v/>
      </c>
    </row>
    <row r="970" spans="1:20" ht="14.25" hidden="1" customHeight="1" x14ac:dyDescent="0.3">
      <c r="D970" s="45" t="str">
        <f t="shared" si="35"/>
        <v/>
      </c>
      <c r="I970" s="46" t="str">
        <f>IF($A970="","",SUMIFS(Movimentações!$F$6:$F$4998,Movimentações!$C$6:$C$4998,A970,Movimentações!$M$6:$M$4998,M970))</f>
        <v/>
      </c>
      <c r="N970" s="43" t="str">
        <f t="shared" ref="N970:N997" si="36">IF($A970="","",IF(AND(K970="",L970="",M970=""),"⚠ sem endereço","Rua "&amp;K970&amp;IF(L970="",""," · Prat "&amp;L970)&amp;IF(M970="",""," · "&amp;M970)))</f>
        <v/>
      </c>
      <c r="P970" t="str">
        <f>IF(A970="","",IF(AND(K970&lt;&gt;"",L970&lt;&gt;""),IF(COUNTIFS($K$6:K970,K970,$L$6:L970,L970)=1,1,0),0))</f>
        <v/>
      </c>
      <c r="Q970" t="str">
        <f>IF(A970="","",IF(AND(K970&lt;&gt;"",M970&lt;&gt;""),IF(COUNTIFS($K$6:K970,K970,$M$6:M970,M970)=1,1,0),0))</f>
        <v/>
      </c>
      <c r="R970" t="str">
        <f>IF(A970="","",IF(M970&lt;&gt;"",IF(COUNTIF($M$6:M970,M970)=1,1,0),0))</f>
        <v/>
      </c>
      <c r="T970" t="str">
        <f>IF($A970="","",IF(AND($M970&lt;&gt;"",$M970='Mapa do Galpão'!$C$20),COUNTIF($M$6:$M970,'Mapa do Galpão'!$C$20),""))</f>
        <v/>
      </c>
    </row>
    <row r="971" spans="1:20" ht="14.25" hidden="1" customHeight="1" x14ac:dyDescent="0.3">
      <c r="D971" s="45" t="str">
        <f t="shared" si="35"/>
        <v/>
      </c>
      <c r="I971" s="46" t="str">
        <f>IF($A971="","",SUMIFS(Movimentações!$F$6:$F$4998,Movimentações!$C$6:$C$4998,A971,Movimentações!$M$6:$M$4998,M971))</f>
        <v/>
      </c>
      <c r="N971" s="43" t="str">
        <f t="shared" si="36"/>
        <v/>
      </c>
      <c r="P971" t="str">
        <f>IF(A971="","",IF(AND(K971&lt;&gt;"",L971&lt;&gt;""),IF(COUNTIFS($K$6:K971,K971,$L$6:L971,L971)=1,1,0),0))</f>
        <v/>
      </c>
      <c r="Q971" t="str">
        <f>IF(A971="","",IF(AND(K971&lt;&gt;"",M971&lt;&gt;""),IF(COUNTIFS($K$6:K971,K971,$M$6:M971,M971)=1,1,0),0))</f>
        <v/>
      </c>
      <c r="R971" t="str">
        <f>IF(A971="","",IF(M971&lt;&gt;"",IF(COUNTIF($M$6:M971,M971)=1,1,0),0))</f>
        <v/>
      </c>
      <c r="T971" t="str">
        <f>IF($A971="","",IF(AND($M971&lt;&gt;"",$M971='Mapa do Galpão'!$C$20),COUNTIF($M$6:$M971,'Mapa do Galpão'!$C$20),""))</f>
        <v/>
      </c>
    </row>
    <row r="972" spans="1:20" ht="14.25" hidden="1" customHeight="1" x14ac:dyDescent="0.3">
      <c r="D972" s="45" t="str">
        <f t="shared" si="35"/>
        <v/>
      </c>
      <c r="I972" s="46" t="str">
        <f>IF($A972="","",SUMIFS(Movimentações!$F$6:$F$4998,Movimentações!$C$6:$C$4998,A972,Movimentações!$M$6:$M$4998,M972))</f>
        <v/>
      </c>
      <c r="N972" s="43" t="str">
        <f t="shared" si="36"/>
        <v/>
      </c>
      <c r="P972" t="str">
        <f>IF(A972="","",IF(AND(K972&lt;&gt;"",L972&lt;&gt;""),IF(COUNTIFS($K$6:K972,K972,$L$6:L972,L972)=1,1,0),0))</f>
        <v/>
      </c>
      <c r="Q972" t="str">
        <f>IF(A972="","",IF(AND(K972&lt;&gt;"",M972&lt;&gt;""),IF(COUNTIFS($K$6:K972,K972,$M$6:M972,M972)=1,1,0),0))</f>
        <v/>
      </c>
      <c r="R972" t="str">
        <f>IF(A972="","",IF(M972&lt;&gt;"",IF(COUNTIF($M$6:M972,M972)=1,1,0),0))</f>
        <v/>
      </c>
      <c r="T972" t="str">
        <f>IF($A972="","",IF(AND($M972&lt;&gt;"",$M972='Mapa do Galpão'!$C$20),COUNTIF($M$6:$M972,'Mapa do Galpão'!$C$20),""))</f>
        <v/>
      </c>
    </row>
    <row r="973" spans="1:20" ht="14.25" hidden="1" customHeight="1" x14ac:dyDescent="0.3">
      <c r="D973" s="45" t="str">
        <f t="shared" si="35"/>
        <v/>
      </c>
      <c r="I973" s="46" t="str">
        <f>IF($A973="","",SUMIFS(Movimentações!$F$6:$F$4998,Movimentações!$C$6:$C$4998,A973,Movimentações!$M$6:$M$4998,M973))</f>
        <v/>
      </c>
      <c r="N973" s="43" t="str">
        <f t="shared" si="36"/>
        <v/>
      </c>
      <c r="P973" t="str">
        <f>IF(A973="","",IF(AND(K973&lt;&gt;"",L973&lt;&gt;""),IF(COUNTIFS($K$6:K973,K973,$L$6:L973,L973)=1,1,0),0))</f>
        <v/>
      </c>
      <c r="Q973" t="str">
        <f>IF(A973="","",IF(AND(K973&lt;&gt;"",M973&lt;&gt;""),IF(COUNTIFS($K$6:K973,K973,$M$6:M973,M973)=1,1,0),0))</f>
        <v/>
      </c>
      <c r="R973" t="str">
        <f>IF(A973="","",IF(M973&lt;&gt;"",IF(COUNTIF($M$6:M973,M973)=1,1,0),0))</f>
        <v/>
      </c>
      <c r="T973" t="str">
        <f>IF($A973="","",IF(AND($M973&lt;&gt;"",$M973='Mapa do Galpão'!$C$20),COUNTIF($M$6:$M973,'Mapa do Galpão'!$C$20),""))</f>
        <v/>
      </c>
    </row>
    <row r="974" spans="1:20" ht="14.25" hidden="1" customHeight="1" x14ac:dyDescent="0.3">
      <c r="D974" s="45" t="str">
        <f t="shared" si="35"/>
        <v/>
      </c>
      <c r="I974" s="46" t="str">
        <f>IF($A974="","",SUMIFS(Movimentações!$F$6:$F$4998,Movimentações!$C$6:$C$4998,A974,Movimentações!$M$6:$M$4998,M974))</f>
        <v/>
      </c>
      <c r="N974" s="43" t="str">
        <f t="shared" si="36"/>
        <v/>
      </c>
      <c r="P974" t="str">
        <f>IF(A974="","",IF(AND(K974&lt;&gt;"",L974&lt;&gt;""),IF(COUNTIFS($K$6:K974,K974,$L$6:L974,L974)=1,1,0),0))</f>
        <v/>
      </c>
      <c r="Q974" t="str">
        <f>IF(A974="","",IF(AND(K974&lt;&gt;"",M974&lt;&gt;""),IF(COUNTIFS($K$6:K974,K974,$M$6:M974,M974)=1,1,0),0))</f>
        <v/>
      </c>
      <c r="R974" t="str">
        <f>IF(A974="","",IF(M974&lt;&gt;"",IF(COUNTIF($M$6:M974,M974)=1,1,0),0))</f>
        <v/>
      </c>
      <c r="T974" t="str">
        <f>IF($A974="","",IF(AND($M974&lt;&gt;"",$M974='Mapa do Galpão'!$C$20),COUNTIF($M$6:$M974,'Mapa do Galpão'!$C$20),""))</f>
        <v/>
      </c>
    </row>
    <row r="975" spans="1:20" ht="14.25" hidden="1" customHeight="1" x14ac:dyDescent="0.3">
      <c r="D975" s="45" t="str">
        <f t="shared" si="35"/>
        <v/>
      </c>
      <c r="I975" s="46" t="str">
        <f>IF($A975="","",SUMIFS(Movimentações!$F$6:$F$4998,Movimentações!$C$6:$C$4998,A975,Movimentações!$M$6:$M$4998,M975))</f>
        <v/>
      </c>
      <c r="N975" s="43" t="str">
        <f t="shared" si="36"/>
        <v/>
      </c>
      <c r="P975" t="str">
        <f>IF(A975="","",IF(AND(K975&lt;&gt;"",L975&lt;&gt;""),IF(COUNTIFS($K$6:K975,K975,$L$6:L975,L975)=1,1,0),0))</f>
        <v/>
      </c>
      <c r="Q975" t="str">
        <f>IF(A975="","",IF(AND(K975&lt;&gt;"",M975&lt;&gt;""),IF(COUNTIFS($K$6:K975,K975,$M$6:M975,M975)=1,1,0),0))</f>
        <v/>
      </c>
      <c r="R975" t="str">
        <f>IF(A975="","",IF(M975&lt;&gt;"",IF(COUNTIF($M$6:M975,M975)=1,1,0),0))</f>
        <v/>
      </c>
      <c r="T975" t="str">
        <f>IF($A975="","",IF(AND($M975&lt;&gt;"",$M975='Mapa do Galpão'!$C$20),COUNTIF($M$6:$M975,'Mapa do Galpão'!$C$20),""))</f>
        <v/>
      </c>
    </row>
    <row r="976" spans="1:20" ht="14.25" hidden="1" customHeight="1" x14ac:dyDescent="0.3">
      <c r="D976" s="45" t="str">
        <f t="shared" si="35"/>
        <v/>
      </c>
      <c r="I976" s="46" t="str">
        <f>IF($A976="","",SUMIFS(Movimentações!$F$6:$F$4998,Movimentações!$C$6:$C$4998,A976,Movimentações!$M$6:$M$4998,M976))</f>
        <v/>
      </c>
      <c r="N976" s="43" t="str">
        <f t="shared" si="36"/>
        <v/>
      </c>
      <c r="P976" t="str">
        <f>IF(A976="","",IF(AND(K976&lt;&gt;"",L976&lt;&gt;""),IF(COUNTIFS($K$6:K976,K976,$L$6:L976,L976)=1,1,0),0))</f>
        <v/>
      </c>
      <c r="Q976" t="str">
        <f>IF(A976="","",IF(AND(K976&lt;&gt;"",M976&lt;&gt;""),IF(COUNTIFS($K$6:K976,K976,$M$6:M976,M976)=1,1,0),0))</f>
        <v/>
      </c>
      <c r="R976" t="str">
        <f>IF(A976="","",IF(M976&lt;&gt;"",IF(COUNTIF($M$6:M976,M976)=1,1,0),0))</f>
        <v/>
      </c>
      <c r="T976" t="str">
        <f>IF($A976="","",IF(AND($M976&lt;&gt;"",$M976='Mapa do Galpão'!$C$20),COUNTIF($M$6:$M976,'Mapa do Galpão'!$C$20),""))</f>
        <v/>
      </c>
    </row>
    <row r="977" spans="4:20" ht="14.25" hidden="1" customHeight="1" x14ac:dyDescent="0.3">
      <c r="D977" s="45" t="str">
        <f t="shared" si="35"/>
        <v/>
      </c>
      <c r="I977" s="46" t="str">
        <f>IF($A977="","",SUMIFS(Movimentações!$F$6:$F$4998,Movimentações!$C$6:$C$4998,A977,Movimentações!$M$6:$M$4998,M977))</f>
        <v/>
      </c>
      <c r="N977" s="43" t="str">
        <f t="shared" si="36"/>
        <v/>
      </c>
      <c r="P977" t="str">
        <f>IF(A977="","",IF(AND(K977&lt;&gt;"",L977&lt;&gt;""),IF(COUNTIFS($K$6:K977,K977,$L$6:L977,L977)=1,1,0),0))</f>
        <v/>
      </c>
      <c r="Q977" t="str">
        <f>IF(A977="","",IF(AND(K977&lt;&gt;"",M977&lt;&gt;""),IF(COUNTIFS($K$6:K977,K977,$M$6:M977,M977)=1,1,0),0))</f>
        <v/>
      </c>
      <c r="R977" t="str">
        <f>IF(A977="","",IF(M977&lt;&gt;"",IF(COUNTIF($M$6:M977,M977)=1,1,0),0))</f>
        <v/>
      </c>
      <c r="T977" t="str">
        <f>IF($A977="","",IF(AND($M977&lt;&gt;"",$M977='Mapa do Galpão'!$C$20),COUNTIF($M$6:$M977,'Mapa do Galpão'!$C$20),""))</f>
        <v/>
      </c>
    </row>
    <row r="978" spans="4:20" ht="14.25" hidden="1" customHeight="1" x14ac:dyDescent="0.3">
      <c r="D978" s="45" t="str">
        <f t="shared" si="35"/>
        <v/>
      </c>
      <c r="I978" s="46" t="str">
        <f>IF($A978="","",SUMIFS(Movimentações!$F$6:$F$4998,Movimentações!$C$6:$C$4998,A978,Movimentações!$M$6:$M$4998,M978))</f>
        <v/>
      </c>
      <c r="N978" s="43" t="str">
        <f t="shared" si="36"/>
        <v/>
      </c>
      <c r="P978" t="str">
        <f>IF(A978="","",IF(AND(K978&lt;&gt;"",L978&lt;&gt;""),IF(COUNTIFS($K$6:K978,K978,$L$6:L978,L978)=1,1,0),0))</f>
        <v/>
      </c>
      <c r="Q978" t="str">
        <f>IF(A978="","",IF(AND(K978&lt;&gt;"",M978&lt;&gt;""),IF(COUNTIFS($K$6:K978,K978,$M$6:M978,M978)=1,1,0),0))</f>
        <v/>
      </c>
      <c r="R978" t="str">
        <f>IF(A978="","",IF(M978&lt;&gt;"",IF(COUNTIF($M$6:M978,M978)=1,1,0),0))</f>
        <v/>
      </c>
      <c r="T978" t="str">
        <f>IF($A978="","",IF(AND($M978&lt;&gt;"",$M978='Mapa do Galpão'!$C$20),COUNTIF($M$6:$M978,'Mapa do Galpão'!$C$20),""))</f>
        <v/>
      </c>
    </row>
    <row r="979" spans="4:20" ht="14.25" hidden="1" customHeight="1" x14ac:dyDescent="0.3">
      <c r="D979" s="45" t="str">
        <f t="shared" si="35"/>
        <v/>
      </c>
      <c r="I979" s="46" t="str">
        <f>IF($A979="","",SUMIFS(Movimentações!$F$6:$F$4998,Movimentações!$C$6:$C$4998,A979,Movimentações!$M$6:$M$4998,M979))</f>
        <v/>
      </c>
      <c r="N979" s="43" t="str">
        <f t="shared" si="36"/>
        <v/>
      </c>
      <c r="P979" t="str">
        <f>IF(A979="","",IF(AND(K979&lt;&gt;"",L979&lt;&gt;""),IF(COUNTIFS($K$6:K979,K979,$L$6:L979,L979)=1,1,0),0))</f>
        <v/>
      </c>
      <c r="Q979" t="str">
        <f>IF(A979="","",IF(AND(K979&lt;&gt;"",M979&lt;&gt;""),IF(COUNTIFS($K$6:K979,K979,$M$6:M979,M979)=1,1,0),0))</f>
        <v/>
      </c>
      <c r="R979" t="str">
        <f>IF(A979="","",IF(M979&lt;&gt;"",IF(COUNTIF($M$6:M979,M979)=1,1,0),0))</f>
        <v/>
      </c>
      <c r="T979" t="str">
        <f>IF($A979="","",IF(AND($M979&lt;&gt;"",$M979='Mapa do Galpão'!$C$20),COUNTIF($M$6:$M979,'Mapa do Galpão'!$C$20),""))</f>
        <v/>
      </c>
    </row>
    <row r="980" spans="4:20" ht="14.25" hidden="1" customHeight="1" x14ac:dyDescent="0.3">
      <c r="D980" s="45" t="str">
        <f t="shared" si="35"/>
        <v/>
      </c>
      <c r="I980" s="46" t="str">
        <f>IF($A980="","",SUMIFS(Movimentações!$F$6:$F$4998,Movimentações!$C$6:$C$4998,A980,Movimentações!$M$6:$M$4998,M980))</f>
        <v/>
      </c>
      <c r="N980" s="43" t="str">
        <f t="shared" si="36"/>
        <v/>
      </c>
      <c r="P980" t="str">
        <f>IF(A980="","",IF(AND(K980&lt;&gt;"",L980&lt;&gt;""),IF(COUNTIFS($K$6:K980,K980,$L$6:L980,L980)=1,1,0),0))</f>
        <v/>
      </c>
      <c r="Q980" t="str">
        <f>IF(A980="","",IF(AND(K980&lt;&gt;"",M980&lt;&gt;""),IF(COUNTIFS($K$6:K980,K980,$M$6:M980,M980)=1,1,0),0))</f>
        <v/>
      </c>
      <c r="R980" t="str">
        <f>IF(A980="","",IF(M980&lt;&gt;"",IF(COUNTIF($M$6:M980,M980)=1,1,0),0))</f>
        <v/>
      </c>
      <c r="T980" t="str">
        <f>IF($A980="","",IF(AND($M980&lt;&gt;"",$M980='Mapa do Galpão'!$C$20),COUNTIF($M$6:$M980,'Mapa do Galpão'!$C$20),""))</f>
        <v/>
      </c>
    </row>
    <row r="981" spans="4:20" ht="14.25" hidden="1" customHeight="1" x14ac:dyDescent="0.3">
      <c r="D981" s="45" t="str">
        <f t="shared" si="35"/>
        <v/>
      </c>
      <c r="I981" s="46" t="str">
        <f>IF($A981="","",SUMIFS(Movimentações!$F$6:$F$4998,Movimentações!$C$6:$C$4998,A981,Movimentações!$M$6:$M$4998,M981))</f>
        <v/>
      </c>
      <c r="N981" s="43" t="str">
        <f t="shared" si="36"/>
        <v/>
      </c>
      <c r="P981" t="str">
        <f>IF(A981="","",IF(AND(K981&lt;&gt;"",L981&lt;&gt;""),IF(COUNTIFS($K$6:K981,K981,$L$6:L981,L981)=1,1,0),0))</f>
        <v/>
      </c>
      <c r="Q981" t="str">
        <f>IF(A981="","",IF(AND(K981&lt;&gt;"",M981&lt;&gt;""),IF(COUNTIFS($K$6:K981,K981,$M$6:M981,M981)=1,1,0),0))</f>
        <v/>
      </c>
      <c r="R981" t="str">
        <f>IF(A981="","",IF(M981&lt;&gt;"",IF(COUNTIF($M$6:M981,M981)=1,1,0),0))</f>
        <v/>
      </c>
      <c r="T981" t="str">
        <f>IF($A981="","",IF(AND($M981&lt;&gt;"",$M981='Mapa do Galpão'!$C$20),COUNTIF($M$6:$M981,'Mapa do Galpão'!$C$20),""))</f>
        <v/>
      </c>
    </row>
    <row r="982" spans="4:20" ht="14.25" hidden="1" customHeight="1" x14ac:dyDescent="0.3">
      <c r="D982" s="45" t="str">
        <f t="shared" si="35"/>
        <v/>
      </c>
      <c r="I982" s="46" t="str">
        <f>IF($A982="","",SUMIFS(Movimentações!$F$6:$F$4998,Movimentações!$C$6:$C$4998,A982,Movimentações!$M$6:$M$4998,M982))</f>
        <v/>
      </c>
      <c r="N982" s="43" t="str">
        <f t="shared" si="36"/>
        <v/>
      </c>
      <c r="P982" t="str">
        <f>IF(A982="","",IF(AND(K982&lt;&gt;"",L982&lt;&gt;""),IF(COUNTIFS($K$6:K982,K982,$L$6:L982,L982)=1,1,0),0))</f>
        <v/>
      </c>
      <c r="Q982" t="str">
        <f>IF(A982="","",IF(AND(K982&lt;&gt;"",M982&lt;&gt;""),IF(COUNTIFS($K$6:K982,K982,$M$6:M982,M982)=1,1,0),0))</f>
        <v/>
      </c>
      <c r="R982" t="str">
        <f>IF(A982="","",IF(M982&lt;&gt;"",IF(COUNTIF($M$6:M982,M982)=1,1,0),0))</f>
        <v/>
      </c>
      <c r="T982" t="str">
        <f>IF($A982="","",IF(AND($M982&lt;&gt;"",$M982='Mapa do Galpão'!$C$20),COUNTIF($M$6:$M982,'Mapa do Galpão'!$C$20),""))</f>
        <v/>
      </c>
    </row>
    <row r="983" spans="4:20" ht="14.25" hidden="1" customHeight="1" x14ac:dyDescent="0.3">
      <c r="D983" s="45" t="str">
        <f t="shared" si="35"/>
        <v/>
      </c>
      <c r="I983" s="46" t="str">
        <f>IF($A983="","",SUMIFS(Movimentações!$F$6:$F$4998,Movimentações!$C$6:$C$4998,A983,Movimentações!$M$6:$M$4998,M983))</f>
        <v/>
      </c>
      <c r="N983" s="43" t="str">
        <f t="shared" si="36"/>
        <v/>
      </c>
      <c r="P983" t="str">
        <f>IF(A983="","",IF(AND(K983&lt;&gt;"",L983&lt;&gt;""),IF(COUNTIFS($K$6:K983,K983,$L$6:L983,L983)=1,1,0),0))</f>
        <v/>
      </c>
      <c r="Q983" t="str">
        <f>IF(A983="","",IF(AND(K983&lt;&gt;"",M983&lt;&gt;""),IF(COUNTIFS($K$6:K983,K983,$M$6:M983,M983)=1,1,0),0))</f>
        <v/>
      </c>
      <c r="R983" t="str">
        <f>IF(A983="","",IF(M983&lt;&gt;"",IF(COUNTIF($M$6:M983,M983)=1,1,0),0))</f>
        <v/>
      </c>
      <c r="T983" t="str">
        <f>IF($A983="","",IF(AND($M983&lt;&gt;"",$M983='Mapa do Galpão'!$C$20),COUNTIF($M$6:$M983,'Mapa do Galpão'!$C$20),""))</f>
        <v/>
      </c>
    </row>
    <row r="984" spans="4:20" ht="14.25" hidden="1" customHeight="1" x14ac:dyDescent="0.3">
      <c r="D984" s="45" t="str">
        <f t="shared" si="35"/>
        <v/>
      </c>
      <c r="I984" s="46" t="str">
        <f>IF($A984="","",SUMIFS(Movimentações!$F$6:$F$4998,Movimentações!$C$6:$C$4998,A984,Movimentações!$M$6:$M$4998,M984))</f>
        <v/>
      </c>
      <c r="N984" s="43" t="str">
        <f t="shared" si="36"/>
        <v/>
      </c>
      <c r="P984" t="str">
        <f>IF(A984="","",IF(AND(K984&lt;&gt;"",L984&lt;&gt;""),IF(COUNTIFS($K$6:K984,K984,$L$6:L984,L984)=1,1,0),0))</f>
        <v/>
      </c>
      <c r="Q984" t="str">
        <f>IF(A984="","",IF(AND(K984&lt;&gt;"",M984&lt;&gt;""),IF(COUNTIFS($K$6:K984,K984,$M$6:M984,M984)=1,1,0),0))</f>
        <v/>
      </c>
      <c r="R984" t="str">
        <f>IF(A984="","",IF(M984&lt;&gt;"",IF(COUNTIF($M$6:M984,M984)=1,1,0),0))</f>
        <v/>
      </c>
      <c r="T984" t="str">
        <f>IF($A984="","",IF(AND($M984&lt;&gt;"",$M984='Mapa do Galpão'!$C$20),COUNTIF($M$6:$M984,'Mapa do Galpão'!$C$20),""))</f>
        <v/>
      </c>
    </row>
    <row r="985" spans="4:20" ht="14.25" hidden="1" customHeight="1" x14ac:dyDescent="0.3">
      <c r="D985" s="45" t="str">
        <f t="shared" si="35"/>
        <v/>
      </c>
      <c r="I985" s="46" t="str">
        <f>IF($A985="","",SUMIFS(Movimentações!$F$6:$F$4998,Movimentações!$C$6:$C$4998,A985,Movimentações!$M$6:$M$4998,M985))</f>
        <v/>
      </c>
      <c r="N985" s="43" t="str">
        <f t="shared" si="36"/>
        <v/>
      </c>
      <c r="P985" t="str">
        <f>IF(A985="","",IF(AND(K985&lt;&gt;"",L985&lt;&gt;""),IF(COUNTIFS($K$6:K985,K985,$L$6:L985,L985)=1,1,0),0))</f>
        <v/>
      </c>
      <c r="Q985" t="str">
        <f>IF(A985="","",IF(AND(K985&lt;&gt;"",M985&lt;&gt;""),IF(COUNTIFS($K$6:K985,K985,$M$6:M985,M985)=1,1,0),0))</f>
        <v/>
      </c>
      <c r="R985" t="str">
        <f>IF(A985="","",IF(M985&lt;&gt;"",IF(COUNTIF($M$6:M985,M985)=1,1,0),0))</f>
        <v/>
      </c>
      <c r="T985" t="str">
        <f>IF($A985="","",IF(AND($M985&lt;&gt;"",$M985='Mapa do Galpão'!$C$20),COUNTIF($M$6:$M985,'Mapa do Galpão'!$C$20),""))</f>
        <v/>
      </c>
    </row>
    <row r="986" spans="4:20" ht="14.25" hidden="1" customHeight="1" x14ac:dyDescent="0.3">
      <c r="D986" s="45" t="str">
        <f t="shared" si="35"/>
        <v/>
      </c>
      <c r="I986" s="46" t="str">
        <f>IF($A986="","",SUMIFS(Movimentações!$F$6:$F$4998,Movimentações!$C$6:$C$4998,A986,Movimentações!$M$6:$M$4998,M986))</f>
        <v/>
      </c>
      <c r="N986" s="43" t="str">
        <f t="shared" si="36"/>
        <v/>
      </c>
      <c r="P986" t="str">
        <f>IF(A986="","",IF(AND(K986&lt;&gt;"",L986&lt;&gt;""),IF(COUNTIFS($K$6:K986,K986,$L$6:L986,L986)=1,1,0),0))</f>
        <v/>
      </c>
      <c r="Q986" t="str">
        <f>IF(A986="","",IF(AND(K986&lt;&gt;"",M986&lt;&gt;""),IF(COUNTIFS($K$6:K986,K986,$M$6:M986,M986)=1,1,0),0))</f>
        <v/>
      </c>
      <c r="R986" t="str">
        <f>IF(A986="","",IF(M986&lt;&gt;"",IF(COUNTIF($M$6:M986,M986)=1,1,0),0))</f>
        <v/>
      </c>
      <c r="T986" t="str">
        <f>IF($A986="","",IF(AND($M986&lt;&gt;"",$M986='Mapa do Galpão'!$C$20),COUNTIF($M$6:$M986,'Mapa do Galpão'!$C$20),""))</f>
        <v/>
      </c>
    </row>
    <row r="987" spans="4:20" ht="14.25" hidden="1" customHeight="1" x14ac:dyDescent="0.3">
      <c r="D987" s="45" t="str">
        <f t="shared" si="35"/>
        <v/>
      </c>
      <c r="I987" s="46" t="str">
        <f>IF($A987="","",SUMIFS(Movimentações!$F$6:$F$4998,Movimentações!$C$6:$C$4998,A987,Movimentações!$M$6:$M$4998,M987))</f>
        <v/>
      </c>
      <c r="N987" s="43" t="str">
        <f t="shared" si="36"/>
        <v/>
      </c>
      <c r="P987" t="str">
        <f>IF(A987="","",IF(AND(K987&lt;&gt;"",L987&lt;&gt;""),IF(COUNTIFS($K$6:K987,K987,$L$6:L987,L987)=1,1,0),0))</f>
        <v/>
      </c>
      <c r="Q987" t="str">
        <f>IF(A987="","",IF(AND(K987&lt;&gt;"",M987&lt;&gt;""),IF(COUNTIFS($K$6:K987,K987,$M$6:M987,M987)=1,1,0),0))</f>
        <v/>
      </c>
      <c r="R987" t="str">
        <f>IF(A987="","",IF(M987&lt;&gt;"",IF(COUNTIF($M$6:M987,M987)=1,1,0),0))</f>
        <v/>
      </c>
      <c r="T987" t="str">
        <f>IF($A987="","",IF(AND($M987&lt;&gt;"",$M987='Mapa do Galpão'!$C$20),COUNTIF($M$6:$M987,'Mapa do Galpão'!$C$20),""))</f>
        <v/>
      </c>
    </row>
    <row r="988" spans="4:20" ht="14.25" hidden="1" customHeight="1" x14ac:dyDescent="0.3">
      <c r="D988" s="45" t="str">
        <f t="shared" si="35"/>
        <v/>
      </c>
      <c r="I988" s="46" t="str">
        <f>IF($A988="","",SUMIFS(Movimentações!$F$6:$F$4998,Movimentações!$C$6:$C$4998,A988,Movimentações!$M$6:$M$4998,M988))</f>
        <v/>
      </c>
      <c r="N988" s="43" t="str">
        <f t="shared" si="36"/>
        <v/>
      </c>
      <c r="P988" t="str">
        <f>IF(A988="","",IF(AND(K988&lt;&gt;"",L988&lt;&gt;""),IF(COUNTIFS($K$6:K988,K988,$L$6:L988,L988)=1,1,0),0))</f>
        <v/>
      </c>
      <c r="Q988" t="str">
        <f>IF(A988="","",IF(AND(K988&lt;&gt;"",M988&lt;&gt;""),IF(COUNTIFS($K$6:K988,K988,$M$6:M988,M988)=1,1,0),0))</f>
        <v/>
      </c>
      <c r="R988" t="str">
        <f>IF(A988="","",IF(M988&lt;&gt;"",IF(COUNTIF($M$6:M988,M988)=1,1,0),0))</f>
        <v/>
      </c>
      <c r="T988" t="str">
        <f>IF($A988="","",IF(AND($M988&lt;&gt;"",$M988='Mapa do Galpão'!$C$20),COUNTIF($M$6:$M988,'Mapa do Galpão'!$C$20),""))</f>
        <v/>
      </c>
    </row>
    <row r="989" spans="4:20" ht="14.25" hidden="1" customHeight="1" x14ac:dyDescent="0.3">
      <c r="D989" s="45" t="str">
        <f t="shared" si="35"/>
        <v/>
      </c>
      <c r="I989" s="46" t="str">
        <f>IF($A989="","",SUMIFS(Movimentações!$F$6:$F$4998,Movimentações!$C$6:$C$4998,A989,Movimentações!$M$6:$M$4998,M989))</f>
        <v/>
      </c>
      <c r="N989" s="43" t="str">
        <f t="shared" si="36"/>
        <v/>
      </c>
      <c r="P989" t="str">
        <f>IF(A989="","",IF(AND(K989&lt;&gt;"",L989&lt;&gt;""),IF(COUNTIFS($K$6:K989,K989,$L$6:L989,L989)=1,1,0),0))</f>
        <v/>
      </c>
      <c r="Q989" t="str">
        <f>IF(A989="","",IF(AND(K989&lt;&gt;"",M989&lt;&gt;""),IF(COUNTIFS($K$6:K989,K989,$M$6:M989,M989)=1,1,0),0))</f>
        <v/>
      </c>
      <c r="R989" t="str">
        <f>IF(A989="","",IF(M989&lt;&gt;"",IF(COUNTIF($M$6:M989,M989)=1,1,0),0))</f>
        <v/>
      </c>
      <c r="T989" t="str">
        <f>IF($A989="","",IF(AND($M989&lt;&gt;"",$M989='Mapa do Galpão'!$C$20),COUNTIF($M$6:$M989,'Mapa do Galpão'!$C$20),""))</f>
        <v/>
      </c>
    </row>
    <row r="990" spans="4:20" ht="14.25" hidden="1" customHeight="1" x14ac:dyDescent="0.3">
      <c r="D990" s="45" t="str">
        <f t="shared" si="35"/>
        <v/>
      </c>
      <c r="I990" s="46" t="str">
        <f>IF($A990="","",SUMIFS(Movimentações!$F$6:$F$4998,Movimentações!$C$6:$C$4998,A990,Movimentações!$M$6:$M$4998,M990))</f>
        <v/>
      </c>
      <c r="N990" s="43" t="str">
        <f t="shared" si="36"/>
        <v/>
      </c>
      <c r="P990" t="str">
        <f>IF(A990="","",IF(AND(K990&lt;&gt;"",L990&lt;&gt;""),IF(COUNTIFS($K$6:K990,K990,$L$6:L990,L990)=1,1,0),0))</f>
        <v/>
      </c>
      <c r="Q990" t="str">
        <f>IF(A990="","",IF(AND(K990&lt;&gt;"",M990&lt;&gt;""),IF(COUNTIFS($K$6:K990,K990,$M$6:M990,M990)=1,1,0),0))</f>
        <v/>
      </c>
      <c r="R990" t="str">
        <f>IF(A990="","",IF(M990&lt;&gt;"",IF(COUNTIF($M$6:M990,M990)=1,1,0),0))</f>
        <v/>
      </c>
      <c r="T990" t="str">
        <f>IF($A990="","",IF(AND($M990&lt;&gt;"",$M990='Mapa do Galpão'!$C$20),COUNTIF($M$6:$M990,'Mapa do Galpão'!$C$20),""))</f>
        <v/>
      </c>
    </row>
    <row r="991" spans="4:20" ht="14.25" hidden="1" customHeight="1" x14ac:dyDescent="0.3">
      <c r="D991" s="45" t="str">
        <f t="shared" si="35"/>
        <v/>
      </c>
      <c r="I991" s="46" t="str">
        <f>IF($A991="","",SUMIFS(Movimentações!$F$6:$F$4998,Movimentações!$C$6:$C$4998,A991,Movimentações!$M$6:$M$4998,M991))</f>
        <v/>
      </c>
      <c r="N991" s="43" t="str">
        <f t="shared" si="36"/>
        <v/>
      </c>
      <c r="P991" t="str">
        <f>IF(A991="","",IF(AND(K991&lt;&gt;"",L991&lt;&gt;""),IF(COUNTIFS($K$6:K991,K991,$L$6:L991,L991)=1,1,0),0))</f>
        <v/>
      </c>
      <c r="Q991" t="str">
        <f>IF(A991="","",IF(AND(K991&lt;&gt;"",M991&lt;&gt;""),IF(COUNTIFS($K$6:K991,K991,$M$6:M991,M991)=1,1,0),0))</f>
        <v/>
      </c>
      <c r="R991" t="str">
        <f>IF(A991="","",IF(M991&lt;&gt;"",IF(COUNTIF($M$6:M991,M991)=1,1,0),0))</f>
        <v/>
      </c>
      <c r="T991" t="str">
        <f>IF($A991="","",IF(AND($M991&lt;&gt;"",$M991='Mapa do Galpão'!$C$20),COUNTIF($M$6:$M991,'Mapa do Galpão'!$C$20),""))</f>
        <v/>
      </c>
    </row>
    <row r="992" spans="4:20" ht="14.25" hidden="1" customHeight="1" x14ac:dyDescent="0.3">
      <c r="D992" s="45" t="str">
        <f t="shared" si="35"/>
        <v/>
      </c>
      <c r="I992" s="46" t="str">
        <f>IF($A992="","",SUMIFS(Movimentações!$F$6:$F$4998,Movimentações!$C$6:$C$4998,A992,Movimentações!$M$6:$M$4998,M992))</f>
        <v/>
      </c>
      <c r="N992" s="43" t="str">
        <f t="shared" si="36"/>
        <v/>
      </c>
      <c r="P992" t="str">
        <f>IF(A992="","",IF(AND(K992&lt;&gt;"",L992&lt;&gt;""),IF(COUNTIFS($K$6:K992,K992,$L$6:L992,L992)=1,1,0),0))</f>
        <v/>
      </c>
      <c r="Q992" t="str">
        <f>IF(A992="","",IF(AND(K992&lt;&gt;"",M992&lt;&gt;""),IF(COUNTIFS($K$6:K992,K992,$M$6:M992,M992)=1,1,0),0))</f>
        <v/>
      </c>
      <c r="R992" t="str">
        <f>IF(A992="","",IF(M992&lt;&gt;"",IF(COUNTIF($M$6:M992,M992)=1,1,0),0))</f>
        <v/>
      </c>
      <c r="T992" t="str">
        <f>IF($A992="","",IF(AND($M992&lt;&gt;"",$M992='Mapa do Galpão'!$C$20),COUNTIF($M$6:$M992,'Mapa do Galpão'!$C$20),""))</f>
        <v/>
      </c>
    </row>
    <row r="993" spans="3:20" ht="14.25" hidden="1" customHeight="1" x14ac:dyDescent="0.3">
      <c r="D993" s="45" t="str">
        <f t="shared" si="35"/>
        <v/>
      </c>
      <c r="I993" s="46" t="str">
        <f>IF($A993="","",SUMIFS(Movimentações!$F$6:$F$4998,Movimentações!$C$6:$C$4998,A993,Movimentações!$M$6:$M$4998,M993))</f>
        <v/>
      </c>
      <c r="N993" s="43" t="str">
        <f t="shared" si="36"/>
        <v/>
      </c>
      <c r="P993" t="str">
        <f>IF(A993="","",IF(AND(K993&lt;&gt;"",L993&lt;&gt;""),IF(COUNTIFS($K$6:K993,K993,$L$6:L993,L993)=1,1,0),0))</f>
        <v/>
      </c>
      <c r="Q993" t="str">
        <f>IF(A993="","",IF(AND(K993&lt;&gt;"",M993&lt;&gt;""),IF(COUNTIFS($K$6:K993,K993,$M$6:M993,M993)=1,1,0),0))</f>
        <v/>
      </c>
      <c r="R993" t="str">
        <f>IF(A993="","",IF(M993&lt;&gt;"",IF(COUNTIF($M$6:M993,M993)=1,1,0),0))</f>
        <v/>
      </c>
      <c r="T993" t="str">
        <f>IF($A993="","",IF(AND($M993&lt;&gt;"",$M993='Mapa do Galpão'!$C$20),COUNTIF($M$6:$M993,'Mapa do Galpão'!$C$20),""))</f>
        <v/>
      </c>
    </row>
    <row r="994" spans="3:20" ht="14.25" hidden="1" customHeight="1" x14ac:dyDescent="0.3">
      <c r="D994" s="45" t="str">
        <f t="shared" si="35"/>
        <v/>
      </c>
      <c r="I994" s="46" t="str">
        <f>IF($A994="","",SUMIFS(Movimentações!$F$6:$F$4998,Movimentações!$C$6:$C$4998,A994,Movimentações!$M$6:$M$4998,M994))</f>
        <v/>
      </c>
      <c r="N994" s="43" t="str">
        <f t="shared" si="36"/>
        <v/>
      </c>
      <c r="P994" t="str">
        <f>IF(A994="","",IF(AND(K994&lt;&gt;"",L994&lt;&gt;""),IF(COUNTIFS($K$6:K994,K994,$L$6:L994,L994)=1,1,0),0))</f>
        <v/>
      </c>
      <c r="Q994" t="str">
        <f>IF(A994="","",IF(AND(K994&lt;&gt;"",M994&lt;&gt;""),IF(COUNTIFS($K$6:K994,K994,$M$6:M994,M994)=1,1,0),0))</f>
        <v/>
      </c>
      <c r="R994" t="str">
        <f>IF(A994="","",IF(M994&lt;&gt;"",IF(COUNTIF($M$6:M994,M994)=1,1,0),0))</f>
        <v/>
      </c>
      <c r="T994" t="str">
        <f>IF($A994="","",IF(AND($M994&lt;&gt;"",$M994='Mapa do Galpão'!$C$20),COUNTIF($M$6:$M994,'Mapa do Galpão'!$C$20),""))</f>
        <v/>
      </c>
    </row>
    <row r="995" spans="3:20" ht="14.25" hidden="1" customHeight="1" x14ac:dyDescent="0.3">
      <c r="D995" s="45" t="str">
        <f t="shared" si="35"/>
        <v/>
      </c>
      <c r="I995" s="46" t="str">
        <f>IF($A995="","",SUMIFS(Movimentações!$F$6:$F$4998,Movimentações!$C$6:$C$4998,A995,Movimentações!$M$6:$M$4998,M995))</f>
        <v/>
      </c>
      <c r="N995" s="43" t="str">
        <f t="shared" si="36"/>
        <v/>
      </c>
      <c r="P995" t="str">
        <f>IF(A995="","",IF(AND(K995&lt;&gt;"",L995&lt;&gt;""),IF(COUNTIFS($K$6:K995,K995,$L$6:L995,L995)=1,1,0),0))</f>
        <v/>
      </c>
      <c r="Q995" t="str">
        <f>IF(A995="","",IF(AND(K995&lt;&gt;"",M995&lt;&gt;""),IF(COUNTIFS($K$6:K995,K995,$M$6:M995,M995)=1,1,0),0))</f>
        <v/>
      </c>
      <c r="R995" t="str">
        <f>IF(A995="","",IF(M995&lt;&gt;"",IF(COUNTIF($M$6:M995,M995)=1,1,0),0))</f>
        <v/>
      </c>
      <c r="T995" t="str">
        <f>IF($A995="","",IF(AND($M995&lt;&gt;"",$M995='Mapa do Galpão'!$C$20),COUNTIF($M$6:$M995,'Mapa do Galpão'!$C$20),""))</f>
        <v/>
      </c>
    </row>
    <row r="996" spans="3:20" ht="14.25" hidden="1" customHeight="1" x14ac:dyDescent="0.3">
      <c r="D996" s="45" t="str">
        <f t="shared" si="35"/>
        <v/>
      </c>
      <c r="I996" s="46" t="str">
        <f>IF($A996="","",SUMIFS(Movimentações!$F$6:$F$4998,Movimentações!$C$6:$C$4998,A996,Movimentações!$M$6:$M$4998,M996))</f>
        <v/>
      </c>
      <c r="N996" s="43" t="str">
        <f t="shared" si="36"/>
        <v/>
      </c>
      <c r="P996" t="str">
        <f>IF(A996="","",IF(AND(K996&lt;&gt;"",L996&lt;&gt;""),IF(COUNTIFS($K$6:K996,K996,$L$6:L996,L996)=1,1,0),0))</f>
        <v/>
      </c>
      <c r="Q996" t="str">
        <f>IF(A996="","",IF(AND(K996&lt;&gt;"",M996&lt;&gt;""),IF(COUNTIFS($K$6:K996,K996,$M$6:M996,M996)=1,1,0),0))</f>
        <v/>
      </c>
      <c r="R996" t="str">
        <f>IF(A996="","",IF(M996&lt;&gt;"",IF(COUNTIF($M$6:M996,M996)=1,1,0),0))</f>
        <v/>
      </c>
      <c r="T996" t="str">
        <f>IF($A996="","",IF(AND($M996&lt;&gt;"",$M996='Mapa do Galpão'!$C$20),COUNTIF($M$6:$M996,'Mapa do Galpão'!$C$20),""))</f>
        <v/>
      </c>
    </row>
    <row r="997" spans="3:20" ht="14.25" hidden="1" customHeight="1" x14ac:dyDescent="0.3">
      <c r="D997" s="45" t="str">
        <f t="shared" si="35"/>
        <v/>
      </c>
      <c r="I997" s="46" t="str">
        <f>IF($A997="","",SUMIFS(Movimentações!$F$6:$F$4998,Movimentações!$C$6:$C$4998,A997,Movimentações!$M$6:$M$4998,M997))</f>
        <v/>
      </c>
      <c r="N997" s="43" t="str">
        <f t="shared" si="36"/>
        <v/>
      </c>
      <c r="P997" t="str">
        <f>IF(A997="","",IF(AND(K997&lt;&gt;"",L997&lt;&gt;""),IF(COUNTIFS($K$6:K997,K997,$L$6:L997,L997)=1,1,0),0))</f>
        <v/>
      </c>
      <c r="Q997" t="str">
        <f>IF(A997="","",IF(AND(K997&lt;&gt;"",M997&lt;&gt;""),IF(COUNTIFS($K$6:K997,K997,$M$6:M997,M997)=1,1,0),0))</f>
        <v/>
      </c>
      <c r="R997" t="str">
        <f>IF(A997="","",IF(M997&lt;&gt;"",IF(COUNTIF($M$6:M997,M997)=1,1,0),0))</f>
        <v/>
      </c>
      <c r="T997" t="str">
        <f>IF($A997="","",IF(AND($M997&lt;&gt;"",$M997='Mapa do Galpão'!$C$20),COUNTIF($M$6:$M997,'Mapa do Galpão'!$C$20),""))</f>
        <v/>
      </c>
    </row>
    <row r="1001" spans="3:20" ht="15" thickBot="1" x14ac:dyDescent="0.35">
      <c r="C1001" s="178"/>
    </row>
    <row r="1002" spans="3:20" ht="15" thickBot="1" x14ac:dyDescent="0.35">
      <c r="C1002" s="178"/>
    </row>
    <row r="1003" spans="3:20" ht="15" thickBot="1" x14ac:dyDescent="0.35">
      <c r="C1003" s="178"/>
    </row>
  </sheetData>
  <autoFilter ref="A5:N997" xr:uid="{00000000-0001-0000-0200-000000000000}">
    <filterColumn colId="2">
      <filters>
        <filter val="A.01.0796.004.G"/>
        <filter val="A.01.0796.004.GG"/>
        <filter val="A.01.0796.004.M"/>
        <filter val="A.01.0796.004.P"/>
      </filters>
    </filterColumn>
  </autoFilter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ED7D31"/>
  </sheetPr>
  <dimension ref="A1:M1332"/>
  <sheetViews>
    <sheetView zoomScaleNormal="100" workbookViewId="0">
      <pane ySplit="5" topLeftCell="A579" activePane="bottomLeft" state="frozen"/>
      <selection pane="bottomLeft" activeCell="A575" sqref="A575:XFD575"/>
    </sheetView>
  </sheetViews>
  <sheetFormatPr defaultColWidth="8.88671875" defaultRowHeight="13.2" x14ac:dyDescent="0.3"/>
  <cols>
    <col min="1" max="1" width="12" style="109" customWidth="1"/>
    <col min="2" max="2" width="16" style="109" customWidth="1"/>
    <col min="3" max="3" width="12" style="109" customWidth="1"/>
    <col min="4" max="4" width="33.77734375" style="109" customWidth="1"/>
    <col min="5" max="5" width="8" style="109" customWidth="1"/>
    <col min="6" max="6" width="10" style="109" customWidth="1"/>
    <col min="7" max="7" width="11" style="109" customWidth="1"/>
    <col min="8" max="8" width="18" style="109" customWidth="1"/>
    <col min="9" max="9" width="18.21875" style="109" customWidth="1"/>
    <col min="10" max="10" width="18" style="109" customWidth="1"/>
    <col min="11" max="11" width="12" style="109" customWidth="1"/>
    <col min="12" max="13" width="13" style="109" customWidth="1"/>
    <col min="14" max="16384" width="8.88671875" style="109"/>
  </cols>
  <sheetData>
    <row r="1" spans="1:13" ht="25.5" customHeight="1" x14ac:dyDescent="0.3">
      <c r="A1" s="196" t="s">
        <v>2042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</row>
    <row r="5" spans="1:13" ht="27.75" customHeight="1" x14ac:dyDescent="0.3">
      <c r="A5" s="110" t="s">
        <v>24</v>
      </c>
      <c r="B5" s="110" t="s">
        <v>25</v>
      </c>
      <c r="C5" s="110" t="s">
        <v>26</v>
      </c>
      <c r="D5" s="110" t="s">
        <v>27</v>
      </c>
      <c r="E5" s="110" t="s">
        <v>28</v>
      </c>
      <c r="F5" s="110" t="s">
        <v>2043</v>
      </c>
      <c r="G5" s="110" t="s">
        <v>29</v>
      </c>
      <c r="H5" s="110" t="s">
        <v>2044</v>
      </c>
      <c r="I5" s="110" t="s">
        <v>2045</v>
      </c>
      <c r="J5" s="110" t="s">
        <v>2046</v>
      </c>
      <c r="K5" s="110" t="s">
        <v>2047</v>
      </c>
      <c r="L5" s="110" t="s">
        <v>30</v>
      </c>
      <c r="M5" s="22" t="s">
        <v>2048</v>
      </c>
    </row>
    <row r="6" spans="1:13" ht="12.75" hidden="1" customHeight="1" x14ac:dyDescent="0.3">
      <c r="A6" s="111">
        <v>46160</v>
      </c>
      <c r="B6" s="112" t="s">
        <v>2049</v>
      </c>
      <c r="C6" s="113" t="s">
        <v>664</v>
      </c>
      <c r="D6" s="113" t="str">
        <f>IFERROR(VLOOKUP(C6,SKUs!$A$6:$F$1971,6,FALSE()),"")</f>
        <v>POLO COPA MASC.</v>
      </c>
      <c r="E6" s="113">
        <v>17</v>
      </c>
      <c r="F6" s="113">
        <f>IFERROR(IF(OR(B6="",E6=""),"",E6*VLOOKUP(B6,Configurações!$I$5:$J$15,2,FALSE())),"")</f>
        <v>17</v>
      </c>
      <c r="G6" s="113" t="s">
        <v>665</v>
      </c>
      <c r="H6" s="113" t="s">
        <v>2050</v>
      </c>
      <c r="I6" s="113"/>
      <c r="J6" s="113"/>
      <c r="K6" s="113" t="s">
        <v>2051</v>
      </c>
      <c r="L6" s="113"/>
      <c r="M6" s="113" t="s">
        <v>673</v>
      </c>
    </row>
    <row r="7" spans="1:13" ht="12.75" hidden="1" customHeight="1" x14ac:dyDescent="0.3">
      <c r="A7" s="111">
        <v>46160</v>
      </c>
      <c r="B7" s="112" t="s">
        <v>2049</v>
      </c>
      <c r="C7" s="113" t="s">
        <v>674</v>
      </c>
      <c r="D7" s="113" t="str">
        <f>IFERROR(VLOOKUP(C7,SKUs!$A$6:$F$1971,6,FALSE()),"")</f>
        <v>POLO COPA MASC.</v>
      </c>
      <c r="E7" s="113">
        <v>12</v>
      </c>
      <c r="F7" s="113">
        <f>IFERROR(IF(OR(B7="",E7=""),"",E7*VLOOKUP(B7,Configurações!$I$5:$J$15,2,FALSE())),"")</f>
        <v>12</v>
      </c>
      <c r="G7" s="113" t="s">
        <v>665</v>
      </c>
      <c r="H7" s="113" t="s">
        <v>2050</v>
      </c>
      <c r="I7" s="113"/>
      <c r="J7" s="113"/>
      <c r="K7" s="113" t="s">
        <v>2051</v>
      </c>
      <c r="L7" s="113"/>
      <c r="M7" s="113" t="s">
        <v>673</v>
      </c>
    </row>
    <row r="8" spans="1:13" ht="12.75" hidden="1" customHeight="1" x14ac:dyDescent="0.3">
      <c r="A8" s="111">
        <v>46160</v>
      </c>
      <c r="B8" s="112" t="s">
        <v>2049</v>
      </c>
      <c r="C8" s="113" t="s">
        <v>676</v>
      </c>
      <c r="D8" s="113" t="str">
        <f>IFERROR(VLOOKUP(C8,SKUs!$A$6:$F$1971,6,FALSE()),"")</f>
        <v>POLO COPA MASC.</v>
      </c>
      <c r="E8" s="113">
        <v>8</v>
      </c>
      <c r="F8" s="113">
        <f>IFERROR(IF(OR(B8="",E8=""),"",E8*VLOOKUP(B8,Configurações!$I$5:$J$15,2,FALSE())),"")</f>
        <v>8</v>
      </c>
      <c r="G8" s="113" t="s">
        <v>665</v>
      </c>
      <c r="H8" s="113" t="s">
        <v>2050</v>
      </c>
      <c r="I8" s="113"/>
      <c r="J8" s="113"/>
      <c r="K8" s="113" t="s">
        <v>2051</v>
      </c>
      <c r="L8" s="113"/>
      <c r="M8" s="113" t="s">
        <v>673</v>
      </c>
    </row>
    <row r="9" spans="1:13" ht="12.75" hidden="1" customHeight="1" x14ac:dyDescent="0.3">
      <c r="A9" s="111">
        <v>46160</v>
      </c>
      <c r="B9" s="112" t="s">
        <v>2049</v>
      </c>
      <c r="C9" s="113" t="s">
        <v>679</v>
      </c>
      <c r="D9" s="113" t="str">
        <f>IFERROR(VLOOKUP(C9,SKUs!$A$6:$F$1971,6,FALSE()),"")</f>
        <v>POLO COPA MASC.</v>
      </c>
      <c r="E9" s="113">
        <v>4</v>
      </c>
      <c r="F9" s="113">
        <f>IFERROR(IF(OR(B9="",E9=""),"",E9*VLOOKUP(B9,Configurações!$I$5:$J$15,2,FALSE())),"")</f>
        <v>4</v>
      </c>
      <c r="G9" s="113" t="s">
        <v>665</v>
      </c>
      <c r="H9" s="113" t="s">
        <v>2050</v>
      </c>
      <c r="I9" s="113"/>
      <c r="J9" s="113"/>
      <c r="K9" s="113" t="s">
        <v>2051</v>
      </c>
      <c r="L9" s="113"/>
      <c r="M9" s="113" t="s">
        <v>673</v>
      </c>
    </row>
    <row r="10" spans="1:13" ht="12.75" hidden="1" customHeight="1" x14ac:dyDescent="0.3">
      <c r="A10" s="111">
        <v>46160</v>
      </c>
      <c r="B10" s="112" t="s">
        <v>2049</v>
      </c>
      <c r="C10" s="113" t="s">
        <v>676</v>
      </c>
      <c r="D10" s="113" t="str">
        <f>IFERROR(VLOOKUP(C10,SKUs!$A$6:$F$1971,6,FALSE()),"")</f>
        <v>POLO COPA MASC.</v>
      </c>
      <c r="E10" s="113">
        <v>5</v>
      </c>
      <c r="F10" s="113">
        <f>IFERROR(IF(OR(B10="",E10=""),"",E10*VLOOKUP(B10,Configurações!$I$5:$J$15,2,FALSE())),"")</f>
        <v>5</v>
      </c>
      <c r="G10" s="113" t="s">
        <v>665</v>
      </c>
      <c r="H10" s="113" t="s">
        <v>2050</v>
      </c>
      <c r="I10" s="113"/>
      <c r="J10" s="113"/>
      <c r="K10" s="113" t="s">
        <v>2051</v>
      </c>
      <c r="L10" s="113"/>
      <c r="M10" s="113" t="s">
        <v>678</v>
      </c>
    </row>
    <row r="11" spans="1:13" ht="12.75" hidden="1" customHeight="1" x14ac:dyDescent="0.3">
      <c r="A11" s="111">
        <v>46160</v>
      </c>
      <c r="B11" s="112" t="s">
        <v>2049</v>
      </c>
      <c r="C11" s="113" t="s">
        <v>679</v>
      </c>
      <c r="D11" s="113" t="str">
        <f>IFERROR(VLOOKUP(C11,SKUs!$A$6:$F$1971,6,FALSE()),"")</f>
        <v>POLO COPA MASC.</v>
      </c>
      <c r="E11" s="113">
        <v>10</v>
      </c>
      <c r="F11" s="113">
        <f>IFERROR(IF(OR(B11="",E11=""),"",E11*VLOOKUP(B11,Configurações!$I$5:$J$15,2,FALSE())),"")</f>
        <v>10</v>
      </c>
      <c r="G11" s="113" t="s">
        <v>665</v>
      </c>
      <c r="H11" s="113" t="s">
        <v>2050</v>
      </c>
      <c r="I11" s="113"/>
      <c r="J11" s="113"/>
      <c r="K11" s="113" t="s">
        <v>2051</v>
      </c>
      <c r="L11" s="113"/>
      <c r="M11" s="113" t="s">
        <v>678</v>
      </c>
    </row>
    <row r="12" spans="1:13" ht="12.75" hidden="1" customHeight="1" x14ac:dyDescent="0.3">
      <c r="A12" s="111">
        <v>46160</v>
      </c>
      <c r="B12" s="112" t="s">
        <v>2049</v>
      </c>
      <c r="C12" s="113" t="s">
        <v>681</v>
      </c>
      <c r="D12" s="113" t="str">
        <f>IFERROR(VLOOKUP(C12,SKUs!$A$6:$F$1971,6,FALSE()),"")</f>
        <v>POLO COPA MASC.</v>
      </c>
      <c r="E12" s="113">
        <v>13</v>
      </c>
      <c r="F12" s="113">
        <f>IFERROR(IF(OR(B12="",E12=""),"",E12*VLOOKUP(B12,Configurações!$I$5:$J$15,2,FALSE())),"")</f>
        <v>13</v>
      </c>
      <c r="G12" s="113" t="s">
        <v>665</v>
      </c>
      <c r="H12" s="113" t="s">
        <v>2050</v>
      </c>
      <c r="I12" s="113"/>
      <c r="J12" s="113"/>
      <c r="K12" s="113" t="s">
        <v>2051</v>
      </c>
      <c r="L12" s="113"/>
      <c r="M12" s="113" t="s">
        <v>678</v>
      </c>
    </row>
    <row r="13" spans="1:13" ht="12.75" hidden="1" customHeight="1" x14ac:dyDescent="0.3">
      <c r="A13" s="111">
        <v>46160</v>
      </c>
      <c r="B13" s="112" t="s">
        <v>2049</v>
      </c>
      <c r="C13" s="113" t="s">
        <v>683</v>
      </c>
      <c r="D13" s="113" t="str">
        <f>IFERROR(VLOOKUP(C13,SKUs!$A$6:$F$1971,6,FALSE()),"")</f>
        <v>CAMISETA COPA MASC.</v>
      </c>
      <c r="E13" s="113">
        <v>15</v>
      </c>
      <c r="F13" s="113">
        <f>IFERROR(IF(OR(B13="",E13=""),"",E13*VLOOKUP(B13,Configurações!$I$5:$J$15,2,FALSE())),"")</f>
        <v>15</v>
      </c>
      <c r="G13" s="113" t="s">
        <v>665</v>
      </c>
      <c r="H13" s="113" t="s">
        <v>2050</v>
      </c>
      <c r="I13" s="113"/>
      <c r="J13" s="113"/>
      <c r="K13" s="113" t="s">
        <v>2051</v>
      </c>
      <c r="L13" s="113"/>
      <c r="M13" s="113" t="s">
        <v>686</v>
      </c>
    </row>
    <row r="14" spans="1:13" ht="12.75" hidden="1" customHeight="1" x14ac:dyDescent="0.3">
      <c r="A14" s="111">
        <v>46160</v>
      </c>
      <c r="B14" s="112" t="s">
        <v>2049</v>
      </c>
      <c r="C14" s="113" t="s">
        <v>687</v>
      </c>
      <c r="D14" s="113" t="str">
        <f>IFERROR(VLOOKUP(C14,SKUs!$A$6:$F$1971,6,FALSE()),"")</f>
        <v>CAMISETA COPA MASC.</v>
      </c>
      <c r="E14" s="113">
        <v>15</v>
      </c>
      <c r="F14" s="113">
        <f>IFERROR(IF(OR(B14="",E14=""),"",E14*VLOOKUP(B14,Configurações!$I$5:$J$15,2,FALSE())),"")</f>
        <v>15</v>
      </c>
      <c r="G14" s="113" t="s">
        <v>665</v>
      </c>
      <c r="H14" s="113" t="s">
        <v>2050</v>
      </c>
      <c r="I14" s="113"/>
      <c r="J14" s="113"/>
      <c r="K14" s="113" t="s">
        <v>2051</v>
      </c>
      <c r="L14" s="113"/>
      <c r="M14" s="113" t="s">
        <v>686</v>
      </c>
    </row>
    <row r="15" spans="1:13" ht="12.75" hidden="1" customHeight="1" x14ac:dyDescent="0.3">
      <c r="A15" s="111">
        <v>46160</v>
      </c>
      <c r="B15" s="112" t="s">
        <v>2049</v>
      </c>
      <c r="C15" s="113" t="s">
        <v>688</v>
      </c>
      <c r="D15" s="113" t="str">
        <f>IFERROR(VLOOKUP(C15,SKUs!$A$6:$F$1971,6,FALSE()),"")</f>
        <v>CAMISETA COPA MASC.</v>
      </c>
      <c r="E15" s="113">
        <v>15</v>
      </c>
      <c r="F15" s="113">
        <f>IFERROR(IF(OR(B15="",E15=""),"",E15*VLOOKUP(B15,Configurações!$I$5:$J$15,2,FALSE())),"")</f>
        <v>15</v>
      </c>
      <c r="G15" s="113" t="s">
        <v>665</v>
      </c>
      <c r="H15" s="113" t="s">
        <v>2050</v>
      </c>
      <c r="I15" s="113"/>
      <c r="J15" s="113"/>
      <c r="K15" s="113" t="s">
        <v>2051</v>
      </c>
      <c r="L15" s="113"/>
      <c r="M15" s="113" t="s">
        <v>686</v>
      </c>
    </row>
    <row r="16" spans="1:13" ht="12.75" hidden="1" customHeight="1" x14ac:dyDescent="0.3">
      <c r="A16" s="111">
        <v>46160</v>
      </c>
      <c r="B16" s="112" t="s">
        <v>2049</v>
      </c>
      <c r="C16" s="113" t="s">
        <v>689</v>
      </c>
      <c r="D16" s="113" t="str">
        <f>IFERROR(VLOOKUP(C16,SKUs!$A$6:$F$1971,6,FALSE()),"")</f>
        <v>CAMISETA COPA MASC.</v>
      </c>
      <c r="E16" s="113">
        <v>15</v>
      </c>
      <c r="F16" s="113">
        <f>IFERROR(IF(OR(B16="",E16=""),"",E16*VLOOKUP(B16,Configurações!$I$5:$J$15,2,FALSE())),"")</f>
        <v>15</v>
      </c>
      <c r="G16" s="113" t="s">
        <v>665</v>
      </c>
      <c r="H16" s="113" t="s">
        <v>2050</v>
      </c>
      <c r="I16" s="113"/>
      <c r="J16" s="113"/>
      <c r="K16" s="113" t="s">
        <v>2051</v>
      </c>
      <c r="L16" s="113"/>
      <c r="M16" s="113" t="s">
        <v>686</v>
      </c>
    </row>
    <row r="17" spans="1:13" ht="12.75" hidden="1" customHeight="1" x14ac:dyDescent="0.3">
      <c r="A17" s="111">
        <v>46160</v>
      </c>
      <c r="B17" s="112" t="s">
        <v>2049</v>
      </c>
      <c r="C17" s="113" t="s">
        <v>690</v>
      </c>
      <c r="D17" s="113" t="str">
        <f>IFERROR(VLOOKUP(C17,SKUs!$A$6:$F$1971,6,FALSE()),"")</f>
        <v>CAMISETA COPA MASC.</v>
      </c>
      <c r="E17" s="113">
        <v>20</v>
      </c>
      <c r="F17" s="113">
        <f>IFERROR(IF(OR(B17="",E17=""),"",E17*VLOOKUP(B17,Configurações!$I$5:$J$15,2,FALSE())),"")</f>
        <v>20</v>
      </c>
      <c r="G17" s="113" t="s">
        <v>665</v>
      </c>
      <c r="H17" s="113" t="s">
        <v>2050</v>
      </c>
      <c r="I17" s="113"/>
      <c r="J17" s="113"/>
      <c r="K17" s="113" t="s">
        <v>2051</v>
      </c>
      <c r="L17" s="113"/>
      <c r="M17" s="113" t="s">
        <v>686</v>
      </c>
    </row>
    <row r="18" spans="1:13" ht="12.75" hidden="1" customHeight="1" x14ac:dyDescent="0.3">
      <c r="A18" s="111">
        <v>46160</v>
      </c>
      <c r="B18" s="112" t="s">
        <v>2049</v>
      </c>
      <c r="C18" s="113" t="s">
        <v>691</v>
      </c>
      <c r="D18" s="113" t="str">
        <f>IFERROR(VLOOKUP(C18,SKUs!$A$6:$F$1971,6,FALSE()),"")</f>
        <v>CAMISETA COPA MASC.</v>
      </c>
      <c r="E18" s="113">
        <v>5</v>
      </c>
      <c r="F18" s="113">
        <f>IFERROR(IF(OR(B18="",E18=""),"",E18*VLOOKUP(B18,Configurações!$I$5:$J$15,2,FALSE())),"")</f>
        <v>5</v>
      </c>
      <c r="G18" s="113" t="s">
        <v>665</v>
      </c>
      <c r="H18" s="113" t="s">
        <v>2050</v>
      </c>
      <c r="I18" s="113"/>
      <c r="J18" s="113"/>
      <c r="K18" s="113" t="s">
        <v>2051</v>
      </c>
      <c r="L18" s="113"/>
      <c r="M18" s="113" t="s">
        <v>686</v>
      </c>
    </row>
    <row r="19" spans="1:13" ht="12.75" hidden="1" customHeight="1" x14ac:dyDescent="0.3">
      <c r="A19" s="111">
        <v>46160</v>
      </c>
      <c r="B19" s="112" t="s">
        <v>2049</v>
      </c>
      <c r="C19" s="113" t="s">
        <v>693</v>
      </c>
      <c r="D19" s="113" t="str">
        <f>IFERROR(VLOOKUP(C19,SKUs!$A$6:$F$1971,6,FALSE()),"")</f>
        <v>CAMISETA COPA MASC.</v>
      </c>
      <c r="E19" s="113">
        <v>16</v>
      </c>
      <c r="F19" s="113">
        <f>IFERROR(IF(OR(B19="",E19=""),"",E19*VLOOKUP(B19,Configurações!$I$5:$J$15,2,FALSE())),"")</f>
        <v>16</v>
      </c>
      <c r="G19" s="113" t="s">
        <v>665</v>
      </c>
      <c r="H19" s="113" t="s">
        <v>2050</v>
      </c>
      <c r="I19" s="113"/>
      <c r="J19" s="113"/>
      <c r="K19" s="113" t="s">
        <v>2051</v>
      </c>
      <c r="L19" s="113"/>
      <c r="M19" s="113" t="s">
        <v>695</v>
      </c>
    </row>
    <row r="20" spans="1:13" ht="12.75" hidden="1" customHeight="1" x14ac:dyDescent="0.3">
      <c r="A20" s="111">
        <v>46160</v>
      </c>
      <c r="B20" s="112" t="s">
        <v>2049</v>
      </c>
      <c r="C20" s="113" t="s">
        <v>696</v>
      </c>
      <c r="D20" s="113" t="str">
        <f>IFERROR(VLOOKUP(C20,SKUs!$A$6:$F$1971,6,FALSE()),"")</f>
        <v>CAMISETA COPA MASC.</v>
      </c>
      <c r="E20" s="113">
        <v>14</v>
      </c>
      <c r="F20" s="113">
        <f>IFERROR(IF(OR(B20="",E20=""),"",E20*VLOOKUP(B20,Configurações!$I$5:$J$15,2,FALSE())),"")</f>
        <v>14</v>
      </c>
      <c r="G20" s="113" t="s">
        <v>665</v>
      </c>
      <c r="H20" s="113" t="s">
        <v>2050</v>
      </c>
      <c r="I20" s="113"/>
      <c r="J20" s="113"/>
      <c r="K20" s="113" t="s">
        <v>2051</v>
      </c>
      <c r="L20" s="113"/>
      <c r="M20" s="113" t="s">
        <v>695</v>
      </c>
    </row>
    <row r="21" spans="1:13" ht="12.75" hidden="1" customHeight="1" x14ac:dyDescent="0.3">
      <c r="A21" s="111">
        <v>46160</v>
      </c>
      <c r="B21" s="112" t="s">
        <v>2049</v>
      </c>
      <c r="C21" s="113" t="s">
        <v>697</v>
      </c>
      <c r="D21" s="113" t="str">
        <f>IFERROR(VLOOKUP(C21,SKUs!$A$6:$F$1971,6,FALSE()),"")</f>
        <v>CAMISETA COPA MASC.</v>
      </c>
      <c r="E21" s="113">
        <v>14</v>
      </c>
      <c r="F21" s="113">
        <f>IFERROR(IF(OR(B21="",E21=""),"",E21*VLOOKUP(B21,Configurações!$I$5:$J$15,2,FALSE())),"")</f>
        <v>14</v>
      </c>
      <c r="G21" s="113" t="s">
        <v>665</v>
      </c>
      <c r="H21" s="113" t="s">
        <v>2050</v>
      </c>
      <c r="I21" s="113"/>
      <c r="J21" s="113"/>
      <c r="K21" s="113" t="s">
        <v>2051</v>
      </c>
      <c r="L21" s="113"/>
      <c r="M21" s="113" t="s">
        <v>695</v>
      </c>
    </row>
    <row r="22" spans="1:13" ht="12.75" hidden="1" customHeight="1" x14ac:dyDescent="0.3">
      <c r="A22" s="111">
        <v>46160</v>
      </c>
      <c r="B22" s="112" t="s">
        <v>2049</v>
      </c>
      <c r="C22" s="113" t="s">
        <v>698</v>
      </c>
      <c r="D22" s="113" t="str">
        <f>IFERROR(VLOOKUP(C22,SKUs!$A$6:$F$1971,6,FALSE()),"")</f>
        <v>CAMISETA COPA MASC.</v>
      </c>
      <c r="E22" s="113">
        <v>15</v>
      </c>
      <c r="F22" s="113">
        <f>IFERROR(IF(OR(B22="",E22=""),"",E22*VLOOKUP(B22,Configurações!$I$5:$J$15,2,FALSE())),"")</f>
        <v>15</v>
      </c>
      <c r="G22" s="113" t="s">
        <v>665</v>
      </c>
      <c r="H22" s="113" t="s">
        <v>2050</v>
      </c>
      <c r="I22" s="113"/>
      <c r="J22" s="113"/>
      <c r="K22" s="113" t="s">
        <v>2051</v>
      </c>
      <c r="L22" s="113"/>
      <c r="M22" s="113" t="s">
        <v>695</v>
      </c>
    </row>
    <row r="23" spans="1:13" ht="12.75" hidden="1" customHeight="1" x14ac:dyDescent="0.3">
      <c r="A23" s="111">
        <v>46160</v>
      </c>
      <c r="B23" s="112" t="s">
        <v>2049</v>
      </c>
      <c r="C23" s="113" t="s">
        <v>699</v>
      </c>
      <c r="D23" s="113" t="str">
        <f>IFERROR(VLOOKUP(C23,SKUs!$A$6:$F$1971,6,FALSE()),"")</f>
        <v>CAMISETA COPA MASC.</v>
      </c>
      <c r="E23" s="113">
        <v>15</v>
      </c>
      <c r="F23" s="113">
        <f>IFERROR(IF(OR(B23="",E23=""),"",E23*VLOOKUP(B23,Configurações!$I$5:$J$15,2,FALSE())),"")</f>
        <v>15</v>
      </c>
      <c r="G23" s="113" t="s">
        <v>665</v>
      </c>
      <c r="H23" s="113" t="s">
        <v>2050</v>
      </c>
      <c r="I23" s="113"/>
      <c r="J23" s="113"/>
      <c r="K23" s="113" t="s">
        <v>2051</v>
      </c>
      <c r="L23" s="113"/>
      <c r="M23" s="113" t="s">
        <v>695</v>
      </c>
    </row>
    <row r="24" spans="1:13" ht="12.75" hidden="1" customHeight="1" x14ac:dyDescent="0.3">
      <c r="A24" s="111">
        <v>46160</v>
      </c>
      <c r="B24" s="112" t="s">
        <v>2049</v>
      </c>
      <c r="C24" s="113" t="s">
        <v>700</v>
      </c>
      <c r="D24" s="113" t="str">
        <f>IFERROR(VLOOKUP(C24,SKUs!$A$6:$F$1971,6,FALSE()),"")</f>
        <v>CAMISETA COPA MASC.</v>
      </c>
      <c r="E24" s="113">
        <v>5</v>
      </c>
      <c r="F24" s="113">
        <f>IFERROR(IF(OR(B24="",E24=""),"",E24*VLOOKUP(B24,Configurações!$I$5:$J$15,2,FALSE())),"")</f>
        <v>5</v>
      </c>
      <c r="G24" s="113" t="s">
        <v>665</v>
      </c>
      <c r="H24" s="113" t="s">
        <v>2050</v>
      </c>
      <c r="I24" s="113"/>
      <c r="J24" s="113"/>
      <c r="K24" s="113" t="s">
        <v>2051</v>
      </c>
      <c r="L24" s="113"/>
      <c r="M24" s="113" t="s">
        <v>695</v>
      </c>
    </row>
    <row r="25" spans="1:13" ht="12.75" hidden="1" customHeight="1" x14ac:dyDescent="0.3">
      <c r="A25" s="111">
        <v>46160</v>
      </c>
      <c r="B25" s="112" t="s">
        <v>2049</v>
      </c>
      <c r="C25" s="113" t="s">
        <v>701</v>
      </c>
      <c r="D25" s="113" t="str">
        <f>IFERROR(VLOOKUP(C25,SKUs!$A$6:$F$1971,6,FALSE()),"")</f>
        <v>CAMISETA COPA MASC.</v>
      </c>
      <c r="E25" s="113">
        <v>15</v>
      </c>
      <c r="F25" s="113">
        <f>IFERROR(IF(OR(B25="",E25=""),"",E25*VLOOKUP(B25,Configurações!$I$5:$J$15,2,FALSE())),"")</f>
        <v>15</v>
      </c>
      <c r="G25" s="113" t="s">
        <v>665</v>
      </c>
      <c r="H25" s="113" t="s">
        <v>2050</v>
      </c>
      <c r="I25" s="113"/>
      <c r="J25" s="113"/>
      <c r="K25" s="113" t="s">
        <v>2051</v>
      </c>
      <c r="L25" s="113"/>
      <c r="M25" s="113" t="s">
        <v>703</v>
      </c>
    </row>
    <row r="26" spans="1:13" ht="12.75" hidden="1" customHeight="1" x14ac:dyDescent="0.3">
      <c r="A26" s="111">
        <v>46160</v>
      </c>
      <c r="B26" s="112" t="s">
        <v>2049</v>
      </c>
      <c r="C26" s="113" t="s">
        <v>704</v>
      </c>
      <c r="D26" s="113" t="str">
        <f>IFERROR(VLOOKUP(C26,SKUs!$A$6:$F$1971,6,FALSE()),"")</f>
        <v>CAMISETA COPA MASC.</v>
      </c>
      <c r="E26" s="113">
        <v>15</v>
      </c>
      <c r="F26" s="113">
        <f>IFERROR(IF(OR(B26="",E26=""),"",E26*VLOOKUP(B26,Configurações!$I$5:$J$15,2,FALSE())),"")</f>
        <v>15</v>
      </c>
      <c r="G26" s="113" t="s">
        <v>665</v>
      </c>
      <c r="H26" s="113" t="s">
        <v>2050</v>
      </c>
      <c r="I26" s="113"/>
      <c r="J26" s="113"/>
      <c r="K26" s="113" t="s">
        <v>2051</v>
      </c>
      <c r="L26" s="113"/>
      <c r="M26" s="113" t="s">
        <v>703</v>
      </c>
    </row>
    <row r="27" spans="1:13" ht="12.75" hidden="1" customHeight="1" x14ac:dyDescent="0.3">
      <c r="A27" s="111">
        <v>46160</v>
      </c>
      <c r="B27" s="112" t="s">
        <v>2049</v>
      </c>
      <c r="C27" s="113" t="s">
        <v>705</v>
      </c>
      <c r="D27" s="113" t="str">
        <f>IFERROR(VLOOKUP(C27,SKUs!$A$6:$F$1971,6,FALSE()),"")</f>
        <v>CAMISETA COPA MASC.</v>
      </c>
      <c r="E27" s="113">
        <v>14</v>
      </c>
      <c r="F27" s="113">
        <f>IFERROR(IF(OR(B27="",E27=""),"",E27*VLOOKUP(B27,Configurações!$I$5:$J$15,2,FALSE())),"")</f>
        <v>14</v>
      </c>
      <c r="G27" s="113" t="s">
        <v>665</v>
      </c>
      <c r="H27" s="113" t="s">
        <v>2050</v>
      </c>
      <c r="I27" s="113"/>
      <c r="J27" s="113"/>
      <c r="K27" s="113" t="s">
        <v>2051</v>
      </c>
      <c r="L27" s="113"/>
      <c r="M27" s="113" t="s">
        <v>703</v>
      </c>
    </row>
    <row r="28" spans="1:13" ht="12.75" hidden="1" customHeight="1" x14ac:dyDescent="0.3">
      <c r="A28" s="111">
        <v>46160</v>
      </c>
      <c r="B28" s="112" t="s">
        <v>2049</v>
      </c>
      <c r="C28" s="113" t="s">
        <v>706</v>
      </c>
      <c r="D28" s="113" t="str">
        <f>IFERROR(VLOOKUP(C28,SKUs!$A$6:$F$1971,6,FALSE()),"")</f>
        <v>CAMISETA COPA MASC.</v>
      </c>
      <c r="E28" s="113">
        <v>16</v>
      </c>
      <c r="F28" s="113">
        <f>IFERROR(IF(OR(B28="",E28=""),"",E28*VLOOKUP(B28,Configurações!$I$5:$J$15,2,FALSE())),"")</f>
        <v>16</v>
      </c>
      <c r="G28" s="113" t="s">
        <v>665</v>
      </c>
      <c r="H28" s="113" t="s">
        <v>2050</v>
      </c>
      <c r="I28" s="113"/>
      <c r="J28" s="113"/>
      <c r="K28" s="113" t="s">
        <v>2051</v>
      </c>
      <c r="L28" s="113"/>
      <c r="M28" s="113" t="s">
        <v>703</v>
      </c>
    </row>
    <row r="29" spans="1:13" ht="12.75" hidden="1" customHeight="1" x14ac:dyDescent="0.3">
      <c r="A29" s="111">
        <v>46160</v>
      </c>
      <c r="B29" s="112" t="s">
        <v>2049</v>
      </c>
      <c r="C29" s="113" t="s">
        <v>707</v>
      </c>
      <c r="D29" s="113" t="str">
        <f>IFERROR(VLOOKUP(C29,SKUs!$A$6:$F$1971,6,FALSE()),"")</f>
        <v>CAMISETA COPA MASC.</v>
      </c>
      <c r="E29" s="113">
        <v>7</v>
      </c>
      <c r="F29" s="113">
        <f>IFERROR(IF(OR(B29="",E29=""),"",E29*VLOOKUP(B29,Configurações!$I$5:$J$15,2,FALSE())),"")</f>
        <v>7</v>
      </c>
      <c r="G29" s="113" t="s">
        <v>665</v>
      </c>
      <c r="H29" s="113" t="s">
        <v>2050</v>
      </c>
      <c r="I29" s="113"/>
      <c r="J29" s="113"/>
      <c r="K29" s="113" t="s">
        <v>2051</v>
      </c>
      <c r="L29" s="113"/>
      <c r="M29" s="113" t="s">
        <v>703</v>
      </c>
    </row>
    <row r="30" spans="1:13" ht="12.75" hidden="1" customHeight="1" x14ac:dyDescent="0.3">
      <c r="A30" s="111">
        <v>46160</v>
      </c>
      <c r="B30" s="112" t="s">
        <v>2049</v>
      </c>
      <c r="C30" s="113" t="s">
        <v>708</v>
      </c>
      <c r="D30" s="113" t="str">
        <f>IFERROR(VLOOKUP(C30,SKUs!$A$6:$F$1971,6,FALSE()),"")</f>
        <v>JAQUETA COPA MASC.</v>
      </c>
      <c r="E30" s="113">
        <v>9</v>
      </c>
      <c r="F30" s="113">
        <f>IFERROR(IF(OR(B30="",E30=""),"",E30*VLOOKUP(B30,Configurações!$I$5:$J$15,2,FALSE())),"")</f>
        <v>9</v>
      </c>
      <c r="G30" s="113" t="s">
        <v>665</v>
      </c>
      <c r="H30" s="113" t="s">
        <v>2050</v>
      </c>
      <c r="I30" s="113"/>
      <c r="J30" s="113"/>
      <c r="K30" s="113" t="s">
        <v>2051</v>
      </c>
      <c r="L30" s="113"/>
      <c r="M30" s="113" t="s">
        <v>711</v>
      </c>
    </row>
    <row r="31" spans="1:13" ht="12.75" hidden="1" customHeight="1" x14ac:dyDescent="0.3">
      <c r="A31" s="111">
        <v>46160</v>
      </c>
      <c r="B31" s="112" t="s">
        <v>2049</v>
      </c>
      <c r="C31" s="113" t="s">
        <v>712</v>
      </c>
      <c r="D31" s="113" t="str">
        <f>IFERROR(VLOOKUP(C31,SKUs!$A$6:$F$1971,6,FALSE()),"")</f>
        <v>JAQUETA COPA MASC.</v>
      </c>
      <c r="E31" s="113">
        <v>9</v>
      </c>
      <c r="F31" s="113">
        <f>IFERROR(IF(OR(B31="",E31=""),"",E31*VLOOKUP(B31,Configurações!$I$5:$J$15,2,FALSE())),"")</f>
        <v>9</v>
      </c>
      <c r="G31" s="113" t="s">
        <v>665</v>
      </c>
      <c r="H31" s="113" t="s">
        <v>2050</v>
      </c>
      <c r="I31" s="113"/>
      <c r="J31" s="113"/>
      <c r="K31" s="113" t="s">
        <v>2051</v>
      </c>
      <c r="L31" s="113"/>
      <c r="M31" s="113" t="s">
        <v>711</v>
      </c>
    </row>
    <row r="32" spans="1:13" ht="12.75" hidden="1" customHeight="1" x14ac:dyDescent="0.3">
      <c r="A32" s="111">
        <v>46160</v>
      </c>
      <c r="B32" s="112" t="s">
        <v>2049</v>
      </c>
      <c r="C32" s="113" t="s">
        <v>713</v>
      </c>
      <c r="D32" s="113" t="str">
        <f>IFERROR(VLOOKUP(C32,SKUs!$A$6:$F$1971,6,FALSE()),"")</f>
        <v>JAQUETA COPA MASC.</v>
      </c>
      <c r="E32" s="113">
        <v>4</v>
      </c>
      <c r="F32" s="113">
        <f>IFERROR(IF(OR(B32="",E32=""),"",E32*VLOOKUP(B32,Configurações!$I$5:$J$15,2,FALSE())),"")</f>
        <v>4</v>
      </c>
      <c r="G32" s="113" t="s">
        <v>665</v>
      </c>
      <c r="H32" s="113" t="s">
        <v>2050</v>
      </c>
      <c r="I32" s="113"/>
      <c r="J32" s="113"/>
      <c r="K32" s="113" t="s">
        <v>2051</v>
      </c>
      <c r="L32" s="113"/>
      <c r="M32" s="113" t="s">
        <v>714</v>
      </c>
    </row>
    <row r="33" spans="1:13" ht="12.75" hidden="1" customHeight="1" x14ac:dyDescent="0.3">
      <c r="A33" s="111">
        <v>46160</v>
      </c>
      <c r="B33" s="112" t="s">
        <v>2049</v>
      </c>
      <c r="C33" s="113" t="s">
        <v>715</v>
      </c>
      <c r="D33" s="113" t="str">
        <f>IFERROR(VLOOKUP(C33,SKUs!$A$6:$F$1971,6,FALSE()),"")</f>
        <v>JAQUETA COPA MASC.</v>
      </c>
      <c r="E33" s="113">
        <v>17</v>
      </c>
      <c r="F33" s="113">
        <f>IFERROR(IF(OR(B33="",E33=""),"",E33*VLOOKUP(B33,Configurações!$I$5:$J$15,2,FALSE())),"")</f>
        <v>17</v>
      </c>
      <c r="G33" s="113" t="s">
        <v>665</v>
      </c>
      <c r="H33" s="113" t="s">
        <v>2050</v>
      </c>
      <c r="I33" s="113"/>
      <c r="J33" s="113"/>
      <c r="K33" s="113" t="s">
        <v>2051</v>
      </c>
      <c r="L33" s="113"/>
      <c r="M33" s="113" t="s">
        <v>714</v>
      </c>
    </row>
    <row r="34" spans="1:13" ht="12.75" hidden="1" customHeight="1" x14ac:dyDescent="0.3">
      <c r="A34" s="111">
        <v>46160</v>
      </c>
      <c r="B34" s="112" t="s">
        <v>2049</v>
      </c>
      <c r="C34" s="113" t="s">
        <v>713</v>
      </c>
      <c r="D34" s="113" t="str">
        <f>IFERROR(VLOOKUP(C34,SKUs!$A$6:$F$1971,6,FALSE()),"")</f>
        <v>JAQUETA COPA MASC.</v>
      </c>
      <c r="E34" s="113">
        <v>4</v>
      </c>
      <c r="F34" s="113">
        <f>IFERROR(IF(OR(B34="",E34=""),"",E34*VLOOKUP(B34,Configurações!$I$5:$J$15,2,FALSE())),"")</f>
        <v>4</v>
      </c>
      <c r="G34" s="113" t="s">
        <v>665</v>
      </c>
      <c r="H34" s="113" t="s">
        <v>2050</v>
      </c>
      <c r="I34" s="113"/>
      <c r="J34" s="113"/>
      <c r="K34" s="113" t="s">
        <v>2051</v>
      </c>
      <c r="L34" s="113"/>
      <c r="M34" s="113" t="s">
        <v>711</v>
      </c>
    </row>
    <row r="35" spans="1:13" ht="12.75" hidden="1" customHeight="1" x14ac:dyDescent="0.3">
      <c r="A35" s="111">
        <v>46160</v>
      </c>
      <c r="B35" s="112" t="s">
        <v>2049</v>
      </c>
      <c r="C35" s="113" t="s">
        <v>716</v>
      </c>
      <c r="D35" s="113" t="str">
        <f>IFERROR(VLOOKUP(C35,SKUs!$A$6:$F$1971,6,FALSE()),"")</f>
        <v>JAQUETA COPA MASC.</v>
      </c>
      <c r="E35" s="113">
        <v>16</v>
      </c>
      <c r="F35" s="113">
        <f>IFERROR(IF(OR(B35="",E35=""),"",E35*VLOOKUP(B35,Configurações!$I$5:$J$15,2,FALSE())),"")</f>
        <v>16</v>
      </c>
      <c r="G35" s="113" t="s">
        <v>665</v>
      </c>
      <c r="H35" s="113" t="s">
        <v>2050</v>
      </c>
      <c r="I35" s="113"/>
      <c r="J35" s="113"/>
      <c r="K35" s="113" t="s">
        <v>2051</v>
      </c>
      <c r="L35" s="113"/>
      <c r="M35" s="113" t="s">
        <v>717</v>
      </c>
    </row>
    <row r="36" spans="1:13" ht="12.75" hidden="1" customHeight="1" x14ac:dyDescent="0.3">
      <c r="A36" s="111">
        <v>46160</v>
      </c>
      <c r="B36" s="112" t="s">
        <v>2049</v>
      </c>
      <c r="C36" s="113" t="s">
        <v>718</v>
      </c>
      <c r="D36" s="113" t="str">
        <f>IFERROR(VLOOKUP(C36,SKUs!$A$6:$F$1971,6,FALSE()),"")</f>
        <v>JAQUETA COPA MASC.</v>
      </c>
      <c r="E36" s="113">
        <v>10</v>
      </c>
      <c r="F36" s="113">
        <f>IFERROR(IF(OR(B36="",E36=""),"",E36*VLOOKUP(B36,Configurações!$I$5:$J$15,2,FALSE())),"")</f>
        <v>10</v>
      </c>
      <c r="G36" s="113" t="s">
        <v>665</v>
      </c>
      <c r="H36" s="113" t="s">
        <v>2050</v>
      </c>
      <c r="I36" s="113"/>
      <c r="J36" s="113"/>
      <c r="K36" s="113" t="s">
        <v>2051</v>
      </c>
      <c r="L36" s="113"/>
      <c r="M36" s="113" t="s">
        <v>720</v>
      </c>
    </row>
    <row r="37" spans="1:13" ht="12.75" hidden="1" customHeight="1" x14ac:dyDescent="0.3">
      <c r="A37" s="111">
        <v>46160</v>
      </c>
      <c r="B37" s="112" t="s">
        <v>2049</v>
      </c>
      <c r="C37" s="113" t="s">
        <v>721</v>
      </c>
      <c r="D37" s="113" t="str">
        <f>IFERROR(VLOOKUP(C37,SKUs!$A$6:$F$1971,6,FALSE()),"")</f>
        <v>JAQUETA COPA MASC.</v>
      </c>
      <c r="E37" s="113">
        <v>10</v>
      </c>
      <c r="F37" s="113">
        <f>IFERROR(IF(OR(B37="",E37=""),"",E37*VLOOKUP(B37,Configurações!$I$5:$J$15,2,FALSE())),"")</f>
        <v>10</v>
      </c>
      <c r="G37" s="113" t="s">
        <v>665</v>
      </c>
      <c r="H37" s="113" t="s">
        <v>2050</v>
      </c>
      <c r="I37" s="113"/>
      <c r="J37" s="113"/>
      <c r="K37" s="113" t="s">
        <v>2051</v>
      </c>
      <c r="L37" s="113"/>
      <c r="M37" s="113" t="s">
        <v>720</v>
      </c>
    </row>
    <row r="38" spans="1:13" ht="12.75" hidden="1" customHeight="1" x14ac:dyDescent="0.3">
      <c r="A38" s="111">
        <v>46160</v>
      </c>
      <c r="B38" s="112" t="s">
        <v>2049</v>
      </c>
      <c r="C38" s="113" t="s">
        <v>722</v>
      </c>
      <c r="D38" s="113" t="str">
        <f>IFERROR(VLOOKUP(C38,SKUs!$A$6:$F$1971,6,FALSE()),"")</f>
        <v>JAQUETA COPA MASC.</v>
      </c>
      <c r="E38" s="113">
        <v>10</v>
      </c>
      <c r="F38" s="113">
        <f>IFERROR(IF(OR(B38="",E38=""),"",E38*VLOOKUP(B38,Configurações!$I$5:$J$15,2,FALSE())),"")</f>
        <v>10</v>
      </c>
      <c r="G38" s="113" t="s">
        <v>665</v>
      </c>
      <c r="H38" s="113" t="s">
        <v>2050</v>
      </c>
      <c r="I38" s="113"/>
      <c r="J38" s="113"/>
      <c r="K38" s="113" t="s">
        <v>2051</v>
      </c>
      <c r="L38" s="113"/>
      <c r="M38" s="113" t="s">
        <v>723</v>
      </c>
    </row>
    <row r="39" spans="1:13" ht="12.75" hidden="1" customHeight="1" x14ac:dyDescent="0.3">
      <c r="A39" s="111">
        <v>46160</v>
      </c>
      <c r="B39" s="112" t="s">
        <v>2049</v>
      </c>
      <c r="C39" s="113" t="s">
        <v>724</v>
      </c>
      <c r="D39" s="113" t="str">
        <f>IFERROR(VLOOKUP(C39,SKUs!$A$6:$F$1971,6,FALSE()),"")</f>
        <v>JAQUETA COPA MASC.</v>
      </c>
      <c r="E39" s="113">
        <v>9</v>
      </c>
      <c r="F39" s="113">
        <f>IFERROR(IF(OR(B39="",E39=""),"",E39*VLOOKUP(B39,Configurações!$I$5:$J$15,2,FALSE())),"")</f>
        <v>9</v>
      </c>
      <c r="G39" s="113" t="s">
        <v>665</v>
      </c>
      <c r="H39" s="113" t="s">
        <v>2050</v>
      </c>
      <c r="I39" s="113"/>
      <c r="J39" s="113"/>
      <c r="K39" s="113" t="s">
        <v>2051</v>
      </c>
      <c r="L39" s="113"/>
      <c r="M39" s="113" t="s">
        <v>723</v>
      </c>
    </row>
    <row r="40" spans="1:13" ht="12.75" hidden="1" customHeight="1" x14ac:dyDescent="0.3">
      <c r="A40" s="111">
        <v>46191</v>
      </c>
      <c r="B40" s="112" t="s">
        <v>2049</v>
      </c>
      <c r="C40" s="113" t="s">
        <v>725</v>
      </c>
      <c r="D40" s="113" t="str">
        <f>IFERROR(VLOOKUP(C40,SKUs!$A$6:$F$1971,6,FALSE()),"")</f>
        <v>JAQUETA COPA MASC.</v>
      </c>
      <c r="E40" s="113">
        <v>10</v>
      </c>
      <c r="F40" s="113">
        <f>IFERROR(IF(OR(B40="",E40=""),"",E40*VLOOKUP(B40,Configurações!$I$5:$J$15,2,FALSE())),"")</f>
        <v>10</v>
      </c>
      <c r="G40" s="113" t="s">
        <v>665</v>
      </c>
      <c r="H40" s="113" t="s">
        <v>2050</v>
      </c>
      <c r="I40" s="113"/>
      <c r="J40" s="113"/>
      <c r="K40" s="113" t="s">
        <v>2051</v>
      </c>
      <c r="L40" s="113"/>
      <c r="M40" s="113" t="s">
        <v>726</v>
      </c>
    </row>
    <row r="41" spans="1:13" ht="12.75" hidden="1" customHeight="1" x14ac:dyDescent="0.3">
      <c r="A41" s="111">
        <v>46191</v>
      </c>
      <c r="B41" s="112" t="s">
        <v>2049</v>
      </c>
      <c r="C41" s="113" t="s">
        <v>727</v>
      </c>
      <c r="D41" s="113" t="str">
        <f>IFERROR(VLOOKUP(C41,SKUs!$A$6:$F$1971,6,FALSE()),"")</f>
        <v>JAQUETA COPA MASC.</v>
      </c>
      <c r="E41" s="113">
        <v>10</v>
      </c>
      <c r="F41" s="113">
        <f>IFERROR(IF(OR(B41="",E41=""),"",E41*VLOOKUP(B41,Configurações!$I$5:$J$15,2,FALSE())),"")</f>
        <v>10</v>
      </c>
      <c r="G41" s="113" t="s">
        <v>665</v>
      </c>
      <c r="H41" s="113" t="s">
        <v>2050</v>
      </c>
      <c r="I41" s="113"/>
      <c r="J41" s="113"/>
      <c r="K41" s="113" t="s">
        <v>2051</v>
      </c>
      <c r="L41" s="113"/>
      <c r="M41" s="113" t="s">
        <v>728</v>
      </c>
    </row>
    <row r="42" spans="1:13" ht="12.75" hidden="1" customHeight="1" x14ac:dyDescent="0.3">
      <c r="A42" s="111">
        <v>46191</v>
      </c>
      <c r="B42" s="112" t="s">
        <v>2049</v>
      </c>
      <c r="C42" s="113" t="s">
        <v>729</v>
      </c>
      <c r="D42" s="113" t="str">
        <f>IFERROR(VLOOKUP(C42,SKUs!$A$6:$F$1971,6,FALSE()),"")</f>
        <v>JAQUETA COPA MASC.</v>
      </c>
      <c r="E42" s="113">
        <v>10</v>
      </c>
      <c r="F42" s="113">
        <f>IFERROR(IF(OR(B42="",E42=""),"",E42*VLOOKUP(B42,Configurações!$I$5:$J$15,2,FALSE())),"")</f>
        <v>10</v>
      </c>
      <c r="G42" s="113" t="s">
        <v>665</v>
      </c>
      <c r="H42" s="113" t="s">
        <v>2050</v>
      </c>
      <c r="I42" s="113"/>
      <c r="J42" s="113"/>
      <c r="K42" s="113" t="s">
        <v>2051</v>
      </c>
      <c r="L42" s="113"/>
      <c r="M42" s="113" t="s">
        <v>728</v>
      </c>
    </row>
    <row r="43" spans="1:13" ht="12.75" hidden="1" customHeight="1" x14ac:dyDescent="0.3">
      <c r="A43" s="111">
        <v>46191</v>
      </c>
      <c r="B43" s="112" t="s">
        <v>2049</v>
      </c>
      <c r="C43" s="113" t="s">
        <v>730</v>
      </c>
      <c r="D43" s="113" t="str">
        <f>IFERROR(VLOOKUP(C43,SKUs!$A$6:$F$1971,6,FALSE()),"")</f>
        <v>JAQUETA COPA MASC.</v>
      </c>
      <c r="E43" s="113">
        <v>8</v>
      </c>
      <c r="F43" s="113">
        <f>IFERROR(IF(OR(B43="",E43=""),"",E43*VLOOKUP(B43,Configurações!$I$5:$J$15,2,FALSE())),"")</f>
        <v>8</v>
      </c>
      <c r="G43" s="113" t="s">
        <v>665</v>
      </c>
      <c r="H43" s="113" t="s">
        <v>2050</v>
      </c>
      <c r="I43" s="113"/>
      <c r="J43" s="113"/>
      <c r="K43" s="113" t="s">
        <v>2051</v>
      </c>
      <c r="L43" s="113"/>
      <c r="M43" s="113" t="s">
        <v>731</v>
      </c>
    </row>
    <row r="44" spans="1:13" ht="12.75" hidden="1" customHeight="1" x14ac:dyDescent="0.3">
      <c r="A44" s="111">
        <v>46191</v>
      </c>
      <c r="B44" s="112" t="s">
        <v>2049</v>
      </c>
      <c r="C44" s="113" t="s">
        <v>732</v>
      </c>
      <c r="D44" s="113" t="str">
        <f>IFERROR(VLOOKUP(C44,SKUs!$A$6:$F$1971,6,FALSE()),"")</f>
        <v>JAQUETA COPA MASC.</v>
      </c>
      <c r="E44" s="113">
        <v>9</v>
      </c>
      <c r="F44" s="113">
        <f>IFERROR(IF(OR(B44="",E44=""),"",E44*VLOOKUP(B44,Configurações!$I$5:$J$15,2,FALSE())),"")</f>
        <v>9</v>
      </c>
      <c r="G44" s="113" t="s">
        <v>665</v>
      </c>
      <c r="H44" s="113" t="s">
        <v>2050</v>
      </c>
      <c r="I44" s="113"/>
      <c r="J44" s="113"/>
      <c r="K44" s="113" t="s">
        <v>2051</v>
      </c>
      <c r="L44" s="113"/>
      <c r="M44" s="113" t="s">
        <v>731</v>
      </c>
    </row>
    <row r="45" spans="1:13" ht="12.75" hidden="1" customHeight="1" x14ac:dyDescent="0.3">
      <c r="A45" s="111">
        <v>46191</v>
      </c>
      <c r="B45" s="112" t="s">
        <v>2049</v>
      </c>
      <c r="C45" s="113" t="s">
        <v>733</v>
      </c>
      <c r="D45" s="113" t="str">
        <f>IFERROR(VLOOKUP(C45,SKUs!$A$6:$F$1971,6,FALSE()),"")</f>
        <v>JAQUETA COPA MASC.</v>
      </c>
      <c r="E45" s="113">
        <v>11</v>
      </c>
      <c r="F45" s="113">
        <f>IFERROR(IF(OR(B45="",E45=""),"",E45*VLOOKUP(B45,Configurações!$I$5:$J$15,2,FALSE())),"")</f>
        <v>11</v>
      </c>
      <c r="G45" s="113" t="s">
        <v>665</v>
      </c>
      <c r="H45" s="113" t="s">
        <v>2050</v>
      </c>
      <c r="I45" s="113"/>
      <c r="J45" s="113"/>
      <c r="K45" s="113" t="s">
        <v>2051</v>
      </c>
      <c r="L45" s="113"/>
      <c r="M45" s="113" t="s">
        <v>731</v>
      </c>
    </row>
    <row r="46" spans="1:13" ht="12.75" hidden="1" customHeight="1" x14ac:dyDescent="0.3">
      <c r="A46" s="111">
        <v>46191</v>
      </c>
      <c r="B46" s="112" t="s">
        <v>2049</v>
      </c>
      <c r="C46" s="113" t="s">
        <v>734</v>
      </c>
      <c r="D46" s="113" t="str">
        <f>IFERROR(VLOOKUP(C46,SKUs!$A$6:$F$1971,6,FALSE()),"")</f>
        <v>JAQUETA COPA MASC.</v>
      </c>
      <c r="E46" s="113">
        <v>9</v>
      </c>
      <c r="F46" s="113">
        <f>IFERROR(IF(OR(B46="",E46=""),"",E46*VLOOKUP(B46,Configurações!$I$5:$J$15,2,FALSE())),"")</f>
        <v>9</v>
      </c>
      <c r="G46" s="113" t="s">
        <v>665</v>
      </c>
      <c r="H46" s="113" t="s">
        <v>2050</v>
      </c>
      <c r="I46" s="113"/>
      <c r="J46" s="113"/>
      <c r="K46" s="113" t="s">
        <v>2051</v>
      </c>
      <c r="L46" s="113"/>
      <c r="M46" s="113" t="s">
        <v>736</v>
      </c>
    </row>
    <row r="47" spans="1:13" ht="12.75" hidden="1" customHeight="1" x14ac:dyDescent="0.3">
      <c r="A47" s="111">
        <v>46160</v>
      </c>
      <c r="B47" s="112" t="s">
        <v>2049</v>
      </c>
      <c r="C47" s="113" t="s">
        <v>737</v>
      </c>
      <c r="D47" s="113" t="str">
        <f>IFERROR(VLOOKUP(C47,SKUs!$A$6:$F$1971,6,FALSE()),"")</f>
        <v>JAQUETA COPA MASC.</v>
      </c>
      <c r="E47" s="113">
        <v>8</v>
      </c>
      <c r="F47" s="113">
        <f>IFERROR(IF(OR(B47="",E47=""),"",E47*VLOOKUP(B47,Configurações!$I$5:$J$15,2,FALSE())),"")</f>
        <v>8</v>
      </c>
      <c r="G47" s="113" t="s">
        <v>665</v>
      </c>
      <c r="H47" s="113" t="s">
        <v>2050</v>
      </c>
      <c r="I47" s="113"/>
      <c r="J47" s="113"/>
      <c r="K47" s="113" t="s">
        <v>2051</v>
      </c>
      <c r="L47" s="113"/>
      <c r="M47" s="113" t="s">
        <v>739</v>
      </c>
    </row>
    <row r="48" spans="1:13" ht="12.75" hidden="1" customHeight="1" x14ac:dyDescent="0.3">
      <c r="A48" s="111">
        <v>46160</v>
      </c>
      <c r="B48" s="112" t="s">
        <v>2049</v>
      </c>
      <c r="C48" s="113" t="s">
        <v>740</v>
      </c>
      <c r="D48" s="113" t="str">
        <f>IFERROR(VLOOKUP(C48,SKUs!$A$6:$F$1971,6,FALSE()),"")</f>
        <v>JAQUETA COPA MASC.</v>
      </c>
      <c r="E48" s="113">
        <v>11</v>
      </c>
      <c r="F48" s="113">
        <f>IFERROR(IF(OR(B48="",E48=""),"",E48*VLOOKUP(B48,Configurações!$I$5:$J$15,2,FALSE())),"")</f>
        <v>11</v>
      </c>
      <c r="G48" s="113" t="s">
        <v>665</v>
      </c>
      <c r="H48" s="113" t="s">
        <v>2050</v>
      </c>
      <c r="I48" s="113"/>
      <c r="J48" s="113"/>
      <c r="K48" s="113" t="s">
        <v>2051</v>
      </c>
      <c r="L48" s="113"/>
      <c r="M48" s="113" t="s">
        <v>736</v>
      </c>
    </row>
    <row r="49" spans="1:13" ht="12.75" hidden="1" customHeight="1" x14ac:dyDescent="0.3">
      <c r="A49" s="111">
        <v>46160</v>
      </c>
      <c r="B49" s="112" t="s">
        <v>2049</v>
      </c>
      <c r="C49" s="113" t="s">
        <v>741</v>
      </c>
      <c r="D49" s="113" t="str">
        <f>IFERROR(VLOOKUP(C49,SKUs!$A$6:$F$1971,6,FALSE()),"")</f>
        <v>JAQUETA COPA MASC.</v>
      </c>
      <c r="E49" s="113">
        <v>9</v>
      </c>
      <c r="F49" s="113">
        <f>IFERROR(IF(OR(B49="",E49=""),"",E49*VLOOKUP(B49,Configurações!$I$5:$J$15,2,FALSE())),"")</f>
        <v>9</v>
      </c>
      <c r="G49" s="113" t="s">
        <v>665</v>
      </c>
      <c r="H49" s="113" t="s">
        <v>2050</v>
      </c>
      <c r="I49" s="113"/>
      <c r="J49" s="113"/>
      <c r="K49" s="113" t="s">
        <v>2051</v>
      </c>
      <c r="L49" s="113"/>
      <c r="M49" s="113" t="s">
        <v>739</v>
      </c>
    </row>
    <row r="50" spans="1:13" ht="12.75" hidden="1" customHeight="1" x14ac:dyDescent="0.3">
      <c r="A50" s="111">
        <v>46160</v>
      </c>
      <c r="B50" s="112" t="s">
        <v>2049</v>
      </c>
      <c r="C50" s="113" t="s">
        <v>742</v>
      </c>
      <c r="D50" s="113" t="str">
        <f>IFERROR(VLOOKUP(C50,SKUs!$A$6:$F$1971,6,FALSE()),"")</f>
        <v>JAQUETA COPA MASC.</v>
      </c>
      <c r="E50" s="113">
        <v>8</v>
      </c>
      <c r="F50" s="113">
        <f>IFERROR(IF(OR(B50="",E50=""),"",E50*VLOOKUP(B50,Configurações!$I$5:$J$15,2,FALSE())),"")</f>
        <v>8</v>
      </c>
      <c r="G50" s="113" t="s">
        <v>665</v>
      </c>
      <c r="H50" s="113" t="s">
        <v>2050</v>
      </c>
      <c r="I50" s="113"/>
      <c r="J50" s="113"/>
      <c r="K50" s="113" t="s">
        <v>2051</v>
      </c>
      <c r="L50" s="113"/>
      <c r="M50" s="113" t="s">
        <v>739</v>
      </c>
    </row>
    <row r="51" spans="1:13" ht="12.75" hidden="1" customHeight="1" x14ac:dyDescent="0.3">
      <c r="A51" s="111">
        <v>46160</v>
      </c>
      <c r="B51" s="112" t="s">
        <v>2049</v>
      </c>
      <c r="C51" s="113" t="s">
        <v>743</v>
      </c>
      <c r="D51" s="113" t="str">
        <f>IFERROR(VLOOKUP(C51,SKUs!$A$6:$F$1971,6,FALSE()),"")</f>
        <v>CAMISETA COPA MASC.</v>
      </c>
      <c r="E51" s="113">
        <v>12</v>
      </c>
      <c r="F51" s="113">
        <f>IFERROR(IF(OR(B51="",E51=""),"",E51*VLOOKUP(B51,Configurações!$I$5:$J$15,2,FALSE())),"")</f>
        <v>12</v>
      </c>
      <c r="G51" s="113" t="s">
        <v>665</v>
      </c>
      <c r="H51" s="113" t="s">
        <v>2050</v>
      </c>
      <c r="I51" s="113"/>
      <c r="J51" s="113"/>
      <c r="K51" s="113" t="s">
        <v>2051</v>
      </c>
      <c r="L51" s="113"/>
      <c r="M51" s="113" t="s">
        <v>745</v>
      </c>
    </row>
    <row r="52" spans="1:13" ht="12.75" hidden="1" customHeight="1" x14ac:dyDescent="0.3">
      <c r="A52" s="111">
        <v>46160</v>
      </c>
      <c r="B52" s="112" t="s">
        <v>2049</v>
      </c>
      <c r="C52" s="113" t="s">
        <v>748</v>
      </c>
      <c r="D52" s="113" t="str">
        <f>IFERROR(VLOOKUP(C52,SKUs!$A$6:$F$1971,6,FALSE()),"")</f>
        <v>CAMISETA COPA MASC.</v>
      </c>
      <c r="E52" s="113">
        <v>13</v>
      </c>
      <c r="F52" s="113">
        <f>IFERROR(IF(OR(B52="",E52=""),"",E52*VLOOKUP(B52,Configurações!$I$5:$J$15,2,FALSE())),"")</f>
        <v>13</v>
      </c>
      <c r="G52" s="113" t="s">
        <v>665</v>
      </c>
      <c r="H52" s="113" t="s">
        <v>2050</v>
      </c>
      <c r="I52" s="113"/>
      <c r="J52" s="113"/>
      <c r="K52" s="113" t="s">
        <v>2051</v>
      </c>
      <c r="L52" s="113"/>
      <c r="M52" s="113" t="s">
        <v>745</v>
      </c>
    </row>
    <row r="53" spans="1:13" ht="12.75" hidden="1" customHeight="1" x14ac:dyDescent="0.3">
      <c r="A53" s="111">
        <v>46160</v>
      </c>
      <c r="B53" s="112" t="s">
        <v>2049</v>
      </c>
      <c r="C53" s="113" t="s">
        <v>749</v>
      </c>
      <c r="D53" s="113" t="str">
        <f>IFERROR(VLOOKUP(C53,SKUs!$A$6:$F$1971,6,FALSE()),"")</f>
        <v>CAMISETA COPA MASC.</v>
      </c>
      <c r="E53" s="113">
        <v>13</v>
      </c>
      <c r="F53" s="113">
        <f>IFERROR(IF(OR(B53="",E53=""),"",E53*VLOOKUP(B53,Configurações!$I$5:$J$15,2,FALSE())),"")</f>
        <v>13</v>
      </c>
      <c r="G53" s="113" t="s">
        <v>665</v>
      </c>
      <c r="H53" s="113" t="s">
        <v>2050</v>
      </c>
      <c r="I53" s="113"/>
      <c r="J53" s="113"/>
      <c r="K53" s="113" t="s">
        <v>2051</v>
      </c>
      <c r="L53" s="113"/>
      <c r="M53" s="113" t="s">
        <v>745</v>
      </c>
    </row>
    <row r="54" spans="1:13" ht="12.75" hidden="1" customHeight="1" x14ac:dyDescent="0.3">
      <c r="A54" s="111">
        <v>46160</v>
      </c>
      <c r="B54" s="112" t="s">
        <v>2049</v>
      </c>
      <c r="C54" s="113" t="s">
        <v>750</v>
      </c>
      <c r="D54" s="113" t="str">
        <f>IFERROR(VLOOKUP(C54,SKUs!$A$6:$F$1971,6,FALSE()),"")</f>
        <v>CAMISETA COPA MASC.</v>
      </c>
      <c r="E54" s="113">
        <v>13</v>
      </c>
      <c r="F54" s="113">
        <f>IFERROR(IF(OR(B54="",E54=""),"",E54*VLOOKUP(B54,Configurações!$I$5:$J$15,2,FALSE())),"")</f>
        <v>13</v>
      </c>
      <c r="G54" s="113" t="s">
        <v>665</v>
      </c>
      <c r="H54" s="113" t="s">
        <v>2050</v>
      </c>
      <c r="I54" s="113"/>
      <c r="J54" s="113"/>
      <c r="K54" s="113" t="s">
        <v>2051</v>
      </c>
      <c r="L54" s="113"/>
      <c r="M54" s="113" t="s">
        <v>745</v>
      </c>
    </row>
    <row r="55" spans="1:13" ht="12.75" hidden="1" customHeight="1" x14ac:dyDescent="0.3">
      <c r="A55" s="111">
        <v>46160</v>
      </c>
      <c r="B55" s="112" t="s">
        <v>2049</v>
      </c>
      <c r="C55" s="113" t="s">
        <v>751</v>
      </c>
      <c r="D55" s="113" t="str">
        <f>IFERROR(VLOOKUP(C55,SKUs!$A$6:$F$1971,6,FALSE()),"")</f>
        <v>CAMISETA COPA MASC.</v>
      </c>
      <c r="E55" s="113">
        <v>10</v>
      </c>
      <c r="F55" s="113">
        <f>IFERROR(IF(OR(B55="",E55=""),"",E55*VLOOKUP(B55,Configurações!$I$5:$J$15,2,FALSE())),"")</f>
        <v>10</v>
      </c>
      <c r="G55" s="113" t="s">
        <v>665</v>
      </c>
      <c r="H55" s="113" t="s">
        <v>2050</v>
      </c>
      <c r="I55" s="113"/>
      <c r="J55" s="113"/>
      <c r="K55" s="113" t="s">
        <v>2051</v>
      </c>
      <c r="L55" s="113"/>
      <c r="M55" s="113" t="s">
        <v>745</v>
      </c>
    </row>
    <row r="56" spans="1:13" ht="12.75" hidden="1" customHeight="1" x14ac:dyDescent="0.3">
      <c r="A56" s="111">
        <v>46160</v>
      </c>
      <c r="B56" s="112" t="s">
        <v>2049</v>
      </c>
      <c r="C56" s="113" t="s">
        <v>752</v>
      </c>
      <c r="D56" s="113" t="str">
        <f>IFERROR(VLOOKUP(C56,SKUs!$A$6:$F$1971,6,FALSE()),"")</f>
        <v>CAMISETA COPA MASC.</v>
      </c>
      <c r="E56" s="113">
        <v>4</v>
      </c>
      <c r="F56" s="113">
        <f>IFERROR(IF(OR(B56="",E56=""),"",E56*VLOOKUP(B56,Configurações!$I$5:$J$15,2,FALSE())),"")</f>
        <v>4</v>
      </c>
      <c r="G56" s="113" t="s">
        <v>665</v>
      </c>
      <c r="H56" s="113" t="s">
        <v>2050</v>
      </c>
      <c r="I56" s="113"/>
      <c r="J56" s="113"/>
      <c r="K56" s="113" t="s">
        <v>2051</v>
      </c>
      <c r="L56" s="113"/>
      <c r="M56" s="113" t="s">
        <v>745</v>
      </c>
    </row>
    <row r="57" spans="1:13" ht="12.75" hidden="1" customHeight="1" x14ac:dyDescent="0.3">
      <c r="A57" s="111">
        <v>46160</v>
      </c>
      <c r="B57" s="112" t="s">
        <v>2049</v>
      </c>
      <c r="C57" s="113" t="s">
        <v>753</v>
      </c>
      <c r="D57" s="113" t="str">
        <f>IFERROR(VLOOKUP(C57,SKUs!$A$6:$F$1971,6,FALSE()),"")</f>
        <v>POLO PIQUET MASC.</v>
      </c>
      <c r="E57" s="113">
        <v>5</v>
      </c>
      <c r="F57" s="113">
        <f>IFERROR(IF(OR(B57="",E57=""),"",E57*VLOOKUP(B57,Configurações!$I$5:$J$15,2,FALSE())),"")</f>
        <v>5</v>
      </c>
      <c r="G57" s="113" t="s">
        <v>665</v>
      </c>
      <c r="H57" s="113" t="s">
        <v>2050</v>
      </c>
      <c r="I57" s="113"/>
      <c r="J57" s="113"/>
      <c r="K57" s="113" t="s">
        <v>2051</v>
      </c>
      <c r="L57" s="113"/>
      <c r="M57" s="113" t="s">
        <v>757</v>
      </c>
    </row>
    <row r="58" spans="1:13" ht="12.75" hidden="1" customHeight="1" x14ac:dyDescent="0.3">
      <c r="A58" s="111">
        <v>46160</v>
      </c>
      <c r="B58" s="112" t="s">
        <v>2049</v>
      </c>
      <c r="C58" s="113" t="s">
        <v>758</v>
      </c>
      <c r="D58" s="113" t="str">
        <f>IFERROR(VLOOKUP(C58,SKUs!$A$6:$F$1971,6,FALSE()),"")</f>
        <v>POLO PIQUET MASC.</v>
      </c>
      <c r="E58" s="113">
        <v>8</v>
      </c>
      <c r="F58" s="113">
        <f>IFERROR(IF(OR(B58="",E58=""),"",E58*VLOOKUP(B58,Configurações!$I$5:$J$15,2,FALSE())),"")</f>
        <v>8</v>
      </c>
      <c r="G58" s="113" t="s">
        <v>665</v>
      </c>
      <c r="H58" s="113" t="s">
        <v>2050</v>
      </c>
      <c r="I58" s="113"/>
      <c r="J58" s="113"/>
      <c r="K58" s="113" t="s">
        <v>2051</v>
      </c>
      <c r="L58" s="113"/>
      <c r="M58" s="113" t="s">
        <v>759</v>
      </c>
    </row>
    <row r="59" spans="1:13" ht="12.75" hidden="1" customHeight="1" x14ac:dyDescent="0.3">
      <c r="A59" s="111">
        <v>46160</v>
      </c>
      <c r="B59" s="112" t="s">
        <v>2049</v>
      </c>
      <c r="C59" s="113" t="s">
        <v>760</v>
      </c>
      <c r="D59" s="113" t="str">
        <f>IFERROR(VLOOKUP(C59,SKUs!$A$6:$F$1971,6,FALSE()),"")</f>
        <v>POLO PIQUET MASC.</v>
      </c>
      <c r="E59" s="113">
        <v>26</v>
      </c>
      <c r="F59" s="113">
        <f>IFERROR(IF(OR(B59="",E59=""),"",E59*VLOOKUP(B59,Configurações!$I$5:$J$15,2,FALSE())),"")</f>
        <v>26</v>
      </c>
      <c r="G59" s="113" t="s">
        <v>665</v>
      </c>
      <c r="H59" s="113" t="s">
        <v>2050</v>
      </c>
      <c r="I59" s="113"/>
      <c r="J59" s="113"/>
      <c r="K59" s="113" t="s">
        <v>2051</v>
      </c>
      <c r="L59" s="113"/>
      <c r="M59" s="113" t="s">
        <v>759</v>
      </c>
    </row>
    <row r="60" spans="1:13" ht="12.75" hidden="1" customHeight="1" x14ac:dyDescent="0.3">
      <c r="A60" s="111">
        <v>46160</v>
      </c>
      <c r="B60" s="112" t="s">
        <v>2049</v>
      </c>
      <c r="C60" s="113" t="s">
        <v>761</v>
      </c>
      <c r="D60" s="113" t="str">
        <f>IFERROR(VLOOKUP(C60,SKUs!$A$6:$F$1971,6,FALSE()),"")</f>
        <v>POLO PIQUET MASC.</v>
      </c>
      <c r="E60" s="113">
        <v>29</v>
      </c>
      <c r="F60" s="113">
        <f>IFERROR(IF(OR(B60="",E60=""),"",E60*VLOOKUP(B60,Configurações!$I$5:$J$15,2,FALSE())),"")</f>
        <v>29</v>
      </c>
      <c r="G60" s="113" t="s">
        <v>665</v>
      </c>
      <c r="H60" s="113" t="s">
        <v>2050</v>
      </c>
      <c r="I60" s="113"/>
      <c r="J60" s="113"/>
      <c r="K60" s="113" t="s">
        <v>2051</v>
      </c>
      <c r="L60" s="113"/>
      <c r="M60" s="113" t="s">
        <v>757</v>
      </c>
    </row>
    <row r="61" spans="1:13" ht="12.75" hidden="1" customHeight="1" x14ac:dyDescent="0.3">
      <c r="A61" s="111">
        <v>46160</v>
      </c>
      <c r="B61" s="112" t="s">
        <v>2049</v>
      </c>
      <c r="C61" s="113" t="s">
        <v>762</v>
      </c>
      <c r="D61" s="113" t="str">
        <f>IFERROR(VLOOKUP(C61,SKUs!$A$6:$F$1971,6,FALSE()),"")</f>
        <v>POLO PIQUET MASC.</v>
      </c>
      <c r="E61" s="113">
        <v>5</v>
      </c>
      <c r="F61" s="113">
        <f>IFERROR(IF(OR(B61="",E61=""),"",E61*VLOOKUP(B61,Configurações!$I$5:$J$15,2,FALSE())),"")</f>
        <v>5</v>
      </c>
      <c r="G61" s="113" t="s">
        <v>665</v>
      </c>
      <c r="H61" s="113" t="s">
        <v>2050</v>
      </c>
      <c r="I61" s="113"/>
      <c r="J61" s="113"/>
      <c r="K61" s="113" t="s">
        <v>2051</v>
      </c>
      <c r="L61" s="113"/>
      <c r="M61" s="113" t="s">
        <v>759</v>
      </c>
    </row>
    <row r="62" spans="1:13" ht="12.75" hidden="1" customHeight="1" x14ac:dyDescent="0.3">
      <c r="A62" s="111">
        <v>46160</v>
      </c>
      <c r="B62" s="112" t="s">
        <v>2049</v>
      </c>
      <c r="C62" s="113" t="s">
        <v>763</v>
      </c>
      <c r="D62" s="113" t="str">
        <f>IFERROR(VLOOKUP(C62,SKUs!$A$6:$F$1971,6,FALSE()),"")</f>
        <v>POLO PIQUET MASC.</v>
      </c>
      <c r="E62" s="113">
        <v>8</v>
      </c>
      <c r="F62" s="113">
        <f>IFERROR(IF(OR(B62="",E62=""),"",E62*VLOOKUP(B62,Configurações!$I$5:$J$15,2,FALSE())),"")</f>
        <v>8</v>
      </c>
      <c r="G62" s="113" t="s">
        <v>665</v>
      </c>
      <c r="H62" s="113" t="s">
        <v>2050</v>
      </c>
      <c r="I62" s="113"/>
      <c r="J62" s="113"/>
      <c r="K62" s="113" t="s">
        <v>2051</v>
      </c>
      <c r="L62" s="113"/>
      <c r="M62" s="113" t="s">
        <v>759</v>
      </c>
    </row>
    <row r="63" spans="1:13" ht="12.75" hidden="1" customHeight="1" x14ac:dyDescent="0.3">
      <c r="A63" s="111">
        <v>46160</v>
      </c>
      <c r="B63" s="112" t="s">
        <v>2049</v>
      </c>
      <c r="C63" s="113" t="s">
        <v>764</v>
      </c>
      <c r="D63" s="113" t="str">
        <f>IFERROR(VLOOKUP(C63,SKUs!$A$6:$F$1971,6,FALSE()),"")</f>
        <v>POLO PIQUET MASC.</v>
      </c>
      <c r="E63" s="113">
        <v>5</v>
      </c>
      <c r="F63" s="113">
        <f>IFERROR(IF(OR(B63="",E63=""),"",E63*VLOOKUP(B63,Configurações!$I$5:$J$15,2,FALSE())),"")</f>
        <v>5</v>
      </c>
      <c r="G63" s="113" t="s">
        <v>665</v>
      </c>
      <c r="H63" s="113" t="s">
        <v>2050</v>
      </c>
      <c r="I63" s="113"/>
      <c r="J63" s="113"/>
      <c r="K63" s="113" t="s">
        <v>2051</v>
      </c>
      <c r="L63" s="113"/>
      <c r="M63" s="113" t="s">
        <v>766</v>
      </c>
    </row>
    <row r="64" spans="1:13" ht="12.75" hidden="1" customHeight="1" x14ac:dyDescent="0.3">
      <c r="A64" s="111">
        <v>46160</v>
      </c>
      <c r="B64" s="112" t="s">
        <v>2049</v>
      </c>
      <c r="C64" s="113" t="s">
        <v>767</v>
      </c>
      <c r="D64" s="113" t="str">
        <f>IFERROR(VLOOKUP(C64,SKUs!$A$6:$F$1971,6,FALSE()),"")</f>
        <v>POLO PIQUET MASC.</v>
      </c>
      <c r="E64" s="113">
        <v>7</v>
      </c>
      <c r="F64" s="113">
        <f>IFERROR(IF(OR(B64="",E64=""),"",E64*VLOOKUP(B64,Configurações!$I$5:$J$15,2,FALSE())),"")</f>
        <v>7</v>
      </c>
      <c r="G64" s="113" t="s">
        <v>665</v>
      </c>
      <c r="H64" s="113" t="s">
        <v>2050</v>
      </c>
      <c r="I64" s="113"/>
      <c r="J64" s="113"/>
      <c r="K64" s="113" t="s">
        <v>2051</v>
      </c>
      <c r="L64" s="113"/>
      <c r="M64" s="113" t="s">
        <v>766</v>
      </c>
    </row>
    <row r="65" spans="1:13" ht="12.75" hidden="1" customHeight="1" x14ac:dyDescent="0.3">
      <c r="A65" s="111">
        <v>46160</v>
      </c>
      <c r="B65" s="112" t="s">
        <v>2049</v>
      </c>
      <c r="C65" s="113" t="s">
        <v>768</v>
      </c>
      <c r="D65" s="113" t="str">
        <f>IFERROR(VLOOKUP(C65,SKUs!$A$6:$F$1971,6,FALSE()),"")</f>
        <v>POLO PIQUET MASC.</v>
      </c>
      <c r="E65" s="113">
        <v>23</v>
      </c>
      <c r="F65" s="113">
        <f>IFERROR(IF(OR(B65="",E65=""),"",E65*VLOOKUP(B65,Configurações!$I$5:$J$15,2,FALSE())),"")</f>
        <v>23</v>
      </c>
      <c r="G65" s="113" t="s">
        <v>665</v>
      </c>
      <c r="H65" s="113" t="s">
        <v>2050</v>
      </c>
      <c r="I65" s="113"/>
      <c r="J65" s="113"/>
      <c r="K65" s="113" t="s">
        <v>2051</v>
      </c>
      <c r="L65" s="113"/>
      <c r="M65" s="113" t="s">
        <v>766</v>
      </c>
    </row>
    <row r="66" spans="1:13" ht="12.75" hidden="1" customHeight="1" x14ac:dyDescent="0.3">
      <c r="A66" s="111">
        <v>46160</v>
      </c>
      <c r="B66" s="112" t="s">
        <v>2049</v>
      </c>
      <c r="C66" s="113" t="s">
        <v>769</v>
      </c>
      <c r="D66" s="113" t="str">
        <f>IFERROR(VLOOKUP(C66,SKUs!$A$6:$F$1971,6,FALSE()),"")</f>
        <v>POLO PIQUET MASC.</v>
      </c>
      <c r="E66" s="113">
        <v>18</v>
      </c>
      <c r="F66" s="113">
        <f>IFERROR(IF(OR(B66="",E66=""),"",E66*VLOOKUP(B66,Configurações!$I$5:$J$15,2,FALSE())),"")</f>
        <v>18</v>
      </c>
      <c r="G66" s="113" t="s">
        <v>665</v>
      </c>
      <c r="H66" s="113" t="s">
        <v>2050</v>
      </c>
      <c r="I66" s="113"/>
      <c r="J66" s="113"/>
      <c r="K66" s="113" t="s">
        <v>2051</v>
      </c>
      <c r="L66" s="113"/>
      <c r="M66" s="113" t="s">
        <v>766</v>
      </c>
    </row>
    <row r="67" spans="1:13" ht="12.75" hidden="1" customHeight="1" x14ac:dyDescent="0.3">
      <c r="A67" s="111">
        <v>46160</v>
      </c>
      <c r="B67" s="112" t="s">
        <v>2049</v>
      </c>
      <c r="C67" s="113" t="s">
        <v>770</v>
      </c>
      <c r="D67" s="113" t="str">
        <f>IFERROR(VLOOKUP(C67,SKUs!$A$6:$F$1971,6,FALSE()),"")</f>
        <v>POLO PIQUET MASC.</v>
      </c>
      <c r="E67" s="113">
        <v>5</v>
      </c>
      <c r="F67" s="113">
        <f>IFERROR(IF(OR(B67="",E67=""),"",E67*VLOOKUP(B67,Configurações!$I$5:$J$15,2,FALSE())),"")</f>
        <v>5</v>
      </c>
      <c r="G67" s="113" t="s">
        <v>665</v>
      </c>
      <c r="H67" s="113" t="s">
        <v>2050</v>
      </c>
      <c r="I67" s="113"/>
      <c r="J67" s="113"/>
      <c r="K67" s="113" t="s">
        <v>2051</v>
      </c>
      <c r="L67" s="113"/>
      <c r="M67" s="113" t="s">
        <v>766</v>
      </c>
    </row>
    <row r="68" spans="1:13" ht="12.75" hidden="1" customHeight="1" x14ac:dyDescent="0.3">
      <c r="A68" s="111">
        <v>46160</v>
      </c>
      <c r="B68" s="112" t="s">
        <v>2049</v>
      </c>
      <c r="C68" s="113" t="s">
        <v>771</v>
      </c>
      <c r="D68" s="113" t="str">
        <f>IFERROR(VLOOKUP(C68,SKUs!$A$6:$F$1971,6,FALSE()),"")</f>
        <v>POLO PIQUET MASC.</v>
      </c>
      <c r="E68" s="113">
        <v>5</v>
      </c>
      <c r="F68" s="113">
        <f>IFERROR(IF(OR(B68="",E68=""),"",E68*VLOOKUP(B68,Configurações!$I$5:$J$15,2,FALSE())),"")</f>
        <v>5</v>
      </c>
      <c r="G68" s="113" t="s">
        <v>665</v>
      </c>
      <c r="H68" s="113" t="s">
        <v>2050</v>
      </c>
      <c r="I68" s="113"/>
      <c r="J68" s="113"/>
      <c r="K68" s="113" t="s">
        <v>2051</v>
      </c>
      <c r="L68" s="113"/>
      <c r="M68" s="113" t="s">
        <v>766</v>
      </c>
    </row>
    <row r="69" spans="1:13" ht="12.75" hidden="1" customHeight="1" x14ac:dyDescent="0.3">
      <c r="A69" s="111">
        <v>46160</v>
      </c>
      <c r="B69" s="112" t="s">
        <v>2049</v>
      </c>
      <c r="C69" s="113" t="s">
        <v>772</v>
      </c>
      <c r="D69" s="113" t="str">
        <f>IFERROR(VLOOKUP(C69,SKUs!$A$6:$F$1971,6,FALSE()),"")</f>
        <v>POLO PIQUET MASC.</v>
      </c>
      <c r="E69" s="113">
        <v>5</v>
      </c>
      <c r="F69" s="113">
        <f>IFERROR(IF(OR(B69="",E69=""),"",E69*VLOOKUP(B69,Configurações!$I$5:$J$15,2,FALSE())),"")</f>
        <v>5</v>
      </c>
      <c r="G69" s="113" t="s">
        <v>665</v>
      </c>
      <c r="H69" s="113" t="s">
        <v>2050</v>
      </c>
      <c r="I69" s="113"/>
      <c r="J69" s="113"/>
      <c r="K69" s="113" t="s">
        <v>2051</v>
      </c>
      <c r="L69" s="113"/>
      <c r="M69" s="113" t="s">
        <v>773</v>
      </c>
    </row>
    <row r="70" spans="1:13" ht="12.75" hidden="1" customHeight="1" x14ac:dyDescent="0.3">
      <c r="A70" s="111">
        <v>46160</v>
      </c>
      <c r="B70" s="112" t="s">
        <v>2049</v>
      </c>
      <c r="C70" s="113" t="s">
        <v>774</v>
      </c>
      <c r="D70" s="113" t="str">
        <f>IFERROR(VLOOKUP(C70,SKUs!$A$6:$F$1971,6,FALSE()),"")</f>
        <v>POLO PIQUET MASC.</v>
      </c>
      <c r="E70" s="113">
        <v>10</v>
      </c>
      <c r="F70" s="113">
        <f>IFERROR(IF(OR(B70="",E70=""),"",E70*VLOOKUP(B70,Configurações!$I$5:$J$15,2,FALSE())),"")</f>
        <v>10</v>
      </c>
      <c r="G70" s="113" t="s">
        <v>665</v>
      </c>
      <c r="H70" s="113" t="s">
        <v>2050</v>
      </c>
      <c r="I70" s="113"/>
      <c r="J70" s="113"/>
      <c r="K70" s="113" t="s">
        <v>2051</v>
      </c>
      <c r="L70" s="113"/>
      <c r="M70" s="113" t="s">
        <v>773</v>
      </c>
    </row>
    <row r="71" spans="1:13" ht="12.75" hidden="1" customHeight="1" x14ac:dyDescent="0.3">
      <c r="A71" s="111">
        <v>46160</v>
      </c>
      <c r="B71" s="112" t="s">
        <v>2049</v>
      </c>
      <c r="C71" s="113" t="s">
        <v>775</v>
      </c>
      <c r="D71" s="113" t="str">
        <f>IFERROR(VLOOKUP(C71,SKUs!$A$6:$F$1971,6,FALSE()),"")</f>
        <v>POLO PIQUET MASC.</v>
      </c>
      <c r="E71" s="113">
        <v>28</v>
      </c>
      <c r="F71" s="113">
        <f>IFERROR(IF(OR(B71="",E71=""),"",E71*VLOOKUP(B71,Configurações!$I$5:$J$15,2,FALSE())),"")</f>
        <v>28</v>
      </c>
      <c r="G71" s="113" t="s">
        <v>665</v>
      </c>
      <c r="H71" s="113" t="s">
        <v>2050</v>
      </c>
      <c r="I71" s="113"/>
      <c r="J71" s="113"/>
      <c r="K71" s="113" t="s">
        <v>2051</v>
      </c>
      <c r="L71" s="113"/>
      <c r="M71" s="113" t="s">
        <v>773</v>
      </c>
    </row>
    <row r="72" spans="1:13" ht="12.75" hidden="1" customHeight="1" x14ac:dyDescent="0.3">
      <c r="A72" s="111">
        <v>46160</v>
      </c>
      <c r="B72" s="112" t="s">
        <v>2049</v>
      </c>
      <c r="C72" s="113" t="s">
        <v>776</v>
      </c>
      <c r="D72" s="113" t="str">
        <f>IFERROR(VLOOKUP(C72,SKUs!$A$6:$F$1971,6,FALSE()),"")</f>
        <v>POLO PIQUET MASC.</v>
      </c>
      <c r="E72" s="113">
        <v>15</v>
      </c>
      <c r="F72" s="113">
        <f>IFERROR(IF(OR(B72="",E72=""),"",E72*VLOOKUP(B72,Configurações!$I$5:$J$15,2,FALSE())),"")</f>
        <v>15</v>
      </c>
      <c r="G72" s="113" t="s">
        <v>665</v>
      </c>
      <c r="H72" s="113" t="s">
        <v>2050</v>
      </c>
      <c r="I72" s="113"/>
      <c r="J72" s="113"/>
      <c r="K72" s="113" t="s">
        <v>2051</v>
      </c>
      <c r="L72" s="113"/>
      <c r="M72" s="113" t="s">
        <v>773</v>
      </c>
    </row>
    <row r="73" spans="1:13" ht="12.75" hidden="1" customHeight="1" x14ac:dyDescent="0.3">
      <c r="A73" s="111">
        <v>46160</v>
      </c>
      <c r="B73" s="112" t="s">
        <v>2049</v>
      </c>
      <c r="C73" s="113" t="s">
        <v>777</v>
      </c>
      <c r="D73" s="113" t="str">
        <f>IFERROR(VLOOKUP(C73,SKUs!$A$6:$F$1971,6,FALSE()),"")</f>
        <v>POLO PIQUET MASC.</v>
      </c>
      <c r="E73" s="113">
        <v>10</v>
      </c>
      <c r="F73" s="113">
        <f>IFERROR(IF(OR(B73="",E73=""),"",E73*VLOOKUP(B73,Configurações!$I$5:$J$15,2,FALSE())),"")</f>
        <v>10</v>
      </c>
      <c r="G73" s="113" t="s">
        <v>665</v>
      </c>
      <c r="H73" s="113" t="s">
        <v>2050</v>
      </c>
      <c r="I73" s="113"/>
      <c r="J73" s="113"/>
      <c r="K73" s="113" t="s">
        <v>2051</v>
      </c>
      <c r="L73" s="113"/>
      <c r="M73" s="113" t="s">
        <v>773</v>
      </c>
    </row>
    <row r="74" spans="1:13" ht="12.75" hidden="1" customHeight="1" x14ac:dyDescent="0.3">
      <c r="A74" s="111">
        <v>46160</v>
      </c>
      <c r="B74" s="112" t="s">
        <v>2049</v>
      </c>
      <c r="C74" s="113" t="s">
        <v>778</v>
      </c>
      <c r="D74" s="113" t="str">
        <f>IFERROR(VLOOKUP(C74,SKUs!$A$6:$F$1971,6,FALSE()),"")</f>
        <v>POLO PIQUET MASC.</v>
      </c>
      <c r="E74" s="113">
        <v>8</v>
      </c>
      <c r="F74" s="113">
        <f>IFERROR(IF(OR(B74="",E74=""),"",E74*VLOOKUP(B74,Configurações!$I$5:$J$15,2,FALSE())),"")</f>
        <v>8</v>
      </c>
      <c r="G74" s="113" t="s">
        <v>665</v>
      </c>
      <c r="H74" s="113" t="s">
        <v>2050</v>
      </c>
      <c r="I74" s="113"/>
      <c r="J74" s="113"/>
      <c r="K74" s="113" t="s">
        <v>2051</v>
      </c>
      <c r="L74" s="113"/>
      <c r="M74" s="113" t="s">
        <v>773</v>
      </c>
    </row>
    <row r="75" spans="1:13" ht="12.75" hidden="1" customHeight="1" x14ac:dyDescent="0.3">
      <c r="A75" s="111">
        <v>46160</v>
      </c>
      <c r="B75" s="112" t="s">
        <v>2049</v>
      </c>
      <c r="C75" s="113" t="s">
        <v>779</v>
      </c>
      <c r="D75" s="113" t="str">
        <f>IFERROR(VLOOKUP(C75,SKUs!$A$6:$F$1971,6,FALSE()),"")</f>
        <v>POLO PIQUET MASC.</v>
      </c>
      <c r="E75" s="113">
        <v>7</v>
      </c>
      <c r="F75" s="113">
        <f>IFERROR(IF(OR(B75="",E75=""),"",E75*VLOOKUP(B75,Configurações!$I$5:$J$15,2,FALSE())),"")</f>
        <v>7</v>
      </c>
      <c r="G75" s="113" t="s">
        <v>665</v>
      </c>
      <c r="H75" s="113" t="s">
        <v>2050</v>
      </c>
      <c r="I75" s="113"/>
      <c r="J75" s="113"/>
      <c r="K75" s="113" t="s">
        <v>2051</v>
      </c>
      <c r="L75" s="113"/>
      <c r="M75" s="113" t="s">
        <v>781</v>
      </c>
    </row>
    <row r="76" spans="1:13" ht="12.75" hidden="1" customHeight="1" x14ac:dyDescent="0.3">
      <c r="A76" s="111">
        <v>46160</v>
      </c>
      <c r="B76" s="112" t="s">
        <v>2049</v>
      </c>
      <c r="C76" s="113" t="s">
        <v>782</v>
      </c>
      <c r="D76" s="113" t="str">
        <f>IFERROR(VLOOKUP(C76,SKUs!$A$6:$F$1971,6,FALSE()),"")</f>
        <v>POLO PIQUET MASC.</v>
      </c>
      <c r="E76" s="113">
        <v>7</v>
      </c>
      <c r="F76" s="113">
        <f>IFERROR(IF(OR(B76="",E76=""),"",E76*VLOOKUP(B76,Configurações!$I$5:$J$15,2,FALSE())),"")</f>
        <v>7</v>
      </c>
      <c r="G76" s="113" t="s">
        <v>665</v>
      </c>
      <c r="H76" s="113" t="s">
        <v>2050</v>
      </c>
      <c r="I76" s="113"/>
      <c r="J76" s="113"/>
      <c r="K76" s="113" t="s">
        <v>2051</v>
      </c>
      <c r="L76" s="113"/>
      <c r="M76" s="113" t="s">
        <v>781</v>
      </c>
    </row>
    <row r="77" spans="1:13" ht="12.75" hidden="1" customHeight="1" x14ac:dyDescent="0.3">
      <c r="A77" s="111">
        <v>46160</v>
      </c>
      <c r="B77" s="112" t="s">
        <v>2049</v>
      </c>
      <c r="C77" s="113" t="s">
        <v>783</v>
      </c>
      <c r="D77" s="113" t="str">
        <f>IFERROR(VLOOKUP(C77,SKUs!$A$6:$F$1971,6,FALSE()),"")</f>
        <v>POLO PIQUET MASC.</v>
      </c>
      <c r="E77" s="113">
        <v>29</v>
      </c>
      <c r="F77" s="113">
        <f>IFERROR(IF(OR(B77="",E77=""),"",E77*VLOOKUP(B77,Configurações!$I$5:$J$15,2,FALSE())),"")</f>
        <v>29</v>
      </c>
      <c r="G77" s="113" t="s">
        <v>665</v>
      </c>
      <c r="H77" s="113" t="s">
        <v>2050</v>
      </c>
      <c r="I77" s="113"/>
      <c r="J77" s="113"/>
      <c r="K77" s="113" t="s">
        <v>2051</v>
      </c>
      <c r="L77" s="113"/>
      <c r="M77" s="113" t="s">
        <v>781</v>
      </c>
    </row>
    <row r="78" spans="1:13" ht="12.75" hidden="1" customHeight="1" x14ac:dyDescent="0.3">
      <c r="A78" s="111">
        <v>46160</v>
      </c>
      <c r="B78" s="112" t="s">
        <v>2049</v>
      </c>
      <c r="C78" s="113" t="s">
        <v>784</v>
      </c>
      <c r="D78" s="113" t="str">
        <f>IFERROR(VLOOKUP(C78,SKUs!$A$6:$F$1971,6,FALSE()),"")</f>
        <v>POLO PIQUET MASC.</v>
      </c>
      <c r="E78" s="113">
        <v>18</v>
      </c>
      <c r="F78" s="113">
        <f>IFERROR(IF(OR(B78="",E78=""),"",E78*VLOOKUP(B78,Configurações!$I$5:$J$15,2,FALSE())),"")</f>
        <v>18</v>
      </c>
      <c r="G78" s="113" t="s">
        <v>665</v>
      </c>
      <c r="H78" s="113" t="s">
        <v>2050</v>
      </c>
      <c r="I78" s="113"/>
      <c r="J78" s="113"/>
      <c r="K78" s="113" t="s">
        <v>2051</v>
      </c>
      <c r="L78" s="113"/>
      <c r="M78" s="113" t="s">
        <v>781</v>
      </c>
    </row>
    <row r="79" spans="1:13" ht="12.75" hidden="1" customHeight="1" x14ac:dyDescent="0.3">
      <c r="A79" s="111">
        <v>46160</v>
      </c>
      <c r="B79" s="112" t="s">
        <v>2049</v>
      </c>
      <c r="C79" s="113" t="s">
        <v>785</v>
      </c>
      <c r="D79" s="113" t="str">
        <f>IFERROR(VLOOKUP(C79,SKUs!$A$6:$F$1971,6,FALSE()),"")</f>
        <v>POLO PIQUET MASC.</v>
      </c>
      <c r="E79" s="113">
        <v>1</v>
      </c>
      <c r="F79" s="113">
        <f>IFERROR(IF(OR(B79="",E79=""),"",E79*VLOOKUP(B79,Configurações!$I$5:$J$15,2,FALSE())),"")</f>
        <v>1</v>
      </c>
      <c r="G79" s="113" t="s">
        <v>665</v>
      </c>
      <c r="H79" s="113" t="s">
        <v>2050</v>
      </c>
      <c r="I79" s="113"/>
      <c r="J79" s="113"/>
      <c r="K79" s="113" t="s">
        <v>2051</v>
      </c>
      <c r="L79" s="113"/>
      <c r="M79" s="113" t="s">
        <v>781</v>
      </c>
    </row>
    <row r="80" spans="1:13" ht="12.75" hidden="1" customHeight="1" x14ac:dyDescent="0.3">
      <c r="A80" s="111">
        <v>46160</v>
      </c>
      <c r="B80" s="112" t="s">
        <v>2049</v>
      </c>
      <c r="C80" s="113" t="s">
        <v>786</v>
      </c>
      <c r="D80" s="113" t="str">
        <f>IFERROR(VLOOKUP(C80,SKUs!$A$6:$F$1971,6,FALSE()),"")</f>
        <v>POLO PIQUET MASC.</v>
      </c>
      <c r="E80" s="113">
        <v>8</v>
      </c>
      <c r="F80" s="113">
        <f>IFERROR(IF(OR(B80="",E80=""),"",E80*VLOOKUP(B80,Configurações!$I$5:$J$15,2,FALSE())),"")</f>
        <v>8</v>
      </c>
      <c r="G80" s="113" t="s">
        <v>665</v>
      </c>
      <c r="H80" s="113" t="s">
        <v>2050</v>
      </c>
      <c r="I80" s="113"/>
      <c r="J80" s="113"/>
      <c r="K80" s="113" t="s">
        <v>2051</v>
      </c>
      <c r="L80" s="113"/>
      <c r="M80" s="113" t="s">
        <v>781</v>
      </c>
    </row>
    <row r="81" spans="1:13" ht="12.75" hidden="1" customHeight="1" x14ac:dyDescent="0.3">
      <c r="A81" s="111">
        <v>46160</v>
      </c>
      <c r="B81" s="112" t="s">
        <v>2049</v>
      </c>
      <c r="C81" s="113" t="s">
        <v>787</v>
      </c>
      <c r="D81" s="113" t="str">
        <f>IFERROR(VLOOKUP(C81,SKUs!$A$6:$F$1971,6,FALSE()),"")</f>
        <v>POLO PIMA MASC.</v>
      </c>
      <c r="E81" s="113">
        <v>5</v>
      </c>
      <c r="F81" s="113">
        <f>IFERROR(IF(OR(B81="",E81=""),"",E81*VLOOKUP(B81,Configurações!$I$5:$J$15,2,FALSE())),"")</f>
        <v>5</v>
      </c>
      <c r="G81" s="113" t="s">
        <v>665</v>
      </c>
      <c r="H81" s="113" t="s">
        <v>2050</v>
      </c>
      <c r="I81" s="113"/>
      <c r="J81" s="113"/>
      <c r="K81" s="113" t="s">
        <v>2051</v>
      </c>
      <c r="L81" s="113"/>
      <c r="M81" s="113" t="s">
        <v>790</v>
      </c>
    </row>
    <row r="82" spans="1:13" ht="12.75" hidden="1" customHeight="1" x14ac:dyDescent="0.3">
      <c r="A82" s="111">
        <v>46160</v>
      </c>
      <c r="B82" s="112" t="s">
        <v>2049</v>
      </c>
      <c r="C82" s="113" t="s">
        <v>791</v>
      </c>
      <c r="D82" s="113" t="str">
        <f>IFERROR(VLOOKUP(C82,SKUs!$A$6:$F$1971,6,FALSE()),"")</f>
        <v>POLO PIMA MASC.</v>
      </c>
      <c r="E82" s="113">
        <v>14</v>
      </c>
      <c r="F82" s="113">
        <f>IFERROR(IF(OR(B82="",E82=""),"",E82*VLOOKUP(B82,Configurações!$I$5:$J$15,2,FALSE())),"")</f>
        <v>14</v>
      </c>
      <c r="G82" s="113" t="s">
        <v>665</v>
      </c>
      <c r="H82" s="113" t="s">
        <v>2050</v>
      </c>
      <c r="I82" s="113"/>
      <c r="J82" s="113"/>
      <c r="K82" s="113" t="s">
        <v>2051</v>
      </c>
      <c r="L82" s="113"/>
      <c r="M82" s="113" t="s">
        <v>790</v>
      </c>
    </row>
    <row r="83" spans="1:13" ht="12.75" hidden="1" customHeight="1" x14ac:dyDescent="0.3">
      <c r="A83" s="111">
        <v>46160</v>
      </c>
      <c r="B83" s="112" t="s">
        <v>2049</v>
      </c>
      <c r="C83" s="113" t="s">
        <v>792</v>
      </c>
      <c r="D83" s="113" t="str">
        <f>IFERROR(VLOOKUP(C83,SKUs!$A$6:$F$1971,6,FALSE()),"")</f>
        <v>POLO PIMA MASC.</v>
      </c>
      <c r="E83" s="113">
        <v>24</v>
      </c>
      <c r="F83" s="113">
        <f>IFERROR(IF(OR(B83="",E83=""),"",E83*VLOOKUP(B83,Configurações!$I$5:$J$15,2,FALSE())),"")</f>
        <v>24</v>
      </c>
      <c r="G83" s="113" t="s">
        <v>665</v>
      </c>
      <c r="H83" s="113" t="s">
        <v>2050</v>
      </c>
      <c r="I83" s="113"/>
      <c r="J83" s="113"/>
      <c r="K83" s="113" t="s">
        <v>2051</v>
      </c>
      <c r="L83" s="113"/>
      <c r="M83" s="113" t="s">
        <v>790</v>
      </c>
    </row>
    <row r="84" spans="1:13" ht="12.75" hidden="1" customHeight="1" x14ac:dyDescent="0.3">
      <c r="A84" s="111">
        <v>46160</v>
      </c>
      <c r="B84" s="112" t="s">
        <v>2049</v>
      </c>
      <c r="C84" s="113" t="s">
        <v>793</v>
      </c>
      <c r="D84" s="113" t="str">
        <f>IFERROR(VLOOKUP(C84,SKUs!$A$6:$F$1971,6,FALSE()),"")</f>
        <v>POLO PIMA MASC.</v>
      </c>
      <c r="E84" s="113">
        <v>4</v>
      </c>
      <c r="F84" s="113">
        <f>IFERROR(IF(OR(B84="",E84=""),"",E84*VLOOKUP(B84,Configurações!$I$5:$J$15,2,FALSE())),"")</f>
        <v>4</v>
      </c>
      <c r="G84" s="113" t="s">
        <v>665</v>
      </c>
      <c r="H84" s="113" t="s">
        <v>2050</v>
      </c>
      <c r="I84" s="113"/>
      <c r="J84" s="113"/>
      <c r="K84" s="113" t="s">
        <v>2051</v>
      </c>
      <c r="L84" s="113"/>
      <c r="M84" s="113" t="s">
        <v>790</v>
      </c>
    </row>
    <row r="85" spans="1:13" ht="12.75" hidden="1" customHeight="1" x14ac:dyDescent="0.3">
      <c r="A85" s="111">
        <v>46160</v>
      </c>
      <c r="B85" s="112" t="s">
        <v>2049</v>
      </c>
      <c r="C85" s="113" t="s">
        <v>794</v>
      </c>
      <c r="D85" s="113" t="str">
        <f>IFERROR(VLOOKUP(C85,SKUs!$A$6:$F$1971,6,FALSE()),"")</f>
        <v>POLO PIMA MASC.</v>
      </c>
      <c r="E85" s="113">
        <v>13</v>
      </c>
      <c r="F85" s="113">
        <f>IFERROR(IF(OR(B85="",E85=""),"",E85*VLOOKUP(B85,Configurações!$I$5:$J$15,2,FALSE())),"")</f>
        <v>13</v>
      </c>
      <c r="G85" s="113" t="s">
        <v>665</v>
      </c>
      <c r="H85" s="113" t="s">
        <v>2050</v>
      </c>
      <c r="I85" s="113"/>
      <c r="J85" s="113"/>
      <c r="K85" s="113" t="s">
        <v>2051</v>
      </c>
      <c r="L85" s="113"/>
      <c r="M85" s="113" t="s">
        <v>790</v>
      </c>
    </row>
    <row r="86" spans="1:13" ht="12.75" hidden="1" customHeight="1" x14ac:dyDescent="0.3">
      <c r="A86" s="111">
        <v>46160</v>
      </c>
      <c r="B86" s="112" t="s">
        <v>2049</v>
      </c>
      <c r="C86" s="113" t="s">
        <v>795</v>
      </c>
      <c r="D86" s="113" t="str">
        <f>IFERROR(VLOOKUP(C86,SKUs!$A$6:$F$1971,6,FALSE()),"")</f>
        <v>POLO PIMA MASC.</v>
      </c>
      <c r="E86" s="113">
        <v>7</v>
      </c>
      <c r="F86" s="113">
        <f>IFERROR(IF(OR(B86="",E86=""),"",E86*VLOOKUP(B86,Configurações!$I$5:$J$15,2,FALSE())),"")</f>
        <v>7</v>
      </c>
      <c r="G86" s="113" t="s">
        <v>665</v>
      </c>
      <c r="H86" s="113" t="s">
        <v>2050</v>
      </c>
      <c r="I86" s="113"/>
      <c r="J86" s="113"/>
      <c r="K86" s="113" t="s">
        <v>2051</v>
      </c>
      <c r="L86" s="113"/>
      <c r="M86" s="113" t="s">
        <v>790</v>
      </c>
    </row>
    <row r="87" spans="1:13" ht="12.75" hidden="1" customHeight="1" x14ac:dyDescent="0.3">
      <c r="A87" s="111">
        <v>46160</v>
      </c>
      <c r="B87" s="112" t="s">
        <v>2049</v>
      </c>
      <c r="C87" s="113" t="s">
        <v>796</v>
      </c>
      <c r="D87" s="113" t="str">
        <f>IFERROR(VLOOKUP(C87,SKUs!$A$6:$F$1971,6,FALSE()),"")</f>
        <v>POLO COTTON MASC.</v>
      </c>
      <c r="E87" s="113">
        <v>5</v>
      </c>
      <c r="F87" s="113">
        <f>IFERROR(IF(OR(B87="",E87=""),"",E87*VLOOKUP(B87,Configurações!$I$5:$J$15,2,FALSE())),"")</f>
        <v>5</v>
      </c>
      <c r="G87" s="113" t="s">
        <v>665</v>
      </c>
      <c r="H87" s="113" t="s">
        <v>2050</v>
      </c>
      <c r="I87" s="113"/>
      <c r="J87" s="113"/>
      <c r="K87" s="113" t="s">
        <v>2051</v>
      </c>
      <c r="L87" s="113"/>
      <c r="M87" s="113" t="s">
        <v>799</v>
      </c>
    </row>
    <row r="88" spans="1:13" ht="12.75" hidden="1" customHeight="1" x14ac:dyDescent="0.3">
      <c r="A88" s="111">
        <v>46160</v>
      </c>
      <c r="B88" s="112" t="s">
        <v>2049</v>
      </c>
      <c r="C88" s="113" t="s">
        <v>800</v>
      </c>
      <c r="D88" s="113" t="str">
        <f>IFERROR(VLOOKUP(C88,SKUs!$A$6:$F$1971,6,FALSE()),"")</f>
        <v>POLO COTTON MASC.</v>
      </c>
      <c r="E88" s="113">
        <v>6</v>
      </c>
      <c r="F88" s="113">
        <f>IFERROR(IF(OR(B88="",E88=""),"",E88*VLOOKUP(B88,Configurações!$I$5:$J$15,2,FALSE())),"")</f>
        <v>6</v>
      </c>
      <c r="G88" s="113" t="s">
        <v>665</v>
      </c>
      <c r="H88" s="113" t="s">
        <v>2050</v>
      </c>
      <c r="I88" s="113"/>
      <c r="J88" s="113"/>
      <c r="K88" s="113" t="s">
        <v>2051</v>
      </c>
      <c r="L88" s="113"/>
      <c r="M88" s="113" t="s">
        <v>799</v>
      </c>
    </row>
    <row r="89" spans="1:13" ht="12.75" hidden="1" customHeight="1" x14ac:dyDescent="0.3">
      <c r="A89" s="111">
        <v>46160</v>
      </c>
      <c r="B89" s="112" t="s">
        <v>2049</v>
      </c>
      <c r="C89" s="113" t="s">
        <v>802</v>
      </c>
      <c r="D89" s="113" t="str">
        <f>IFERROR(VLOOKUP(C89,SKUs!$A$6:$F$1971,6,FALSE()),"")</f>
        <v>POLO COTTON MASC.</v>
      </c>
      <c r="E89" s="113">
        <v>20</v>
      </c>
      <c r="F89" s="113">
        <f>IFERROR(IF(OR(B89="",E89=""),"",E89*VLOOKUP(B89,Configurações!$I$5:$J$15,2,FALSE())),"")</f>
        <v>20</v>
      </c>
      <c r="G89" s="113" t="s">
        <v>665</v>
      </c>
      <c r="H89" s="113" t="s">
        <v>2050</v>
      </c>
      <c r="I89" s="113"/>
      <c r="J89" s="113"/>
      <c r="K89" s="113" t="s">
        <v>2051</v>
      </c>
      <c r="L89" s="113"/>
      <c r="M89" s="113" t="s">
        <v>799</v>
      </c>
    </row>
    <row r="90" spans="1:13" ht="12.75" hidden="1" customHeight="1" x14ac:dyDescent="0.3">
      <c r="A90" s="111">
        <v>46160</v>
      </c>
      <c r="B90" s="112" t="s">
        <v>2049</v>
      </c>
      <c r="C90" s="113" t="s">
        <v>803</v>
      </c>
      <c r="D90" s="113" t="str">
        <f>IFERROR(VLOOKUP(C90,SKUs!$A$6:$F$1971,6,FALSE()),"")</f>
        <v>POLO COTTON MASC.</v>
      </c>
      <c r="E90" s="113">
        <v>9</v>
      </c>
      <c r="F90" s="113">
        <f>IFERROR(IF(OR(B90="",E90=""),"",E90*VLOOKUP(B90,Configurações!$I$5:$J$15,2,FALSE())),"")</f>
        <v>9</v>
      </c>
      <c r="G90" s="113" t="s">
        <v>665</v>
      </c>
      <c r="H90" s="113" t="s">
        <v>2050</v>
      </c>
      <c r="I90" s="113"/>
      <c r="J90" s="113"/>
      <c r="K90" s="113" t="s">
        <v>2051</v>
      </c>
      <c r="L90" s="113"/>
      <c r="M90" s="113" t="s">
        <v>799</v>
      </c>
    </row>
    <row r="91" spans="1:13" ht="12.75" hidden="1" customHeight="1" x14ac:dyDescent="0.3">
      <c r="A91" s="111">
        <v>46160</v>
      </c>
      <c r="B91" s="112" t="s">
        <v>2049</v>
      </c>
      <c r="C91" s="113" t="s">
        <v>804</v>
      </c>
      <c r="D91" s="113" t="str">
        <f>IFERROR(VLOOKUP(C91,SKUs!$A$6:$F$1971,6,FALSE()),"")</f>
        <v>POLO COTTON MASC.</v>
      </c>
      <c r="E91" s="113">
        <v>6</v>
      </c>
      <c r="F91" s="113">
        <f>IFERROR(IF(OR(B91="",E91=""),"",E91*VLOOKUP(B91,Configurações!$I$5:$J$15,2,FALSE())),"")</f>
        <v>6</v>
      </c>
      <c r="G91" s="113" t="s">
        <v>665</v>
      </c>
      <c r="H91" s="113" t="s">
        <v>2050</v>
      </c>
      <c r="I91" s="113"/>
      <c r="J91" s="113"/>
      <c r="K91" s="113" t="s">
        <v>2051</v>
      </c>
      <c r="L91" s="113"/>
      <c r="M91" s="113" t="s">
        <v>799</v>
      </c>
    </row>
    <row r="92" spans="1:13" ht="12.75" hidden="1" customHeight="1" x14ac:dyDescent="0.3">
      <c r="A92" s="111">
        <v>46160</v>
      </c>
      <c r="B92" s="112" t="s">
        <v>2049</v>
      </c>
      <c r="C92" s="113" t="s">
        <v>805</v>
      </c>
      <c r="D92" s="113" t="str">
        <f>IFERROR(VLOOKUP(C92,SKUs!$A$6:$F$1971,6,FALSE()),"")</f>
        <v>POLO COTTON MASC.</v>
      </c>
      <c r="E92" s="113">
        <v>2</v>
      </c>
      <c r="F92" s="113">
        <f>IFERROR(IF(OR(B92="",E92=""),"",E92*VLOOKUP(B92,Configurações!$I$5:$J$15,2,FALSE())),"")</f>
        <v>2</v>
      </c>
      <c r="G92" s="113" t="s">
        <v>665</v>
      </c>
      <c r="H92" s="113" t="s">
        <v>2050</v>
      </c>
      <c r="I92" s="113"/>
      <c r="J92" s="113"/>
      <c r="K92" s="113" t="s">
        <v>2051</v>
      </c>
      <c r="L92" s="113"/>
      <c r="M92" s="113" t="s">
        <v>799</v>
      </c>
    </row>
    <row r="93" spans="1:13" ht="12.75" hidden="1" customHeight="1" x14ac:dyDescent="0.3">
      <c r="A93" s="111">
        <v>46160</v>
      </c>
      <c r="B93" s="112" t="s">
        <v>2049</v>
      </c>
      <c r="C93" s="113" t="s">
        <v>800</v>
      </c>
      <c r="D93" s="113" t="str">
        <f>IFERROR(VLOOKUP(C93,SKUs!$A$6:$F$1971,6,FALSE()),"")</f>
        <v>POLO COTTON MASC.</v>
      </c>
      <c r="E93" s="113">
        <v>4</v>
      </c>
      <c r="F93" s="113">
        <f>IFERROR(IF(OR(B93="",E93=""),"",E93*VLOOKUP(B93,Configurações!$I$5:$J$15,2,FALSE())),"")</f>
        <v>4</v>
      </c>
      <c r="G93" s="113" t="s">
        <v>665</v>
      </c>
      <c r="H93" s="113" t="s">
        <v>2050</v>
      </c>
      <c r="I93" s="113"/>
      <c r="J93" s="113"/>
      <c r="K93" s="113" t="s">
        <v>2051</v>
      </c>
      <c r="L93" s="113"/>
      <c r="M93" s="113" t="s">
        <v>801</v>
      </c>
    </row>
    <row r="94" spans="1:13" ht="12.75" hidden="1" customHeight="1" x14ac:dyDescent="0.3">
      <c r="A94" s="111">
        <v>46160</v>
      </c>
      <c r="B94" s="112" t="s">
        <v>2049</v>
      </c>
      <c r="C94" s="113" t="s">
        <v>802</v>
      </c>
      <c r="D94" s="113" t="str">
        <f>IFERROR(VLOOKUP(C94,SKUs!$A$6:$F$1971,6,FALSE()),"")</f>
        <v>POLO COTTON MASC.</v>
      </c>
      <c r="E94" s="113">
        <v>5</v>
      </c>
      <c r="F94" s="113">
        <f>IFERROR(IF(OR(B94="",E94=""),"",E94*VLOOKUP(B94,Configurações!$I$5:$J$15,2,FALSE())),"")</f>
        <v>5</v>
      </c>
      <c r="G94" s="113" t="s">
        <v>665</v>
      </c>
      <c r="H94" s="113" t="s">
        <v>2050</v>
      </c>
      <c r="I94" s="113"/>
      <c r="J94" s="113"/>
      <c r="K94" s="113" t="s">
        <v>2051</v>
      </c>
      <c r="L94" s="113"/>
      <c r="M94" s="113" t="s">
        <v>801</v>
      </c>
    </row>
    <row r="95" spans="1:13" ht="12.75" hidden="1" customHeight="1" x14ac:dyDescent="0.3">
      <c r="A95" s="111">
        <v>46160</v>
      </c>
      <c r="B95" s="112" t="s">
        <v>2049</v>
      </c>
      <c r="C95" s="113" t="s">
        <v>803</v>
      </c>
      <c r="D95" s="113" t="str">
        <f>IFERROR(VLOOKUP(C95,SKUs!$A$6:$F$1971,6,FALSE()),"")</f>
        <v>POLO COTTON MASC.</v>
      </c>
      <c r="E95" s="113">
        <v>9</v>
      </c>
      <c r="F95" s="113">
        <f>IFERROR(IF(OR(B95="",E95=""),"",E95*VLOOKUP(B95,Configurações!$I$5:$J$15,2,FALSE())),"")</f>
        <v>9</v>
      </c>
      <c r="G95" s="113" t="s">
        <v>665</v>
      </c>
      <c r="H95" s="113" t="s">
        <v>2050</v>
      </c>
      <c r="I95" s="113"/>
      <c r="J95" s="113"/>
      <c r="K95" s="113" t="s">
        <v>2051</v>
      </c>
      <c r="L95" s="113"/>
      <c r="M95" s="113" t="s">
        <v>801</v>
      </c>
    </row>
    <row r="96" spans="1:13" ht="12.75" hidden="1" customHeight="1" x14ac:dyDescent="0.3">
      <c r="A96" s="111">
        <v>46160</v>
      </c>
      <c r="B96" s="112" t="s">
        <v>2049</v>
      </c>
      <c r="C96" s="113" t="s">
        <v>804</v>
      </c>
      <c r="D96" s="113" t="str">
        <f>IFERROR(VLOOKUP(C96,SKUs!$A$6:$F$1971,6,FALSE()),"")</f>
        <v>POLO COTTON MASC.</v>
      </c>
      <c r="E96" s="113">
        <v>6</v>
      </c>
      <c r="F96" s="113">
        <f>IFERROR(IF(OR(B96="",E96=""),"",E96*VLOOKUP(B96,Configurações!$I$5:$J$15,2,FALSE())),"")</f>
        <v>6</v>
      </c>
      <c r="G96" s="113" t="s">
        <v>665</v>
      </c>
      <c r="H96" s="113" t="s">
        <v>2050</v>
      </c>
      <c r="I96" s="113"/>
      <c r="J96" s="113"/>
      <c r="K96" s="113" t="s">
        <v>2051</v>
      </c>
      <c r="L96" s="113"/>
      <c r="M96" s="113" t="s">
        <v>801</v>
      </c>
    </row>
    <row r="97" spans="1:13" ht="12.75" hidden="1" customHeight="1" x14ac:dyDescent="0.3">
      <c r="A97" s="111">
        <v>46160</v>
      </c>
      <c r="B97" s="112" t="s">
        <v>2049</v>
      </c>
      <c r="C97" s="113" t="s">
        <v>805</v>
      </c>
      <c r="D97" s="113" t="str">
        <f>IFERROR(VLOOKUP(C97,SKUs!$A$6:$F$1971,6,FALSE()),"")</f>
        <v>POLO COTTON MASC.</v>
      </c>
      <c r="E97" s="113">
        <v>5</v>
      </c>
      <c r="F97" s="113">
        <f>IFERROR(IF(OR(B97="",E97=""),"",E97*VLOOKUP(B97,Configurações!$I$5:$J$15,2,FALSE())),"")</f>
        <v>5</v>
      </c>
      <c r="G97" s="113" t="s">
        <v>665</v>
      </c>
      <c r="H97" s="113" t="s">
        <v>2050</v>
      </c>
      <c r="I97" s="113"/>
      <c r="J97" s="113"/>
      <c r="K97" s="113" t="s">
        <v>2051</v>
      </c>
      <c r="L97" s="113"/>
      <c r="M97" s="113" t="s">
        <v>801</v>
      </c>
    </row>
    <row r="98" spans="1:13" ht="12.75" hidden="1" customHeight="1" x14ac:dyDescent="0.3">
      <c r="A98" s="111">
        <v>46160</v>
      </c>
      <c r="B98" s="112" t="s">
        <v>2049</v>
      </c>
      <c r="C98" s="113" t="s">
        <v>806</v>
      </c>
      <c r="D98" s="113" t="str">
        <f>IFERROR(VLOOKUP(C98,SKUs!$A$6:$F$1971,6,FALSE()),"")</f>
        <v>POLO PIMA MASC.</v>
      </c>
      <c r="E98" s="113">
        <v>5</v>
      </c>
      <c r="F98" s="113">
        <f>IFERROR(IF(OR(B98="",E98=""),"",E98*VLOOKUP(B98,Configurações!$I$5:$J$15,2,FALSE())),"")</f>
        <v>5</v>
      </c>
      <c r="G98" s="113" t="s">
        <v>665</v>
      </c>
      <c r="H98" s="113" t="s">
        <v>2050</v>
      </c>
      <c r="I98" s="113"/>
      <c r="J98" s="113"/>
      <c r="K98" s="113" t="s">
        <v>2051</v>
      </c>
      <c r="L98" s="113"/>
      <c r="M98" s="113" t="s">
        <v>808</v>
      </c>
    </row>
    <row r="99" spans="1:13" ht="12.75" hidden="1" customHeight="1" x14ac:dyDescent="0.3">
      <c r="A99" s="111">
        <v>46160</v>
      </c>
      <c r="B99" s="112" t="s">
        <v>2049</v>
      </c>
      <c r="C99" s="113" t="s">
        <v>809</v>
      </c>
      <c r="D99" s="113" t="str">
        <f>IFERROR(VLOOKUP(C99,SKUs!$A$6:$F$1971,6,FALSE()),"")</f>
        <v>POLO PIMA MASC.</v>
      </c>
      <c r="E99" s="113">
        <v>4</v>
      </c>
      <c r="F99" s="113">
        <f>IFERROR(IF(OR(B99="",E99=""),"",E99*VLOOKUP(B99,Configurações!$I$5:$J$15,2,FALSE())),"")</f>
        <v>4</v>
      </c>
      <c r="G99" s="113" t="s">
        <v>665</v>
      </c>
      <c r="H99" s="113" t="s">
        <v>2050</v>
      </c>
      <c r="I99" s="113"/>
      <c r="J99" s="113"/>
      <c r="K99" s="113" t="s">
        <v>2051</v>
      </c>
      <c r="L99" s="113"/>
      <c r="M99" s="113" t="s">
        <v>808</v>
      </c>
    </row>
    <row r="100" spans="1:13" ht="12.75" hidden="1" customHeight="1" x14ac:dyDescent="0.3">
      <c r="A100" s="111">
        <v>46160</v>
      </c>
      <c r="B100" s="112" t="s">
        <v>2049</v>
      </c>
      <c r="C100" s="113" t="s">
        <v>810</v>
      </c>
      <c r="D100" s="113" t="str">
        <f>IFERROR(VLOOKUP(C100,SKUs!$A$6:$F$1971,6,FALSE()),"")</f>
        <v>POLO PIMA MASC.</v>
      </c>
      <c r="E100" s="113">
        <v>9</v>
      </c>
      <c r="F100" s="113">
        <f>IFERROR(IF(OR(B100="",E100=""),"",E100*VLOOKUP(B100,Configurações!$I$5:$J$15,2,FALSE())),"")</f>
        <v>9</v>
      </c>
      <c r="G100" s="113" t="s">
        <v>665</v>
      </c>
      <c r="H100" s="113" t="s">
        <v>2050</v>
      </c>
      <c r="I100" s="113"/>
      <c r="J100" s="113"/>
      <c r="K100" s="113" t="s">
        <v>2051</v>
      </c>
      <c r="L100" s="113"/>
      <c r="M100" s="113" t="s">
        <v>808</v>
      </c>
    </row>
    <row r="101" spans="1:13" ht="12.75" hidden="1" customHeight="1" x14ac:dyDescent="0.3">
      <c r="A101" s="111">
        <v>46160</v>
      </c>
      <c r="B101" s="112" t="s">
        <v>2049</v>
      </c>
      <c r="C101" s="113" t="s">
        <v>811</v>
      </c>
      <c r="D101" s="113" t="str">
        <f>IFERROR(VLOOKUP(C101,SKUs!$A$6:$F$1971,6,FALSE()),"")</f>
        <v>POLO PIMA MASC.</v>
      </c>
      <c r="E101" s="113">
        <v>10</v>
      </c>
      <c r="F101" s="113">
        <f>IFERROR(IF(OR(B101="",E101=""),"",E101*VLOOKUP(B101,Configurações!$I$5:$J$15,2,FALSE())),"")</f>
        <v>10</v>
      </c>
      <c r="G101" s="113" t="s">
        <v>665</v>
      </c>
      <c r="H101" s="113" t="s">
        <v>2050</v>
      </c>
      <c r="I101" s="113"/>
      <c r="J101" s="113"/>
      <c r="K101" s="113" t="s">
        <v>2051</v>
      </c>
      <c r="L101" s="113"/>
      <c r="M101" s="113" t="s">
        <v>808</v>
      </c>
    </row>
    <row r="102" spans="1:13" ht="12.75" hidden="1" customHeight="1" x14ac:dyDescent="0.3">
      <c r="A102" s="111">
        <v>46160</v>
      </c>
      <c r="B102" s="112" t="s">
        <v>2049</v>
      </c>
      <c r="C102" s="113" t="s">
        <v>812</v>
      </c>
      <c r="D102" s="113" t="str">
        <f>IFERROR(VLOOKUP(C102,SKUs!$A$6:$F$1971,6,FALSE()),"")</f>
        <v>POLO PIMA MASC.</v>
      </c>
      <c r="E102" s="113">
        <v>10</v>
      </c>
      <c r="F102" s="113">
        <f>IFERROR(IF(OR(B102="",E102=""),"",E102*VLOOKUP(B102,Configurações!$I$5:$J$15,2,FALSE())),"")</f>
        <v>10</v>
      </c>
      <c r="G102" s="113" t="s">
        <v>665</v>
      </c>
      <c r="H102" s="113" t="s">
        <v>2050</v>
      </c>
      <c r="I102" s="113"/>
      <c r="J102" s="113"/>
      <c r="K102" s="113" t="s">
        <v>2051</v>
      </c>
      <c r="L102" s="113"/>
      <c r="M102" s="113" t="s">
        <v>808</v>
      </c>
    </row>
    <row r="103" spans="1:13" ht="12.75" hidden="1" customHeight="1" x14ac:dyDescent="0.3">
      <c r="A103" s="111">
        <v>46160</v>
      </c>
      <c r="B103" s="112" t="s">
        <v>2049</v>
      </c>
      <c r="C103" s="113" t="s">
        <v>813</v>
      </c>
      <c r="D103" s="113" t="str">
        <f>IFERROR(VLOOKUP(C103,SKUs!$A$6:$F$1971,6,FALSE()),"")</f>
        <v>POLO PIMA MASC.</v>
      </c>
      <c r="E103" s="113">
        <v>3</v>
      </c>
      <c r="F103" s="113">
        <f>IFERROR(IF(OR(B103="",E103=""),"",E103*VLOOKUP(B103,Configurações!$I$5:$J$15,2,FALSE())),"")</f>
        <v>3</v>
      </c>
      <c r="G103" s="113" t="s">
        <v>665</v>
      </c>
      <c r="H103" s="113" t="s">
        <v>2050</v>
      </c>
      <c r="I103" s="113"/>
      <c r="J103" s="113"/>
      <c r="K103" s="113" t="s">
        <v>2051</v>
      </c>
      <c r="L103" s="113"/>
      <c r="M103" s="113" t="s">
        <v>808</v>
      </c>
    </row>
    <row r="104" spans="1:13" ht="12.75" hidden="1" customHeight="1" x14ac:dyDescent="0.3">
      <c r="A104" s="111">
        <v>46160</v>
      </c>
      <c r="B104" s="112" t="s">
        <v>2049</v>
      </c>
      <c r="C104" s="113" t="s">
        <v>814</v>
      </c>
      <c r="D104" s="113" t="str">
        <f>IFERROR(VLOOKUP(C104,SKUs!$A$6:$F$1971,6,FALSE()),"")</f>
        <v>CAMISETA COPA MASC.</v>
      </c>
      <c r="E104" s="113">
        <v>9</v>
      </c>
      <c r="F104" s="113">
        <f>IFERROR(IF(OR(B104="",E104=""),"",E104*VLOOKUP(B104,Configurações!$I$5:$J$15,2,FALSE())),"")</f>
        <v>9</v>
      </c>
      <c r="G104" s="113" t="s">
        <v>665</v>
      </c>
      <c r="H104" s="113" t="s">
        <v>2050</v>
      </c>
      <c r="I104" s="113"/>
      <c r="J104" s="113"/>
      <c r="K104" s="113" t="s">
        <v>2051</v>
      </c>
      <c r="L104" s="113"/>
      <c r="M104" s="113" t="s">
        <v>815</v>
      </c>
    </row>
    <row r="105" spans="1:13" ht="12.75" hidden="1" customHeight="1" x14ac:dyDescent="0.3">
      <c r="A105" s="111">
        <v>46160</v>
      </c>
      <c r="B105" s="112" t="s">
        <v>2049</v>
      </c>
      <c r="C105" s="113" t="s">
        <v>816</v>
      </c>
      <c r="D105" s="113" t="str">
        <f>IFERROR(VLOOKUP(C105,SKUs!$A$6:$F$1971,6,FALSE()),"")</f>
        <v>CAMISETA COPA MASC.</v>
      </c>
      <c r="E105" s="113">
        <v>15</v>
      </c>
      <c r="F105" s="113">
        <f>IFERROR(IF(OR(B105="",E105=""),"",E105*VLOOKUP(B105,Configurações!$I$5:$J$15,2,FALSE())),"")</f>
        <v>15</v>
      </c>
      <c r="G105" s="113" t="s">
        <v>665</v>
      </c>
      <c r="H105" s="113" t="s">
        <v>2050</v>
      </c>
      <c r="I105" s="113"/>
      <c r="J105" s="113"/>
      <c r="K105" s="113" t="s">
        <v>2051</v>
      </c>
      <c r="L105" s="113"/>
      <c r="M105" s="113" t="s">
        <v>815</v>
      </c>
    </row>
    <row r="106" spans="1:13" ht="12.75" hidden="1" customHeight="1" x14ac:dyDescent="0.3">
      <c r="A106" s="111">
        <v>46160</v>
      </c>
      <c r="B106" s="112" t="s">
        <v>2049</v>
      </c>
      <c r="C106" s="113" t="s">
        <v>817</v>
      </c>
      <c r="D106" s="113" t="str">
        <f>IFERROR(VLOOKUP(C106,SKUs!$A$6:$F$1971,6,FALSE()),"")</f>
        <v>CAMISETA COPA MASC.</v>
      </c>
      <c r="E106" s="113">
        <v>14</v>
      </c>
      <c r="F106" s="113">
        <f>IFERROR(IF(OR(B106="",E106=""),"",E106*VLOOKUP(B106,Configurações!$I$5:$J$15,2,FALSE())),"")</f>
        <v>14</v>
      </c>
      <c r="G106" s="113" t="s">
        <v>665</v>
      </c>
      <c r="H106" s="113" t="s">
        <v>2050</v>
      </c>
      <c r="I106" s="113"/>
      <c r="J106" s="113"/>
      <c r="K106" s="113" t="s">
        <v>2051</v>
      </c>
      <c r="L106" s="113"/>
      <c r="M106" s="113" t="s">
        <v>815</v>
      </c>
    </row>
    <row r="107" spans="1:13" ht="12.75" hidden="1" customHeight="1" x14ac:dyDescent="0.3">
      <c r="A107" s="111">
        <v>46160</v>
      </c>
      <c r="B107" s="112" t="s">
        <v>2049</v>
      </c>
      <c r="C107" s="113" t="s">
        <v>818</v>
      </c>
      <c r="D107" s="113" t="str">
        <f>IFERROR(VLOOKUP(C107,SKUs!$A$6:$F$1971,6,FALSE()),"")</f>
        <v>CAMISETA COPA MASC.</v>
      </c>
      <c r="E107" s="113">
        <v>15</v>
      </c>
      <c r="F107" s="113">
        <f>IFERROR(IF(OR(B107="",E107=""),"",E107*VLOOKUP(B107,Configurações!$I$5:$J$15,2,FALSE())),"")</f>
        <v>15</v>
      </c>
      <c r="G107" s="113" t="s">
        <v>665</v>
      </c>
      <c r="H107" s="113" t="s">
        <v>2050</v>
      </c>
      <c r="I107" s="113"/>
      <c r="J107" s="113"/>
      <c r="K107" s="113" t="s">
        <v>2051</v>
      </c>
      <c r="L107" s="113"/>
      <c r="M107" s="113" t="s">
        <v>815</v>
      </c>
    </row>
    <row r="108" spans="1:13" ht="12.75" hidden="1" customHeight="1" x14ac:dyDescent="0.3">
      <c r="A108" s="111">
        <v>46160</v>
      </c>
      <c r="B108" s="112" t="s">
        <v>2049</v>
      </c>
      <c r="C108" s="113" t="s">
        <v>819</v>
      </c>
      <c r="D108" s="113" t="str">
        <f>IFERROR(VLOOKUP(C108,SKUs!$A$6:$F$1971,6,FALSE()),"")</f>
        <v>CAMISETA COPA MASC.</v>
      </c>
      <c r="E108" s="113">
        <v>12</v>
      </c>
      <c r="F108" s="113">
        <f>IFERROR(IF(OR(B108="",E108=""),"",E108*VLOOKUP(B108,Configurações!$I$5:$J$15,2,FALSE())),"")</f>
        <v>12</v>
      </c>
      <c r="G108" s="113" t="s">
        <v>665</v>
      </c>
      <c r="H108" s="113" t="s">
        <v>2050</v>
      </c>
      <c r="I108" s="113"/>
      <c r="J108" s="113"/>
      <c r="K108" s="113" t="s">
        <v>2051</v>
      </c>
      <c r="L108" s="113"/>
      <c r="M108" s="113" t="s">
        <v>815</v>
      </c>
    </row>
    <row r="109" spans="1:13" ht="12.75" hidden="1" customHeight="1" x14ac:dyDescent="0.3">
      <c r="A109" s="111">
        <v>46160</v>
      </c>
      <c r="B109" s="112" t="s">
        <v>2049</v>
      </c>
      <c r="C109" s="113" t="s">
        <v>820</v>
      </c>
      <c r="D109" s="113" t="str">
        <f>IFERROR(VLOOKUP(C109,SKUs!$A$6:$F$1971,6,FALSE()),"")</f>
        <v>CAMISETA COPA MASC.</v>
      </c>
      <c r="E109" s="113">
        <v>5</v>
      </c>
      <c r="F109" s="113">
        <f>IFERROR(IF(OR(B109="",E109=""),"",E109*VLOOKUP(B109,Configurações!$I$5:$J$15,2,FALSE())),"")</f>
        <v>5</v>
      </c>
      <c r="G109" s="113" t="s">
        <v>665</v>
      </c>
      <c r="H109" s="113" t="s">
        <v>2050</v>
      </c>
      <c r="I109" s="113"/>
      <c r="J109" s="113"/>
      <c r="K109" s="113" t="s">
        <v>2051</v>
      </c>
      <c r="L109" s="113"/>
      <c r="M109" s="113" t="s">
        <v>815</v>
      </c>
    </row>
    <row r="110" spans="1:13" ht="12.75" hidden="1" customHeight="1" x14ac:dyDescent="0.3">
      <c r="A110" s="111">
        <v>46161</v>
      </c>
      <c r="B110" s="112" t="s">
        <v>2049</v>
      </c>
      <c r="C110" s="113" t="s">
        <v>821</v>
      </c>
      <c r="D110" s="113" t="str">
        <f>IFERROR(VLOOKUP(C110,SKUs!$A$6:$F$1971,6,FALSE()),"")</f>
        <v>POLO PIQUET FEM.</v>
      </c>
      <c r="E110" s="113">
        <v>10</v>
      </c>
      <c r="F110" s="113">
        <f>IFERROR(IF(OR(B110="",E110=""),"",E110*VLOOKUP(B110,Configurações!$I$5:$J$15,2,FALSE())),"")</f>
        <v>10</v>
      </c>
      <c r="G110" s="113" t="s">
        <v>665</v>
      </c>
      <c r="H110" s="113" t="s">
        <v>2050</v>
      </c>
      <c r="I110" s="113"/>
      <c r="J110" s="113"/>
      <c r="K110" s="113" t="s">
        <v>2051</v>
      </c>
      <c r="L110" s="113"/>
      <c r="M110" s="113" t="s">
        <v>823</v>
      </c>
    </row>
    <row r="111" spans="1:13" ht="12.75" hidden="1" customHeight="1" x14ac:dyDescent="0.3">
      <c r="A111" s="111">
        <v>46161</v>
      </c>
      <c r="B111" s="112" t="s">
        <v>2049</v>
      </c>
      <c r="C111" s="113" t="s">
        <v>824</v>
      </c>
      <c r="D111" s="113" t="str">
        <f>IFERROR(VLOOKUP(C111,SKUs!$A$6:$F$1971,6,FALSE()),"")</f>
        <v>POLO PIQUET FEM.</v>
      </c>
      <c r="E111" s="113">
        <v>13</v>
      </c>
      <c r="F111" s="113">
        <f>IFERROR(IF(OR(B111="",E111=""),"",E111*VLOOKUP(B111,Configurações!$I$5:$J$15,2,FALSE())),"")</f>
        <v>13</v>
      </c>
      <c r="G111" s="113" t="s">
        <v>665</v>
      </c>
      <c r="H111" s="113" t="s">
        <v>2050</v>
      </c>
      <c r="I111" s="113"/>
      <c r="J111" s="113"/>
      <c r="K111" s="113" t="s">
        <v>2051</v>
      </c>
      <c r="L111" s="113"/>
      <c r="M111" s="113" t="s">
        <v>823</v>
      </c>
    </row>
    <row r="112" spans="1:13" ht="12.75" hidden="1" customHeight="1" x14ac:dyDescent="0.3">
      <c r="A112" s="111">
        <v>46161</v>
      </c>
      <c r="B112" s="112" t="s">
        <v>2049</v>
      </c>
      <c r="C112" s="113" t="s">
        <v>825</v>
      </c>
      <c r="D112" s="113" t="str">
        <f>IFERROR(VLOOKUP(C112,SKUs!$A$6:$F$1971,6,FALSE()),"")</f>
        <v>POLO PIQUET FEM.</v>
      </c>
      <c r="E112" s="113">
        <v>15</v>
      </c>
      <c r="F112" s="113">
        <f>IFERROR(IF(OR(B112="",E112=""),"",E112*VLOOKUP(B112,Configurações!$I$5:$J$15,2,FALSE())),"")</f>
        <v>15</v>
      </c>
      <c r="G112" s="113" t="s">
        <v>665</v>
      </c>
      <c r="H112" s="113" t="s">
        <v>2050</v>
      </c>
      <c r="I112" s="113"/>
      <c r="J112" s="113"/>
      <c r="K112" s="113" t="s">
        <v>2051</v>
      </c>
      <c r="L112" s="113"/>
      <c r="M112" s="113" t="s">
        <v>823</v>
      </c>
    </row>
    <row r="113" spans="1:13" ht="12.75" hidden="1" customHeight="1" x14ac:dyDescent="0.3">
      <c r="A113" s="111">
        <v>46161</v>
      </c>
      <c r="B113" s="112" t="s">
        <v>2049</v>
      </c>
      <c r="C113" s="113" t="s">
        <v>826</v>
      </c>
      <c r="D113" s="113" t="str">
        <f>IFERROR(VLOOKUP(C113,SKUs!$A$6:$F$1971,6,FALSE()),"")</f>
        <v>POLO PIQUET FEM.</v>
      </c>
      <c r="E113" s="113">
        <v>9</v>
      </c>
      <c r="F113" s="113">
        <f>IFERROR(IF(OR(B113="",E113=""),"",E113*VLOOKUP(B113,Configurações!$I$5:$J$15,2,FALSE())),"")</f>
        <v>9</v>
      </c>
      <c r="G113" s="113" t="s">
        <v>665</v>
      </c>
      <c r="H113" s="113" t="s">
        <v>2050</v>
      </c>
      <c r="I113" s="113"/>
      <c r="J113" s="113"/>
      <c r="K113" s="113" t="s">
        <v>2051</v>
      </c>
      <c r="L113" s="113"/>
      <c r="M113" s="113" t="s">
        <v>823</v>
      </c>
    </row>
    <row r="114" spans="1:13" ht="12.75" hidden="1" customHeight="1" x14ac:dyDescent="0.3">
      <c r="A114" s="111">
        <v>46161</v>
      </c>
      <c r="B114" s="112" t="s">
        <v>2049</v>
      </c>
      <c r="C114" s="113" t="s">
        <v>827</v>
      </c>
      <c r="D114" s="113" t="str">
        <f>IFERROR(VLOOKUP(C114,SKUs!$A$6:$F$1971,6,FALSE()),"")</f>
        <v>POLO PIQUET FEM.</v>
      </c>
      <c r="E114" s="113">
        <v>5</v>
      </c>
      <c r="F114" s="113">
        <f>IFERROR(IF(OR(B114="",E114=""),"",E114*VLOOKUP(B114,Configurações!$I$5:$J$15,2,FALSE())),"")</f>
        <v>5</v>
      </c>
      <c r="G114" s="113" t="s">
        <v>665</v>
      </c>
      <c r="H114" s="113" t="s">
        <v>2050</v>
      </c>
      <c r="I114" s="113"/>
      <c r="J114" s="113"/>
      <c r="K114" s="113" t="s">
        <v>2051</v>
      </c>
      <c r="L114" s="113"/>
      <c r="M114" s="113" t="s">
        <v>823</v>
      </c>
    </row>
    <row r="115" spans="1:13" ht="12.75" hidden="1" customHeight="1" x14ac:dyDescent="0.3">
      <c r="A115" s="111">
        <v>46161</v>
      </c>
      <c r="B115" s="112" t="s">
        <v>2049</v>
      </c>
      <c r="C115" s="113" t="s">
        <v>828</v>
      </c>
      <c r="D115" s="113" t="str">
        <f>IFERROR(VLOOKUP(C115,SKUs!$A$6:$F$1971,6,FALSE()),"")</f>
        <v>POLO PIQUET FEM.</v>
      </c>
      <c r="E115" s="113">
        <v>5</v>
      </c>
      <c r="F115" s="113">
        <f>IFERROR(IF(OR(B115="",E115=""),"",E115*VLOOKUP(B115,Configurações!$I$5:$J$15,2,FALSE())),"")</f>
        <v>5</v>
      </c>
      <c r="G115" s="113" t="s">
        <v>665</v>
      </c>
      <c r="H115" s="113" t="s">
        <v>2050</v>
      </c>
      <c r="I115" s="113"/>
      <c r="J115" s="113"/>
      <c r="K115" s="113" t="s">
        <v>2051</v>
      </c>
      <c r="L115" s="113"/>
      <c r="M115" s="113" t="s">
        <v>823</v>
      </c>
    </row>
    <row r="116" spans="1:13" ht="12.75" hidden="1" customHeight="1" x14ac:dyDescent="0.3">
      <c r="A116" s="111">
        <v>46161</v>
      </c>
      <c r="B116" s="112" t="s">
        <v>2049</v>
      </c>
      <c r="C116" s="113" t="s">
        <v>829</v>
      </c>
      <c r="D116" s="113" t="str">
        <f>IFERROR(VLOOKUP(C116,SKUs!$A$6:$F$1971,6,FALSE()),"")</f>
        <v>POLO PIMA FEM.</v>
      </c>
      <c r="E116" s="113">
        <v>8</v>
      </c>
      <c r="F116" s="113">
        <f>IFERROR(IF(OR(B116="",E116=""),"",E116*VLOOKUP(B116,Configurações!$I$5:$J$15,2,FALSE())),"")</f>
        <v>8</v>
      </c>
      <c r="G116" s="113" t="s">
        <v>665</v>
      </c>
      <c r="H116" s="113" t="s">
        <v>2050</v>
      </c>
      <c r="I116" s="113"/>
      <c r="J116" s="113"/>
      <c r="K116" s="113" t="s">
        <v>2051</v>
      </c>
      <c r="L116" s="113"/>
      <c r="M116" s="113" t="s">
        <v>831</v>
      </c>
    </row>
    <row r="117" spans="1:13" ht="12.75" hidden="1" customHeight="1" x14ac:dyDescent="0.3">
      <c r="A117" s="111">
        <v>46161</v>
      </c>
      <c r="B117" s="112" t="s">
        <v>2049</v>
      </c>
      <c r="C117" s="113" t="s">
        <v>832</v>
      </c>
      <c r="D117" s="113" t="str">
        <f>IFERROR(VLOOKUP(C117,SKUs!$A$6:$F$1971,6,FALSE()),"")</f>
        <v>POLO PIMA FEM.</v>
      </c>
      <c r="E117" s="113">
        <v>11</v>
      </c>
      <c r="F117" s="113">
        <f>IFERROR(IF(OR(B117="",E117=""),"",E117*VLOOKUP(B117,Configurações!$I$5:$J$15,2,FALSE())),"")</f>
        <v>11</v>
      </c>
      <c r="G117" s="113" t="s">
        <v>665</v>
      </c>
      <c r="H117" s="113" t="s">
        <v>2050</v>
      </c>
      <c r="I117" s="113"/>
      <c r="J117" s="113"/>
      <c r="K117" s="113" t="s">
        <v>2051</v>
      </c>
      <c r="L117" s="113"/>
      <c r="M117" s="113" t="s">
        <v>831</v>
      </c>
    </row>
    <row r="118" spans="1:13" ht="12.75" hidden="1" customHeight="1" x14ac:dyDescent="0.3">
      <c r="A118" s="111">
        <v>46161</v>
      </c>
      <c r="B118" s="112" t="s">
        <v>2049</v>
      </c>
      <c r="C118" s="113" t="s">
        <v>833</v>
      </c>
      <c r="D118" s="113" t="str">
        <f>IFERROR(VLOOKUP(C118,SKUs!$A$6:$F$1971,6,FALSE()),"")</f>
        <v>POLO PIMA FEM.</v>
      </c>
      <c r="E118" s="113">
        <v>14</v>
      </c>
      <c r="F118" s="113">
        <f>IFERROR(IF(OR(B118="",E118=""),"",E118*VLOOKUP(B118,Configurações!$I$5:$J$15,2,FALSE())),"")</f>
        <v>14</v>
      </c>
      <c r="G118" s="113" t="s">
        <v>665</v>
      </c>
      <c r="H118" s="113" t="s">
        <v>2050</v>
      </c>
      <c r="I118" s="113"/>
      <c r="J118" s="113"/>
      <c r="K118" s="113" t="s">
        <v>2051</v>
      </c>
      <c r="L118" s="113"/>
      <c r="M118" s="113" t="s">
        <v>831</v>
      </c>
    </row>
    <row r="119" spans="1:13" ht="12.75" hidden="1" customHeight="1" x14ac:dyDescent="0.3">
      <c r="A119" s="111">
        <v>46161</v>
      </c>
      <c r="B119" s="112" t="s">
        <v>2049</v>
      </c>
      <c r="C119" s="113" t="s">
        <v>834</v>
      </c>
      <c r="D119" s="113" t="str">
        <f>IFERROR(VLOOKUP(C119,SKUs!$A$6:$F$1971,6,FALSE()),"")</f>
        <v>POLO PIMA FEM.</v>
      </c>
      <c r="E119" s="113">
        <v>11</v>
      </c>
      <c r="F119" s="113">
        <f>IFERROR(IF(OR(B119="",E119=""),"",E119*VLOOKUP(B119,Configurações!$I$5:$J$15,2,FALSE())),"")</f>
        <v>11</v>
      </c>
      <c r="G119" s="113" t="s">
        <v>665</v>
      </c>
      <c r="H119" s="113" t="s">
        <v>2050</v>
      </c>
      <c r="I119" s="113"/>
      <c r="J119" s="113"/>
      <c r="K119" s="113" t="s">
        <v>2051</v>
      </c>
      <c r="L119" s="113"/>
      <c r="M119" s="113" t="s">
        <v>831</v>
      </c>
    </row>
    <row r="120" spans="1:13" ht="12.75" hidden="1" customHeight="1" x14ac:dyDescent="0.3">
      <c r="A120" s="111">
        <v>46161</v>
      </c>
      <c r="B120" s="112" t="s">
        <v>2049</v>
      </c>
      <c r="C120" s="113" t="s">
        <v>835</v>
      </c>
      <c r="D120" s="113" t="str">
        <f>IFERROR(VLOOKUP(C120,SKUs!$A$6:$F$1971,6,FALSE()),"")</f>
        <v>POLO PIMA FEM.</v>
      </c>
      <c r="E120" s="113">
        <v>6</v>
      </c>
      <c r="F120" s="113">
        <f>IFERROR(IF(OR(B120="",E120=""),"",E120*VLOOKUP(B120,Configurações!$I$5:$J$15,2,FALSE())),"")</f>
        <v>6</v>
      </c>
      <c r="G120" s="113" t="s">
        <v>665</v>
      </c>
      <c r="H120" s="113" t="s">
        <v>2050</v>
      </c>
      <c r="I120" s="113"/>
      <c r="J120" s="113"/>
      <c r="K120" s="113" t="s">
        <v>2051</v>
      </c>
      <c r="L120" s="113"/>
      <c r="M120" s="113" t="s">
        <v>831</v>
      </c>
    </row>
    <row r="121" spans="1:13" ht="12.75" hidden="1" customHeight="1" x14ac:dyDescent="0.3">
      <c r="A121" s="111">
        <v>46161</v>
      </c>
      <c r="B121" s="112" t="s">
        <v>2049</v>
      </c>
      <c r="C121" s="113" t="s">
        <v>836</v>
      </c>
      <c r="D121" s="113" t="str">
        <f>IFERROR(VLOOKUP(C121,SKUs!$A$6:$F$1971,6,FALSE()),"")</f>
        <v>POLO PIMA FEM.</v>
      </c>
      <c r="E121" s="113">
        <v>4</v>
      </c>
      <c r="F121" s="113">
        <f>IFERROR(IF(OR(B121="",E121=""),"",E121*VLOOKUP(B121,Configurações!$I$5:$J$15,2,FALSE())),"")</f>
        <v>4</v>
      </c>
      <c r="G121" s="113" t="s">
        <v>665</v>
      </c>
      <c r="H121" s="113" t="s">
        <v>2050</v>
      </c>
      <c r="I121" s="113"/>
      <c r="J121" s="113"/>
      <c r="K121" s="113" t="s">
        <v>2051</v>
      </c>
      <c r="L121" s="113"/>
      <c r="M121" s="113" t="s">
        <v>831</v>
      </c>
    </row>
    <row r="122" spans="1:13" ht="12.75" hidden="1" customHeight="1" x14ac:dyDescent="0.3">
      <c r="A122" s="111">
        <v>46161</v>
      </c>
      <c r="B122" s="112" t="s">
        <v>2049</v>
      </c>
      <c r="C122" s="113" t="s">
        <v>837</v>
      </c>
      <c r="D122" s="113" t="str">
        <f>IFERROR(VLOOKUP(C122,SKUs!$A$6:$F$1971,6,FALSE()),"")</f>
        <v>CAMISETA CICLISMO UNISSEX</v>
      </c>
      <c r="E122" s="113">
        <v>8</v>
      </c>
      <c r="F122" s="113">
        <f>IFERROR(IF(OR(B122="",E122=""),"",E122*VLOOKUP(B122,Configurações!$I$5:$J$15,2,FALSE())),"")</f>
        <v>8</v>
      </c>
      <c r="G122" s="113" t="s">
        <v>665</v>
      </c>
      <c r="H122" s="113" t="s">
        <v>2050</v>
      </c>
      <c r="I122" s="113"/>
      <c r="J122" s="113"/>
      <c r="K122" s="113" t="s">
        <v>2051</v>
      </c>
      <c r="L122" s="113"/>
      <c r="M122" s="113" t="s">
        <v>839</v>
      </c>
    </row>
    <row r="123" spans="1:13" ht="12.75" hidden="1" customHeight="1" x14ac:dyDescent="0.3">
      <c r="A123" s="111">
        <v>46161</v>
      </c>
      <c r="B123" s="112" t="s">
        <v>2049</v>
      </c>
      <c r="C123" s="113" t="s">
        <v>840</v>
      </c>
      <c r="D123" s="113" t="str">
        <f>IFERROR(VLOOKUP(C123,SKUs!$A$6:$F$1971,6,FALSE()),"")</f>
        <v>CAMISETA CICLISMO UNISSEX</v>
      </c>
      <c r="E123" s="113">
        <v>10</v>
      </c>
      <c r="F123" s="113">
        <f>IFERROR(IF(OR(B123="",E123=""),"",E123*VLOOKUP(B123,Configurações!$I$5:$J$15,2,FALSE())),"")</f>
        <v>10</v>
      </c>
      <c r="G123" s="113" t="s">
        <v>665</v>
      </c>
      <c r="H123" s="113" t="s">
        <v>2050</v>
      </c>
      <c r="I123" s="113"/>
      <c r="J123" s="113"/>
      <c r="K123" s="113" t="s">
        <v>2051</v>
      </c>
      <c r="L123" s="113"/>
      <c r="M123" s="113" t="s">
        <v>839</v>
      </c>
    </row>
    <row r="124" spans="1:13" ht="12.75" hidden="1" customHeight="1" x14ac:dyDescent="0.3">
      <c r="A124" s="111">
        <v>46161</v>
      </c>
      <c r="B124" s="112" t="s">
        <v>2049</v>
      </c>
      <c r="C124" s="113" t="s">
        <v>841</v>
      </c>
      <c r="D124" s="113" t="str">
        <f>IFERROR(VLOOKUP(C124,SKUs!$A$6:$F$1971,6,FALSE()),"")</f>
        <v>CAMISETA CICLISMO UNISSEX</v>
      </c>
      <c r="E124" s="113">
        <v>11</v>
      </c>
      <c r="F124" s="113">
        <f>IFERROR(IF(OR(B124="",E124=""),"",E124*VLOOKUP(B124,Configurações!$I$5:$J$15,2,FALSE())),"")</f>
        <v>11</v>
      </c>
      <c r="G124" s="113" t="s">
        <v>665</v>
      </c>
      <c r="H124" s="113" t="s">
        <v>2050</v>
      </c>
      <c r="I124" s="113"/>
      <c r="J124" s="113"/>
      <c r="K124" s="113" t="s">
        <v>2051</v>
      </c>
      <c r="L124" s="113"/>
      <c r="M124" s="113" t="s">
        <v>839</v>
      </c>
    </row>
    <row r="125" spans="1:13" ht="12.75" hidden="1" customHeight="1" x14ac:dyDescent="0.3">
      <c r="A125" s="111">
        <v>46161</v>
      </c>
      <c r="B125" s="112" t="s">
        <v>2049</v>
      </c>
      <c r="C125" s="113" t="s">
        <v>842</v>
      </c>
      <c r="D125" s="113" t="str">
        <f>IFERROR(VLOOKUP(C125,SKUs!$A$6:$F$1971,6,FALSE()),"")</f>
        <v>CAMISETA CICLISMO UNISSEX</v>
      </c>
      <c r="E125" s="113">
        <v>11</v>
      </c>
      <c r="F125" s="113">
        <f>IFERROR(IF(OR(B125="",E125=""),"",E125*VLOOKUP(B125,Configurações!$I$5:$J$15,2,FALSE())),"")</f>
        <v>11</v>
      </c>
      <c r="G125" s="113" t="s">
        <v>665</v>
      </c>
      <c r="H125" s="113" t="s">
        <v>2050</v>
      </c>
      <c r="I125" s="113"/>
      <c r="J125" s="113"/>
      <c r="K125" s="113" t="s">
        <v>2051</v>
      </c>
      <c r="L125" s="113"/>
      <c r="M125" s="113" t="s">
        <v>839</v>
      </c>
    </row>
    <row r="126" spans="1:13" ht="12.75" hidden="1" customHeight="1" x14ac:dyDescent="0.3">
      <c r="A126" s="111">
        <v>46161</v>
      </c>
      <c r="B126" s="112" t="s">
        <v>2049</v>
      </c>
      <c r="C126" s="113" t="s">
        <v>843</v>
      </c>
      <c r="D126" s="113" t="str">
        <f>IFERROR(VLOOKUP(C126,SKUs!$A$6:$F$1971,6,FALSE()),"")</f>
        <v>CAMISETA CICLISMO UNISSEX</v>
      </c>
      <c r="E126" s="113">
        <v>10</v>
      </c>
      <c r="F126" s="113">
        <f>IFERROR(IF(OR(B126="",E126=""),"",E126*VLOOKUP(B126,Configurações!$I$5:$J$15,2,FALSE())),"")</f>
        <v>10</v>
      </c>
      <c r="G126" s="113" t="s">
        <v>665</v>
      </c>
      <c r="H126" s="113" t="s">
        <v>2050</v>
      </c>
      <c r="I126" s="113"/>
      <c r="J126" s="113"/>
      <c r="K126" s="113" t="s">
        <v>2051</v>
      </c>
      <c r="L126" s="113"/>
      <c r="M126" s="113" t="s">
        <v>839</v>
      </c>
    </row>
    <row r="127" spans="1:13" ht="12.75" hidden="1" customHeight="1" x14ac:dyDescent="0.3">
      <c r="A127" s="111">
        <v>46161</v>
      </c>
      <c r="B127" s="112" t="s">
        <v>2049</v>
      </c>
      <c r="C127" s="113" t="s">
        <v>844</v>
      </c>
      <c r="D127" s="113" t="str">
        <f>IFERROR(VLOOKUP(C127,SKUs!$A$6:$F$1971,6,FALSE()),"")</f>
        <v>CAMISETA CICLISMO UNISSEX</v>
      </c>
      <c r="E127" s="113">
        <v>8</v>
      </c>
      <c r="F127" s="113">
        <f>IFERROR(IF(OR(B127="",E127=""),"",E127*VLOOKUP(B127,Configurações!$I$5:$J$15,2,FALSE())),"")</f>
        <v>8</v>
      </c>
      <c r="G127" s="113" t="s">
        <v>665</v>
      </c>
      <c r="H127" s="113" t="s">
        <v>2050</v>
      </c>
      <c r="I127" s="113"/>
      <c r="J127" s="113"/>
      <c r="K127" s="113" t="s">
        <v>2051</v>
      </c>
      <c r="L127" s="113"/>
      <c r="M127" s="113" t="s">
        <v>839</v>
      </c>
    </row>
    <row r="128" spans="1:13" ht="12.75" hidden="1" customHeight="1" x14ac:dyDescent="0.3">
      <c r="A128" s="111">
        <v>46161</v>
      </c>
      <c r="B128" s="112" t="s">
        <v>2049</v>
      </c>
      <c r="C128" s="113" t="s">
        <v>846</v>
      </c>
      <c r="D128" s="113" t="str">
        <f>IFERROR(VLOOKUP(C128,SKUs!$A$6:$F$1971,6,FALSE()),"")</f>
        <v>CAMISETA CICLISMO UNISSEX</v>
      </c>
      <c r="E128" s="113">
        <v>8</v>
      </c>
      <c r="F128" s="113">
        <f>IFERROR(IF(OR(B128="",E128=""),"",E128*VLOOKUP(B128,Configurações!$I$5:$J$15,2,FALSE())),"")</f>
        <v>8</v>
      </c>
      <c r="G128" s="113" t="s">
        <v>665</v>
      </c>
      <c r="H128" s="113" t="s">
        <v>2050</v>
      </c>
      <c r="I128" s="113"/>
      <c r="J128" s="113"/>
      <c r="K128" s="113" t="s">
        <v>2051</v>
      </c>
      <c r="L128" s="113"/>
      <c r="M128" s="113" t="s">
        <v>839</v>
      </c>
    </row>
    <row r="129" spans="1:13" ht="12.75" hidden="1" customHeight="1" x14ac:dyDescent="0.3">
      <c r="A129" s="111">
        <v>46161</v>
      </c>
      <c r="B129" s="112" t="s">
        <v>2049</v>
      </c>
      <c r="C129" s="113" t="s">
        <v>847</v>
      </c>
      <c r="D129" s="113" t="str">
        <f>IFERROR(VLOOKUP(C129,SKUs!$A$6:$F$1971,6,FALSE()),"")</f>
        <v>CAMISETA CICLISMO UNISSEX</v>
      </c>
      <c r="E129" s="113">
        <v>11</v>
      </c>
      <c r="F129" s="113">
        <f>IFERROR(IF(OR(B129="",E129=""),"",E129*VLOOKUP(B129,Configurações!$I$5:$J$15,2,FALSE())),"")</f>
        <v>11</v>
      </c>
      <c r="G129" s="113" t="s">
        <v>665</v>
      </c>
      <c r="H129" s="113" t="s">
        <v>2050</v>
      </c>
      <c r="I129" s="113"/>
      <c r="J129" s="113"/>
      <c r="K129" s="113" t="s">
        <v>2051</v>
      </c>
      <c r="L129" s="113"/>
      <c r="M129" s="113" t="s">
        <v>839</v>
      </c>
    </row>
    <row r="130" spans="1:13" ht="12.75" hidden="1" customHeight="1" x14ac:dyDescent="0.3">
      <c r="A130" s="111">
        <v>46161</v>
      </c>
      <c r="B130" s="112" t="s">
        <v>2049</v>
      </c>
      <c r="C130" s="113" t="s">
        <v>848</v>
      </c>
      <c r="D130" s="113" t="str">
        <f>IFERROR(VLOOKUP(C130,SKUs!$A$6:$F$1971,6,FALSE()),"")</f>
        <v>CAMISETA CICLISMO UNISSEX</v>
      </c>
      <c r="E130" s="113">
        <v>12</v>
      </c>
      <c r="F130" s="113">
        <f>IFERROR(IF(OR(B130="",E130=""),"",E130*VLOOKUP(B130,Configurações!$I$5:$J$15,2,FALSE())),"")</f>
        <v>12</v>
      </c>
      <c r="G130" s="113" t="s">
        <v>665</v>
      </c>
      <c r="H130" s="113" t="s">
        <v>2050</v>
      </c>
      <c r="I130" s="113"/>
      <c r="J130" s="113"/>
      <c r="K130" s="113" t="s">
        <v>2051</v>
      </c>
      <c r="L130" s="113"/>
      <c r="M130" s="113" t="s">
        <v>839</v>
      </c>
    </row>
    <row r="131" spans="1:13" ht="12.75" hidden="1" customHeight="1" x14ac:dyDescent="0.3">
      <c r="A131" s="111">
        <v>46161</v>
      </c>
      <c r="B131" s="112" t="s">
        <v>2049</v>
      </c>
      <c r="C131" s="113" t="s">
        <v>849</v>
      </c>
      <c r="D131" s="113" t="str">
        <f>IFERROR(VLOOKUP(C131,SKUs!$A$6:$F$1971,6,FALSE()),"")</f>
        <v>CAMISETA CICLISMO UNISSEX</v>
      </c>
      <c r="E131" s="113">
        <v>11</v>
      </c>
      <c r="F131" s="113">
        <f>IFERROR(IF(OR(B131="",E131=""),"",E131*VLOOKUP(B131,Configurações!$I$5:$J$15,2,FALSE())),"")</f>
        <v>11</v>
      </c>
      <c r="G131" s="113" t="s">
        <v>665</v>
      </c>
      <c r="H131" s="113" t="s">
        <v>2050</v>
      </c>
      <c r="I131" s="113"/>
      <c r="J131" s="113"/>
      <c r="K131" s="113" t="s">
        <v>2051</v>
      </c>
      <c r="L131" s="113"/>
      <c r="M131" s="113" t="s">
        <v>839</v>
      </c>
    </row>
    <row r="132" spans="1:13" ht="12.75" hidden="1" customHeight="1" x14ac:dyDescent="0.3">
      <c r="A132" s="111">
        <v>46161</v>
      </c>
      <c r="B132" s="112" t="s">
        <v>2049</v>
      </c>
      <c r="C132" s="113" t="s">
        <v>850</v>
      </c>
      <c r="D132" s="113" t="str">
        <f>IFERROR(VLOOKUP(C132,SKUs!$A$6:$F$1971,6,FALSE()),"")</f>
        <v>CAMISETA CICLISMO UNISSEX</v>
      </c>
      <c r="E132" s="113">
        <v>10</v>
      </c>
      <c r="F132" s="113">
        <f>IFERROR(IF(OR(B132="",E132=""),"",E132*VLOOKUP(B132,Configurações!$I$5:$J$15,2,FALSE())),"")</f>
        <v>10</v>
      </c>
      <c r="G132" s="113" t="s">
        <v>665</v>
      </c>
      <c r="H132" s="113" t="s">
        <v>2050</v>
      </c>
      <c r="I132" s="113"/>
      <c r="J132" s="113"/>
      <c r="K132" s="113" t="s">
        <v>2051</v>
      </c>
      <c r="L132" s="113"/>
      <c r="M132" s="113" t="s">
        <v>839</v>
      </c>
    </row>
    <row r="133" spans="1:13" ht="12.75" hidden="1" customHeight="1" x14ac:dyDescent="0.3">
      <c r="A133" s="111">
        <v>46161</v>
      </c>
      <c r="B133" s="112" t="s">
        <v>2049</v>
      </c>
      <c r="C133" s="113" t="s">
        <v>851</v>
      </c>
      <c r="D133" s="113" t="str">
        <f>IFERROR(VLOOKUP(C133,SKUs!$A$6:$F$1971,6,FALSE()),"")</f>
        <v>CAMISETA CICLISMO UNISSEX</v>
      </c>
      <c r="E133" s="113">
        <v>11</v>
      </c>
      <c r="F133" s="113">
        <f>IFERROR(IF(OR(B133="",E133=""),"",E133*VLOOKUP(B133,Configurações!$I$5:$J$15,2,FALSE())),"")</f>
        <v>11</v>
      </c>
      <c r="G133" s="113" t="s">
        <v>665</v>
      </c>
      <c r="H133" s="113" t="s">
        <v>2050</v>
      </c>
      <c r="I133" s="113"/>
      <c r="J133" s="113"/>
      <c r="K133" s="113" t="s">
        <v>2051</v>
      </c>
      <c r="L133" s="113"/>
      <c r="M133" s="113" t="s">
        <v>839</v>
      </c>
    </row>
    <row r="134" spans="1:13" ht="12.75" hidden="1" customHeight="1" x14ac:dyDescent="0.3">
      <c r="A134" s="111">
        <v>46161</v>
      </c>
      <c r="B134" s="112" t="s">
        <v>2049</v>
      </c>
      <c r="C134" s="113" t="s">
        <v>852</v>
      </c>
      <c r="D134" s="113" t="str">
        <f>IFERROR(VLOOKUP(C134,SKUs!$A$6:$F$1971,6,FALSE()),"")</f>
        <v>CAMISETA COPA FEM.</v>
      </c>
      <c r="E134" s="113">
        <v>9</v>
      </c>
      <c r="F134" s="113">
        <f>IFERROR(IF(OR(B134="",E134=""),"",E134*VLOOKUP(B134,Configurações!$I$5:$J$15,2,FALSE())),"")</f>
        <v>9</v>
      </c>
      <c r="G134" s="113" t="s">
        <v>665</v>
      </c>
      <c r="H134" s="113" t="s">
        <v>2050</v>
      </c>
      <c r="I134" s="113"/>
      <c r="J134" s="113"/>
      <c r="K134" s="113" t="s">
        <v>2051</v>
      </c>
      <c r="L134" s="113"/>
      <c r="M134" s="113" t="s">
        <v>854</v>
      </c>
    </row>
    <row r="135" spans="1:13" ht="12.75" hidden="1" customHeight="1" x14ac:dyDescent="0.3">
      <c r="A135" s="111">
        <v>46161</v>
      </c>
      <c r="B135" s="112" t="s">
        <v>2049</v>
      </c>
      <c r="C135" s="113" t="s">
        <v>855</v>
      </c>
      <c r="D135" s="113" t="str">
        <f>IFERROR(VLOOKUP(C135,SKUs!$A$6:$F$1971,6,FALSE()),"")</f>
        <v>CAMISETA COPA FEM.</v>
      </c>
      <c r="E135" s="113">
        <v>5</v>
      </c>
      <c r="F135" s="113">
        <f>IFERROR(IF(OR(B135="",E135=""),"",E135*VLOOKUP(B135,Configurações!$I$5:$J$15,2,FALSE())),"")</f>
        <v>5</v>
      </c>
      <c r="G135" s="113" t="s">
        <v>665</v>
      </c>
      <c r="H135" s="113" t="s">
        <v>2050</v>
      </c>
      <c r="I135" s="113"/>
      <c r="J135" s="113"/>
      <c r="K135" s="113" t="s">
        <v>2051</v>
      </c>
      <c r="L135" s="113"/>
      <c r="M135" s="113" t="s">
        <v>854</v>
      </c>
    </row>
    <row r="136" spans="1:13" ht="12.75" hidden="1" customHeight="1" x14ac:dyDescent="0.3">
      <c r="A136" s="111">
        <v>46161</v>
      </c>
      <c r="B136" s="112" t="s">
        <v>2049</v>
      </c>
      <c r="C136" s="113" t="s">
        <v>856</v>
      </c>
      <c r="D136" s="113" t="str">
        <f>IFERROR(VLOOKUP(C136,SKUs!$A$6:$F$1971,6,FALSE()),"")</f>
        <v>CAMISETA COPA FEM.</v>
      </c>
      <c r="E136" s="113">
        <v>12</v>
      </c>
      <c r="F136" s="113">
        <f>IFERROR(IF(OR(B136="",E136=""),"",E136*VLOOKUP(B136,Configurações!$I$5:$J$15,2,FALSE())),"")</f>
        <v>12</v>
      </c>
      <c r="G136" s="113" t="s">
        <v>665</v>
      </c>
      <c r="H136" s="113" t="s">
        <v>2050</v>
      </c>
      <c r="I136" s="113"/>
      <c r="J136" s="113"/>
      <c r="K136" s="113" t="s">
        <v>2051</v>
      </c>
      <c r="L136" s="113"/>
      <c r="M136" s="113" t="s">
        <v>854</v>
      </c>
    </row>
    <row r="137" spans="1:13" ht="12.75" hidden="1" customHeight="1" x14ac:dyDescent="0.3">
      <c r="A137" s="111">
        <v>46161</v>
      </c>
      <c r="B137" s="112" t="s">
        <v>2049</v>
      </c>
      <c r="C137" s="113" t="s">
        <v>857</v>
      </c>
      <c r="D137" s="113" t="str">
        <f>IFERROR(VLOOKUP(C137,SKUs!$A$6:$F$1971,6,FALSE()),"")</f>
        <v>CAMISETA COPA FEM.</v>
      </c>
      <c r="E137" s="113">
        <v>6</v>
      </c>
      <c r="F137" s="113">
        <f>IFERROR(IF(OR(B137="",E137=""),"",E137*VLOOKUP(B137,Configurações!$I$5:$J$15,2,FALSE())),"")</f>
        <v>6</v>
      </c>
      <c r="G137" s="113" t="s">
        <v>665</v>
      </c>
      <c r="H137" s="113" t="s">
        <v>2050</v>
      </c>
      <c r="I137" s="113"/>
      <c r="J137" s="113"/>
      <c r="K137" s="113" t="s">
        <v>2051</v>
      </c>
      <c r="L137" s="113"/>
      <c r="M137" s="113" t="s">
        <v>854</v>
      </c>
    </row>
    <row r="138" spans="1:13" ht="12.75" hidden="1" customHeight="1" x14ac:dyDescent="0.3">
      <c r="A138" s="111">
        <v>46161</v>
      </c>
      <c r="B138" s="112" t="s">
        <v>2049</v>
      </c>
      <c r="C138" s="113" t="s">
        <v>858</v>
      </c>
      <c r="D138" s="113" t="str">
        <f>IFERROR(VLOOKUP(C138,SKUs!$A$6:$F$1971,6,FALSE()),"")</f>
        <v>CAMISETA COPA FEM.</v>
      </c>
      <c r="E138" s="113">
        <v>7</v>
      </c>
      <c r="F138" s="113">
        <f>IFERROR(IF(OR(B138="",E138=""),"",E138*VLOOKUP(B138,Configurações!$I$5:$J$15,2,FALSE())),"")</f>
        <v>7</v>
      </c>
      <c r="G138" s="113" t="s">
        <v>665</v>
      </c>
      <c r="H138" s="113" t="s">
        <v>2050</v>
      </c>
      <c r="I138" s="113"/>
      <c r="J138" s="113"/>
      <c r="K138" s="113" t="s">
        <v>2051</v>
      </c>
      <c r="L138" s="113"/>
      <c r="M138" s="113" t="s">
        <v>854</v>
      </c>
    </row>
    <row r="139" spans="1:13" ht="12.75" hidden="1" customHeight="1" x14ac:dyDescent="0.3">
      <c r="A139" s="111">
        <v>46161</v>
      </c>
      <c r="B139" s="112" t="s">
        <v>2049</v>
      </c>
      <c r="C139" s="113" t="s">
        <v>859</v>
      </c>
      <c r="D139" s="113" t="str">
        <f>IFERROR(VLOOKUP(C139,SKUs!$A$6:$F$1971,6,FALSE()),"")</f>
        <v>POLO PIQUET FEM.</v>
      </c>
      <c r="E139" s="113">
        <v>8</v>
      </c>
      <c r="F139" s="113">
        <f>IFERROR(IF(OR(B139="",E139=""),"",E139*VLOOKUP(B139,Configurações!$I$5:$J$15,2,FALSE())),"")</f>
        <v>8</v>
      </c>
      <c r="G139" s="113" t="s">
        <v>665</v>
      </c>
      <c r="H139" s="113" t="s">
        <v>2050</v>
      </c>
      <c r="I139" s="113"/>
      <c r="J139" s="113"/>
      <c r="K139" s="113" t="s">
        <v>2051</v>
      </c>
      <c r="L139" s="113"/>
      <c r="M139" s="113" t="s">
        <v>860</v>
      </c>
    </row>
    <row r="140" spans="1:13" ht="12.75" hidden="1" customHeight="1" x14ac:dyDescent="0.3">
      <c r="A140" s="111">
        <v>46161</v>
      </c>
      <c r="B140" s="112" t="s">
        <v>2049</v>
      </c>
      <c r="C140" s="113" t="s">
        <v>861</v>
      </c>
      <c r="D140" s="113" t="str">
        <f>IFERROR(VLOOKUP(C140,SKUs!$A$6:$F$1971,6,FALSE()),"")</f>
        <v>POLO PIQUET FEM.</v>
      </c>
      <c r="E140" s="113">
        <v>13</v>
      </c>
      <c r="F140" s="113">
        <f>IFERROR(IF(OR(B140="",E140=""),"",E140*VLOOKUP(B140,Configurações!$I$5:$J$15,2,FALSE())),"")</f>
        <v>13</v>
      </c>
      <c r="G140" s="113" t="s">
        <v>665</v>
      </c>
      <c r="H140" s="113" t="s">
        <v>2050</v>
      </c>
      <c r="I140" s="113"/>
      <c r="J140" s="113"/>
      <c r="K140" s="113" t="s">
        <v>2051</v>
      </c>
      <c r="L140" s="113"/>
      <c r="M140" s="113" t="s">
        <v>860</v>
      </c>
    </row>
    <row r="141" spans="1:13" ht="12.75" hidden="1" customHeight="1" x14ac:dyDescent="0.3">
      <c r="A141" s="111">
        <v>46161</v>
      </c>
      <c r="B141" s="112" t="s">
        <v>2049</v>
      </c>
      <c r="C141" s="113" t="s">
        <v>862</v>
      </c>
      <c r="D141" s="113" t="str">
        <f>IFERROR(VLOOKUP(C141,SKUs!$A$6:$F$1971,6,FALSE()),"")</f>
        <v>POLO PIQUET FEM.</v>
      </c>
      <c r="E141" s="113">
        <v>15</v>
      </c>
      <c r="F141" s="113">
        <f>IFERROR(IF(OR(B141="",E141=""),"",E141*VLOOKUP(B141,Configurações!$I$5:$J$15,2,FALSE())),"")</f>
        <v>15</v>
      </c>
      <c r="G141" s="113" t="s">
        <v>665</v>
      </c>
      <c r="H141" s="113" t="s">
        <v>2050</v>
      </c>
      <c r="I141" s="113"/>
      <c r="J141" s="113"/>
      <c r="K141" s="113" t="s">
        <v>2051</v>
      </c>
      <c r="L141" s="113"/>
      <c r="M141" s="113" t="s">
        <v>860</v>
      </c>
    </row>
    <row r="142" spans="1:13" ht="12.75" hidden="1" customHeight="1" x14ac:dyDescent="0.3">
      <c r="A142" s="111">
        <v>46161</v>
      </c>
      <c r="B142" s="112" t="s">
        <v>2049</v>
      </c>
      <c r="C142" s="113" t="s">
        <v>863</v>
      </c>
      <c r="D142" s="113" t="str">
        <f>IFERROR(VLOOKUP(C142,SKUs!$A$6:$F$1971,6,FALSE()),"")</f>
        <v>POLO PIQUET FEM.</v>
      </c>
      <c r="E142" s="113">
        <v>8</v>
      </c>
      <c r="F142" s="113">
        <f>IFERROR(IF(OR(B142="",E142=""),"",E142*VLOOKUP(B142,Configurações!$I$5:$J$15,2,FALSE())),"")</f>
        <v>8</v>
      </c>
      <c r="G142" s="113" t="s">
        <v>665</v>
      </c>
      <c r="H142" s="113" t="s">
        <v>2050</v>
      </c>
      <c r="I142" s="113"/>
      <c r="J142" s="113"/>
      <c r="K142" s="113" t="s">
        <v>2051</v>
      </c>
      <c r="L142" s="113"/>
      <c r="M142" s="113" t="s">
        <v>860</v>
      </c>
    </row>
    <row r="143" spans="1:13" ht="12.75" hidden="1" customHeight="1" x14ac:dyDescent="0.3">
      <c r="A143" s="111">
        <v>46161</v>
      </c>
      <c r="B143" s="112" t="s">
        <v>2049</v>
      </c>
      <c r="C143" s="113" t="s">
        <v>864</v>
      </c>
      <c r="D143" s="113" t="str">
        <f>IFERROR(VLOOKUP(C143,SKUs!$A$6:$F$1971,6,FALSE()),"")</f>
        <v>POLO PIQUET FEM.</v>
      </c>
      <c r="E143" s="113">
        <v>4</v>
      </c>
      <c r="F143" s="113">
        <f>IFERROR(IF(OR(B143="",E143=""),"",E143*VLOOKUP(B143,Configurações!$I$5:$J$15,2,FALSE())),"")</f>
        <v>4</v>
      </c>
      <c r="G143" s="113" t="s">
        <v>665</v>
      </c>
      <c r="H143" s="113" t="s">
        <v>2050</v>
      </c>
      <c r="I143" s="113"/>
      <c r="J143" s="113"/>
      <c r="K143" s="113" t="s">
        <v>2051</v>
      </c>
      <c r="L143" s="113"/>
      <c r="M143" s="113" t="s">
        <v>860</v>
      </c>
    </row>
    <row r="144" spans="1:13" ht="12.75" hidden="1" customHeight="1" x14ac:dyDescent="0.3">
      <c r="A144" s="111">
        <v>46161</v>
      </c>
      <c r="B144" s="112" t="s">
        <v>2049</v>
      </c>
      <c r="C144" s="113" t="s">
        <v>865</v>
      </c>
      <c r="D144" s="113" t="str">
        <f>IFERROR(VLOOKUP(C144,SKUs!$A$6:$F$1971,6,FALSE()),"")</f>
        <v>POLO PIQUET FEM.</v>
      </c>
      <c r="E144" s="113">
        <v>5</v>
      </c>
      <c r="F144" s="113">
        <f>IFERROR(IF(OR(B144="",E144=""),"",E144*VLOOKUP(B144,Configurações!$I$5:$J$15,2,FALSE())),"")</f>
        <v>5</v>
      </c>
      <c r="G144" s="113" t="s">
        <v>665</v>
      </c>
      <c r="H144" s="113" t="s">
        <v>2050</v>
      </c>
      <c r="I144" s="113"/>
      <c r="J144" s="113"/>
      <c r="K144" s="113" t="s">
        <v>2051</v>
      </c>
      <c r="L144" s="113"/>
      <c r="M144" s="113" t="s">
        <v>860</v>
      </c>
    </row>
    <row r="145" spans="1:13" ht="12.75" hidden="1" customHeight="1" x14ac:dyDescent="0.3">
      <c r="A145" s="111">
        <v>46161</v>
      </c>
      <c r="B145" s="112" t="s">
        <v>2049</v>
      </c>
      <c r="C145" s="113" t="s">
        <v>866</v>
      </c>
      <c r="D145" s="113" t="str">
        <f>IFERROR(VLOOKUP(C145,SKUs!$A$6:$F$1971,6,FALSE()),"")</f>
        <v>JAQUETA CAPUZ EMBUTIDO</v>
      </c>
      <c r="E145" s="113">
        <v>4</v>
      </c>
      <c r="F145" s="113">
        <f>IFERROR(IF(OR(B145="",E145=""),"",E145*VLOOKUP(B145,Configurações!$I$5:$J$15,2,FALSE())),"")</f>
        <v>4</v>
      </c>
      <c r="G145" s="113" t="s">
        <v>665</v>
      </c>
      <c r="H145" s="113" t="s">
        <v>2050</v>
      </c>
      <c r="I145" s="113"/>
      <c r="J145" s="113"/>
      <c r="K145" s="113" t="s">
        <v>2051</v>
      </c>
      <c r="L145" s="113"/>
      <c r="M145" s="113" t="s">
        <v>868</v>
      </c>
    </row>
    <row r="146" spans="1:13" ht="12.75" hidden="1" customHeight="1" x14ac:dyDescent="0.3">
      <c r="A146" s="111">
        <v>46161</v>
      </c>
      <c r="B146" s="112" t="s">
        <v>2049</v>
      </c>
      <c r="C146" s="113" t="s">
        <v>869</v>
      </c>
      <c r="D146" s="113" t="str">
        <f>IFERROR(VLOOKUP(C146,SKUs!$A$6:$F$1971,6,FALSE()),"")</f>
        <v>JAQUETA CAPUZ EMBUTIDO</v>
      </c>
      <c r="E146" s="113">
        <v>4</v>
      </c>
      <c r="F146" s="113">
        <f>IFERROR(IF(OR(B146="",E146=""),"",E146*VLOOKUP(B146,Configurações!$I$5:$J$15,2,FALSE())),"")</f>
        <v>4</v>
      </c>
      <c r="G146" s="113" t="s">
        <v>665</v>
      </c>
      <c r="H146" s="113" t="s">
        <v>2050</v>
      </c>
      <c r="I146" s="113"/>
      <c r="J146" s="113"/>
      <c r="K146" s="113" t="s">
        <v>2051</v>
      </c>
      <c r="L146" s="113"/>
      <c r="M146" s="113" t="s">
        <v>868</v>
      </c>
    </row>
    <row r="147" spans="1:13" ht="12.75" hidden="1" customHeight="1" x14ac:dyDescent="0.3">
      <c r="A147" s="111">
        <v>46161</v>
      </c>
      <c r="B147" s="112" t="s">
        <v>2049</v>
      </c>
      <c r="C147" s="113" t="s">
        <v>870</v>
      </c>
      <c r="D147" s="113" t="str">
        <f>IFERROR(VLOOKUP(C147,SKUs!$A$6:$F$1971,6,FALSE()),"")</f>
        <v>JAQUETA COPA FEM.</v>
      </c>
      <c r="E147" s="113">
        <v>8</v>
      </c>
      <c r="F147" s="113">
        <f>IFERROR(IF(OR(B147="",E147=""),"",E147*VLOOKUP(B147,Configurações!$I$5:$J$15,2,FALSE())),"")</f>
        <v>8</v>
      </c>
      <c r="G147" s="113" t="s">
        <v>665</v>
      </c>
      <c r="H147" s="113" t="s">
        <v>2050</v>
      </c>
      <c r="I147" s="113"/>
      <c r="J147" s="113"/>
      <c r="K147" s="113" t="s">
        <v>2051</v>
      </c>
      <c r="L147" s="113"/>
      <c r="M147" s="113" t="s">
        <v>872</v>
      </c>
    </row>
    <row r="148" spans="1:13" ht="12.75" hidden="1" customHeight="1" x14ac:dyDescent="0.3">
      <c r="A148" s="111">
        <v>46161</v>
      </c>
      <c r="B148" s="112" t="s">
        <v>2049</v>
      </c>
      <c r="C148" s="113" t="s">
        <v>873</v>
      </c>
      <c r="D148" s="113" t="str">
        <f>IFERROR(VLOOKUP(C148,SKUs!$A$6:$F$1971,6,FALSE()),"")</f>
        <v>JAQUETA COPA FEM.</v>
      </c>
      <c r="E148" s="113">
        <v>8</v>
      </c>
      <c r="F148" s="113">
        <f>IFERROR(IF(OR(B148="",E148=""),"",E148*VLOOKUP(B148,Configurações!$I$5:$J$15,2,FALSE())),"")</f>
        <v>8</v>
      </c>
      <c r="G148" s="113" t="s">
        <v>665</v>
      </c>
      <c r="H148" s="113" t="s">
        <v>2050</v>
      </c>
      <c r="I148" s="113"/>
      <c r="J148" s="113"/>
      <c r="K148" s="113" t="s">
        <v>2051</v>
      </c>
      <c r="L148" s="113"/>
      <c r="M148" s="113" t="s">
        <v>872</v>
      </c>
    </row>
    <row r="149" spans="1:13" ht="12.75" hidden="1" customHeight="1" x14ac:dyDescent="0.3">
      <c r="A149" s="111">
        <v>46161</v>
      </c>
      <c r="B149" s="112" t="s">
        <v>2049</v>
      </c>
      <c r="C149" s="113" t="s">
        <v>874</v>
      </c>
      <c r="D149" s="113" t="str">
        <f>IFERROR(VLOOKUP(C149,SKUs!$A$6:$F$1971,6,FALSE()),"")</f>
        <v>JAQUETA COPA FEM.</v>
      </c>
      <c r="E149" s="113">
        <v>9</v>
      </c>
      <c r="F149" s="113">
        <f>IFERROR(IF(OR(B149="",E149=""),"",E149*VLOOKUP(B149,Configurações!$I$5:$J$15,2,FALSE())),"")</f>
        <v>9</v>
      </c>
      <c r="G149" s="113" t="s">
        <v>665</v>
      </c>
      <c r="H149" s="113" t="s">
        <v>2050</v>
      </c>
      <c r="I149" s="113"/>
      <c r="J149" s="113"/>
      <c r="K149" s="113" t="s">
        <v>2051</v>
      </c>
      <c r="L149" s="113"/>
      <c r="M149" s="113" t="s">
        <v>872</v>
      </c>
    </row>
    <row r="150" spans="1:13" ht="12.75" hidden="1" customHeight="1" x14ac:dyDescent="0.3">
      <c r="A150" s="111">
        <v>46161</v>
      </c>
      <c r="B150" s="112" t="s">
        <v>2049</v>
      </c>
      <c r="C150" s="113" t="s">
        <v>875</v>
      </c>
      <c r="D150" s="113" t="str">
        <f>IFERROR(VLOOKUP(C150,SKUs!$A$6:$F$1971,6,FALSE()),"")</f>
        <v>JAQUETA COPA FEM.</v>
      </c>
      <c r="E150" s="113">
        <v>7</v>
      </c>
      <c r="F150" s="113">
        <f>IFERROR(IF(OR(B150="",E150=""),"",E150*VLOOKUP(B150,Configurações!$I$5:$J$15,2,FALSE())),"")</f>
        <v>7</v>
      </c>
      <c r="G150" s="113" t="s">
        <v>665</v>
      </c>
      <c r="H150" s="113" t="s">
        <v>2050</v>
      </c>
      <c r="I150" s="113"/>
      <c r="J150" s="113"/>
      <c r="K150" s="113" t="s">
        <v>2051</v>
      </c>
      <c r="L150" s="113"/>
      <c r="M150" s="113" t="s">
        <v>872</v>
      </c>
    </row>
    <row r="151" spans="1:13" ht="12.75" hidden="1" customHeight="1" x14ac:dyDescent="0.3">
      <c r="A151" s="111">
        <v>46161</v>
      </c>
      <c r="B151" s="112" t="s">
        <v>2049</v>
      </c>
      <c r="C151" s="113" t="s">
        <v>876</v>
      </c>
      <c r="D151" s="113" t="str">
        <f>IFERROR(VLOOKUP(C151,SKUs!$A$6:$F$1971,6,FALSE()),"")</f>
        <v>JAQUETA COPA FEM.</v>
      </c>
      <c r="E151" s="113">
        <v>1</v>
      </c>
      <c r="F151" s="113">
        <f>IFERROR(IF(OR(B151="",E151=""),"",E151*VLOOKUP(B151,Configurações!$I$5:$J$15,2,FALSE())),"")</f>
        <v>1</v>
      </c>
      <c r="G151" s="113" t="s">
        <v>665</v>
      </c>
      <c r="H151" s="113" t="s">
        <v>2050</v>
      </c>
      <c r="I151" s="113"/>
      <c r="J151" s="113"/>
      <c r="K151" s="113" t="s">
        <v>2051</v>
      </c>
      <c r="L151" s="113"/>
      <c r="M151" s="113" t="s">
        <v>872</v>
      </c>
    </row>
    <row r="152" spans="1:13" ht="12.75" hidden="1" customHeight="1" x14ac:dyDescent="0.3">
      <c r="A152" s="111">
        <v>46161</v>
      </c>
      <c r="B152" s="112" t="s">
        <v>2049</v>
      </c>
      <c r="C152" s="113" t="s">
        <v>877</v>
      </c>
      <c r="D152" s="113" t="str">
        <f>IFERROR(VLOOKUP(C152,SKUs!$A$6:$F$1971,6,FALSE()),"")</f>
        <v>JAQUETA COPA FEM.</v>
      </c>
      <c r="E152" s="113">
        <v>5</v>
      </c>
      <c r="F152" s="113">
        <f>IFERROR(IF(OR(B152="",E152=""),"",E152*VLOOKUP(B152,Configurações!$I$5:$J$15,2,FALSE())),"")</f>
        <v>5</v>
      </c>
      <c r="G152" s="113" t="s">
        <v>665</v>
      </c>
      <c r="H152" s="113" t="s">
        <v>2050</v>
      </c>
      <c r="I152" s="113"/>
      <c r="J152" s="113"/>
      <c r="K152" s="113" t="s">
        <v>2051</v>
      </c>
      <c r="L152" s="113"/>
      <c r="M152" s="113" t="s">
        <v>878</v>
      </c>
    </row>
    <row r="153" spans="1:13" ht="12.75" hidden="1" customHeight="1" x14ac:dyDescent="0.3">
      <c r="A153" s="111">
        <v>46161</v>
      </c>
      <c r="B153" s="112" t="s">
        <v>2049</v>
      </c>
      <c r="C153" s="113" t="s">
        <v>880</v>
      </c>
      <c r="D153" s="113" t="str">
        <f>IFERROR(VLOOKUP(C153,SKUs!$A$6:$F$1971,6,FALSE()),"")</f>
        <v>JAQUETA COPA FEM.</v>
      </c>
      <c r="E153" s="113">
        <v>4</v>
      </c>
      <c r="F153" s="113">
        <f>IFERROR(IF(OR(B153="",E153=""),"",E153*VLOOKUP(B153,Configurações!$I$5:$J$15,2,FALSE())),"")</f>
        <v>4</v>
      </c>
      <c r="G153" s="113" t="s">
        <v>665</v>
      </c>
      <c r="H153" s="113" t="s">
        <v>2050</v>
      </c>
      <c r="I153" s="113"/>
      <c r="J153" s="113"/>
      <c r="K153" s="113" t="s">
        <v>2051</v>
      </c>
      <c r="L153" s="113"/>
      <c r="M153" s="113" t="s">
        <v>878</v>
      </c>
    </row>
    <row r="154" spans="1:13" ht="12.75" hidden="1" customHeight="1" x14ac:dyDescent="0.3">
      <c r="A154" s="111">
        <v>46161</v>
      </c>
      <c r="B154" s="112" t="s">
        <v>2049</v>
      </c>
      <c r="C154" s="113" t="s">
        <v>881</v>
      </c>
      <c r="D154" s="113" t="str">
        <f>IFERROR(VLOOKUP(C154,SKUs!$A$6:$F$1971,6,FALSE()),"")</f>
        <v>POLO PIQUET FEM.</v>
      </c>
      <c r="E154" s="113">
        <v>10</v>
      </c>
      <c r="F154" s="113">
        <f>IFERROR(IF(OR(B154="",E154=""),"",E154*VLOOKUP(B154,Configurações!$I$5:$J$15,2,FALSE())),"")</f>
        <v>10</v>
      </c>
      <c r="G154" s="113" t="s">
        <v>665</v>
      </c>
      <c r="H154" s="113" t="s">
        <v>2050</v>
      </c>
      <c r="I154" s="113"/>
      <c r="J154" s="113"/>
      <c r="K154" s="113" t="s">
        <v>2051</v>
      </c>
      <c r="L154" s="113"/>
      <c r="M154" s="113" t="s">
        <v>882</v>
      </c>
    </row>
    <row r="155" spans="1:13" ht="12.75" hidden="1" customHeight="1" x14ac:dyDescent="0.3">
      <c r="A155" s="111">
        <v>46161</v>
      </c>
      <c r="B155" s="112" t="s">
        <v>2049</v>
      </c>
      <c r="C155" s="113" t="s">
        <v>883</v>
      </c>
      <c r="D155" s="113" t="str">
        <f>IFERROR(VLOOKUP(C155,SKUs!$A$6:$F$1971,6,FALSE()),"")</f>
        <v>POLO PIQUET FEM.</v>
      </c>
      <c r="E155" s="113">
        <v>13</v>
      </c>
      <c r="F155" s="113">
        <f>IFERROR(IF(OR(B155="",E155=""),"",E155*VLOOKUP(B155,Configurações!$I$5:$J$15,2,FALSE())),"")</f>
        <v>13</v>
      </c>
      <c r="G155" s="113" t="s">
        <v>665</v>
      </c>
      <c r="H155" s="113" t="s">
        <v>2050</v>
      </c>
      <c r="I155" s="113"/>
      <c r="J155" s="113"/>
      <c r="K155" s="113" t="s">
        <v>2051</v>
      </c>
      <c r="L155" s="113"/>
      <c r="M155" s="113" t="s">
        <v>882</v>
      </c>
    </row>
    <row r="156" spans="1:13" ht="12.75" hidden="1" customHeight="1" x14ac:dyDescent="0.3">
      <c r="A156" s="111">
        <v>46161</v>
      </c>
      <c r="B156" s="112" t="s">
        <v>2049</v>
      </c>
      <c r="C156" s="113" t="s">
        <v>884</v>
      </c>
      <c r="D156" s="113" t="str">
        <f>IFERROR(VLOOKUP(C156,SKUs!$A$6:$F$1971,6,FALSE()),"")</f>
        <v>POLO PIQUET FEM.</v>
      </c>
      <c r="E156" s="113">
        <v>15</v>
      </c>
      <c r="F156" s="113">
        <f>IFERROR(IF(OR(B156="",E156=""),"",E156*VLOOKUP(B156,Configurações!$I$5:$J$15,2,FALSE())),"")</f>
        <v>15</v>
      </c>
      <c r="G156" s="113" t="s">
        <v>665</v>
      </c>
      <c r="H156" s="113" t="s">
        <v>2050</v>
      </c>
      <c r="I156" s="113"/>
      <c r="J156" s="113"/>
      <c r="K156" s="113" t="s">
        <v>2051</v>
      </c>
      <c r="L156" s="113"/>
      <c r="M156" s="113" t="s">
        <v>882</v>
      </c>
    </row>
    <row r="157" spans="1:13" ht="12.75" hidden="1" customHeight="1" x14ac:dyDescent="0.3">
      <c r="A157" s="111">
        <v>46161</v>
      </c>
      <c r="B157" s="112" t="s">
        <v>2049</v>
      </c>
      <c r="C157" s="113" t="s">
        <v>885</v>
      </c>
      <c r="D157" s="113" t="str">
        <f>IFERROR(VLOOKUP(C157,SKUs!$A$6:$F$1971,6,FALSE()),"")</f>
        <v>POLO PIQUET FEM.</v>
      </c>
      <c r="E157" s="113">
        <v>9</v>
      </c>
      <c r="F157" s="113">
        <f>IFERROR(IF(OR(B157="",E157=""),"",E157*VLOOKUP(B157,Configurações!$I$5:$J$15,2,FALSE())),"")</f>
        <v>9</v>
      </c>
      <c r="G157" s="113" t="s">
        <v>665</v>
      </c>
      <c r="H157" s="113" t="s">
        <v>2050</v>
      </c>
      <c r="I157" s="113"/>
      <c r="J157" s="113"/>
      <c r="K157" s="113" t="s">
        <v>2051</v>
      </c>
      <c r="L157" s="113"/>
      <c r="M157" s="113" t="s">
        <v>882</v>
      </c>
    </row>
    <row r="158" spans="1:13" ht="12.75" hidden="1" customHeight="1" x14ac:dyDescent="0.3">
      <c r="A158" s="111">
        <v>46161</v>
      </c>
      <c r="B158" s="112" t="s">
        <v>2049</v>
      </c>
      <c r="C158" s="113" t="s">
        <v>886</v>
      </c>
      <c r="D158" s="113" t="str">
        <f>IFERROR(VLOOKUP(C158,SKUs!$A$6:$F$1971,6,FALSE()),"")</f>
        <v>POLO PIQUET FEM.</v>
      </c>
      <c r="E158" s="113">
        <v>5</v>
      </c>
      <c r="F158" s="113">
        <f>IFERROR(IF(OR(B158="",E158=""),"",E158*VLOOKUP(B158,Configurações!$I$5:$J$15,2,FALSE())),"")</f>
        <v>5</v>
      </c>
      <c r="G158" s="113" t="s">
        <v>665</v>
      </c>
      <c r="H158" s="113" t="s">
        <v>2050</v>
      </c>
      <c r="I158" s="113"/>
      <c r="J158" s="113"/>
      <c r="K158" s="113" t="s">
        <v>2051</v>
      </c>
      <c r="L158" s="113"/>
      <c r="M158" s="113" t="s">
        <v>882</v>
      </c>
    </row>
    <row r="159" spans="1:13" ht="12.75" hidden="1" customHeight="1" x14ac:dyDescent="0.3">
      <c r="A159" s="111">
        <v>46161</v>
      </c>
      <c r="B159" s="112" t="s">
        <v>2049</v>
      </c>
      <c r="C159" s="113" t="s">
        <v>887</v>
      </c>
      <c r="D159" s="113" t="str">
        <f>IFERROR(VLOOKUP(C159,SKUs!$A$6:$F$1971,6,FALSE()),"")</f>
        <v>POLO PIQUET FEM.</v>
      </c>
      <c r="E159" s="113">
        <v>5</v>
      </c>
      <c r="F159" s="113">
        <f>IFERROR(IF(OR(B159="",E159=""),"",E159*VLOOKUP(B159,Configurações!$I$5:$J$15,2,FALSE())),"")</f>
        <v>5</v>
      </c>
      <c r="G159" s="113" t="s">
        <v>665</v>
      </c>
      <c r="H159" s="113" t="s">
        <v>2050</v>
      </c>
      <c r="I159" s="113"/>
      <c r="J159" s="113"/>
      <c r="K159" s="113" t="s">
        <v>2051</v>
      </c>
      <c r="L159" s="113"/>
      <c r="M159" s="113" t="s">
        <v>882</v>
      </c>
    </row>
    <row r="160" spans="1:13" ht="12.75" hidden="1" customHeight="1" x14ac:dyDescent="0.3">
      <c r="A160" s="111">
        <v>46161</v>
      </c>
      <c r="B160" s="112" t="s">
        <v>2049</v>
      </c>
      <c r="C160" s="113" t="s">
        <v>888</v>
      </c>
      <c r="D160" s="113" t="str">
        <f>IFERROR(VLOOKUP(C160,SKUs!$A$6:$F$1971,6,FALSE()),"")</f>
        <v>POLO PIMA FEM.</v>
      </c>
      <c r="E160" s="113">
        <v>5</v>
      </c>
      <c r="F160" s="113">
        <f>IFERROR(IF(OR(B160="",E160=""),"",E160*VLOOKUP(B160,Configurações!$I$5:$J$15,2,FALSE())),"")</f>
        <v>5</v>
      </c>
      <c r="G160" s="113" t="s">
        <v>665</v>
      </c>
      <c r="H160" s="113" t="s">
        <v>2050</v>
      </c>
      <c r="I160" s="113"/>
      <c r="J160" s="113"/>
      <c r="K160" s="113" t="s">
        <v>2051</v>
      </c>
      <c r="L160" s="113"/>
      <c r="M160" s="113" t="s">
        <v>889</v>
      </c>
    </row>
    <row r="161" spans="1:13" ht="12.75" hidden="1" customHeight="1" x14ac:dyDescent="0.3">
      <c r="A161" s="111">
        <v>46161</v>
      </c>
      <c r="B161" s="112" t="s">
        <v>2049</v>
      </c>
      <c r="C161" s="113" t="s">
        <v>890</v>
      </c>
      <c r="D161" s="113" t="str">
        <f>IFERROR(VLOOKUP(C161,SKUs!$A$6:$F$1971,6,FALSE()),"")</f>
        <v>POLO PIMA FEM.</v>
      </c>
      <c r="E161" s="113">
        <v>10</v>
      </c>
      <c r="F161" s="113">
        <f>IFERROR(IF(OR(B161="",E161=""),"",E161*VLOOKUP(B161,Configurações!$I$5:$J$15,2,FALSE())),"")</f>
        <v>10</v>
      </c>
      <c r="G161" s="113" t="s">
        <v>665</v>
      </c>
      <c r="H161" s="113" t="s">
        <v>2050</v>
      </c>
      <c r="I161" s="113"/>
      <c r="J161" s="113"/>
      <c r="K161" s="113" t="s">
        <v>2051</v>
      </c>
      <c r="L161" s="113"/>
      <c r="M161" s="113" t="s">
        <v>889</v>
      </c>
    </row>
    <row r="162" spans="1:13" ht="12.75" hidden="1" customHeight="1" x14ac:dyDescent="0.3">
      <c r="A162" s="111">
        <v>46161</v>
      </c>
      <c r="B162" s="112" t="s">
        <v>2049</v>
      </c>
      <c r="C162" s="113" t="s">
        <v>891</v>
      </c>
      <c r="D162" s="113" t="str">
        <f>IFERROR(VLOOKUP(C162,SKUs!$A$6:$F$1971,6,FALSE()),"")</f>
        <v>POLO PIMA FEM.</v>
      </c>
      <c r="E162" s="113">
        <v>10</v>
      </c>
      <c r="F162" s="113">
        <f>IFERROR(IF(OR(B162="",E162=""),"",E162*VLOOKUP(B162,Configurações!$I$5:$J$15,2,FALSE())),"")</f>
        <v>10</v>
      </c>
      <c r="G162" s="113" t="s">
        <v>665</v>
      </c>
      <c r="H162" s="113" t="s">
        <v>2050</v>
      </c>
      <c r="I162" s="113"/>
      <c r="J162" s="113"/>
      <c r="K162" s="113" t="s">
        <v>2051</v>
      </c>
      <c r="L162" s="113"/>
      <c r="M162" s="113" t="s">
        <v>889</v>
      </c>
    </row>
    <row r="163" spans="1:13" ht="12.75" hidden="1" customHeight="1" x14ac:dyDescent="0.3">
      <c r="A163" s="111">
        <v>46161</v>
      </c>
      <c r="B163" s="112" t="s">
        <v>2049</v>
      </c>
      <c r="C163" s="113" t="s">
        <v>892</v>
      </c>
      <c r="D163" s="113" t="str">
        <f>IFERROR(VLOOKUP(C163,SKUs!$A$6:$F$1971,6,FALSE()),"")</f>
        <v>POLO PIMA FEM.</v>
      </c>
      <c r="E163" s="113">
        <v>5</v>
      </c>
      <c r="F163" s="113">
        <f>IFERROR(IF(OR(B163="",E163=""),"",E163*VLOOKUP(B163,Configurações!$I$5:$J$15,2,FALSE())),"")</f>
        <v>5</v>
      </c>
      <c r="G163" s="113" t="s">
        <v>665</v>
      </c>
      <c r="H163" s="113" t="s">
        <v>2050</v>
      </c>
      <c r="I163" s="113"/>
      <c r="J163" s="113"/>
      <c r="K163" s="113" t="s">
        <v>2051</v>
      </c>
      <c r="L163" s="113"/>
      <c r="M163" s="113" t="s">
        <v>889</v>
      </c>
    </row>
    <row r="164" spans="1:13" ht="12.75" hidden="1" customHeight="1" x14ac:dyDescent="0.3">
      <c r="A164" s="111">
        <v>46161</v>
      </c>
      <c r="B164" s="112" t="s">
        <v>2049</v>
      </c>
      <c r="C164" s="113" t="s">
        <v>893</v>
      </c>
      <c r="D164" s="113" t="str">
        <f>IFERROR(VLOOKUP(C164,SKUs!$A$6:$F$1971,6,FALSE()),"")</f>
        <v>POLO PIMA FEM.</v>
      </c>
      <c r="E164" s="113">
        <v>5</v>
      </c>
      <c r="F164" s="113">
        <f>IFERROR(IF(OR(B164="",E164=""),"",E164*VLOOKUP(B164,Configurações!$I$5:$J$15,2,FALSE())),"")</f>
        <v>5</v>
      </c>
      <c r="G164" s="113" t="s">
        <v>665</v>
      </c>
      <c r="H164" s="113" t="s">
        <v>2050</v>
      </c>
      <c r="I164" s="113"/>
      <c r="J164" s="113"/>
      <c r="K164" s="113" t="s">
        <v>2051</v>
      </c>
      <c r="L164" s="113"/>
      <c r="M164" s="113" t="s">
        <v>889</v>
      </c>
    </row>
    <row r="165" spans="1:13" ht="12.75" hidden="1" customHeight="1" x14ac:dyDescent="0.3">
      <c r="A165" s="111">
        <v>46161</v>
      </c>
      <c r="B165" s="112" t="s">
        <v>2049</v>
      </c>
      <c r="C165" s="113" t="s">
        <v>894</v>
      </c>
      <c r="D165" s="113" t="str">
        <f>IFERROR(VLOOKUP(C165,SKUs!$A$6:$F$1971,6,FALSE()),"")</f>
        <v>POLO PIMA FEM.</v>
      </c>
      <c r="E165" s="113">
        <v>5</v>
      </c>
      <c r="F165" s="113">
        <f>IFERROR(IF(OR(B165="",E165=""),"",E165*VLOOKUP(B165,Configurações!$I$5:$J$15,2,FALSE())),"")</f>
        <v>5</v>
      </c>
      <c r="G165" s="113" t="s">
        <v>665</v>
      </c>
      <c r="H165" s="113" t="s">
        <v>2050</v>
      </c>
      <c r="I165" s="113"/>
      <c r="J165" s="113"/>
      <c r="K165" s="113" t="s">
        <v>2051</v>
      </c>
      <c r="L165" s="113"/>
      <c r="M165" s="113" t="s">
        <v>889</v>
      </c>
    </row>
    <row r="166" spans="1:13" ht="12.75" hidden="1" customHeight="1" x14ac:dyDescent="0.3">
      <c r="A166" s="111">
        <v>46161</v>
      </c>
      <c r="B166" s="112" t="s">
        <v>2049</v>
      </c>
      <c r="C166" s="113" t="s">
        <v>743</v>
      </c>
      <c r="D166" s="113" t="str">
        <f>IFERROR(VLOOKUP(C166,SKUs!$A$6:$F$1971,6,FALSE()),"")</f>
        <v>CAMISETA COPA MASC.</v>
      </c>
      <c r="E166" s="113">
        <v>2</v>
      </c>
      <c r="F166" s="113">
        <f>IFERROR(IF(OR(B166="",E166=""),"",E166*VLOOKUP(B166,Configurações!$I$5:$J$15,2,FALSE())),"")</f>
        <v>2</v>
      </c>
      <c r="G166" s="113" t="s">
        <v>665</v>
      </c>
      <c r="H166" s="113" t="s">
        <v>2050</v>
      </c>
      <c r="I166" s="113"/>
      <c r="J166" s="113"/>
      <c r="K166" s="113" t="s">
        <v>2051</v>
      </c>
      <c r="L166" s="113"/>
      <c r="M166" s="113" t="s">
        <v>747</v>
      </c>
    </row>
    <row r="167" spans="1:13" ht="12.75" hidden="1" customHeight="1" x14ac:dyDescent="0.3">
      <c r="A167" s="111">
        <v>46161</v>
      </c>
      <c r="B167" s="112" t="s">
        <v>2049</v>
      </c>
      <c r="C167" s="113" t="s">
        <v>748</v>
      </c>
      <c r="D167" s="113" t="str">
        <f>IFERROR(VLOOKUP(C167,SKUs!$A$6:$F$1971,6,FALSE()),"")</f>
        <v>CAMISETA COPA MASC.</v>
      </c>
      <c r="E167" s="113">
        <v>2</v>
      </c>
      <c r="F167" s="113">
        <f>IFERROR(IF(OR(B167="",E167=""),"",E167*VLOOKUP(B167,Configurações!$I$5:$J$15,2,FALSE())),"")</f>
        <v>2</v>
      </c>
      <c r="G167" s="113" t="s">
        <v>665</v>
      </c>
      <c r="H167" s="113" t="s">
        <v>2050</v>
      </c>
      <c r="I167" s="113"/>
      <c r="J167" s="113"/>
      <c r="K167" s="113" t="s">
        <v>2051</v>
      </c>
      <c r="L167" s="113"/>
      <c r="M167" s="113" t="s">
        <v>747</v>
      </c>
    </row>
    <row r="168" spans="1:13" ht="12.75" hidden="1" customHeight="1" x14ac:dyDescent="0.3">
      <c r="A168" s="111">
        <v>46161</v>
      </c>
      <c r="B168" s="112" t="s">
        <v>2049</v>
      </c>
      <c r="C168" s="113" t="s">
        <v>749</v>
      </c>
      <c r="D168" s="113" t="str">
        <f>IFERROR(VLOOKUP(C168,SKUs!$A$6:$F$1971,6,FALSE()),"")</f>
        <v>CAMISETA COPA MASC.</v>
      </c>
      <c r="E168" s="113">
        <v>3</v>
      </c>
      <c r="F168" s="113">
        <f>IFERROR(IF(OR(B168="",E168=""),"",E168*VLOOKUP(B168,Configurações!$I$5:$J$15,2,FALSE())),"")</f>
        <v>3</v>
      </c>
      <c r="G168" s="113" t="s">
        <v>665</v>
      </c>
      <c r="H168" s="113" t="s">
        <v>2050</v>
      </c>
      <c r="I168" s="113"/>
      <c r="J168" s="113"/>
      <c r="K168" s="113" t="s">
        <v>2051</v>
      </c>
      <c r="L168" s="113"/>
      <c r="M168" s="113" t="s">
        <v>747</v>
      </c>
    </row>
    <row r="169" spans="1:13" ht="12.75" hidden="1" customHeight="1" x14ac:dyDescent="0.3">
      <c r="A169" s="111">
        <v>46161</v>
      </c>
      <c r="B169" s="112" t="s">
        <v>2049</v>
      </c>
      <c r="C169" s="113" t="s">
        <v>750</v>
      </c>
      <c r="D169" s="113" t="str">
        <f>IFERROR(VLOOKUP(C169,SKUs!$A$6:$F$1971,6,FALSE()),"")</f>
        <v>CAMISETA COPA MASC.</v>
      </c>
      <c r="E169" s="113">
        <v>1</v>
      </c>
      <c r="F169" s="113">
        <f>IFERROR(IF(OR(B169="",E169=""),"",E169*VLOOKUP(B169,Configurações!$I$5:$J$15,2,FALSE())),"")</f>
        <v>1</v>
      </c>
      <c r="G169" s="113" t="s">
        <v>665</v>
      </c>
      <c r="H169" s="113" t="s">
        <v>2050</v>
      </c>
      <c r="I169" s="113"/>
      <c r="J169" s="113"/>
      <c r="K169" s="113" t="s">
        <v>2051</v>
      </c>
      <c r="L169" s="113"/>
      <c r="M169" s="113" t="s">
        <v>747</v>
      </c>
    </row>
    <row r="170" spans="1:13" ht="12.75" hidden="1" customHeight="1" x14ac:dyDescent="0.3">
      <c r="A170" s="111">
        <v>46161</v>
      </c>
      <c r="B170" s="112" t="s">
        <v>2049</v>
      </c>
      <c r="C170" s="113" t="s">
        <v>751</v>
      </c>
      <c r="D170" s="113" t="str">
        <f>IFERROR(VLOOKUP(C170,SKUs!$A$6:$F$1971,6,FALSE()),"")</f>
        <v>CAMISETA COPA MASC.</v>
      </c>
      <c r="E170" s="113">
        <v>2</v>
      </c>
      <c r="F170" s="113">
        <f>IFERROR(IF(OR(B170="",E170=""),"",E170*VLOOKUP(B170,Configurações!$I$5:$J$15,2,FALSE())),"")</f>
        <v>2</v>
      </c>
      <c r="G170" s="113" t="s">
        <v>665</v>
      </c>
      <c r="H170" s="113" t="s">
        <v>2050</v>
      </c>
      <c r="I170" s="113"/>
      <c r="J170" s="113"/>
      <c r="K170" s="113" t="s">
        <v>2051</v>
      </c>
      <c r="L170" s="113"/>
      <c r="M170" s="113" t="s">
        <v>747</v>
      </c>
    </row>
    <row r="171" spans="1:13" ht="12.75" hidden="1" customHeight="1" x14ac:dyDescent="0.3">
      <c r="A171" s="111">
        <v>46161</v>
      </c>
      <c r="B171" s="112" t="s">
        <v>2049</v>
      </c>
      <c r="C171" s="113" t="s">
        <v>752</v>
      </c>
      <c r="D171" s="113" t="str">
        <f>IFERROR(VLOOKUP(C171,SKUs!$A$6:$F$1971,6,FALSE()),"")</f>
        <v>CAMISETA COPA MASC.</v>
      </c>
      <c r="E171" s="113">
        <v>1</v>
      </c>
      <c r="F171" s="113">
        <f>IFERROR(IF(OR(B171="",E171=""),"",E171*VLOOKUP(B171,Configurações!$I$5:$J$15,2,FALSE())),"")</f>
        <v>1</v>
      </c>
      <c r="G171" s="113" t="s">
        <v>665</v>
      </c>
      <c r="H171" s="113" t="s">
        <v>2050</v>
      </c>
      <c r="I171" s="113"/>
      <c r="J171" s="113"/>
      <c r="K171" s="113" t="s">
        <v>2051</v>
      </c>
      <c r="L171" s="113"/>
      <c r="M171" s="113" t="s">
        <v>747</v>
      </c>
    </row>
    <row r="172" spans="1:13" ht="12.75" hidden="1" customHeight="1" x14ac:dyDescent="0.3">
      <c r="A172" s="111">
        <v>46161</v>
      </c>
      <c r="B172" s="112" t="s">
        <v>2049</v>
      </c>
      <c r="C172" s="113" t="s">
        <v>895</v>
      </c>
      <c r="D172" s="113" t="str">
        <f>IFERROR(VLOOKUP(C172,SKUs!$A$6:$F$1971,6,FALSE()),"")</f>
        <v>CAMISETA COPA FEM.</v>
      </c>
      <c r="E172" s="113">
        <v>9</v>
      </c>
      <c r="F172" s="113">
        <f>IFERROR(IF(OR(B172="",E172=""),"",E172*VLOOKUP(B172,Configurações!$I$5:$J$15,2,FALSE())),"")</f>
        <v>9</v>
      </c>
      <c r="G172" s="113" t="s">
        <v>665</v>
      </c>
      <c r="H172" s="113" t="s">
        <v>2050</v>
      </c>
      <c r="I172" s="113"/>
      <c r="J172" s="113"/>
      <c r="K172" s="113" t="s">
        <v>2051</v>
      </c>
      <c r="L172" s="113"/>
      <c r="M172" s="113" t="s">
        <v>747</v>
      </c>
    </row>
    <row r="173" spans="1:13" ht="12.75" hidden="1" customHeight="1" x14ac:dyDescent="0.3">
      <c r="A173" s="111">
        <v>46161</v>
      </c>
      <c r="B173" s="112" t="s">
        <v>2049</v>
      </c>
      <c r="C173" s="113" t="s">
        <v>896</v>
      </c>
      <c r="D173" s="113" t="str">
        <f>IFERROR(VLOOKUP(C173,SKUs!$A$6:$F$1971,6,FALSE()),"")</f>
        <v>CAMISETA COPA FEM.</v>
      </c>
      <c r="E173" s="113">
        <v>10</v>
      </c>
      <c r="F173" s="113">
        <f>IFERROR(IF(OR(B173="",E173=""),"",E173*VLOOKUP(B173,Configurações!$I$5:$J$15,2,FALSE())),"")</f>
        <v>10</v>
      </c>
      <c r="G173" s="113" t="s">
        <v>665</v>
      </c>
      <c r="H173" s="113" t="s">
        <v>2050</v>
      </c>
      <c r="I173" s="113"/>
      <c r="J173" s="113"/>
      <c r="K173" s="113" t="s">
        <v>2051</v>
      </c>
      <c r="L173" s="113"/>
      <c r="M173" s="113" t="s">
        <v>747</v>
      </c>
    </row>
    <row r="174" spans="1:13" ht="12.75" hidden="1" customHeight="1" x14ac:dyDescent="0.3">
      <c r="A174" s="111">
        <v>46161</v>
      </c>
      <c r="B174" s="112" t="s">
        <v>2049</v>
      </c>
      <c r="C174" s="113" t="s">
        <v>897</v>
      </c>
      <c r="D174" s="113" t="str">
        <f>IFERROR(VLOOKUP(C174,SKUs!$A$6:$F$1971,6,FALSE()),"")</f>
        <v>CAMISETA COPA FEM.</v>
      </c>
      <c r="E174" s="113">
        <v>10</v>
      </c>
      <c r="F174" s="113">
        <f>IFERROR(IF(OR(B174="",E174=""),"",E174*VLOOKUP(B174,Configurações!$I$5:$J$15,2,FALSE())),"")</f>
        <v>10</v>
      </c>
      <c r="G174" s="113" t="s">
        <v>665</v>
      </c>
      <c r="H174" s="113" t="s">
        <v>2050</v>
      </c>
      <c r="I174" s="113"/>
      <c r="J174" s="113"/>
      <c r="K174" s="113" t="s">
        <v>2051</v>
      </c>
      <c r="L174" s="113"/>
      <c r="M174" s="113" t="s">
        <v>747</v>
      </c>
    </row>
    <row r="175" spans="1:13" ht="12.75" hidden="1" customHeight="1" x14ac:dyDescent="0.3">
      <c r="A175" s="111">
        <v>46161</v>
      </c>
      <c r="B175" s="112" t="s">
        <v>2049</v>
      </c>
      <c r="C175" s="113" t="s">
        <v>898</v>
      </c>
      <c r="D175" s="113" t="str">
        <f>IFERROR(VLOOKUP(C175,SKUs!$A$6:$F$1971,6,FALSE()),"")</f>
        <v>CAMISETA COPA FEM.</v>
      </c>
      <c r="E175" s="113">
        <v>10</v>
      </c>
      <c r="F175" s="113">
        <f>IFERROR(IF(OR(B175="",E175=""),"",E175*VLOOKUP(B175,Configurações!$I$5:$J$15,2,FALSE())),"")</f>
        <v>10</v>
      </c>
      <c r="G175" s="113" t="s">
        <v>665</v>
      </c>
      <c r="H175" s="113" t="s">
        <v>2050</v>
      </c>
      <c r="I175" s="113"/>
      <c r="J175" s="113"/>
      <c r="K175" s="113" t="s">
        <v>2051</v>
      </c>
      <c r="L175" s="113"/>
      <c r="M175" s="113" t="s">
        <v>747</v>
      </c>
    </row>
    <row r="176" spans="1:13" ht="12.75" hidden="1" customHeight="1" x14ac:dyDescent="0.3">
      <c r="A176" s="111">
        <v>46161</v>
      </c>
      <c r="B176" s="112" t="s">
        <v>2049</v>
      </c>
      <c r="C176" s="113" t="s">
        <v>899</v>
      </c>
      <c r="D176" s="113" t="str">
        <f>IFERROR(VLOOKUP(C176,SKUs!$A$6:$F$1971,6,FALSE()),"")</f>
        <v>CAMISETA COPA FEM.</v>
      </c>
      <c r="E176" s="113">
        <v>7</v>
      </c>
      <c r="F176" s="113">
        <f>IFERROR(IF(OR(B176="",E176=""),"",E176*VLOOKUP(B176,Configurações!$I$5:$J$15,2,FALSE())),"")</f>
        <v>7</v>
      </c>
      <c r="G176" s="113" t="s">
        <v>665</v>
      </c>
      <c r="H176" s="113" t="s">
        <v>2050</v>
      </c>
      <c r="I176" s="113"/>
      <c r="J176" s="113"/>
      <c r="K176" s="113" t="s">
        <v>2051</v>
      </c>
      <c r="L176" s="113"/>
      <c r="M176" s="113" t="s">
        <v>747</v>
      </c>
    </row>
    <row r="177" spans="1:13" ht="12.75" hidden="1" customHeight="1" x14ac:dyDescent="0.3">
      <c r="A177" s="111">
        <v>46161</v>
      </c>
      <c r="B177" s="112" t="s">
        <v>2049</v>
      </c>
      <c r="C177" s="113" t="s">
        <v>900</v>
      </c>
      <c r="D177" s="113" t="str">
        <f>IFERROR(VLOOKUP(C177,SKUs!$A$6:$F$1971,6,FALSE()),"")</f>
        <v>CAMISETA COPA FEM.</v>
      </c>
      <c r="E177" s="113">
        <v>9</v>
      </c>
      <c r="F177" s="113">
        <f>IFERROR(IF(OR(B177="",E177=""),"",E177*VLOOKUP(B177,Configurações!$I$5:$J$15,2,FALSE())),"")</f>
        <v>9</v>
      </c>
      <c r="G177" s="113" t="s">
        <v>665</v>
      </c>
      <c r="H177" s="113" t="s">
        <v>2050</v>
      </c>
      <c r="I177" s="113"/>
      <c r="J177" s="113"/>
      <c r="K177" s="113" t="s">
        <v>2051</v>
      </c>
      <c r="L177" s="113"/>
      <c r="M177" s="113" t="s">
        <v>747</v>
      </c>
    </row>
    <row r="178" spans="1:13" ht="12.75" hidden="1" customHeight="1" x14ac:dyDescent="0.3">
      <c r="A178" s="111">
        <v>46161</v>
      </c>
      <c r="B178" s="112" t="s">
        <v>2049</v>
      </c>
      <c r="C178" s="113" t="s">
        <v>901</v>
      </c>
      <c r="D178" s="113" t="str">
        <f>IFERROR(VLOOKUP(C178,SKUs!$A$6:$F$1971,6,FALSE()),"")</f>
        <v>CAMISETA COPA FEM.</v>
      </c>
      <c r="E178" s="113">
        <v>4</v>
      </c>
      <c r="F178" s="113">
        <f>IFERROR(IF(OR(B178="",E178=""),"",E178*VLOOKUP(B178,Configurações!$I$5:$J$15,2,FALSE())),"")</f>
        <v>4</v>
      </c>
      <c r="G178" s="113" t="s">
        <v>665</v>
      </c>
      <c r="H178" s="113" t="s">
        <v>2050</v>
      </c>
      <c r="I178" s="113"/>
      <c r="J178" s="113"/>
      <c r="K178" s="113" t="s">
        <v>2051</v>
      </c>
      <c r="L178" s="113"/>
      <c r="M178" s="113" t="s">
        <v>747</v>
      </c>
    </row>
    <row r="179" spans="1:13" ht="12.75" hidden="1" customHeight="1" x14ac:dyDescent="0.3">
      <c r="A179" s="111">
        <v>46161</v>
      </c>
      <c r="B179" s="112" t="s">
        <v>2049</v>
      </c>
      <c r="C179" s="113" t="s">
        <v>902</v>
      </c>
      <c r="D179" s="113" t="str">
        <f>IFERROR(VLOOKUP(C179,SKUs!$A$6:$F$1971,6,FALSE()),"")</f>
        <v>CAMISETA COPA FEM.</v>
      </c>
      <c r="E179" s="113">
        <v>5</v>
      </c>
      <c r="F179" s="113">
        <f>IFERROR(IF(OR(B179="",E179=""),"",E179*VLOOKUP(B179,Configurações!$I$5:$J$15,2,FALSE())),"")</f>
        <v>5</v>
      </c>
      <c r="G179" s="113" t="s">
        <v>665</v>
      </c>
      <c r="H179" s="113" t="s">
        <v>2050</v>
      </c>
      <c r="I179" s="113"/>
      <c r="J179" s="113"/>
      <c r="K179" s="113" t="s">
        <v>2051</v>
      </c>
      <c r="L179" s="113"/>
      <c r="M179" s="113" t="s">
        <v>747</v>
      </c>
    </row>
    <row r="180" spans="1:13" ht="12.75" hidden="1" customHeight="1" x14ac:dyDescent="0.3">
      <c r="A180" s="111">
        <v>46161</v>
      </c>
      <c r="B180" s="112" t="s">
        <v>2049</v>
      </c>
      <c r="C180" s="113" t="s">
        <v>903</v>
      </c>
      <c r="D180" s="113" t="str">
        <f>IFERROR(VLOOKUP(C180,SKUs!$A$6:$F$1971,6,FALSE()),"")</f>
        <v>CAMISETA COPA FEM.</v>
      </c>
      <c r="E180" s="113">
        <v>6</v>
      </c>
      <c r="F180" s="113">
        <f>IFERROR(IF(OR(B180="",E180=""),"",E180*VLOOKUP(B180,Configurações!$I$5:$J$15,2,FALSE())),"")</f>
        <v>6</v>
      </c>
      <c r="G180" s="113" t="s">
        <v>665</v>
      </c>
      <c r="H180" s="113" t="s">
        <v>2050</v>
      </c>
      <c r="I180" s="113"/>
      <c r="J180" s="113"/>
      <c r="K180" s="113" t="s">
        <v>2051</v>
      </c>
      <c r="L180" s="113"/>
      <c r="M180" s="113" t="s">
        <v>747</v>
      </c>
    </row>
    <row r="181" spans="1:13" ht="12.75" hidden="1" customHeight="1" x14ac:dyDescent="0.3">
      <c r="A181" s="111">
        <v>46161</v>
      </c>
      <c r="B181" s="112" t="s">
        <v>2049</v>
      </c>
      <c r="C181" s="113" t="s">
        <v>904</v>
      </c>
      <c r="D181" s="113" t="str">
        <f>IFERROR(VLOOKUP(C181,SKUs!$A$6:$F$1971,6,FALSE()),"")</f>
        <v>POLO BTG EM COTTON</v>
      </c>
      <c r="E181" s="113">
        <v>7</v>
      </c>
      <c r="F181" s="113">
        <f>IFERROR(IF(OR(B181="",E181=""),"",E181*VLOOKUP(B181,Configurações!$I$5:$J$15,2,FALSE())),"")</f>
        <v>7</v>
      </c>
      <c r="G181" s="113" t="s">
        <v>665</v>
      </c>
      <c r="H181" s="113" t="s">
        <v>2050</v>
      </c>
      <c r="I181" s="113"/>
      <c r="J181" s="113"/>
      <c r="K181" s="113" t="s">
        <v>2051</v>
      </c>
      <c r="L181" s="113"/>
      <c r="M181" s="113" t="s">
        <v>906</v>
      </c>
    </row>
    <row r="182" spans="1:13" ht="12.75" hidden="1" customHeight="1" x14ac:dyDescent="0.3">
      <c r="A182" s="111">
        <v>46161</v>
      </c>
      <c r="B182" s="112" t="s">
        <v>2049</v>
      </c>
      <c r="C182" s="113" t="s">
        <v>907</v>
      </c>
      <c r="D182" s="113" t="str">
        <f>IFERROR(VLOOKUP(C182,SKUs!$A$6:$F$1971,6,FALSE()),"")</f>
        <v>POLO BTG EM COTTON</v>
      </c>
      <c r="E182" s="113">
        <v>13</v>
      </c>
      <c r="F182" s="113">
        <f>IFERROR(IF(OR(B182="",E182=""),"",E182*VLOOKUP(B182,Configurações!$I$5:$J$15,2,FALSE())),"")</f>
        <v>13</v>
      </c>
      <c r="G182" s="113" t="s">
        <v>665</v>
      </c>
      <c r="H182" s="113" t="s">
        <v>2050</v>
      </c>
      <c r="I182" s="113"/>
      <c r="J182" s="113"/>
      <c r="K182" s="113" t="s">
        <v>2051</v>
      </c>
      <c r="L182" s="113"/>
      <c r="M182" s="113" t="s">
        <v>906</v>
      </c>
    </row>
    <row r="183" spans="1:13" ht="12.75" hidden="1" customHeight="1" x14ac:dyDescent="0.3">
      <c r="A183" s="111">
        <v>46161</v>
      </c>
      <c r="B183" s="112" t="s">
        <v>2049</v>
      </c>
      <c r="C183" s="113" t="s">
        <v>908</v>
      </c>
      <c r="D183" s="113" t="str">
        <f>IFERROR(VLOOKUP(C183,SKUs!$A$6:$F$1971,6,FALSE()),"")</f>
        <v>POLO BTG EM COTTON</v>
      </c>
      <c r="E183" s="113">
        <v>14</v>
      </c>
      <c r="F183" s="113">
        <f>IFERROR(IF(OR(B183="",E183=""),"",E183*VLOOKUP(B183,Configurações!$I$5:$J$15,2,FALSE())),"")</f>
        <v>14</v>
      </c>
      <c r="G183" s="113" t="s">
        <v>665</v>
      </c>
      <c r="H183" s="113" t="s">
        <v>2050</v>
      </c>
      <c r="I183" s="113"/>
      <c r="J183" s="113"/>
      <c r="K183" s="113" t="s">
        <v>2051</v>
      </c>
      <c r="L183" s="113"/>
      <c r="M183" s="113" t="s">
        <v>906</v>
      </c>
    </row>
    <row r="184" spans="1:13" ht="12.75" hidden="1" customHeight="1" x14ac:dyDescent="0.3">
      <c r="A184" s="111">
        <v>46161</v>
      </c>
      <c r="B184" s="112" t="s">
        <v>2049</v>
      </c>
      <c r="C184" s="113" t="s">
        <v>909</v>
      </c>
      <c r="D184" s="113" t="str">
        <f>IFERROR(VLOOKUP(C184,SKUs!$A$6:$F$1971,6,FALSE()),"")</f>
        <v>POLO BTG EM COTTON</v>
      </c>
      <c r="E184" s="113">
        <v>9</v>
      </c>
      <c r="F184" s="113">
        <f>IFERROR(IF(OR(B184="",E184=""),"",E184*VLOOKUP(B184,Configurações!$I$5:$J$15,2,FALSE())),"")</f>
        <v>9</v>
      </c>
      <c r="G184" s="113" t="s">
        <v>665</v>
      </c>
      <c r="H184" s="113" t="s">
        <v>2050</v>
      </c>
      <c r="I184" s="113"/>
      <c r="J184" s="113"/>
      <c r="K184" s="113" t="s">
        <v>2051</v>
      </c>
      <c r="L184" s="113"/>
      <c r="M184" s="113" t="s">
        <v>906</v>
      </c>
    </row>
    <row r="185" spans="1:13" ht="12.75" hidden="1" customHeight="1" x14ac:dyDescent="0.3">
      <c r="A185" s="111">
        <v>46161</v>
      </c>
      <c r="B185" s="112" t="s">
        <v>2049</v>
      </c>
      <c r="C185" s="113" t="s">
        <v>910</v>
      </c>
      <c r="D185" s="113" t="str">
        <f>IFERROR(VLOOKUP(C185,SKUs!$A$6:$F$1971,6,FALSE()),"")</f>
        <v>POLO BTG EM COTTON</v>
      </c>
      <c r="E185" s="113">
        <v>5</v>
      </c>
      <c r="F185" s="113">
        <f>IFERROR(IF(OR(B185="",E185=""),"",E185*VLOOKUP(B185,Configurações!$I$5:$J$15,2,FALSE())),"")</f>
        <v>5</v>
      </c>
      <c r="G185" s="113" t="s">
        <v>665</v>
      </c>
      <c r="H185" s="113" t="s">
        <v>2050</v>
      </c>
      <c r="I185" s="113"/>
      <c r="J185" s="113"/>
      <c r="K185" s="113" t="s">
        <v>2051</v>
      </c>
      <c r="L185" s="113"/>
      <c r="M185" s="113" t="s">
        <v>906</v>
      </c>
    </row>
    <row r="186" spans="1:13" ht="12.75" hidden="1" customHeight="1" x14ac:dyDescent="0.3">
      <c r="A186" s="111">
        <v>46161</v>
      </c>
      <c r="B186" s="112" t="s">
        <v>2049</v>
      </c>
      <c r="C186" s="113" t="s">
        <v>911</v>
      </c>
      <c r="D186" s="113" t="str">
        <f>IFERROR(VLOOKUP(C186,SKUs!$A$6:$F$1971,6,FALSE()),"")</f>
        <v>POLO BTG EM COTTON</v>
      </c>
      <c r="E186" s="113">
        <v>8</v>
      </c>
      <c r="F186" s="113">
        <f>IFERROR(IF(OR(B186="",E186=""),"",E186*VLOOKUP(B186,Configurações!$I$5:$J$15,2,FALSE())),"")</f>
        <v>8</v>
      </c>
      <c r="G186" s="113" t="s">
        <v>665</v>
      </c>
      <c r="H186" s="113" t="s">
        <v>2050</v>
      </c>
      <c r="I186" s="113"/>
      <c r="J186" s="113"/>
      <c r="K186" s="113" t="s">
        <v>2051</v>
      </c>
      <c r="L186" s="113"/>
      <c r="M186" s="113" t="s">
        <v>906</v>
      </c>
    </row>
    <row r="187" spans="1:13" ht="12.75" hidden="1" customHeight="1" x14ac:dyDescent="0.3">
      <c r="A187" s="111">
        <v>46161</v>
      </c>
      <c r="B187" s="112" t="s">
        <v>2049</v>
      </c>
      <c r="C187" s="113" t="s">
        <v>912</v>
      </c>
      <c r="D187" s="113" t="str">
        <f>IFERROR(VLOOKUP(C187,SKUs!$A$6:$F$1971,6,FALSE()),"")</f>
        <v>POLO PIQUET FEM.</v>
      </c>
      <c r="E187" s="113">
        <v>13</v>
      </c>
      <c r="F187" s="113">
        <f>IFERROR(IF(OR(B187="",E187=""),"",E187*VLOOKUP(B187,Configurações!$I$5:$J$15,2,FALSE())),"")</f>
        <v>13</v>
      </c>
      <c r="G187" s="113" t="s">
        <v>665</v>
      </c>
      <c r="H187" s="113" t="s">
        <v>2050</v>
      </c>
      <c r="I187" s="113"/>
      <c r="J187" s="113"/>
      <c r="K187" s="113" t="s">
        <v>2051</v>
      </c>
      <c r="L187" s="113"/>
      <c r="M187" s="113" t="s">
        <v>913</v>
      </c>
    </row>
    <row r="188" spans="1:13" ht="12.75" hidden="1" customHeight="1" x14ac:dyDescent="0.3">
      <c r="A188" s="111">
        <v>46161</v>
      </c>
      <c r="B188" s="112" t="s">
        <v>2049</v>
      </c>
      <c r="C188" s="113" t="s">
        <v>914</v>
      </c>
      <c r="D188" s="113" t="str">
        <f>IFERROR(VLOOKUP(C188,SKUs!$A$6:$F$1971,6,FALSE()),"")</f>
        <v>POLO PIQUET FEM.</v>
      </c>
      <c r="E188" s="113">
        <v>11</v>
      </c>
      <c r="F188" s="113">
        <f>IFERROR(IF(OR(B188="",E188=""),"",E188*VLOOKUP(B188,Configurações!$I$5:$J$15,2,FALSE())),"")</f>
        <v>11</v>
      </c>
      <c r="G188" s="113" t="s">
        <v>665</v>
      </c>
      <c r="H188" s="113" t="s">
        <v>2050</v>
      </c>
      <c r="I188" s="113"/>
      <c r="J188" s="113"/>
      <c r="K188" s="113" t="s">
        <v>2051</v>
      </c>
      <c r="L188" s="113"/>
      <c r="M188" s="113" t="s">
        <v>913</v>
      </c>
    </row>
    <row r="189" spans="1:13" ht="12.75" hidden="1" customHeight="1" x14ac:dyDescent="0.3">
      <c r="A189" s="111">
        <v>46161</v>
      </c>
      <c r="B189" s="112" t="s">
        <v>2049</v>
      </c>
      <c r="C189" s="113" t="s">
        <v>915</v>
      </c>
      <c r="D189" s="113" t="str">
        <f>IFERROR(VLOOKUP(C189,SKUs!$A$6:$F$1971,6,FALSE()),"")</f>
        <v>POLO PIQUET FEM.</v>
      </c>
      <c r="E189" s="113">
        <v>10</v>
      </c>
      <c r="F189" s="113">
        <f>IFERROR(IF(OR(B189="",E189=""),"",E189*VLOOKUP(B189,Configurações!$I$5:$J$15,2,FALSE())),"")</f>
        <v>10</v>
      </c>
      <c r="G189" s="113" t="s">
        <v>665</v>
      </c>
      <c r="H189" s="113" t="s">
        <v>2050</v>
      </c>
      <c r="I189" s="113"/>
      <c r="J189" s="113"/>
      <c r="K189" s="113" t="s">
        <v>2051</v>
      </c>
      <c r="L189" s="113"/>
      <c r="M189" s="113" t="s">
        <v>913</v>
      </c>
    </row>
    <row r="190" spans="1:13" ht="12.75" hidden="1" customHeight="1" x14ac:dyDescent="0.3">
      <c r="A190" s="111">
        <v>46161</v>
      </c>
      <c r="B190" s="112" t="s">
        <v>2049</v>
      </c>
      <c r="C190" s="113" t="s">
        <v>916</v>
      </c>
      <c r="D190" s="113" t="str">
        <f>IFERROR(VLOOKUP(C190,SKUs!$A$6:$F$1971,6,FALSE()),"")</f>
        <v>POLO PIQUET FEM.</v>
      </c>
      <c r="E190" s="113">
        <v>12</v>
      </c>
      <c r="F190" s="113">
        <f>IFERROR(IF(OR(B190="",E190=""),"",E190*VLOOKUP(B190,Configurações!$I$5:$J$15,2,FALSE())),"")</f>
        <v>12</v>
      </c>
      <c r="G190" s="113" t="s">
        <v>665</v>
      </c>
      <c r="H190" s="113" t="s">
        <v>2050</v>
      </c>
      <c r="I190" s="113"/>
      <c r="J190" s="113"/>
      <c r="K190" s="113" t="s">
        <v>2051</v>
      </c>
      <c r="L190" s="113"/>
      <c r="M190" s="113" t="s">
        <v>913</v>
      </c>
    </row>
    <row r="191" spans="1:13" ht="12.75" hidden="1" customHeight="1" x14ac:dyDescent="0.3">
      <c r="A191" s="111">
        <v>46161</v>
      </c>
      <c r="B191" s="112" t="s">
        <v>2049</v>
      </c>
      <c r="C191" s="113" t="s">
        <v>917</v>
      </c>
      <c r="D191" s="113" t="str">
        <f>IFERROR(VLOOKUP(C191,SKUs!$A$6:$F$1971,6,FALSE()),"")</f>
        <v>POLO PIQUET FEM.</v>
      </c>
      <c r="E191" s="113">
        <v>8</v>
      </c>
      <c r="F191" s="113">
        <f>IFERROR(IF(OR(B191="",E191=""),"",E191*VLOOKUP(B191,Configurações!$I$5:$J$15,2,FALSE())),"")</f>
        <v>8</v>
      </c>
      <c r="G191" s="113" t="s">
        <v>665</v>
      </c>
      <c r="H191" s="113" t="s">
        <v>2050</v>
      </c>
      <c r="I191" s="113"/>
      <c r="J191" s="113"/>
      <c r="K191" s="113" t="s">
        <v>2051</v>
      </c>
      <c r="L191" s="113"/>
      <c r="M191" s="113" t="s">
        <v>913</v>
      </c>
    </row>
    <row r="192" spans="1:13" ht="12.75" hidden="1" customHeight="1" x14ac:dyDescent="0.3">
      <c r="A192" s="111">
        <v>46161</v>
      </c>
      <c r="B192" s="112" t="s">
        <v>2049</v>
      </c>
      <c r="C192" s="113" t="s">
        <v>918</v>
      </c>
      <c r="D192" s="113" t="str">
        <f>IFERROR(VLOOKUP(C192,SKUs!$A$6:$F$1971,6,FALSE()),"")</f>
        <v>POLO PIQUET FEM.</v>
      </c>
      <c r="E192" s="113">
        <v>10</v>
      </c>
      <c r="F192" s="113">
        <f>IFERROR(IF(OR(B192="",E192=""),"",E192*VLOOKUP(B192,Configurações!$I$5:$J$15,2,FALSE())),"")</f>
        <v>10</v>
      </c>
      <c r="G192" s="113" t="s">
        <v>665</v>
      </c>
      <c r="H192" s="113" t="s">
        <v>2050</v>
      </c>
      <c r="I192" s="113"/>
      <c r="J192" s="113"/>
      <c r="K192" s="113" t="s">
        <v>2051</v>
      </c>
      <c r="L192" s="113"/>
      <c r="M192" s="113" t="s">
        <v>913</v>
      </c>
    </row>
    <row r="193" spans="1:13" ht="12.75" hidden="1" customHeight="1" x14ac:dyDescent="0.3">
      <c r="A193" s="111">
        <v>46161</v>
      </c>
      <c r="B193" s="112" t="s">
        <v>2049</v>
      </c>
      <c r="C193" s="113" t="s">
        <v>919</v>
      </c>
      <c r="D193" s="113" t="str">
        <f>IFERROR(VLOOKUP(C193,SKUs!$A$6:$F$1971,6,FALSE()),"")</f>
        <v>POLO BATA FEM.</v>
      </c>
      <c r="E193" s="113">
        <v>5</v>
      </c>
      <c r="F193" s="113">
        <f>IFERROR(IF(OR(B193="",E193=""),"",E193*VLOOKUP(B193,Configurações!$I$5:$J$15,2,FALSE())),"")</f>
        <v>5</v>
      </c>
      <c r="G193" s="113" t="s">
        <v>665</v>
      </c>
      <c r="H193" s="113" t="s">
        <v>2050</v>
      </c>
      <c r="I193" s="113"/>
      <c r="J193" s="113"/>
      <c r="K193" s="113" t="s">
        <v>2051</v>
      </c>
      <c r="L193" s="113"/>
      <c r="M193" s="113" t="s">
        <v>921</v>
      </c>
    </row>
    <row r="194" spans="1:13" ht="12.75" hidden="1" customHeight="1" x14ac:dyDescent="0.3">
      <c r="A194" s="111">
        <v>46161</v>
      </c>
      <c r="B194" s="112" t="s">
        <v>2049</v>
      </c>
      <c r="C194" s="113" t="s">
        <v>922</v>
      </c>
      <c r="D194" s="113" t="str">
        <f>IFERROR(VLOOKUP(C194,SKUs!$A$6:$F$1971,6,FALSE()),"")</f>
        <v>POLO BATA FEM.</v>
      </c>
      <c r="E194" s="113">
        <v>10</v>
      </c>
      <c r="F194" s="113">
        <f>IFERROR(IF(OR(B194="",E194=""),"",E194*VLOOKUP(B194,Configurações!$I$5:$J$15,2,FALSE())),"")</f>
        <v>10</v>
      </c>
      <c r="G194" s="113" t="s">
        <v>665</v>
      </c>
      <c r="H194" s="113" t="s">
        <v>2050</v>
      </c>
      <c r="I194" s="113"/>
      <c r="J194" s="113"/>
      <c r="K194" s="113" t="s">
        <v>2051</v>
      </c>
      <c r="L194" s="113"/>
      <c r="M194" s="113" t="s">
        <v>921</v>
      </c>
    </row>
    <row r="195" spans="1:13" ht="12.75" hidden="1" customHeight="1" x14ac:dyDescent="0.3">
      <c r="A195" s="111">
        <v>46161</v>
      </c>
      <c r="B195" s="112" t="s">
        <v>2049</v>
      </c>
      <c r="C195" s="113" t="s">
        <v>923</v>
      </c>
      <c r="D195" s="113" t="str">
        <f>IFERROR(VLOOKUP(C195,SKUs!$A$6:$F$1971,6,FALSE()),"")</f>
        <v>POLO BATA FEM.</v>
      </c>
      <c r="E195" s="113">
        <v>9</v>
      </c>
      <c r="F195" s="113">
        <f>IFERROR(IF(OR(B195="",E195=""),"",E195*VLOOKUP(B195,Configurações!$I$5:$J$15,2,FALSE())),"")</f>
        <v>9</v>
      </c>
      <c r="G195" s="113" t="s">
        <v>665</v>
      </c>
      <c r="H195" s="113" t="s">
        <v>2050</v>
      </c>
      <c r="I195" s="113"/>
      <c r="J195" s="113"/>
      <c r="K195" s="113" t="s">
        <v>2051</v>
      </c>
      <c r="L195" s="113"/>
      <c r="M195" s="113" t="s">
        <v>921</v>
      </c>
    </row>
    <row r="196" spans="1:13" ht="12.75" hidden="1" customHeight="1" x14ac:dyDescent="0.3">
      <c r="A196" s="111">
        <v>46161</v>
      </c>
      <c r="B196" s="112" t="s">
        <v>2049</v>
      </c>
      <c r="C196" s="113" t="s">
        <v>924</v>
      </c>
      <c r="D196" s="113" t="str">
        <f>IFERROR(VLOOKUP(C196,SKUs!$A$6:$F$1971,6,FALSE()),"")</f>
        <v>POLO BATA FEM.</v>
      </c>
      <c r="E196" s="113">
        <v>4</v>
      </c>
      <c r="F196" s="113">
        <f>IFERROR(IF(OR(B196="",E196=""),"",E196*VLOOKUP(B196,Configurações!$I$5:$J$15,2,FALSE())),"")</f>
        <v>4</v>
      </c>
      <c r="G196" s="113" t="s">
        <v>665</v>
      </c>
      <c r="H196" s="113" t="s">
        <v>2050</v>
      </c>
      <c r="I196" s="113"/>
      <c r="J196" s="113"/>
      <c r="K196" s="113" t="s">
        <v>2051</v>
      </c>
      <c r="L196" s="113"/>
      <c r="M196" s="113" t="s">
        <v>921</v>
      </c>
    </row>
    <row r="197" spans="1:13" ht="12.75" hidden="1" customHeight="1" x14ac:dyDescent="0.3">
      <c r="A197" s="111">
        <v>46161</v>
      </c>
      <c r="B197" s="112" t="s">
        <v>2049</v>
      </c>
      <c r="C197" s="113" t="s">
        <v>925</v>
      </c>
      <c r="D197" s="113" t="str">
        <f>IFERROR(VLOOKUP(C197,SKUs!$A$6:$F$1971,6,FALSE()),"")</f>
        <v>POLO BATA FEM.</v>
      </c>
      <c r="E197" s="113">
        <v>5</v>
      </c>
      <c r="F197" s="113">
        <f>IFERROR(IF(OR(B197="",E197=""),"",E197*VLOOKUP(B197,Configurações!$I$5:$J$15,2,FALSE())),"")</f>
        <v>5</v>
      </c>
      <c r="G197" s="113" t="s">
        <v>665</v>
      </c>
      <c r="H197" s="113" t="s">
        <v>2050</v>
      </c>
      <c r="I197" s="113"/>
      <c r="J197" s="113"/>
      <c r="K197" s="113" t="s">
        <v>2051</v>
      </c>
      <c r="L197" s="113"/>
      <c r="M197" s="113" t="s">
        <v>921</v>
      </c>
    </row>
    <row r="198" spans="1:13" ht="12.75" hidden="1" customHeight="1" x14ac:dyDescent="0.3">
      <c r="A198" s="111">
        <v>46161</v>
      </c>
      <c r="B198" s="112" t="s">
        <v>2049</v>
      </c>
      <c r="C198" s="113" t="s">
        <v>926</v>
      </c>
      <c r="D198" s="113" t="str">
        <f>IFERROR(VLOOKUP(C198,SKUs!$A$6:$F$1971,6,FALSE()),"")</f>
        <v>POLO BATA FEM.</v>
      </c>
      <c r="E198" s="113">
        <v>4</v>
      </c>
      <c r="F198" s="113">
        <f>IFERROR(IF(OR(B198="",E198=""),"",E198*VLOOKUP(B198,Configurações!$I$5:$J$15,2,FALSE())),"")</f>
        <v>4</v>
      </c>
      <c r="G198" s="113" t="s">
        <v>665</v>
      </c>
      <c r="H198" s="113" t="s">
        <v>2050</v>
      </c>
      <c r="I198" s="113"/>
      <c r="J198" s="113"/>
      <c r="K198" s="113" t="s">
        <v>2051</v>
      </c>
      <c r="L198" s="113"/>
      <c r="M198" s="113" t="s">
        <v>921</v>
      </c>
    </row>
    <row r="199" spans="1:13" ht="12.75" hidden="1" customHeight="1" x14ac:dyDescent="0.3">
      <c r="A199" s="111">
        <v>46161</v>
      </c>
      <c r="B199" s="112" t="s">
        <v>2049</v>
      </c>
      <c r="C199" s="113" t="s">
        <v>927</v>
      </c>
      <c r="D199" s="113" t="str">
        <f>IFERROR(VLOOKUP(C199,SKUs!$A$6:$F$1971,6,FALSE()),"")</f>
        <v>JAQUETA COPA FEM.</v>
      </c>
      <c r="E199" s="113">
        <v>8</v>
      </c>
      <c r="F199" s="113">
        <f>IFERROR(IF(OR(B199="",E199=""),"",E199*VLOOKUP(B199,Configurações!$I$5:$J$15,2,FALSE())),"")</f>
        <v>8</v>
      </c>
      <c r="G199" s="113" t="s">
        <v>665</v>
      </c>
      <c r="H199" s="113" t="s">
        <v>2050</v>
      </c>
      <c r="I199" s="113"/>
      <c r="J199" s="113"/>
      <c r="K199" s="113" t="s">
        <v>2051</v>
      </c>
      <c r="L199" s="113"/>
      <c r="M199" s="113" t="s">
        <v>928</v>
      </c>
    </row>
    <row r="200" spans="1:13" ht="12.75" hidden="1" customHeight="1" x14ac:dyDescent="0.3">
      <c r="A200" s="111">
        <v>46161</v>
      </c>
      <c r="B200" s="112" t="s">
        <v>2049</v>
      </c>
      <c r="C200" s="113" t="s">
        <v>929</v>
      </c>
      <c r="D200" s="113" t="str">
        <f>IFERROR(VLOOKUP(C200,SKUs!$A$6:$F$1971,6,FALSE()),"")</f>
        <v>JAQUETA COPA FEM.</v>
      </c>
      <c r="E200" s="113">
        <v>7</v>
      </c>
      <c r="F200" s="113">
        <f>IFERROR(IF(OR(B200="",E200=""),"",E200*VLOOKUP(B200,Configurações!$I$5:$J$15,2,FALSE())),"")</f>
        <v>7</v>
      </c>
      <c r="G200" s="113" t="s">
        <v>665</v>
      </c>
      <c r="H200" s="113" t="s">
        <v>2050</v>
      </c>
      <c r="I200" s="113"/>
      <c r="J200" s="113"/>
      <c r="K200" s="113" t="s">
        <v>2051</v>
      </c>
      <c r="L200" s="113"/>
      <c r="M200" s="113" t="s">
        <v>928</v>
      </c>
    </row>
    <row r="201" spans="1:13" ht="12.75" hidden="1" customHeight="1" x14ac:dyDescent="0.3">
      <c r="A201" s="111">
        <v>46161</v>
      </c>
      <c r="B201" s="112" t="s">
        <v>2049</v>
      </c>
      <c r="C201" s="113" t="s">
        <v>930</v>
      </c>
      <c r="D201" s="113" t="str">
        <f>IFERROR(VLOOKUP(C201,SKUs!$A$6:$F$1971,6,FALSE()),"")</f>
        <v>JAQUETA COPA FEM.</v>
      </c>
      <c r="E201" s="113">
        <v>7</v>
      </c>
      <c r="F201" s="113">
        <f>IFERROR(IF(OR(B201="",E201=""),"",E201*VLOOKUP(B201,Configurações!$I$5:$J$15,2,FALSE())),"")</f>
        <v>7</v>
      </c>
      <c r="G201" s="113" t="s">
        <v>665</v>
      </c>
      <c r="H201" s="113" t="s">
        <v>2050</v>
      </c>
      <c r="I201" s="113"/>
      <c r="J201" s="113"/>
      <c r="K201" s="113" t="s">
        <v>2051</v>
      </c>
      <c r="L201" s="113"/>
      <c r="M201" s="113" t="s">
        <v>928</v>
      </c>
    </row>
    <row r="202" spans="1:13" ht="12.75" hidden="1" customHeight="1" x14ac:dyDescent="0.3">
      <c r="A202" s="111">
        <v>46161</v>
      </c>
      <c r="B202" s="112" t="s">
        <v>2049</v>
      </c>
      <c r="C202" s="113" t="s">
        <v>931</v>
      </c>
      <c r="D202" s="113" t="str">
        <f>IFERROR(VLOOKUP(C202,SKUs!$A$6:$F$1971,6,FALSE()),"")</f>
        <v>JAQUETA COPA FEM.</v>
      </c>
      <c r="E202" s="113">
        <v>1</v>
      </c>
      <c r="F202" s="113">
        <f>IFERROR(IF(OR(B202="",E202=""),"",E202*VLOOKUP(B202,Configurações!$I$5:$J$15,2,FALSE())),"")</f>
        <v>1</v>
      </c>
      <c r="G202" s="113" t="s">
        <v>665</v>
      </c>
      <c r="H202" s="113" t="s">
        <v>2050</v>
      </c>
      <c r="I202" s="113"/>
      <c r="J202" s="113"/>
      <c r="K202" s="113" t="s">
        <v>2051</v>
      </c>
      <c r="L202" s="113"/>
      <c r="M202" s="113" t="s">
        <v>928</v>
      </c>
    </row>
    <row r="203" spans="1:13" ht="12.75" hidden="1" customHeight="1" x14ac:dyDescent="0.3">
      <c r="A203" s="111">
        <v>46161</v>
      </c>
      <c r="B203" s="112" t="s">
        <v>2049</v>
      </c>
      <c r="C203" s="113" t="s">
        <v>932</v>
      </c>
      <c r="D203" s="113" t="str">
        <f>IFERROR(VLOOKUP(C203,SKUs!$A$6:$F$1971,6,FALSE()),"")</f>
        <v>JAQUETA COPA FEM.</v>
      </c>
      <c r="E203" s="113">
        <v>9</v>
      </c>
      <c r="F203" s="113">
        <f>IFERROR(IF(OR(B203="",E203=""),"",E203*VLOOKUP(B203,Configurações!$I$5:$J$15,2,FALSE())),"")</f>
        <v>9</v>
      </c>
      <c r="G203" s="113" t="s">
        <v>665</v>
      </c>
      <c r="H203" s="113" t="s">
        <v>2050</v>
      </c>
      <c r="I203" s="113"/>
      <c r="J203" s="113"/>
      <c r="K203" s="113" t="s">
        <v>2051</v>
      </c>
      <c r="L203" s="113"/>
      <c r="M203" s="113" t="s">
        <v>933</v>
      </c>
    </row>
    <row r="204" spans="1:13" ht="12.75" hidden="1" customHeight="1" x14ac:dyDescent="0.3">
      <c r="A204" s="111">
        <v>46161</v>
      </c>
      <c r="B204" s="112" t="s">
        <v>2049</v>
      </c>
      <c r="C204" s="113" t="s">
        <v>934</v>
      </c>
      <c r="D204" s="113" t="str">
        <f>IFERROR(VLOOKUP(C204,SKUs!$A$6:$F$1971,6,FALSE()),"")</f>
        <v>JAQUETA COPA FEM.</v>
      </c>
      <c r="E204" s="113">
        <v>7</v>
      </c>
      <c r="F204" s="113">
        <f>IFERROR(IF(OR(B204="",E204=""),"",E204*VLOOKUP(B204,Configurações!$I$5:$J$15,2,FALSE())),"")</f>
        <v>7</v>
      </c>
      <c r="G204" s="113" t="s">
        <v>665</v>
      </c>
      <c r="H204" s="113" t="s">
        <v>2050</v>
      </c>
      <c r="I204" s="113"/>
      <c r="J204" s="113"/>
      <c r="K204" s="113" t="s">
        <v>2051</v>
      </c>
      <c r="L204" s="113"/>
      <c r="M204" s="113" t="s">
        <v>933</v>
      </c>
    </row>
    <row r="205" spans="1:13" ht="12.75" hidden="1" customHeight="1" x14ac:dyDescent="0.3">
      <c r="A205" s="111">
        <v>46161</v>
      </c>
      <c r="B205" s="112" t="s">
        <v>2049</v>
      </c>
      <c r="C205" s="113" t="s">
        <v>935</v>
      </c>
      <c r="D205" s="113" t="str">
        <f>IFERROR(VLOOKUP(C205,SKUs!$A$6:$F$1971,6,FALSE()),"")</f>
        <v>JAQUETA COPA FEM.</v>
      </c>
      <c r="E205" s="113">
        <v>7</v>
      </c>
      <c r="F205" s="113">
        <f>IFERROR(IF(OR(B205="",E205=""),"",E205*VLOOKUP(B205,Configurações!$I$5:$J$15,2,FALSE())),"")</f>
        <v>7</v>
      </c>
      <c r="G205" s="113" t="s">
        <v>665</v>
      </c>
      <c r="H205" s="113" t="s">
        <v>2050</v>
      </c>
      <c r="I205" s="113"/>
      <c r="J205" s="113"/>
      <c r="K205" s="113" t="s">
        <v>2051</v>
      </c>
      <c r="L205" s="113"/>
      <c r="M205" s="113" t="s">
        <v>933</v>
      </c>
    </row>
    <row r="206" spans="1:13" ht="12.75" hidden="1" customHeight="1" x14ac:dyDescent="0.3">
      <c r="A206" s="111">
        <v>46161</v>
      </c>
      <c r="B206" s="112" t="s">
        <v>2049</v>
      </c>
      <c r="C206" s="113" t="s">
        <v>936</v>
      </c>
      <c r="D206" s="113" t="str">
        <f>IFERROR(VLOOKUP(C206,SKUs!$A$6:$F$1971,6,FALSE()),"")</f>
        <v>JAQUETA COPA FEM.</v>
      </c>
      <c r="E206" s="113">
        <v>4</v>
      </c>
      <c r="F206" s="113">
        <f>IFERROR(IF(OR(B206="",E206=""),"",E206*VLOOKUP(B206,Configurações!$I$5:$J$15,2,FALSE())),"")</f>
        <v>4</v>
      </c>
      <c r="G206" s="113" t="s">
        <v>665</v>
      </c>
      <c r="H206" s="113" t="s">
        <v>2050</v>
      </c>
      <c r="I206" s="113"/>
      <c r="J206" s="113"/>
      <c r="K206" s="113" t="s">
        <v>2051</v>
      </c>
      <c r="L206" s="113"/>
      <c r="M206" s="113" t="s">
        <v>879</v>
      </c>
    </row>
    <row r="207" spans="1:13" ht="12.75" hidden="1" customHeight="1" x14ac:dyDescent="0.3">
      <c r="A207" s="111">
        <v>46161</v>
      </c>
      <c r="B207" s="112" t="s">
        <v>2049</v>
      </c>
      <c r="C207" s="113" t="s">
        <v>937</v>
      </c>
      <c r="D207" s="113" t="str">
        <f>IFERROR(VLOOKUP(C207,SKUs!$A$6:$F$1971,6,FALSE()),"")</f>
        <v>JAQUETA COPA FEM.</v>
      </c>
      <c r="E207" s="113">
        <v>8</v>
      </c>
      <c r="F207" s="113">
        <f>IFERROR(IF(OR(B207="",E207=""),"",E207*VLOOKUP(B207,Configurações!$I$5:$J$15,2,FALSE())),"")</f>
        <v>8</v>
      </c>
      <c r="G207" s="113" t="s">
        <v>665</v>
      </c>
      <c r="H207" s="113" t="s">
        <v>2050</v>
      </c>
      <c r="I207" s="113"/>
      <c r="J207" s="113"/>
      <c r="K207" s="113" t="s">
        <v>2051</v>
      </c>
      <c r="L207" s="113"/>
      <c r="M207" s="113" t="s">
        <v>938</v>
      </c>
    </row>
    <row r="208" spans="1:13" ht="12.75" hidden="1" customHeight="1" x14ac:dyDescent="0.3">
      <c r="A208" s="111">
        <v>46161</v>
      </c>
      <c r="B208" s="112" t="s">
        <v>2049</v>
      </c>
      <c r="C208" s="113" t="s">
        <v>939</v>
      </c>
      <c r="D208" s="113" t="str">
        <f>IFERROR(VLOOKUP(C208,SKUs!$A$6:$F$1971,6,FALSE()),"")</f>
        <v>JAQUETA COPA FEM.</v>
      </c>
      <c r="E208" s="113">
        <v>5</v>
      </c>
      <c r="F208" s="113">
        <f>IFERROR(IF(OR(B208="",E208=""),"",E208*VLOOKUP(B208,Configurações!$I$5:$J$15,2,FALSE())),"")</f>
        <v>5</v>
      </c>
      <c r="G208" s="113" t="s">
        <v>665</v>
      </c>
      <c r="H208" s="113" t="s">
        <v>2050</v>
      </c>
      <c r="I208" s="113"/>
      <c r="J208" s="113"/>
      <c r="K208" s="113" t="s">
        <v>2051</v>
      </c>
      <c r="L208" s="113"/>
      <c r="M208" s="113" t="s">
        <v>879</v>
      </c>
    </row>
    <row r="209" spans="1:13" ht="12.75" hidden="1" customHeight="1" x14ac:dyDescent="0.3">
      <c r="A209" s="111">
        <v>46161</v>
      </c>
      <c r="B209" s="112" t="s">
        <v>2049</v>
      </c>
      <c r="C209" s="113" t="s">
        <v>940</v>
      </c>
      <c r="D209" s="113" t="str">
        <f>IFERROR(VLOOKUP(C209,SKUs!$A$6:$F$1971,6,FALSE()),"")</f>
        <v>JAQUETA COPA FEM.</v>
      </c>
      <c r="E209" s="113">
        <v>7</v>
      </c>
      <c r="F209" s="113">
        <f>IFERROR(IF(OR(B209="",E209=""),"",E209*VLOOKUP(B209,Configurações!$I$5:$J$15,2,FALSE())),"")</f>
        <v>7</v>
      </c>
      <c r="G209" s="113" t="s">
        <v>665</v>
      </c>
      <c r="H209" s="113" t="s">
        <v>2050</v>
      </c>
      <c r="I209" s="113"/>
      <c r="J209" s="113"/>
      <c r="K209" s="113" t="s">
        <v>2051</v>
      </c>
      <c r="L209" s="113"/>
      <c r="M209" s="113" t="s">
        <v>879</v>
      </c>
    </row>
    <row r="210" spans="1:13" ht="12.75" hidden="1" customHeight="1" x14ac:dyDescent="0.3">
      <c r="A210" s="111">
        <v>46161</v>
      </c>
      <c r="B210" s="112" t="s">
        <v>2049</v>
      </c>
      <c r="C210" s="113" t="s">
        <v>941</v>
      </c>
      <c r="D210" s="113" t="str">
        <f>IFERROR(VLOOKUP(C210,SKUs!$A$6:$F$1971,6,FALSE()),"")</f>
        <v>JAQUETA COPA FEM.</v>
      </c>
      <c r="E210" s="113">
        <v>8</v>
      </c>
      <c r="F210" s="113">
        <f>IFERROR(IF(OR(B210="",E210=""),"",E210*VLOOKUP(B210,Configurações!$I$5:$J$15,2,FALSE())),"")</f>
        <v>8</v>
      </c>
      <c r="G210" s="113" t="s">
        <v>665</v>
      </c>
      <c r="H210" s="113" t="s">
        <v>2050</v>
      </c>
      <c r="I210" s="113"/>
      <c r="J210" s="113"/>
      <c r="K210" s="113" t="s">
        <v>2051</v>
      </c>
      <c r="L210" s="113"/>
      <c r="M210" s="113" t="s">
        <v>879</v>
      </c>
    </row>
    <row r="211" spans="1:13" ht="12.75" hidden="1" customHeight="1" x14ac:dyDescent="0.3">
      <c r="A211" s="111">
        <v>46161</v>
      </c>
      <c r="B211" s="112" t="s">
        <v>2049</v>
      </c>
      <c r="C211" s="113" t="s">
        <v>877</v>
      </c>
      <c r="D211" s="113" t="str">
        <f>IFERROR(VLOOKUP(C211,SKUs!$A$6:$F$1971,6,FALSE()),"")</f>
        <v>JAQUETA COPA FEM.</v>
      </c>
      <c r="E211" s="113">
        <v>3</v>
      </c>
      <c r="F211" s="113">
        <f>IFERROR(IF(OR(B211="",E211=""),"",E211*VLOOKUP(B211,Configurações!$I$5:$J$15,2,FALSE())),"")</f>
        <v>3</v>
      </c>
      <c r="G211" s="113" t="s">
        <v>665</v>
      </c>
      <c r="H211" s="113" t="s">
        <v>2050</v>
      </c>
      <c r="I211" s="113"/>
      <c r="J211" s="113"/>
      <c r="K211" s="113" t="s">
        <v>2051</v>
      </c>
      <c r="L211" s="113"/>
      <c r="M211" s="113" t="s">
        <v>879</v>
      </c>
    </row>
    <row r="212" spans="1:13" ht="12.75" hidden="1" customHeight="1" x14ac:dyDescent="0.3">
      <c r="A212" s="111">
        <v>46161</v>
      </c>
      <c r="B212" s="112" t="s">
        <v>2049</v>
      </c>
      <c r="C212" s="113" t="s">
        <v>880</v>
      </c>
      <c r="D212" s="113" t="str">
        <f>IFERROR(VLOOKUP(C212,SKUs!$A$6:$F$1971,6,FALSE()),"")</f>
        <v>JAQUETA COPA FEM.</v>
      </c>
      <c r="E212" s="113">
        <v>2</v>
      </c>
      <c r="F212" s="113">
        <f>IFERROR(IF(OR(B212="",E212=""),"",E212*VLOOKUP(B212,Configurações!$I$5:$J$15,2,FALSE())),"")</f>
        <v>2</v>
      </c>
      <c r="G212" s="113" t="s">
        <v>665</v>
      </c>
      <c r="H212" s="113" t="s">
        <v>2050</v>
      </c>
      <c r="I212" s="113"/>
      <c r="J212" s="113"/>
      <c r="K212" s="113" t="s">
        <v>2051</v>
      </c>
      <c r="L212" s="113"/>
      <c r="M212" s="113" t="s">
        <v>879</v>
      </c>
    </row>
    <row r="213" spans="1:13" ht="12.75" hidden="1" customHeight="1" x14ac:dyDescent="0.3">
      <c r="A213" s="111">
        <v>46161</v>
      </c>
      <c r="B213" s="112" t="s">
        <v>2049</v>
      </c>
      <c r="C213" s="113" t="s">
        <v>942</v>
      </c>
      <c r="D213" s="113" t="str">
        <f>IFERROR(VLOOKUP(C213,SKUs!$A$6:$F$1971,6,FALSE()),"")</f>
        <v>CAMISETA COPA FEM.</v>
      </c>
      <c r="E213" s="113">
        <v>9</v>
      </c>
      <c r="F213" s="113">
        <f>IFERROR(IF(OR(B213="",E213=""),"",E213*VLOOKUP(B213,Configurações!$I$5:$J$15,2,FALSE())),"")</f>
        <v>9</v>
      </c>
      <c r="G213" s="113" t="s">
        <v>665</v>
      </c>
      <c r="H213" s="113" t="s">
        <v>2050</v>
      </c>
      <c r="I213" s="113"/>
      <c r="J213" s="113"/>
      <c r="K213" s="113" t="s">
        <v>2051</v>
      </c>
      <c r="L213" s="113"/>
      <c r="M213" s="113" t="s">
        <v>943</v>
      </c>
    </row>
    <row r="214" spans="1:13" ht="12.75" hidden="1" customHeight="1" x14ac:dyDescent="0.3">
      <c r="A214" s="111">
        <v>46161</v>
      </c>
      <c r="B214" s="112" t="s">
        <v>2049</v>
      </c>
      <c r="C214" s="113" t="s">
        <v>944</v>
      </c>
      <c r="D214" s="113" t="str">
        <f>IFERROR(VLOOKUP(C214,SKUs!$A$6:$F$1971,6,FALSE()),"")</f>
        <v>CAMISETA COPA FEM.</v>
      </c>
      <c r="E214" s="113">
        <v>10</v>
      </c>
      <c r="F214" s="113">
        <f>IFERROR(IF(OR(B214="",E214=""),"",E214*VLOOKUP(B214,Configurações!$I$5:$J$15,2,FALSE())),"")</f>
        <v>10</v>
      </c>
      <c r="G214" s="113" t="s">
        <v>665</v>
      </c>
      <c r="H214" s="113" t="s">
        <v>2050</v>
      </c>
      <c r="I214" s="113"/>
      <c r="J214" s="113"/>
      <c r="K214" s="113" t="s">
        <v>2051</v>
      </c>
      <c r="L214" s="113"/>
      <c r="M214" s="113" t="s">
        <v>943</v>
      </c>
    </row>
    <row r="215" spans="1:13" ht="12.75" hidden="1" customHeight="1" x14ac:dyDescent="0.3">
      <c r="A215" s="111">
        <v>46161</v>
      </c>
      <c r="B215" s="112" t="s">
        <v>2049</v>
      </c>
      <c r="C215" s="113" t="s">
        <v>945</v>
      </c>
      <c r="D215" s="113" t="str">
        <f>IFERROR(VLOOKUP(C215,SKUs!$A$6:$F$1971,6,FALSE()),"")</f>
        <v>CAMISETA COPA FEM.</v>
      </c>
      <c r="E215" s="113">
        <v>10</v>
      </c>
      <c r="F215" s="113">
        <f>IFERROR(IF(OR(B215="",E215=""),"",E215*VLOOKUP(B215,Configurações!$I$5:$J$15,2,FALSE())),"")</f>
        <v>10</v>
      </c>
      <c r="G215" s="113" t="s">
        <v>665</v>
      </c>
      <c r="H215" s="113" t="s">
        <v>2050</v>
      </c>
      <c r="I215" s="113"/>
      <c r="J215" s="113"/>
      <c r="K215" s="113" t="s">
        <v>2051</v>
      </c>
      <c r="L215" s="113"/>
      <c r="M215" s="113" t="s">
        <v>943</v>
      </c>
    </row>
    <row r="216" spans="1:13" ht="12.75" hidden="1" customHeight="1" x14ac:dyDescent="0.3">
      <c r="A216" s="111">
        <v>46161</v>
      </c>
      <c r="B216" s="112" t="s">
        <v>2049</v>
      </c>
      <c r="C216" s="113" t="s">
        <v>946</v>
      </c>
      <c r="D216" s="113" t="str">
        <f>IFERROR(VLOOKUP(C216,SKUs!$A$6:$F$1971,6,FALSE()),"")</f>
        <v>CAMISETA COPA FEM.</v>
      </c>
      <c r="E216" s="113">
        <v>9</v>
      </c>
      <c r="F216" s="113">
        <f>IFERROR(IF(OR(B216="",E216=""),"",E216*VLOOKUP(B216,Configurações!$I$5:$J$15,2,FALSE())),"")</f>
        <v>9</v>
      </c>
      <c r="G216" s="113" t="s">
        <v>665</v>
      </c>
      <c r="H216" s="113" t="s">
        <v>2050</v>
      </c>
      <c r="I216" s="113"/>
      <c r="J216" s="113"/>
      <c r="K216" s="113" t="s">
        <v>2051</v>
      </c>
      <c r="L216" s="113"/>
      <c r="M216" s="113" t="s">
        <v>943</v>
      </c>
    </row>
    <row r="217" spans="1:13" ht="12.75" hidden="1" customHeight="1" x14ac:dyDescent="0.3">
      <c r="A217" s="111">
        <v>46161</v>
      </c>
      <c r="B217" s="112" t="s">
        <v>2049</v>
      </c>
      <c r="C217" s="113" t="s">
        <v>947</v>
      </c>
      <c r="D217" s="113" t="str">
        <f>IFERROR(VLOOKUP(C217,SKUs!$A$6:$F$1971,6,FALSE()),"")</f>
        <v>CAMISETA COPA FEM.</v>
      </c>
      <c r="E217" s="113">
        <v>10</v>
      </c>
      <c r="F217" s="113">
        <f>IFERROR(IF(OR(B217="",E217=""),"",E217*VLOOKUP(B217,Configurações!$I$5:$J$15,2,FALSE())),"")</f>
        <v>10</v>
      </c>
      <c r="G217" s="113" t="s">
        <v>665</v>
      </c>
      <c r="H217" s="113" t="s">
        <v>2050</v>
      </c>
      <c r="I217" s="113"/>
      <c r="J217" s="113"/>
      <c r="K217" s="113" t="s">
        <v>2051</v>
      </c>
      <c r="L217" s="113"/>
      <c r="M217" s="113" t="s">
        <v>943</v>
      </c>
    </row>
    <row r="218" spans="1:13" ht="12.75" hidden="1" customHeight="1" x14ac:dyDescent="0.3">
      <c r="A218" s="111">
        <v>46161</v>
      </c>
      <c r="B218" s="112" t="s">
        <v>2049</v>
      </c>
      <c r="C218" s="113" t="s">
        <v>948</v>
      </c>
      <c r="D218" s="113" t="str">
        <f>IFERROR(VLOOKUP(C218,SKUs!$A$6:$F$1971,6,FALSE()),"")</f>
        <v>CAMISETA ESPORTE FEM.</v>
      </c>
      <c r="E218" s="113">
        <v>6</v>
      </c>
      <c r="F218" s="113">
        <f>IFERROR(IF(OR(B218="",E218=""),"",E218*VLOOKUP(B218,Configurações!$I$5:$J$15,2,FALSE())),"")</f>
        <v>6</v>
      </c>
      <c r="G218" s="113" t="s">
        <v>665</v>
      </c>
      <c r="H218" s="113" t="s">
        <v>2050</v>
      </c>
      <c r="I218" s="113"/>
      <c r="J218" s="113"/>
      <c r="K218" s="113" t="s">
        <v>2051</v>
      </c>
      <c r="L218" s="113"/>
      <c r="M218" s="113" t="s">
        <v>943</v>
      </c>
    </row>
    <row r="219" spans="1:13" ht="12.75" hidden="1" customHeight="1" x14ac:dyDescent="0.3">
      <c r="A219" s="111">
        <v>46161</v>
      </c>
      <c r="B219" s="112" t="s">
        <v>2049</v>
      </c>
      <c r="C219" s="113" t="s">
        <v>951</v>
      </c>
      <c r="D219" s="113" t="str">
        <f>IFERROR(VLOOKUP(C219,SKUs!$A$6:$F$1971,6,FALSE()),"")</f>
        <v>CAMISETA ESPORTE FEM.</v>
      </c>
      <c r="E219" s="113">
        <v>2</v>
      </c>
      <c r="F219" s="113">
        <f>IFERROR(IF(OR(B219="",E219=""),"",E219*VLOOKUP(B219,Configurações!$I$5:$J$15,2,FALSE())),"")</f>
        <v>2</v>
      </c>
      <c r="G219" s="113" t="s">
        <v>665</v>
      </c>
      <c r="H219" s="113" t="s">
        <v>2050</v>
      </c>
      <c r="I219" s="113"/>
      <c r="J219" s="113"/>
      <c r="K219" s="113" t="s">
        <v>2051</v>
      </c>
      <c r="L219" s="113"/>
      <c r="M219" s="113" t="s">
        <v>943</v>
      </c>
    </row>
    <row r="220" spans="1:13" ht="12.75" hidden="1" customHeight="1" x14ac:dyDescent="0.3">
      <c r="A220" s="111">
        <v>46161</v>
      </c>
      <c r="B220" s="112" t="s">
        <v>2049</v>
      </c>
      <c r="C220" s="113" t="s">
        <v>952</v>
      </c>
      <c r="D220" s="113" t="str">
        <f>IFERROR(VLOOKUP(C220,SKUs!$A$6:$F$1971,6,FALSE()),"")</f>
        <v>CAMISETA ESPORTE FEM.</v>
      </c>
      <c r="E220" s="113">
        <v>8</v>
      </c>
      <c r="F220" s="113">
        <f>IFERROR(IF(OR(B220="",E220=""),"",E220*VLOOKUP(B220,Configurações!$I$5:$J$15,2,FALSE())),"")</f>
        <v>8</v>
      </c>
      <c r="G220" s="113" t="s">
        <v>665</v>
      </c>
      <c r="H220" s="113" t="s">
        <v>2050</v>
      </c>
      <c r="I220" s="113"/>
      <c r="J220" s="113"/>
      <c r="K220" s="113" t="s">
        <v>2051</v>
      </c>
      <c r="L220" s="113"/>
      <c r="M220" s="113" t="s">
        <v>943</v>
      </c>
    </row>
    <row r="221" spans="1:13" ht="12.75" hidden="1" customHeight="1" x14ac:dyDescent="0.3">
      <c r="A221" s="111">
        <v>46161</v>
      </c>
      <c r="B221" s="112" t="s">
        <v>2049</v>
      </c>
      <c r="C221" s="113" t="s">
        <v>953</v>
      </c>
      <c r="D221" s="113" t="str">
        <f>IFERROR(VLOOKUP(C221,SKUs!$A$6:$F$1971,6,FALSE()),"")</f>
        <v>CAMISETA ESPORTE FEM.</v>
      </c>
      <c r="E221" s="113">
        <v>7</v>
      </c>
      <c r="F221" s="113">
        <f>IFERROR(IF(OR(B221="",E221=""),"",E221*VLOOKUP(B221,Configurações!$I$5:$J$15,2,FALSE())),"")</f>
        <v>7</v>
      </c>
      <c r="G221" s="113" t="s">
        <v>665</v>
      </c>
      <c r="H221" s="113" t="s">
        <v>2050</v>
      </c>
      <c r="I221" s="113"/>
      <c r="J221" s="113"/>
      <c r="K221" s="113" t="s">
        <v>2051</v>
      </c>
      <c r="L221" s="113"/>
      <c r="M221" s="113" t="s">
        <v>943</v>
      </c>
    </row>
    <row r="222" spans="1:13" ht="12.75" hidden="1" customHeight="1" x14ac:dyDescent="0.3">
      <c r="A222" s="111">
        <v>46161</v>
      </c>
      <c r="B222" s="112" t="s">
        <v>2049</v>
      </c>
      <c r="C222" s="113" t="s">
        <v>954</v>
      </c>
      <c r="D222" s="113" t="str">
        <f>IFERROR(VLOOKUP(C222,SKUs!$A$6:$F$1971,6,FALSE()),"")</f>
        <v>POLO PIQUET OUT. ROSA INFANTIL</v>
      </c>
      <c r="E222" s="113">
        <v>8</v>
      </c>
      <c r="F222" s="113">
        <f>IFERROR(IF(OR(B222="",E222=""),"",E222*VLOOKUP(B222,Configurações!$I$5:$J$15,2,FALSE())),"")</f>
        <v>8</v>
      </c>
      <c r="G222" s="113" t="s">
        <v>665</v>
      </c>
      <c r="H222" s="113" t="s">
        <v>2050</v>
      </c>
      <c r="I222" s="113"/>
      <c r="J222" s="113"/>
      <c r="K222" s="113" t="s">
        <v>2051</v>
      </c>
      <c r="L222" s="113"/>
      <c r="M222" s="113" t="s">
        <v>957</v>
      </c>
    </row>
    <row r="223" spans="1:13" ht="12.75" hidden="1" customHeight="1" x14ac:dyDescent="0.3">
      <c r="A223" s="111">
        <v>46161</v>
      </c>
      <c r="B223" s="112" t="s">
        <v>2049</v>
      </c>
      <c r="C223" s="113" t="s">
        <v>958</v>
      </c>
      <c r="D223" s="113" t="str">
        <f>IFERROR(VLOOKUP(C223,SKUs!$A$6:$F$1971,6,FALSE()),"")</f>
        <v>POLO PIQUET OUT. ROSA INFANTIL</v>
      </c>
      <c r="E223" s="113">
        <v>9</v>
      </c>
      <c r="F223" s="113">
        <f>IFERROR(IF(OR(B223="",E223=""),"",E223*VLOOKUP(B223,Configurações!$I$5:$J$15,2,FALSE())),"")</f>
        <v>9</v>
      </c>
      <c r="G223" s="113" t="s">
        <v>665</v>
      </c>
      <c r="H223" s="113" t="s">
        <v>2050</v>
      </c>
      <c r="I223" s="113"/>
      <c r="J223" s="113"/>
      <c r="K223" s="113" t="s">
        <v>2051</v>
      </c>
      <c r="L223" s="113"/>
      <c r="M223" s="113" t="s">
        <v>959</v>
      </c>
    </row>
    <row r="224" spans="1:13" ht="12.75" hidden="1" customHeight="1" x14ac:dyDescent="0.3">
      <c r="A224" s="111">
        <v>46161</v>
      </c>
      <c r="B224" s="112" t="s">
        <v>2049</v>
      </c>
      <c r="C224" s="113" t="s">
        <v>960</v>
      </c>
      <c r="D224" s="113" t="str">
        <f>IFERROR(VLOOKUP(C224,SKUs!$A$6:$F$1971,6,FALSE()),"")</f>
        <v>POLO PIQUET OUT. ROSA INFANTIL</v>
      </c>
      <c r="E224" s="113">
        <v>8</v>
      </c>
      <c r="F224" s="113">
        <f>IFERROR(IF(OR(B224="",E224=""),"",E224*VLOOKUP(B224,Configurações!$I$5:$J$15,2,FALSE())),"")</f>
        <v>8</v>
      </c>
      <c r="G224" s="113" t="s">
        <v>665</v>
      </c>
      <c r="H224" s="113" t="s">
        <v>2050</v>
      </c>
      <c r="I224" s="113"/>
      <c r="J224" s="113"/>
      <c r="K224" s="113" t="s">
        <v>2051</v>
      </c>
      <c r="L224" s="113"/>
      <c r="M224" s="113" t="s">
        <v>959</v>
      </c>
    </row>
    <row r="225" spans="1:13" ht="12.75" hidden="1" customHeight="1" x14ac:dyDescent="0.3">
      <c r="A225" s="111">
        <v>46161</v>
      </c>
      <c r="B225" s="112" t="s">
        <v>2049</v>
      </c>
      <c r="C225" s="113" t="s">
        <v>961</v>
      </c>
      <c r="D225" s="113" t="str">
        <f>IFERROR(VLOOKUP(C225,SKUs!$A$6:$F$1971,6,FALSE()),"")</f>
        <v>POLO PIQUET OUT. ROSA INFANTIL</v>
      </c>
      <c r="E225" s="113">
        <v>8</v>
      </c>
      <c r="F225" s="113">
        <f>IFERROR(IF(OR(B225="",E225=""),"",E225*VLOOKUP(B225,Configurações!$I$5:$J$15,2,FALSE())),"")</f>
        <v>8</v>
      </c>
      <c r="G225" s="113" t="s">
        <v>665</v>
      </c>
      <c r="H225" s="113" t="s">
        <v>2050</v>
      </c>
      <c r="I225" s="113"/>
      <c r="J225" s="113"/>
      <c r="K225" s="113" t="s">
        <v>2051</v>
      </c>
      <c r="L225" s="113"/>
      <c r="M225" s="113" t="s">
        <v>959</v>
      </c>
    </row>
    <row r="226" spans="1:13" ht="12.75" hidden="1" customHeight="1" x14ac:dyDescent="0.3">
      <c r="A226" s="111">
        <v>46161</v>
      </c>
      <c r="B226" s="112" t="s">
        <v>2049</v>
      </c>
      <c r="C226" s="113" t="s">
        <v>962</v>
      </c>
      <c r="D226" s="113" t="str">
        <f>IFERROR(VLOOKUP(C226,SKUs!$A$6:$F$1971,6,FALSE()),"")</f>
        <v>POLO PIQUET OUT. ROSA INFANTIL</v>
      </c>
      <c r="E226" s="113">
        <v>9</v>
      </c>
      <c r="F226" s="113">
        <f>IFERROR(IF(OR(B226="",E226=""),"",E226*VLOOKUP(B226,Configurações!$I$5:$J$15,2,FALSE())),"")</f>
        <v>9</v>
      </c>
      <c r="G226" s="113" t="s">
        <v>665</v>
      </c>
      <c r="H226" s="113" t="s">
        <v>2050</v>
      </c>
      <c r="I226" s="113"/>
      <c r="J226" s="113"/>
      <c r="K226" s="113" t="s">
        <v>2051</v>
      </c>
      <c r="L226" s="113"/>
      <c r="M226" s="113" t="s">
        <v>959</v>
      </c>
    </row>
    <row r="227" spans="1:13" ht="12.75" hidden="1" customHeight="1" x14ac:dyDescent="0.3">
      <c r="A227" s="111">
        <v>46161</v>
      </c>
      <c r="B227" s="112" t="s">
        <v>2049</v>
      </c>
      <c r="C227" s="113" t="s">
        <v>963</v>
      </c>
      <c r="D227" s="113" t="str">
        <f>IFERROR(VLOOKUP(C227,SKUs!$A$6:$F$1971,6,FALSE()),"")</f>
        <v>POLO PIQUET OUT. ROSA INFANTIL</v>
      </c>
      <c r="E227" s="113">
        <v>6</v>
      </c>
      <c r="F227" s="113">
        <f>IFERROR(IF(OR(B227="",E227=""),"",E227*VLOOKUP(B227,Configurações!$I$5:$J$15,2,FALSE())),"")</f>
        <v>6</v>
      </c>
      <c r="G227" s="113" t="s">
        <v>665</v>
      </c>
      <c r="H227" s="113" t="s">
        <v>2050</v>
      </c>
      <c r="I227" s="113"/>
      <c r="J227" s="113"/>
      <c r="K227" s="113" t="s">
        <v>2051</v>
      </c>
      <c r="L227" s="113"/>
      <c r="M227" s="113" t="s">
        <v>959</v>
      </c>
    </row>
    <row r="228" spans="1:13" ht="12.75" hidden="1" customHeight="1" x14ac:dyDescent="0.3">
      <c r="A228" s="111">
        <v>46161</v>
      </c>
      <c r="B228" s="112" t="s">
        <v>2049</v>
      </c>
      <c r="C228" s="113" t="s">
        <v>964</v>
      </c>
      <c r="D228" s="113" t="str">
        <f>IFERROR(VLOOKUP(C228,SKUs!$A$6:$F$1971,6,FALSE()),"")</f>
        <v>POLO PIQUET OUT. ROSA INFANTIL</v>
      </c>
      <c r="E228" s="113">
        <v>2</v>
      </c>
      <c r="F228" s="113">
        <f>IFERROR(IF(OR(B228="",E228=""),"",E228*VLOOKUP(B228,Configurações!$I$5:$J$15,2,FALSE())),"")</f>
        <v>2</v>
      </c>
      <c r="G228" s="113" t="s">
        <v>665</v>
      </c>
      <c r="H228" s="113" t="s">
        <v>2050</v>
      </c>
      <c r="I228" s="113"/>
      <c r="J228" s="113"/>
      <c r="K228" s="113" t="s">
        <v>2051</v>
      </c>
      <c r="L228" s="113"/>
      <c r="M228" s="113" t="s">
        <v>959</v>
      </c>
    </row>
    <row r="229" spans="1:13" ht="12.75" hidden="1" customHeight="1" x14ac:dyDescent="0.3">
      <c r="A229" s="111">
        <v>46161</v>
      </c>
      <c r="B229" s="112" t="s">
        <v>2049</v>
      </c>
      <c r="C229" s="113" t="s">
        <v>965</v>
      </c>
      <c r="D229" s="113" t="str">
        <f>IFERROR(VLOOKUP(C229,SKUs!$A$6:$F$1971,6,FALSE()),"")</f>
        <v>POLO PIQUET MESCLA INFANTIL</v>
      </c>
      <c r="E229" s="113">
        <v>10</v>
      </c>
      <c r="F229" s="113">
        <f>IFERROR(IF(OR(B229="",E229=""),"",E229*VLOOKUP(B229,Configurações!$I$5:$J$15,2,FALSE())),"")</f>
        <v>10</v>
      </c>
      <c r="G229" s="113" t="s">
        <v>665</v>
      </c>
      <c r="H229" s="113" t="s">
        <v>2050</v>
      </c>
      <c r="I229" s="113"/>
      <c r="J229" s="113"/>
      <c r="K229" s="113" t="s">
        <v>2051</v>
      </c>
      <c r="L229" s="113"/>
      <c r="M229" s="113" t="s">
        <v>967</v>
      </c>
    </row>
    <row r="230" spans="1:13" ht="12.75" hidden="1" customHeight="1" x14ac:dyDescent="0.3">
      <c r="A230" s="111">
        <v>46161</v>
      </c>
      <c r="B230" s="112" t="s">
        <v>2049</v>
      </c>
      <c r="C230" s="113" t="s">
        <v>968</v>
      </c>
      <c r="D230" s="113" t="str">
        <f>IFERROR(VLOOKUP(C230,SKUs!$A$6:$F$1971,6,FALSE()),"")</f>
        <v>POLO PIQUET MESCLA INFANTIL</v>
      </c>
      <c r="E230" s="113">
        <v>9</v>
      </c>
      <c r="F230" s="113">
        <f>IFERROR(IF(OR(B230="",E230=""),"",E230*VLOOKUP(B230,Configurações!$I$5:$J$15,2,FALSE())),"")</f>
        <v>9</v>
      </c>
      <c r="G230" s="113" t="s">
        <v>665</v>
      </c>
      <c r="H230" s="113" t="s">
        <v>2050</v>
      </c>
      <c r="I230" s="113"/>
      <c r="J230" s="113"/>
      <c r="K230" s="113" t="s">
        <v>2051</v>
      </c>
      <c r="L230" s="113"/>
      <c r="M230" s="113" t="s">
        <v>967</v>
      </c>
    </row>
    <row r="231" spans="1:13" ht="12.75" hidden="1" customHeight="1" x14ac:dyDescent="0.3">
      <c r="A231" s="111">
        <v>46161</v>
      </c>
      <c r="B231" s="112" t="s">
        <v>2049</v>
      </c>
      <c r="C231" s="113" t="s">
        <v>969</v>
      </c>
      <c r="D231" s="113" t="str">
        <f>IFERROR(VLOOKUP(C231,SKUs!$A$6:$F$1971,6,FALSE()),"")</f>
        <v>POLO PIQUET MESCLA INFANTIL</v>
      </c>
      <c r="E231" s="113">
        <v>10</v>
      </c>
      <c r="F231" s="113">
        <f>IFERROR(IF(OR(B231="",E231=""),"",E231*VLOOKUP(B231,Configurações!$I$5:$J$15,2,FALSE())),"")</f>
        <v>10</v>
      </c>
      <c r="G231" s="113" t="s">
        <v>665</v>
      </c>
      <c r="H231" s="113" t="s">
        <v>2050</v>
      </c>
      <c r="I231" s="113"/>
      <c r="J231" s="113"/>
      <c r="K231" s="113" t="s">
        <v>2051</v>
      </c>
      <c r="L231" s="113"/>
      <c r="M231" s="113" t="s">
        <v>967</v>
      </c>
    </row>
    <row r="232" spans="1:13" ht="12.75" hidden="1" customHeight="1" x14ac:dyDescent="0.3">
      <c r="A232" s="111">
        <v>46161</v>
      </c>
      <c r="B232" s="112" t="s">
        <v>2049</v>
      </c>
      <c r="C232" s="113" t="s">
        <v>970</v>
      </c>
      <c r="D232" s="113" t="str">
        <f>IFERROR(VLOOKUP(C232,SKUs!$A$6:$F$1971,6,FALSE()),"")</f>
        <v>POLO PIQUET MESCLA INFANTIL</v>
      </c>
      <c r="E232" s="113">
        <v>10</v>
      </c>
      <c r="F232" s="113">
        <f>IFERROR(IF(OR(B232="",E232=""),"",E232*VLOOKUP(B232,Configurações!$I$5:$J$15,2,FALSE())),"")</f>
        <v>10</v>
      </c>
      <c r="G232" s="113" t="s">
        <v>665</v>
      </c>
      <c r="H232" s="113" t="s">
        <v>2050</v>
      </c>
      <c r="I232" s="113"/>
      <c r="J232" s="113"/>
      <c r="K232" s="113" t="s">
        <v>2051</v>
      </c>
      <c r="L232" s="113"/>
      <c r="M232" s="113" t="s">
        <v>967</v>
      </c>
    </row>
    <row r="233" spans="1:13" ht="12.75" hidden="1" customHeight="1" x14ac:dyDescent="0.3">
      <c r="A233" s="111">
        <v>46161</v>
      </c>
      <c r="B233" s="112" t="s">
        <v>2049</v>
      </c>
      <c r="C233" s="113" t="s">
        <v>971</v>
      </c>
      <c r="D233" s="113" t="str">
        <f>IFERROR(VLOOKUP(C233,SKUs!$A$6:$F$1971,6,FALSE()),"")</f>
        <v>POLO PIQUET MESCLA INFANTIL</v>
      </c>
      <c r="E233" s="113">
        <v>9</v>
      </c>
      <c r="F233" s="113">
        <f>IFERROR(IF(OR(B233="",E233=""),"",E233*VLOOKUP(B233,Configurações!$I$5:$J$15,2,FALSE())),"")</f>
        <v>9</v>
      </c>
      <c r="G233" s="113" t="s">
        <v>665</v>
      </c>
      <c r="H233" s="113" t="s">
        <v>2050</v>
      </c>
      <c r="I233" s="113"/>
      <c r="J233" s="113"/>
      <c r="K233" s="113" t="s">
        <v>2051</v>
      </c>
      <c r="L233" s="113"/>
      <c r="M233" s="113" t="s">
        <v>967</v>
      </c>
    </row>
    <row r="234" spans="1:13" ht="12.75" hidden="1" customHeight="1" x14ac:dyDescent="0.3">
      <c r="A234" s="111">
        <v>46161</v>
      </c>
      <c r="B234" s="112" t="s">
        <v>2049</v>
      </c>
      <c r="C234" s="113" t="s">
        <v>972</v>
      </c>
      <c r="D234" s="113" t="str">
        <f>IFERROR(VLOOKUP(C234,SKUs!$A$6:$F$1971,6,FALSE()),"")</f>
        <v>POLO PIQUET MESCLA INFANTIL</v>
      </c>
      <c r="E234" s="113">
        <v>4</v>
      </c>
      <c r="F234" s="113">
        <f>IFERROR(IF(OR(B234="",E234=""),"",E234*VLOOKUP(B234,Configurações!$I$5:$J$15,2,FALSE())),"")</f>
        <v>4</v>
      </c>
      <c r="G234" s="113" t="s">
        <v>665</v>
      </c>
      <c r="H234" s="113" t="s">
        <v>2050</v>
      </c>
      <c r="I234" s="113"/>
      <c r="J234" s="113"/>
      <c r="K234" s="113" t="s">
        <v>2051</v>
      </c>
      <c r="L234" s="113"/>
      <c r="M234" s="113" t="s">
        <v>967</v>
      </c>
    </row>
    <row r="235" spans="1:13" ht="12.75" hidden="1" customHeight="1" x14ac:dyDescent="0.3">
      <c r="A235" s="111">
        <v>46161</v>
      </c>
      <c r="B235" s="112" t="s">
        <v>2049</v>
      </c>
      <c r="C235" s="113" t="s">
        <v>973</v>
      </c>
      <c r="D235" s="113" t="str">
        <f>IFERROR(VLOOKUP(C235,SKUs!$A$6:$F$1971,6,FALSE()),"")</f>
        <v>POLO PIQUET MESCLA INFANTIL</v>
      </c>
      <c r="E235" s="113">
        <v>8</v>
      </c>
      <c r="F235" s="113">
        <f>IFERROR(IF(OR(B235="",E235=""),"",E235*VLOOKUP(B235,Configurações!$I$5:$J$15,2,FALSE())),"")</f>
        <v>8</v>
      </c>
      <c r="G235" s="113" t="s">
        <v>665</v>
      </c>
      <c r="H235" s="113" t="s">
        <v>2050</v>
      </c>
      <c r="I235" s="113"/>
      <c r="J235" s="113"/>
      <c r="K235" s="113" t="s">
        <v>2051</v>
      </c>
      <c r="L235" s="113"/>
      <c r="M235" s="113" t="s">
        <v>967</v>
      </c>
    </row>
    <row r="236" spans="1:13" ht="12.75" hidden="1" customHeight="1" x14ac:dyDescent="0.3">
      <c r="A236" s="111">
        <v>46161</v>
      </c>
      <c r="B236" s="112" t="s">
        <v>2049</v>
      </c>
      <c r="C236" s="113" t="s">
        <v>974</v>
      </c>
      <c r="D236" s="113" t="str">
        <f>IFERROR(VLOOKUP(C236,SKUs!$A$6:$F$1971,6,FALSE()),"")</f>
        <v>POLO PIQUET CINZA-RISCOS FEM.</v>
      </c>
      <c r="E236" s="113">
        <v>14</v>
      </c>
      <c r="F236" s="113">
        <f>IFERROR(IF(OR(B236="",E236=""),"",E236*VLOOKUP(B236,Configurações!$I$5:$J$15,2,FALSE())),"")</f>
        <v>14</v>
      </c>
      <c r="G236" s="113" t="s">
        <v>665</v>
      </c>
      <c r="H236" s="113" t="s">
        <v>2050</v>
      </c>
      <c r="I236" s="113"/>
      <c r="J236" s="113"/>
      <c r="K236" s="113" t="s">
        <v>2051</v>
      </c>
      <c r="L236" s="113"/>
      <c r="M236" s="113" t="s">
        <v>959</v>
      </c>
    </row>
    <row r="237" spans="1:13" ht="12.75" hidden="1" customHeight="1" x14ac:dyDescent="0.3">
      <c r="A237" s="111">
        <v>46161</v>
      </c>
      <c r="B237" s="112" t="s">
        <v>2049</v>
      </c>
      <c r="C237" s="113" t="s">
        <v>976</v>
      </c>
      <c r="D237" s="113" t="str">
        <f>IFERROR(VLOOKUP(C237,SKUs!$A$6:$F$1971,6,FALSE()),"")</f>
        <v>POLO PIQUET CINZA-RISCOS FEM.</v>
      </c>
      <c r="E237" s="113">
        <v>1</v>
      </c>
      <c r="F237" s="113">
        <f>IFERROR(IF(OR(B237="",E237=""),"",E237*VLOOKUP(B237,Configurações!$I$5:$J$15,2,FALSE())),"")</f>
        <v>1</v>
      </c>
      <c r="G237" s="113" t="s">
        <v>665</v>
      </c>
      <c r="H237" s="113" t="s">
        <v>2050</v>
      </c>
      <c r="I237" s="113"/>
      <c r="J237" s="113"/>
      <c r="K237" s="113" t="s">
        <v>2051</v>
      </c>
      <c r="L237" s="113"/>
      <c r="M237" s="113" t="s">
        <v>959</v>
      </c>
    </row>
    <row r="238" spans="1:13" ht="12.75" hidden="1" customHeight="1" x14ac:dyDescent="0.3">
      <c r="A238" s="111">
        <v>46161</v>
      </c>
      <c r="B238" s="112" t="s">
        <v>2049</v>
      </c>
      <c r="C238" s="113" t="s">
        <v>977</v>
      </c>
      <c r="D238" s="113" t="str">
        <f>IFERROR(VLOOKUP(C238,SKUs!$A$6:$F$1971,6,FALSE()),"")</f>
        <v>POLO PIQUET CINZA-RISCOS FEM.</v>
      </c>
      <c r="E238" s="113">
        <v>1</v>
      </c>
      <c r="F238" s="113">
        <f>IFERROR(IF(OR(B238="",E238=""),"",E238*VLOOKUP(B238,Configurações!$I$5:$J$15,2,FALSE())),"")</f>
        <v>1</v>
      </c>
      <c r="G238" s="113" t="s">
        <v>665</v>
      </c>
      <c r="H238" s="113" t="s">
        <v>2050</v>
      </c>
      <c r="I238" s="113"/>
      <c r="J238" s="113"/>
      <c r="K238" s="113" t="s">
        <v>2051</v>
      </c>
      <c r="L238" s="113"/>
      <c r="M238" s="113" t="s">
        <v>959</v>
      </c>
    </row>
    <row r="239" spans="1:13" ht="12.75" hidden="1" customHeight="1" x14ac:dyDescent="0.3">
      <c r="A239" s="111">
        <v>46161</v>
      </c>
      <c r="B239" s="112" t="s">
        <v>2049</v>
      </c>
      <c r="C239" s="113" t="s">
        <v>978</v>
      </c>
      <c r="D239" s="113" t="str">
        <f>IFERROR(VLOOKUP(C239,SKUs!$A$6:$F$1971,6,FALSE()),"")</f>
        <v>POLO PIQUET CINZA-RISCOS FEM.</v>
      </c>
      <c r="E239" s="113">
        <v>1</v>
      </c>
      <c r="F239" s="113">
        <f>IFERROR(IF(OR(B239="",E239=""),"",E239*VLOOKUP(B239,Configurações!$I$5:$J$15,2,FALSE())),"")</f>
        <v>1</v>
      </c>
      <c r="G239" s="113" t="s">
        <v>665</v>
      </c>
      <c r="H239" s="113" t="s">
        <v>2050</v>
      </c>
      <c r="I239" s="113"/>
      <c r="J239" s="113"/>
      <c r="K239" s="113" t="s">
        <v>2051</v>
      </c>
      <c r="L239" s="113"/>
      <c r="M239" s="113" t="s">
        <v>959</v>
      </c>
    </row>
    <row r="240" spans="1:13" ht="12.75" hidden="1" customHeight="1" x14ac:dyDescent="0.3">
      <c r="A240" s="111">
        <v>46161</v>
      </c>
      <c r="B240" s="112" t="s">
        <v>2049</v>
      </c>
      <c r="C240" s="113" t="s">
        <v>980</v>
      </c>
      <c r="D240" s="113" t="str">
        <f>IFERROR(VLOOKUP(C240,SKUs!$A$6:$F$1971,6,FALSE()),"")</f>
        <v>POLO PIQUET CINZA-RISCOS FEM.</v>
      </c>
      <c r="E240" s="113">
        <v>1</v>
      </c>
      <c r="F240" s="113">
        <f>IFERROR(IF(OR(B240="",E240=""),"",E240*VLOOKUP(B240,Configurações!$I$5:$J$15,2,FALSE())),"")</f>
        <v>1</v>
      </c>
      <c r="G240" s="113" t="s">
        <v>665</v>
      </c>
      <c r="H240" s="113" t="s">
        <v>2050</v>
      </c>
      <c r="I240" s="113"/>
      <c r="J240" s="113"/>
      <c r="K240" s="113" t="s">
        <v>2051</v>
      </c>
      <c r="L240" s="113"/>
      <c r="M240" s="113" t="s">
        <v>959</v>
      </c>
    </row>
    <row r="241" spans="1:13" ht="12.75" hidden="1" customHeight="1" x14ac:dyDescent="0.3">
      <c r="A241" s="111">
        <v>46161</v>
      </c>
      <c r="B241" s="112" t="s">
        <v>2049</v>
      </c>
      <c r="C241" s="113" t="s">
        <v>981</v>
      </c>
      <c r="D241" s="113" t="str">
        <f>IFERROR(VLOOKUP(C241,SKUs!$A$6:$F$1971,6,FALSE()),"")</f>
        <v>TRICO BASICO GOLA CARECA</v>
      </c>
      <c r="E241" s="113">
        <v>17</v>
      </c>
      <c r="F241" s="113">
        <f>IFERROR(IF(OR(B241="",E241=""),"",E241*VLOOKUP(B241,Configurações!$I$5:$J$15,2,FALSE())),"")</f>
        <v>17</v>
      </c>
      <c r="G241" s="113" t="s">
        <v>665</v>
      </c>
      <c r="H241" s="113" t="s">
        <v>2050</v>
      </c>
      <c r="I241" s="113"/>
      <c r="J241" s="113"/>
      <c r="K241" s="113" t="s">
        <v>2051</v>
      </c>
      <c r="L241" s="113"/>
      <c r="M241" s="113" t="s">
        <v>984</v>
      </c>
    </row>
    <row r="242" spans="1:13" ht="12.75" hidden="1" customHeight="1" x14ac:dyDescent="0.3">
      <c r="A242" s="111">
        <v>46161</v>
      </c>
      <c r="B242" s="112" t="s">
        <v>2049</v>
      </c>
      <c r="C242" s="113" t="s">
        <v>985</v>
      </c>
      <c r="D242" s="113" t="str">
        <f>IFERROR(VLOOKUP(C242,SKUs!$A$6:$F$1971,6,FALSE()),"")</f>
        <v>TRICO BASICO GOLA CARECA</v>
      </c>
      <c r="E242" s="113">
        <v>3</v>
      </c>
      <c r="F242" s="113">
        <f>IFERROR(IF(OR(B242="",E242=""),"",E242*VLOOKUP(B242,Configurações!$I$5:$J$15,2,FALSE())),"")</f>
        <v>3</v>
      </c>
      <c r="G242" s="113" t="s">
        <v>665</v>
      </c>
      <c r="H242" s="113" t="s">
        <v>2050</v>
      </c>
      <c r="I242" s="113"/>
      <c r="J242" s="113"/>
      <c r="K242" s="113" t="s">
        <v>2051</v>
      </c>
      <c r="L242" s="113"/>
      <c r="M242" s="113" t="s">
        <v>984</v>
      </c>
    </row>
    <row r="243" spans="1:13" ht="12.75" hidden="1" customHeight="1" x14ac:dyDescent="0.3">
      <c r="A243" s="111">
        <v>46161</v>
      </c>
      <c r="B243" s="112" t="s">
        <v>2049</v>
      </c>
      <c r="C243" s="113" t="s">
        <v>986</v>
      </c>
      <c r="D243" s="113" t="str">
        <f>IFERROR(VLOOKUP(C243,SKUs!$A$6:$F$1971,6,FALSE()),"")</f>
        <v>TRICO BASICO GOLA CARECA</v>
      </c>
      <c r="E243" s="113">
        <v>1</v>
      </c>
      <c r="F243" s="113">
        <f>IFERROR(IF(OR(B243="",E243=""),"",E243*VLOOKUP(B243,Configurações!$I$5:$J$15,2,FALSE())),"")</f>
        <v>1</v>
      </c>
      <c r="G243" s="113" t="s">
        <v>665</v>
      </c>
      <c r="H243" s="113" t="s">
        <v>2050</v>
      </c>
      <c r="I243" s="113"/>
      <c r="J243" s="113"/>
      <c r="K243" s="113" t="s">
        <v>2051</v>
      </c>
      <c r="L243" s="113"/>
      <c r="M243" s="113" t="s">
        <v>984</v>
      </c>
    </row>
    <row r="244" spans="1:13" ht="12.75" hidden="1" customHeight="1" x14ac:dyDescent="0.3">
      <c r="A244" s="111">
        <v>46161</v>
      </c>
      <c r="B244" s="112" t="s">
        <v>2049</v>
      </c>
      <c r="C244" s="113" t="s">
        <v>987</v>
      </c>
      <c r="D244" s="113" t="str">
        <f>IFERROR(VLOOKUP(C244,SKUs!$A$6:$F$1971,6,FALSE()),"")</f>
        <v>TRICO ZIPER FEM.</v>
      </c>
      <c r="E244" s="113">
        <v>2</v>
      </c>
      <c r="F244" s="113">
        <f>IFERROR(IF(OR(B244="",E244=""),"",E244*VLOOKUP(B244,Configurações!$I$5:$J$15,2,FALSE())),"")</f>
        <v>2</v>
      </c>
      <c r="G244" s="113" t="s">
        <v>665</v>
      </c>
      <c r="H244" s="113" t="s">
        <v>2050</v>
      </c>
      <c r="I244" s="113"/>
      <c r="J244" s="113"/>
      <c r="K244" s="113" t="s">
        <v>2051</v>
      </c>
      <c r="L244" s="113"/>
      <c r="M244" s="113" t="s">
        <v>984</v>
      </c>
    </row>
    <row r="245" spans="1:13" ht="12.75" hidden="1" customHeight="1" x14ac:dyDescent="0.3">
      <c r="A245" s="111">
        <v>46161</v>
      </c>
      <c r="B245" s="112" t="s">
        <v>2049</v>
      </c>
      <c r="C245" s="113" t="s">
        <v>989</v>
      </c>
      <c r="D245" s="113" t="str">
        <f>IFERROR(VLOOKUP(C245,SKUs!$A$6:$F$1971,6,FALSE()),"")</f>
        <v>POLO BATA FEM.</v>
      </c>
      <c r="E245" s="113">
        <v>2</v>
      </c>
      <c r="F245" s="113">
        <f>IFERROR(IF(OR(B245="",E245=""),"",E245*VLOOKUP(B245,Configurações!$I$5:$J$15,2,FALSE())),"")</f>
        <v>2</v>
      </c>
      <c r="G245" s="113" t="s">
        <v>665</v>
      </c>
      <c r="H245" s="113" t="s">
        <v>2050</v>
      </c>
      <c r="I245" s="113"/>
      <c r="J245" s="113"/>
      <c r="K245" s="113" t="s">
        <v>2051</v>
      </c>
      <c r="L245" s="113"/>
      <c r="M245" s="113" t="s">
        <v>984</v>
      </c>
    </row>
    <row r="246" spans="1:13" ht="12.75" hidden="1" customHeight="1" x14ac:dyDescent="0.3">
      <c r="A246" s="111">
        <v>46161</v>
      </c>
      <c r="B246" s="112" t="s">
        <v>2049</v>
      </c>
      <c r="C246" s="113" t="s">
        <v>990</v>
      </c>
      <c r="D246" s="113" t="str">
        <f>IFERROR(VLOOKUP(C246,SKUs!$A$6:$F$1971,6,FALSE()),"")</f>
        <v>POLO BATA FEM.</v>
      </c>
      <c r="E246" s="113">
        <v>2</v>
      </c>
      <c r="F246" s="113">
        <f>IFERROR(IF(OR(B246="",E246=""),"",E246*VLOOKUP(B246,Configurações!$I$5:$J$15,2,FALSE())),"")</f>
        <v>2</v>
      </c>
      <c r="G246" s="113" t="s">
        <v>665</v>
      </c>
      <c r="H246" s="113" t="s">
        <v>2050</v>
      </c>
      <c r="I246" s="113"/>
      <c r="J246" s="113"/>
      <c r="K246" s="113" t="s">
        <v>2051</v>
      </c>
      <c r="L246" s="113"/>
      <c r="M246" s="113" t="s">
        <v>984</v>
      </c>
    </row>
    <row r="247" spans="1:13" ht="12.75" hidden="1" customHeight="1" x14ac:dyDescent="0.3">
      <c r="A247" s="111">
        <v>46161</v>
      </c>
      <c r="B247" s="112" t="s">
        <v>2049</v>
      </c>
      <c r="C247" s="113" t="s">
        <v>991</v>
      </c>
      <c r="D247" s="113" t="str">
        <f>IFERROR(VLOOKUP(C247,SKUs!$A$6:$F$1971,6,FALSE()),"")</f>
        <v>POLO BATA FEM.</v>
      </c>
      <c r="E247" s="113">
        <v>2</v>
      </c>
      <c r="F247" s="113">
        <f>IFERROR(IF(OR(B247="",E247=""),"",E247*VLOOKUP(B247,Configurações!$I$5:$J$15,2,FALSE())),"")</f>
        <v>2</v>
      </c>
      <c r="G247" s="113" t="s">
        <v>665</v>
      </c>
      <c r="H247" s="113" t="s">
        <v>2050</v>
      </c>
      <c r="I247" s="113"/>
      <c r="J247" s="113"/>
      <c r="K247" s="113" t="s">
        <v>2051</v>
      </c>
      <c r="L247" s="113"/>
      <c r="M247" s="113" t="s">
        <v>984</v>
      </c>
    </row>
    <row r="248" spans="1:13" ht="12.75" hidden="1" customHeight="1" x14ac:dyDescent="0.3">
      <c r="A248" s="111">
        <v>46161</v>
      </c>
      <c r="B248" s="112" t="s">
        <v>2049</v>
      </c>
      <c r="C248" s="113" t="s">
        <v>992</v>
      </c>
      <c r="D248" s="113" t="str">
        <f>IFERROR(VLOOKUP(C248,SKUs!$A$6:$F$1971,6,FALSE()),"")</f>
        <v>POLO BATA FEM.</v>
      </c>
      <c r="E248" s="113">
        <v>3</v>
      </c>
      <c r="F248" s="113">
        <f>IFERROR(IF(OR(B248="",E248=""),"",E248*VLOOKUP(B248,Configurações!$I$5:$J$15,2,FALSE())),"")</f>
        <v>3</v>
      </c>
      <c r="G248" s="113" t="s">
        <v>665</v>
      </c>
      <c r="H248" s="113" t="s">
        <v>2050</v>
      </c>
      <c r="I248" s="113"/>
      <c r="J248" s="113"/>
      <c r="K248" s="113" t="s">
        <v>2051</v>
      </c>
      <c r="L248" s="113"/>
      <c r="M248" s="113" t="s">
        <v>984</v>
      </c>
    </row>
    <row r="249" spans="1:13" ht="12.75" hidden="1" customHeight="1" x14ac:dyDescent="0.3">
      <c r="A249" s="111">
        <v>46161</v>
      </c>
      <c r="B249" s="112" t="s">
        <v>2049</v>
      </c>
      <c r="C249" s="113" t="s">
        <v>993</v>
      </c>
      <c r="D249" s="113" t="str">
        <f>IFERROR(VLOOKUP(C249,SKUs!$A$6:$F$1971,6,FALSE()),"")</f>
        <v>POLO BATA FEM.</v>
      </c>
      <c r="E249" s="113">
        <v>2</v>
      </c>
      <c r="F249" s="113">
        <f>IFERROR(IF(OR(B249="",E249=""),"",E249*VLOOKUP(B249,Configurações!$I$5:$J$15,2,FALSE())),"")</f>
        <v>2</v>
      </c>
      <c r="G249" s="113" t="s">
        <v>665</v>
      </c>
      <c r="H249" s="113" t="s">
        <v>2050</v>
      </c>
      <c r="I249" s="113"/>
      <c r="J249" s="113"/>
      <c r="K249" s="113" t="s">
        <v>2051</v>
      </c>
      <c r="L249" s="113"/>
      <c r="M249" s="113" t="s">
        <v>984</v>
      </c>
    </row>
    <row r="250" spans="1:13" ht="12.75" hidden="1" customHeight="1" x14ac:dyDescent="0.3">
      <c r="A250" s="111">
        <v>46161</v>
      </c>
      <c r="B250" s="112" t="s">
        <v>2049</v>
      </c>
      <c r="C250" s="113" t="s">
        <v>994</v>
      </c>
      <c r="D250" s="113" t="str">
        <f>IFERROR(VLOOKUP(C250,SKUs!$A$6:$F$1971,6,FALSE()),"")</f>
        <v>POLO BATA FEM.</v>
      </c>
      <c r="E250" s="113">
        <v>2</v>
      </c>
      <c r="F250" s="113">
        <f>IFERROR(IF(OR(B250="",E250=""),"",E250*VLOOKUP(B250,Configurações!$I$5:$J$15,2,FALSE())),"")</f>
        <v>2</v>
      </c>
      <c r="G250" s="113" t="s">
        <v>665</v>
      </c>
      <c r="H250" s="113" t="s">
        <v>2050</v>
      </c>
      <c r="I250" s="113"/>
      <c r="J250" s="113"/>
      <c r="K250" s="113" t="s">
        <v>2051</v>
      </c>
      <c r="L250" s="113"/>
      <c r="M250" s="113" t="s">
        <v>984</v>
      </c>
    </row>
    <row r="251" spans="1:13" ht="12.75" hidden="1" customHeight="1" x14ac:dyDescent="0.3">
      <c r="A251" s="111">
        <v>46161</v>
      </c>
      <c r="B251" s="112" t="s">
        <v>2049</v>
      </c>
      <c r="C251" s="113" t="s">
        <v>995</v>
      </c>
      <c r="D251" s="113" t="str">
        <f>IFERROR(VLOOKUP(C251,SKUs!$A$6:$F$1971,6,FALSE()),"")</f>
        <v>POLO PIQUET FEM.</v>
      </c>
      <c r="E251" s="113">
        <v>1</v>
      </c>
      <c r="F251" s="113">
        <f>IFERROR(IF(OR(B251="",E251=""),"",E251*VLOOKUP(B251,Configurações!$I$5:$J$15,2,FALSE())),"")</f>
        <v>1</v>
      </c>
      <c r="G251" s="113" t="s">
        <v>665</v>
      </c>
      <c r="H251" s="113" t="s">
        <v>2050</v>
      </c>
      <c r="I251" s="113"/>
      <c r="J251" s="113"/>
      <c r="K251" s="113" t="s">
        <v>2051</v>
      </c>
      <c r="L251" s="113"/>
      <c r="M251" s="113" t="s">
        <v>984</v>
      </c>
    </row>
    <row r="252" spans="1:13" ht="12.75" hidden="1" customHeight="1" x14ac:dyDescent="0.3">
      <c r="A252" s="111">
        <v>46161</v>
      </c>
      <c r="B252" s="112" t="s">
        <v>2049</v>
      </c>
      <c r="C252" s="113" t="s">
        <v>998</v>
      </c>
      <c r="D252" s="113" t="str">
        <f>IFERROR(VLOOKUP(C252,SKUs!$A$6:$F$1971,6,FALSE()),"")</f>
        <v>POLO PIQUET FEM.</v>
      </c>
      <c r="E252" s="113">
        <v>1</v>
      </c>
      <c r="F252" s="113">
        <f>IFERROR(IF(OR(B252="",E252=""),"",E252*VLOOKUP(B252,Configurações!$I$5:$J$15,2,FALSE())),"")</f>
        <v>1</v>
      </c>
      <c r="G252" s="113" t="s">
        <v>665</v>
      </c>
      <c r="H252" s="113" t="s">
        <v>2050</v>
      </c>
      <c r="I252" s="113"/>
      <c r="J252" s="113"/>
      <c r="K252" s="113" t="s">
        <v>2051</v>
      </c>
      <c r="L252" s="113"/>
      <c r="M252" s="113" t="s">
        <v>984</v>
      </c>
    </row>
    <row r="253" spans="1:13" ht="12.75" hidden="1" customHeight="1" x14ac:dyDescent="0.3">
      <c r="A253" s="111">
        <v>46161</v>
      </c>
      <c r="B253" s="112" t="s">
        <v>2049</v>
      </c>
      <c r="C253" s="113" t="s">
        <v>999</v>
      </c>
      <c r="D253" s="113" t="str">
        <f>IFERROR(VLOOKUP(C253,SKUs!$A$6:$F$1971,6,FALSE()),"")</f>
        <v>POLO PIQUET FEM.</v>
      </c>
      <c r="E253" s="113">
        <v>1</v>
      </c>
      <c r="F253" s="113">
        <f>IFERROR(IF(OR(B253="",E253=""),"",E253*VLOOKUP(B253,Configurações!$I$5:$J$15,2,FALSE())),"")</f>
        <v>1</v>
      </c>
      <c r="G253" s="113" t="s">
        <v>665</v>
      </c>
      <c r="H253" s="113" t="s">
        <v>2050</v>
      </c>
      <c r="I253" s="113"/>
      <c r="J253" s="113"/>
      <c r="K253" s="113" t="s">
        <v>2051</v>
      </c>
      <c r="L253" s="113"/>
      <c r="M253" s="113" t="s">
        <v>984</v>
      </c>
    </row>
    <row r="254" spans="1:13" ht="12.75" hidden="1" customHeight="1" x14ac:dyDescent="0.3">
      <c r="A254" s="111">
        <v>46161</v>
      </c>
      <c r="B254" s="112" t="s">
        <v>2049</v>
      </c>
      <c r="C254" s="113" t="s">
        <v>1000</v>
      </c>
      <c r="D254" s="113" t="str">
        <f>IFERROR(VLOOKUP(C254,SKUs!$A$6:$F$1971,6,FALSE()),"")</f>
        <v>POLO PIQUET FEM.</v>
      </c>
      <c r="E254" s="113">
        <v>1</v>
      </c>
      <c r="F254" s="113">
        <f>IFERROR(IF(OR(B254="",E254=""),"",E254*VLOOKUP(B254,Configurações!$I$5:$J$15,2,FALSE())),"")</f>
        <v>1</v>
      </c>
      <c r="G254" s="113" t="s">
        <v>665</v>
      </c>
      <c r="H254" s="113" t="s">
        <v>2050</v>
      </c>
      <c r="I254" s="113"/>
      <c r="J254" s="113"/>
      <c r="K254" s="113" t="s">
        <v>2051</v>
      </c>
      <c r="L254" s="113"/>
      <c r="M254" s="113" t="s">
        <v>984</v>
      </c>
    </row>
    <row r="255" spans="1:13" ht="12.75" hidden="1" customHeight="1" x14ac:dyDescent="0.3">
      <c r="A255" s="111">
        <v>46161</v>
      </c>
      <c r="B255" s="112" t="s">
        <v>2049</v>
      </c>
      <c r="C255" s="113" t="s">
        <v>1001</v>
      </c>
      <c r="D255" s="113" t="str">
        <f>IFERROR(VLOOKUP(C255,SKUs!$A$6:$F$1971,6,FALSE()),"")</f>
        <v>POLO PIQUET FEM.</v>
      </c>
      <c r="E255" s="113">
        <v>1</v>
      </c>
      <c r="F255" s="113">
        <f>IFERROR(IF(OR(B255="",E255=""),"",E255*VLOOKUP(B255,Configurações!$I$5:$J$15,2,FALSE())),"")</f>
        <v>1</v>
      </c>
      <c r="G255" s="113" t="s">
        <v>665</v>
      </c>
      <c r="H255" s="113" t="s">
        <v>2050</v>
      </c>
      <c r="I255" s="113"/>
      <c r="J255" s="113"/>
      <c r="K255" s="113" t="s">
        <v>2051</v>
      </c>
      <c r="L255" s="113"/>
      <c r="M255" s="113" t="s">
        <v>984</v>
      </c>
    </row>
    <row r="256" spans="1:13" ht="12.75" hidden="1" customHeight="1" x14ac:dyDescent="0.3">
      <c r="A256" s="111">
        <v>46161</v>
      </c>
      <c r="B256" s="112" t="s">
        <v>2049</v>
      </c>
      <c r="C256" s="113" t="s">
        <v>1002</v>
      </c>
      <c r="D256" s="113" t="str">
        <f>IFERROR(VLOOKUP(C256,SKUs!$A$6:$F$1971,6,FALSE()),"")</f>
        <v>POLO PIQUET FEM.</v>
      </c>
      <c r="E256" s="113">
        <v>1</v>
      </c>
      <c r="F256" s="113">
        <f>IFERROR(IF(OR(B256="",E256=""),"",E256*VLOOKUP(B256,Configurações!$I$5:$J$15,2,FALSE())),"")</f>
        <v>1</v>
      </c>
      <c r="G256" s="113" t="s">
        <v>665</v>
      </c>
      <c r="H256" s="113" t="s">
        <v>2050</v>
      </c>
      <c r="I256" s="113"/>
      <c r="J256" s="113"/>
      <c r="K256" s="113" t="s">
        <v>2051</v>
      </c>
      <c r="L256" s="113"/>
      <c r="M256" s="113" t="s">
        <v>984</v>
      </c>
    </row>
    <row r="257" spans="1:13" ht="12.75" hidden="1" customHeight="1" x14ac:dyDescent="0.3">
      <c r="A257" s="111">
        <v>46161</v>
      </c>
      <c r="B257" s="112" t="s">
        <v>2049</v>
      </c>
      <c r="C257" s="113" t="s">
        <v>1003</v>
      </c>
      <c r="D257" s="113" t="str">
        <f>IFERROR(VLOOKUP(C257,SKUs!$A$6:$F$1971,6,FALSE()),"")</f>
        <v>POLO PIQUET OUT. ROSA FEM.</v>
      </c>
      <c r="E257" s="113">
        <v>1</v>
      </c>
      <c r="F257" s="113">
        <f>IFERROR(IF(OR(B257="",E257=""),"",E257*VLOOKUP(B257,Configurações!$I$5:$J$15,2,FALSE())),"")</f>
        <v>1</v>
      </c>
      <c r="G257" s="113" t="s">
        <v>665</v>
      </c>
      <c r="H257" s="113" t="s">
        <v>2050</v>
      </c>
      <c r="I257" s="113"/>
      <c r="J257" s="113"/>
      <c r="K257" s="113" t="s">
        <v>2051</v>
      </c>
      <c r="L257" s="113"/>
      <c r="M257" s="113" t="s">
        <v>984</v>
      </c>
    </row>
    <row r="258" spans="1:13" ht="12.75" hidden="1" customHeight="1" x14ac:dyDescent="0.3">
      <c r="A258" s="111">
        <v>46161</v>
      </c>
      <c r="B258" s="112" t="s">
        <v>2049</v>
      </c>
      <c r="C258" s="113" t="s">
        <v>1006</v>
      </c>
      <c r="D258" s="113" t="str">
        <f>IFERROR(VLOOKUP(C258,SKUs!$A$6:$F$1971,6,FALSE()),"")</f>
        <v>POLO PIQUET OUT. ROSA FEM.</v>
      </c>
      <c r="E258" s="113">
        <v>1</v>
      </c>
      <c r="F258" s="113">
        <f>IFERROR(IF(OR(B258="",E258=""),"",E258*VLOOKUP(B258,Configurações!$I$5:$J$15,2,FALSE())),"")</f>
        <v>1</v>
      </c>
      <c r="G258" s="113" t="s">
        <v>665</v>
      </c>
      <c r="H258" s="113" t="s">
        <v>2050</v>
      </c>
      <c r="I258" s="113"/>
      <c r="J258" s="113"/>
      <c r="K258" s="113" t="s">
        <v>2051</v>
      </c>
      <c r="L258" s="113"/>
      <c r="M258" s="113" t="s">
        <v>984</v>
      </c>
    </row>
    <row r="259" spans="1:13" ht="12.75" hidden="1" customHeight="1" x14ac:dyDescent="0.3">
      <c r="A259" s="111">
        <v>46161</v>
      </c>
      <c r="B259" s="112" t="s">
        <v>2049</v>
      </c>
      <c r="C259" s="113" t="s">
        <v>1008</v>
      </c>
      <c r="D259" s="113" t="str">
        <f>IFERROR(VLOOKUP(C259,SKUs!$A$6:$F$1971,6,FALSE()),"")</f>
        <v>POLO PIQUET OUT. ROSA FEM.</v>
      </c>
      <c r="E259" s="113">
        <v>1</v>
      </c>
      <c r="F259" s="113">
        <f>IFERROR(IF(OR(B259="",E259=""),"",E259*VLOOKUP(B259,Configurações!$I$5:$J$15,2,FALSE())),"")</f>
        <v>1</v>
      </c>
      <c r="G259" s="113" t="s">
        <v>665</v>
      </c>
      <c r="H259" s="113" t="s">
        <v>2050</v>
      </c>
      <c r="I259" s="113"/>
      <c r="J259" s="113"/>
      <c r="K259" s="113" t="s">
        <v>2051</v>
      </c>
      <c r="L259" s="113"/>
      <c r="M259" s="113" t="s">
        <v>984</v>
      </c>
    </row>
    <row r="260" spans="1:13" ht="12.75" hidden="1" customHeight="1" x14ac:dyDescent="0.3">
      <c r="A260" s="111">
        <v>46161</v>
      </c>
      <c r="B260" s="112" t="s">
        <v>2049</v>
      </c>
      <c r="C260" s="113" t="s">
        <v>1010</v>
      </c>
      <c r="D260" s="113" t="str">
        <f>IFERROR(VLOOKUP(C260,SKUs!$A$6:$F$1971,6,FALSE()),"")</f>
        <v>POLO PIQUET OUT. ROSA FEM.</v>
      </c>
      <c r="E260" s="113">
        <v>1</v>
      </c>
      <c r="F260" s="113">
        <f>IFERROR(IF(OR(B260="",E260=""),"",E260*VLOOKUP(B260,Configurações!$I$5:$J$15,2,FALSE())),"")</f>
        <v>1</v>
      </c>
      <c r="G260" s="113" t="s">
        <v>665</v>
      </c>
      <c r="H260" s="113" t="s">
        <v>2050</v>
      </c>
      <c r="I260" s="113"/>
      <c r="J260" s="113"/>
      <c r="K260" s="113" t="s">
        <v>2051</v>
      </c>
      <c r="L260" s="113"/>
      <c r="M260" s="113" t="s">
        <v>979</v>
      </c>
    </row>
    <row r="261" spans="1:13" ht="12.75" hidden="1" customHeight="1" x14ac:dyDescent="0.3">
      <c r="A261" s="111">
        <v>46162</v>
      </c>
      <c r="B261" s="112" t="s">
        <v>2049</v>
      </c>
      <c r="C261" s="113" t="s">
        <v>1011</v>
      </c>
      <c r="D261" s="113" t="str">
        <f>IFERROR(VLOOKUP(C261,SKUs!$A$6:$F$1971,6,FALSE()),"")</f>
        <v>POLO BASICA FEM.</v>
      </c>
      <c r="E261" s="113">
        <v>72</v>
      </c>
      <c r="F261" s="113">
        <f>IFERROR(IF(OR(B261="",E261=""),"",E261*VLOOKUP(B261,Configurações!$I$5:$J$15,2,FALSE())),"")</f>
        <v>72</v>
      </c>
      <c r="G261" s="113" t="s">
        <v>665</v>
      </c>
      <c r="H261" s="113" t="s">
        <v>2050</v>
      </c>
      <c r="I261" s="113"/>
      <c r="J261" s="113"/>
      <c r="K261" s="113" t="s">
        <v>2051</v>
      </c>
      <c r="L261" s="113"/>
      <c r="M261" s="113" t="s">
        <v>1013</v>
      </c>
    </row>
    <row r="262" spans="1:13" ht="12.75" hidden="1" customHeight="1" x14ac:dyDescent="0.3">
      <c r="A262" s="111">
        <v>46162</v>
      </c>
      <c r="B262" s="112" t="s">
        <v>2049</v>
      </c>
      <c r="C262" s="113" t="s">
        <v>1014</v>
      </c>
      <c r="D262" s="113" t="str">
        <f>IFERROR(VLOOKUP(C262,SKUs!$A$6:$F$1971,6,FALSE()),"")</f>
        <v>POLO BASICA FEM.</v>
      </c>
      <c r="E262" s="113">
        <v>24</v>
      </c>
      <c r="F262" s="113">
        <f>IFERROR(IF(OR(B262="",E262=""),"",E262*VLOOKUP(B262,Configurações!$I$5:$J$15,2,FALSE())),"")</f>
        <v>24</v>
      </c>
      <c r="G262" s="113" t="s">
        <v>665</v>
      </c>
      <c r="H262" s="113" t="s">
        <v>2050</v>
      </c>
      <c r="I262" s="113"/>
      <c r="J262" s="113"/>
      <c r="K262" s="113" t="s">
        <v>2051</v>
      </c>
      <c r="L262" s="113"/>
      <c r="M262" s="113" t="s">
        <v>979</v>
      </c>
    </row>
    <row r="263" spans="1:13" ht="12.75" hidden="1" customHeight="1" x14ac:dyDescent="0.3">
      <c r="A263" s="111">
        <v>46162</v>
      </c>
      <c r="B263" s="112" t="s">
        <v>2049</v>
      </c>
      <c r="C263" s="113" t="s">
        <v>978</v>
      </c>
      <c r="D263" s="113" t="str">
        <f>IFERROR(VLOOKUP(C263,SKUs!$A$6:$F$1971,6,FALSE()),"")</f>
        <v>POLO PIQUET CINZA-RISCOS FEM.</v>
      </c>
      <c r="E263" s="113">
        <v>24</v>
      </c>
      <c r="F263" s="113">
        <f>IFERROR(IF(OR(B263="",E263=""),"",E263*VLOOKUP(B263,Configurações!$I$5:$J$15,2,FALSE())),"")</f>
        <v>24</v>
      </c>
      <c r="G263" s="113" t="s">
        <v>665</v>
      </c>
      <c r="H263" s="113" t="s">
        <v>2050</v>
      </c>
      <c r="I263" s="113"/>
      <c r="J263" s="113"/>
      <c r="K263" s="113" t="s">
        <v>2051</v>
      </c>
      <c r="L263" s="113"/>
      <c r="M263" s="113" t="s">
        <v>979</v>
      </c>
    </row>
    <row r="264" spans="1:13" ht="12.75" hidden="1" customHeight="1" x14ac:dyDescent="0.3">
      <c r="A264" s="111">
        <v>46161</v>
      </c>
      <c r="B264" s="112" t="s">
        <v>2049</v>
      </c>
      <c r="C264" s="113" t="s">
        <v>1015</v>
      </c>
      <c r="D264" s="113" t="str">
        <f>IFERROR(VLOOKUP(C264,SKUs!$A$6:$F$1971,6,FALSE()),"")</f>
        <v>POLO PIQUET MASC.</v>
      </c>
      <c r="E264" s="113">
        <v>4</v>
      </c>
      <c r="F264" s="113">
        <f>IFERROR(IF(OR(B264="",E264=""),"",E264*VLOOKUP(B264,Configurações!$I$5:$J$15,2,FALSE())),"")</f>
        <v>4</v>
      </c>
      <c r="G264" s="113" t="s">
        <v>665</v>
      </c>
      <c r="H264" s="113" t="s">
        <v>2050</v>
      </c>
      <c r="I264" s="113"/>
      <c r="J264" s="113"/>
      <c r="K264" s="113" t="s">
        <v>2051</v>
      </c>
      <c r="L264" s="113"/>
      <c r="M264" s="113" t="s">
        <v>1016</v>
      </c>
    </row>
    <row r="265" spans="1:13" ht="12.75" hidden="1" customHeight="1" x14ac:dyDescent="0.3">
      <c r="A265" s="111">
        <v>46162</v>
      </c>
      <c r="B265" s="112" t="s">
        <v>2049</v>
      </c>
      <c r="C265" s="113" t="s">
        <v>1017</v>
      </c>
      <c r="D265" s="113" t="str">
        <f>IFERROR(VLOOKUP(C265,SKUs!$A$6:$F$1971,6,FALSE()),"")</f>
        <v>POLO PIQUET MASC.</v>
      </c>
      <c r="E265" s="113">
        <v>10</v>
      </c>
      <c r="F265" s="113">
        <f>IFERROR(IF(OR(B265="",E265=""),"",E265*VLOOKUP(B265,Configurações!$I$5:$J$15,2,FALSE())),"")</f>
        <v>10</v>
      </c>
      <c r="G265" s="113" t="s">
        <v>665</v>
      </c>
      <c r="H265" s="113" t="s">
        <v>2050</v>
      </c>
      <c r="I265" s="113"/>
      <c r="J265" s="113"/>
      <c r="K265" s="113" t="s">
        <v>2051</v>
      </c>
      <c r="L265" s="113"/>
      <c r="M265" s="113" t="s">
        <v>1016</v>
      </c>
    </row>
    <row r="266" spans="1:13" ht="12.75" hidden="1" customHeight="1" x14ac:dyDescent="0.3">
      <c r="A266" s="111">
        <v>46162</v>
      </c>
      <c r="B266" s="112" t="s">
        <v>2049</v>
      </c>
      <c r="C266" s="113" t="s">
        <v>1018</v>
      </c>
      <c r="D266" s="113" t="str">
        <f>IFERROR(VLOOKUP(C266,SKUs!$A$6:$F$1971,6,FALSE()),"")</f>
        <v>POLO PIQUET MASC.</v>
      </c>
      <c r="E266" s="113">
        <v>3</v>
      </c>
      <c r="F266" s="113">
        <f>IFERROR(IF(OR(B266="",E266=""),"",E266*VLOOKUP(B266,Configurações!$I$5:$J$15,2,FALSE())),"")</f>
        <v>3</v>
      </c>
      <c r="G266" s="113" t="s">
        <v>665</v>
      </c>
      <c r="H266" s="113" t="s">
        <v>2050</v>
      </c>
      <c r="I266" s="113"/>
      <c r="J266" s="113"/>
      <c r="K266" s="113" t="s">
        <v>2051</v>
      </c>
      <c r="L266" s="113"/>
      <c r="M266" s="113" t="s">
        <v>1016</v>
      </c>
    </row>
    <row r="267" spans="1:13" ht="12.75" hidden="1" customHeight="1" x14ac:dyDescent="0.3">
      <c r="A267" s="111">
        <v>46162</v>
      </c>
      <c r="B267" s="112" t="s">
        <v>2049</v>
      </c>
      <c r="C267" s="113" t="s">
        <v>1019</v>
      </c>
      <c r="D267" s="113" t="str">
        <f>IFERROR(VLOOKUP(C267,SKUs!$A$6:$F$1971,6,FALSE()),"")</f>
        <v>POLO PIQUET MASC.</v>
      </c>
      <c r="E267" s="113">
        <v>13</v>
      </c>
      <c r="F267" s="113">
        <f>IFERROR(IF(OR(B267="",E267=""),"",E267*VLOOKUP(B267,Configurações!$I$5:$J$15,2,FALSE())),"")</f>
        <v>13</v>
      </c>
      <c r="G267" s="113" t="s">
        <v>665</v>
      </c>
      <c r="H267" s="113" t="s">
        <v>2050</v>
      </c>
      <c r="I267" s="113"/>
      <c r="J267" s="113"/>
      <c r="K267" s="113" t="s">
        <v>2051</v>
      </c>
      <c r="L267" s="113"/>
      <c r="M267" s="113" t="s">
        <v>1016</v>
      </c>
    </row>
    <row r="268" spans="1:13" ht="12.75" hidden="1" customHeight="1" x14ac:dyDescent="0.3">
      <c r="A268" s="111">
        <v>46162</v>
      </c>
      <c r="B268" s="112" t="s">
        <v>2049</v>
      </c>
      <c r="C268" s="113" t="s">
        <v>1020</v>
      </c>
      <c r="D268" s="113" t="str">
        <f>IFERROR(VLOOKUP(C268,SKUs!$A$6:$F$1971,6,FALSE()),"")</f>
        <v>TRICO GOLA CARECA FEM.</v>
      </c>
      <c r="E268" s="113">
        <v>3</v>
      </c>
      <c r="F268" s="113">
        <f>IFERROR(IF(OR(B268="",E268=""),"",E268*VLOOKUP(B268,Configurações!$I$5:$J$15,2,FALSE())),"")</f>
        <v>3</v>
      </c>
      <c r="G268" s="113" t="s">
        <v>665</v>
      </c>
      <c r="H268" s="113" t="s">
        <v>2050</v>
      </c>
      <c r="I268" s="113"/>
      <c r="J268" s="113"/>
      <c r="K268" s="113" t="s">
        <v>2051</v>
      </c>
      <c r="L268" s="113"/>
      <c r="M268" s="113" t="s">
        <v>1022</v>
      </c>
    </row>
    <row r="269" spans="1:13" ht="12.75" hidden="1" customHeight="1" x14ac:dyDescent="0.3">
      <c r="A269" s="111">
        <v>46162</v>
      </c>
      <c r="B269" s="112" t="s">
        <v>2049</v>
      </c>
      <c r="C269" s="113" t="s">
        <v>1023</v>
      </c>
      <c r="D269" s="113" t="str">
        <f>IFERROR(VLOOKUP(C269,SKUs!$A$6:$F$1971,6,FALSE()),"")</f>
        <v>TRICO GOLA CARECA FEM.</v>
      </c>
      <c r="E269" s="113">
        <v>5</v>
      </c>
      <c r="F269" s="113">
        <f>IFERROR(IF(OR(B269="",E269=""),"",E269*VLOOKUP(B269,Configurações!$I$5:$J$15,2,FALSE())),"")</f>
        <v>5</v>
      </c>
      <c r="G269" s="113" t="s">
        <v>665</v>
      </c>
      <c r="H269" s="113" t="s">
        <v>2050</v>
      </c>
      <c r="I269" s="113"/>
      <c r="J269" s="113"/>
      <c r="K269" s="113" t="s">
        <v>2051</v>
      </c>
      <c r="L269" s="113"/>
      <c r="M269" s="113" t="s">
        <v>1022</v>
      </c>
    </row>
    <row r="270" spans="1:13" ht="12.75" hidden="1" customHeight="1" x14ac:dyDescent="0.3">
      <c r="A270" s="111">
        <v>46162</v>
      </c>
      <c r="B270" s="112" t="s">
        <v>2049</v>
      </c>
      <c r="C270" s="113" t="s">
        <v>1024</v>
      </c>
      <c r="D270" s="113" t="str">
        <f>IFERROR(VLOOKUP(C270,SKUs!$A$6:$F$1971,6,FALSE()),"")</f>
        <v>TRICO GOLA CARECA FEM.</v>
      </c>
      <c r="E270" s="113">
        <v>5</v>
      </c>
      <c r="F270" s="113">
        <f>IFERROR(IF(OR(B270="",E270=""),"",E270*VLOOKUP(B270,Configurações!$I$5:$J$15,2,FALSE())),"")</f>
        <v>5</v>
      </c>
      <c r="G270" s="113" t="s">
        <v>665</v>
      </c>
      <c r="H270" s="113" t="s">
        <v>2050</v>
      </c>
      <c r="I270" s="113"/>
      <c r="J270" s="113"/>
      <c r="K270" s="113" t="s">
        <v>2051</v>
      </c>
      <c r="L270" s="113"/>
      <c r="M270" s="113" t="s">
        <v>1022</v>
      </c>
    </row>
    <row r="271" spans="1:13" ht="12.75" hidden="1" customHeight="1" x14ac:dyDescent="0.3">
      <c r="A271" s="111">
        <v>46162</v>
      </c>
      <c r="B271" s="112" t="s">
        <v>2049</v>
      </c>
      <c r="C271" s="113" t="s">
        <v>1025</v>
      </c>
      <c r="D271" s="113" t="str">
        <f>IFERROR(VLOOKUP(C271,SKUs!$A$6:$F$1971,6,FALSE()),"")</f>
        <v>TRICO GOLA CARECA FEM.</v>
      </c>
      <c r="E271" s="113">
        <v>4</v>
      </c>
      <c r="F271" s="113">
        <f>IFERROR(IF(OR(B271="",E271=""),"",E271*VLOOKUP(B271,Configurações!$I$5:$J$15,2,FALSE())),"")</f>
        <v>4</v>
      </c>
      <c r="G271" s="113" t="s">
        <v>665</v>
      </c>
      <c r="H271" s="113" t="s">
        <v>2050</v>
      </c>
      <c r="I271" s="113"/>
      <c r="J271" s="113"/>
      <c r="K271" s="113" t="s">
        <v>2051</v>
      </c>
      <c r="L271" s="113"/>
      <c r="M271" s="113" t="s">
        <v>1022</v>
      </c>
    </row>
    <row r="272" spans="1:13" ht="12.75" hidden="1" customHeight="1" x14ac:dyDescent="0.3">
      <c r="A272" s="111">
        <v>46162</v>
      </c>
      <c r="B272" s="112" t="s">
        <v>2049</v>
      </c>
      <c r="C272" s="113" t="s">
        <v>1026</v>
      </c>
      <c r="D272" s="113" t="str">
        <f>IFERROR(VLOOKUP(C272,SKUs!$A$6:$F$1971,6,FALSE()),"")</f>
        <v>POLO PIQUET OUT. ROSA FEM.</v>
      </c>
      <c r="E272" s="113">
        <v>4</v>
      </c>
      <c r="F272" s="113">
        <f>IFERROR(IF(OR(B272="",E272=""),"",E272*VLOOKUP(B272,Configurações!$I$5:$J$15,2,FALSE())),"")</f>
        <v>4</v>
      </c>
      <c r="G272" s="113" t="s">
        <v>665</v>
      </c>
      <c r="H272" s="113" t="s">
        <v>2050</v>
      </c>
      <c r="I272" s="113"/>
      <c r="J272" s="113"/>
      <c r="K272" s="113" t="s">
        <v>2051</v>
      </c>
      <c r="L272" s="113"/>
      <c r="M272" s="113" t="s">
        <v>1007</v>
      </c>
    </row>
    <row r="273" spans="1:13" ht="12.75" hidden="1" customHeight="1" x14ac:dyDescent="0.3">
      <c r="A273" s="111">
        <v>46162</v>
      </c>
      <c r="B273" s="112" t="s">
        <v>2049</v>
      </c>
      <c r="C273" s="113" t="s">
        <v>1027</v>
      </c>
      <c r="D273" s="113" t="str">
        <f>IFERROR(VLOOKUP(C273,SKUs!$A$6:$F$1971,6,FALSE()),"")</f>
        <v>POLO PIQUET OUT. ROSA FEM.</v>
      </c>
      <c r="E273" s="113">
        <v>11</v>
      </c>
      <c r="F273" s="113">
        <f>IFERROR(IF(OR(B273="",E273=""),"",E273*VLOOKUP(B273,Configurações!$I$5:$J$15,2,FALSE())),"")</f>
        <v>11</v>
      </c>
      <c r="G273" s="113" t="s">
        <v>665</v>
      </c>
      <c r="H273" s="113" t="s">
        <v>2050</v>
      </c>
      <c r="I273" s="113"/>
      <c r="J273" s="113"/>
      <c r="K273" s="113" t="s">
        <v>2051</v>
      </c>
      <c r="L273" s="113"/>
      <c r="M273" s="113" t="s">
        <v>1007</v>
      </c>
    </row>
    <row r="274" spans="1:13" ht="12.75" hidden="1" customHeight="1" x14ac:dyDescent="0.3">
      <c r="A274" s="111">
        <v>46162</v>
      </c>
      <c r="B274" s="112" t="s">
        <v>2049</v>
      </c>
      <c r="C274" s="113" t="s">
        <v>1003</v>
      </c>
      <c r="D274" s="113" t="str">
        <f>IFERROR(VLOOKUP(C274,SKUs!$A$6:$F$1971,6,FALSE()),"")</f>
        <v>POLO PIQUET OUT. ROSA FEM.</v>
      </c>
      <c r="E274" s="113">
        <v>11</v>
      </c>
      <c r="F274" s="113">
        <f>IFERROR(IF(OR(B274="",E274=""),"",E274*VLOOKUP(B274,Configurações!$I$5:$J$15,2,FALSE())),"")</f>
        <v>11</v>
      </c>
      <c r="G274" s="113" t="s">
        <v>665</v>
      </c>
      <c r="H274" s="113" t="s">
        <v>2050</v>
      </c>
      <c r="I274" s="113"/>
      <c r="J274" s="113"/>
      <c r="K274" s="113" t="s">
        <v>2051</v>
      </c>
      <c r="L274" s="113"/>
      <c r="M274" s="113" t="s">
        <v>1005</v>
      </c>
    </row>
    <row r="275" spans="1:13" ht="12.75" hidden="1" customHeight="1" x14ac:dyDescent="0.3">
      <c r="A275" s="111">
        <v>46162</v>
      </c>
      <c r="B275" s="112" t="s">
        <v>2049</v>
      </c>
      <c r="C275" s="113" t="s">
        <v>1006</v>
      </c>
      <c r="D275" s="113" t="str">
        <f>IFERROR(VLOOKUP(C275,SKUs!$A$6:$F$1971,6,FALSE()),"")</f>
        <v>POLO PIQUET OUT. ROSA FEM.</v>
      </c>
      <c r="E275" s="113">
        <v>8</v>
      </c>
      <c r="F275" s="113">
        <f>IFERROR(IF(OR(B275="",E275=""),"",E275*VLOOKUP(B275,Configurações!$I$5:$J$15,2,FALSE())),"")</f>
        <v>8</v>
      </c>
      <c r="G275" s="113" t="s">
        <v>665</v>
      </c>
      <c r="H275" s="113" t="s">
        <v>2050</v>
      </c>
      <c r="I275" s="113"/>
      <c r="J275" s="113"/>
      <c r="K275" s="113" t="s">
        <v>2051</v>
      </c>
      <c r="L275" s="113"/>
      <c r="M275" s="113" t="s">
        <v>1007</v>
      </c>
    </row>
    <row r="276" spans="1:13" ht="12.75" hidden="1" customHeight="1" x14ac:dyDescent="0.3">
      <c r="A276" s="111">
        <v>46162</v>
      </c>
      <c r="B276" s="112" t="s">
        <v>2049</v>
      </c>
      <c r="C276" s="113" t="s">
        <v>1008</v>
      </c>
      <c r="D276" s="113" t="str">
        <f>IFERROR(VLOOKUP(C276,SKUs!$A$6:$F$1971,6,FALSE()),"")</f>
        <v>POLO PIQUET OUT. ROSA FEM.</v>
      </c>
      <c r="E276" s="113">
        <v>5</v>
      </c>
      <c r="F276" s="113">
        <f>IFERROR(IF(OR(B276="",E276=""),"",E276*VLOOKUP(B276,Configurações!$I$5:$J$15,2,FALSE())),"")</f>
        <v>5</v>
      </c>
      <c r="G276" s="113" t="s">
        <v>665</v>
      </c>
      <c r="H276" s="113" t="s">
        <v>2050</v>
      </c>
      <c r="I276" s="113"/>
      <c r="J276" s="113"/>
      <c r="K276" s="113" t="s">
        <v>2051</v>
      </c>
      <c r="L276" s="113"/>
      <c r="M276" s="113" t="s">
        <v>1007</v>
      </c>
    </row>
    <row r="277" spans="1:13" ht="12.75" hidden="1" customHeight="1" x14ac:dyDescent="0.3">
      <c r="A277" s="111">
        <v>46162</v>
      </c>
      <c r="B277" s="112" t="s">
        <v>2049</v>
      </c>
      <c r="C277" s="113" t="s">
        <v>1010</v>
      </c>
      <c r="D277" s="113" t="str">
        <f>IFERROR(VLOOKUP(C277,SKUs!$A$6:$F$1971,6,FALSE()),"")</f>
        <v>POLO PIQUET OUT. ROSA FEM.</v>
      </c>
      <c r="E277" s="113">
        <v>5</v>
      </c>
      <c r="F277" s="113">
        <f>IFERROR(IF(OR(B277="",E277=""),"",E277*VLOOKUP(B277,Configurações!$I$5:$J$15,2,FALSE())),"")</f>
        <v>5</v>
      </c>
      <c r="G277" s="113" t="s">
        <v>665</v>
      </c>
      <c r="H277" s="113" t="s">
        <v>2050</v>
      </c>
      <c r="I277" s="113"/>
      <c r="J277" s="113"/>
      <c r="K277" s="113" t="s">
        <v>2051</v>
      </c>
      <c r="L277" s="113"/>
      <c r="M277" s="113" t="s">
        <v>1007</v>
      </c>
    </row>
    <row r="278" spans="1:13" ht="12.75" hidden="1" customHeight="1" x14ac:dyDescent="0.3">
      <c r="A278" s="111">
        <v>46162</v>
      </c>
      <c r="B278" s="112" t="s">
        <v>2049</v>
      </c>
      <c r="C278" s="113" t="s">
        <v>1028</v>
      </c>
      <c r="D278" s="113" t="str">
        <f>IFERROR(VLOOKUP(C278,SKUs!$A$6:$F$1971,6,FALSE()),"")</f>
        <v>POLO GOLA PADRE MASC.</v>
      </c>
      <c r="E278" s="113">
        <v>4</v>
      </c>
      <c r="F278" s="113">
        <f>IFERROR(IF(OR(B278="",E278=""),"",E278*VLOOKUP(B278,Configurações!$I$5:$J$15,2,FALSE())),"")</f>
        <v>4</v>
      </c>
      <c r="G278" s="113" t="s">
        <v>665</v>
      </c>
      <c r="H278" s="113" t="s">
        <v>2050</v>
      </c>
      <c r="I278" s="113"/>
      <c r="J278" s="113"/>
      <c r="K278" s="113" t="s">
        <v>2051</v>
      </c>
      <c r="L278" s="113"/>
      <c r="M278" s="113" t="s">
        <v>1030</v>
      </c>
    </row>
    <row r="279" spans="1:13" ht="12.75" hidden="1" customHeight="1" x14ac:dyDescent="0.3">
      <c r="A279" s="111">
        <v>46162</v>
      </c>
      <c r="B279" s="112" t="s">
        <v>2049</v>
      </c>
      <c r="C279" s="113" t="s">
        <v>1031</v>
      </c>
      <c r="D279" s="113" t="str">
        <f>IFERROR(VLOOKUP(C279,SKUs!$A$6:$F$1971,6,FALSE()),"")</f>
        <v>POLO GOLA PADRE MASC.</v>
      </c>
      <c r="E279" s="113">
        <v>3</v>
      </c>
      <c r="F279" s="113">
        <f>IFERROR(IF(OR(B279="",E279=""),"",E279*VLOOKUP(B279,Configurações!$I$5:$J$15,2,FALSE())),"")</f>
        <v>3</v>
      </c>
      <c r="G279" s="113" t="s">
        <v>665</v>
      </c>
      <c r="H279" s="113" t="s">
        <v>2050</v>
      </c>
      <c r="I279" s="113"/>
      <c r="J279" s="113"/>
      <c r="K279" s="113" t="s">
        <v>2051</v>
      </c>
      <c r="L279" s="113"/>
      <c r="M279" s="113" t="s">
        <v>1030</v>
      </c>
    </row>
    <row r="280" spans="1:13" ht="12.75" hidden="1" customHeight="1" x14ac:dyDescent="0.3">
      <c r="A280" s="111">
        <v>46162</v>
      </c>
      <c r="B280" s="112" t="s">
        <v>2049</v>
      </c>
      <c r="C280" s="113" t="s">
        <v>1032</v>
      </c>
      <c r="D280" s="113" t="str">
        <f>IFERROR(VLOOKUP(C280,SKUs!$A$6:$F$1971,6,FALSE()),"")</f>
        <v>POLO GOLA PADRE MASC.</v>
      </c>
      <c r="E280" s="113">
        <v>5</v>
      </c>
      <c r="F280" s="113">
        <f>IFERROR(IF(OR(B280="",E280=""),"",E280*VLOOKUP(B280,Configurações!$I$5:$J$15,2,FALSE())),"")</f>
        <v>5</v>
      </c>
      <c r="G280" s="113" t="s">
        <v>665</v>
      </c>
      <c r="H280" s="113" t="s">
        <v>2050</v>
      </c>
      <c r="I280" s="113"/>
      <c r="J280" s="113"/>
      <c r="K280" s="113" t="s">
        <v>2051</v>
      </c>
      <c r="L280" s="113"/>
      <c r="M280" s="113" t="s">
        <v>1030</v>
      </c>
    </row>
    <row r="281" spans="1:13" ht="12.75" hidden="1" customHeight="1" x14ac:dyDescent="0.3">
      <c r="A281" s="111">
        <v>46162</v>
      </c>
      <c r="B281" s="112" t="s">
        <v>2049</v>
      </c>
      <c r="C281" s="113" t="s">
        <v>1033</v>
      </c>
      <c r="D281" s="113" t="str">
        <f>IFERROR(VLOOKUP(C281,SKUs!$A$6:$F$1971,6,FALSE()),"")</f>
        <v>POLO GOLA PADRE MASC.</v>
      </c>
      <c r="E281" s="113">
        <v>6</v>
      </c>
      <c r="F281" s="113">
        <f>IFERROR(IF(OR(B281="",E281=""),"",E281*VLOOKUP(B281,Configurações!$I$5:$J$15,2,FALSE())),"")</f>
        <v>6</v>
      </c>
      <c r="G281" s="113" t="s">
        <v>665</v>
      </c>
      <c r="H281" s="113" t="s">
        <v>2050</v>
      </c>
      <c r="I281" s="113"/>
      <c r="J281" s="113"/>
      <c r="K281" s="113" t="s">
        <v>2051</v>
      </c>
      <c r="L281" s="113"/>
      <c r="M281" s="113" t="s">
        <v>1030</v>
      </c>
    </row>
    <row r="282" spans="1:13" ht="12.75" hidden="1" customHeight="1" x14ac:dyDescent="0.3">
      <c r="A282" s="111">
        <v>46162</v>
      </c>
      <c r="B282" s="112" t="s">
        <v>2049</v>
      </c>
      <c r="C282" s="113" t="s">
        <v>1034</v>
      </c>
      <c r="D282" s="113" t="str">
        <f>IFERROR(VLOOKUP(C282,SKUs!$A$6:$F$1971,6,FALSE()),"")</f>
        <v>POLO GOLA PADRE MASC.</v>
      </c>
      <c r="E282" s="113">
        <v>4</v>
      </c>
      <c r="F282" s="113">
        <f>IFERROR(IF(OR(B282="",E282=""),"",E282*VLOOKUP(B282,Configurações!$I$5:$J$15,2,FALSE())),"")</f>
        <v>4</v>
      </c>
      <c r="G282" s="113" t="s">
        <v>665</v>
      </c>
      <c r="H282" s="113" t="s">
        <v>2050</v>
      </c>
      <c r="I282" s="113"/>
      <c r="J282" s="113"/>
      <c r="K282" s="113" t="s">
        <v>2051</v>
      </c>
      <c r="L282" s="113"/>
      <c r="M282" s="113" t="s">
        <v>1030</v>
      </c>
    </row>
    <row r="283" spans="1:13" ht="12.75" hidden="1" customHeight="1" x14ac:dyDescent="0.3">
      <c r="A283" s="111">
        <v>46162</v>
      </c>
      <c r="B283" s="112" t="s">
        <v>2049</v>
      </c>
      <c r="C283" s="113" t="s">
        <v>1035</v>
      </c>
      <c r="D283" s="113" t="str">
        <f>IFERROR(VLOOKUP(C283,SKUs!$A$6:$F$1971,6,FALSE()),"")</f>
        <v>POLO GOLA PADRE MASC.</v>
      </c>
      <c r="E283" s="113">
        <v>4</v>
      </c>
      <c r="F283" s="113">
        <f>IFERROR(IF(OR(B283="",E283=""),"",E283*VLOOKUP(B283,Configurações!$I$5:$J$15,2,FALSE())),"")</f>
        <v>4</v>
      </c>
      <c r="G283" s="113" t="s">
        <v>665</v>
      </c>
      <c r="H283" s="113" t="s">
        <v>2050</v>
      </c>
      <c r="I283" s="113"/>
      <c r="J283" s="113"/>
      <c r="K283" s="113" t="s">
        <v>2051</v>
      </c>
      <c r="L283" s="113"/>
      <c r="M283" s="113" t="s">
        <v>1030</v>
      </c>
    </row>
    <row r="284" spans="1:13" ht="12.75" hidden="1" customHeight="1" x14ac:dyDescent="0.3">
      <c r="A284" s="111">
        <v>46162</v>
      </c>
      <c r="B284" s="112" t="s">
        <v>2049</v>
      </c>
      <c r="C284" s="113" t="s">
        <v>1036</v>
      </c>
      <c r="D284" s="113" t="str">
        <f>IFERROR(VLOOKUP(C284,SKUs!$A$6:$F$1971,6,FALSE()),"")</f>
        <v>JAQUETA CAPUZ OUT. ROSA</v>
      </c>
      <c r="E284" s="113">
        <v>1</v>
      </c>
      <c r="F284" s="113">
        <f>IFERROR(IF(OR(B284="",E284=""),"",E284*VLOOKUP(B284,Configurações!$I$5:$J$15,2,FALSE())),"")</f>
        <v>1</v>
      </c>
      <c r="G284" s="113" t="s">
        <v>665</v>
      </c>
      <c r="H284" s="113" t="s">
        <v>2050</v>
      </c>
      <c r="I284" s="113"/>
      <c r="J284" s="113"/>
      <c r="K284" s="113" t="s">
        <v>2051</v>
      </c>
      <c r="L284" s="113"/>
      <c r="M284" s="113" t="s">
        <v>1038</v>
      </c>
    </row>
    <row r="285" spans="1:13" ht="12.75" hidden="1" customHeight="1" x14ac:dyDescent="0.3">
      <c r="A285" s="111">
        <v>46162</v>
      </c>
      <c r="B285" s="112" t="s">
        <v>2049</v>
      </c>
      <c r="C285" s="113" t="s">
        <v>1039</v>
      </c>
      <c r="D285" s="113" t="str">
        <f>IFERROR(VLOOKUP(C285,SKUs!$A$6:$F$1971,6,FALSE()),"")</f>
        <v>JAQUETA CAPUZ OUT. ROSA</v>
      </c>
      <c r="E285" s="113">
        <v>1</v>
      </c>
      <c r="F285" s="113">
        <f>IFERROR(IF(OR(B285="",E285=""),"",E285*VLOOKUP(B285,Configurações!$I$5:$J$15,2,FALSE())),"")</f>
        <v>1</v>
      </c>
      <c r="G285" s="113" t="s">
        <v>665</v>
      </c>
      <c r="H285" s="113" t="s">
        <v>2050</v>
      </c>
      <c r="I285" s="113"/>
      <c r="J285" s="113"/>
      <c r="K285" s="113" t="s">
        <v>2051</v>
      </c>
      <c r="L285" s="113"/>
      <c r="M285" s="113" t="s">
        <v>1038</v>
      </c>
    </row>
    <row r="286" spans="1:13" ht="12.75" hidden="1" customHeight="1" x14ac:dyDescent="0.3">
      <c r="A286" s="111">
        <v>46162</v>
      </c>
      <c r="B286" s="112" t="s">
        <v>2049</v>
      </c>
      <c r="C286" s="113" t="s">
        <v>1040</v>
      </c>
      <c r="D286" s="113" t="str">
        <f>IFERROR(VLOOKUP(C286,SKUs!$A$6:$F$1971,6,FALSE()),"")</f>
        <v>JAQUETA CAPUZ OUT. ROSA</v>
      </c>
      <c r="E286" s="113">
        <v>4</v>
      </c>
      <c r="F286" s="113">
        <f>IFERROR(IF(OR(B286="",E286=""),"",E286*VLOOKUP(B286,Configurações!$I$5:$J$15,2,FALSE())),"")</f>
        <v>4</v>
      </c>
      <c r="G286" s="113" t="s">
        <v>665</v>
      </c>
      <c r="H286" s="113" t="s">
        <v>2050</v>
      </c>
      <c r="I286" s="113"/>
      <c r="J286" s="113"/>
      <c r="K286" s="113" t="s">
        <v>2051</v>
      </c>
      <c r="L286" s="113"/>
      <c r="M286" s="113" t="s">
        <v>1038</v>
      </c>
    </row>
    <row r="287" spans="1:13" ht="12.75" hidden="1" customHeight="1" x14ac:dyDescent="0.3">
      <c r="A287" s="111">
        <v>46162</v>
      </c>
      <c r="B287" s="112" t="s">
        <v>2049</v>
      </c>
      <c r="C287" s="113" t="s">
        <v>1041</v>
      </c>
      <c r="D287" s="113" t="str">
        <f>IFERROR(VLOOKUP(C287,SKUs!$A$6:$F$1971,6,FALSE()),"")</f>
        <v>JAQUETA CAPUZ OUT. ROSA</v>
      </c>
      <c r="E287" s="113">
        <v>1</v>
      </c>
      <c r="F287" s="113">
        <f>IFERROR(IF(OR(B287="",E287=""),"",E287*VLOOKUP(B287,Configurações!$I$5:$J$15,2,FALSE())),"")</f>
        <v>1</v>
      </c>
      <c r="G287" s="113" t="s">
        <v>665</v>
      </c>
      <c r="H287" s="113" t="s">
        <v>2050</v>
      </c>
      <c r="I287" s="113"/>
      <c r="J287" s="113"/>
      <c r="K287" s="113" t="s">
        <v>2051</v>
      </c>
      <c r="L287" s="113"/>
      <c r="M287" s="113" t="s">
        <v>1038</v>
      </c>
    </row>
    <row r="288" spans="1:13" ht="12.75" hidden="1" customHeight="1" x14ac:dyDescent="0.3">
      <c r="A288" s="111">
        <v>46162</v>
      </c>
      <c r="B288" s="112" t="s">
        <v>2049</v>
      </c>
      <c r="C288" s="113" t="s">
        <v>1027</v>
      </c>
      <c r="D288" s="113" t="str">
        <f>IFERROR(VLOOKUP(C288,SKUs!$A$6:$F$1971,6,FALSE()),"")</f>
        <v>POLO PIQUET OUT. ROSA FEM.</v>
      </c>
      <c r="E288" s="113">
        <v>28</v>
      </c>
      <c r="F288" s="113">
        <f>IFERROR(IF(OR(B288="",E288=""),"",E288*VLOOKUP(B288,Configurações!$I$5:$J$15,2,FALSE())),"")</f>
        <v>28</v>
      </c>
      <c r="G288" s="113" t="s">
        <v>665</v>
      </c>
      <c r="H288" s="113" t="s">
        <v>2050</v>
      </c>
      <c r="I288" s="113"/>
      <c r="J288" s="113"/>
      <c r="K288" s="113" t="s">
        <v>2051</v>
      </c>
      <c r="L288" s="113"/>
      <c r="M288" s="113" t="s">
        <v>1009</v>
      </c>
    </row>
    <row r="289" spans="1:13" ht="12.75" hidden="1" customHeight="1" x14ac:dyDescent="0.3">
      <c r="A289" s="111">
        <v>46162</v>
      </c>
      <c r="B289" s="112" t="s">
        <v>2049</v>
      </c>
      <c r="C289" s="113" t="s">
        <v>1006</v>
      </c>
      <c r="D289" s="113" t="str">
        <f>IFERROR(VLOOKUP(C289,SKUs!$A$6:$F$1971,6,FALSE()),"")</f>
        <v>POLO PIQUET OUT. ROSA FEM.</v>
      </c>
      <c r="E289" s="113">
        <v>7</v>
      </c>
      <c r="F289" s="113">
        <f>IFERROR(IF(OR(B289="",E289=""),"",E289*VLOOKUP(B289,Configurações!$I$5:$J$15,2,FALSE())),"")</f>
        <v>7</v>
      </c>
      <c r="G289" s="113" t="s">
        <v>665</v>
      </c>
      <c r="H289" s="113" t="s">
        <v>2050</v>
      </c>
      <c r="I289" s="113"/>
      <c r="J289" s="113"/>
      <c r="K289" s="113" t="s">
        <v>2051</v>
      </c>
      <c r="L289" s="113"/>
      <c r="M289" s="113" t="s">
        <v>1005</v>
      </c>
    </row>
    <row r="290" spans="1:13" ht="12.75" hidden="1" customHeight="1" x14ac:dyDescent="0.3">
      <c r="A290" s="111">
        <v>46162</v>
      </c>
      <c r="B290" s="112" t="s">
        <v>2049</v>
      </c>
      <c r="C290" s="113" t="s">
        <v>1008</v>
      </c>
      <c r="D290" s="113" t="str">
        <f>IFERROR(VLOOKUP(C290,SKUs!$A$6:$F$1971,6,FALSE()),"")</f>
        <v>POLO PIQUET OUT. ROSA FEM.</v>
      </c>
      <c r="E290" s="113">
        <v>2</v>
      </c>
      <c r="F290" s="113">
        <f>IFERROR(IF(OR(B290="",E290=""),"",E290*VLOOKUP(B290,Configurações!$I$5:$J$15,2,FALSE())),"")</f>
        <v>2</v>
      </c>
      <c r="G290" s="113" t="s">
        <v>665</v>
      </c>
      <c r="H290" s="113" t="s">
        <v>2050</v>
      </c>
      <c r="I290" s="113"/>
      <c r="J290" s="113"/>
      <c r="K290" s="113" t="s">
        <v>2051</v>
      </c>
      <c r="L290" s="113"/>
      <c r="M290" s="113" t="s">
        <v>1009</v>
      </c>
    </row>
    <row r="291" spans="1:13" ht="12.75" hidden="1" customHeight="1" x14ac:dyDescent="0.3">
      <c r="A291" s="111">
        <v>46162</v>
      </c>
      <c r="B291" s="112" t="s">
        <v>2049</v>
      </c>
      <c r="C291" s="113" t="s">
        <v>1010</v>
      </c>
      <c r="D291" s="113" t="str">
        <f>IFERROR(VLOOKUP(C291,SKUs!$A$6:$F$1971,6,FALSE()),"")</f>
        <v>POLO PIQUET OUT. ROSA FEM.</v>
      </c>
      <c r="E291" s="113">
        <v>5</v>
      </c>
      <c r="F291" s="113">
        <f>IFERROR(IF(OR(B291="",E291=""),"",E291*VLOOKUP(B291,Configurações!$I$5:$J$15,2,FALSE())),"")</f>
        <v>5</v>
      </c>
      <c r="G291" s="113" t="s">
        <v>665</v>
      </c>
      <c r="H291" s="113" t="s">
        <v>2050</v>
      </c>
      <c r="I291" s="113"/>
      <c r="J291" s="113"/>
      <c r="K291" s="113" t="s">
        <v>2051</v>
      </c>
      <c r="L291" s="113"/>
      <c r="M291" s="113" t="s">
        <v>1009</v>
      </c>
    </row>
    <row r="292" spans="1:13" ht="12.75" hidden="1" customHeight="1" x14ac:dyDescent="0.3">
      <c r="A292" s="111">
        <v>46162</v>
      </c>
      <c r="B292" s="112" t="s">
        <v>2049</v>
      </c>
      <c r="C292" s="113" t="s">
        <v>1042</v>
      </c>
      <c r="D292" s="113" t="str">
        <f>IFERROR(VLOOKUP(C292,SKUs!$A$6:$F$1971,6,FALSE()),"")</f>
        <v>POLO PIQUET OUT. ROSA MASC.</v>
      </c>
      <c r="E292" s="113">
        <v>3</v>
      </c>
      <c r="F292" s="113">
        <f>IFERROR(IF(OR(B292="",E292=""),"",E292*VLOOKUP(B292,Configurações!$I$5:$J$15,2,FALSE())),"")</f>
        <v>3</v>
      </c>
      <c r="G292" s="113" t="s">
        <v>665</v>
      </c>
      <c r="H292" s="113" t="s">
        <v>2050</v>
      </c>
      <c r="I292" s="113"/>
      <c r="J292" s="113"/>
      <c r="K292" s="113" t="s">
        <v>2051</v>
      </c>
      <c r="L292" s="113"/>
      <c r="M292" s="113" t="s">
        <v>1044</v>
      </c>
    </row>
    <row r="293" spans="1:13" ht="12.75" hidden="1" customHeight="1" x14ac:dyDescent="0.3">
      <c r="A293" s="111">
        <v>46162</v>
      </c>
      <c r="B293" s="112" t="s">
        <v>2049</v>
      </c>
      <c r="C293" s="113" t="s">
        <v>1045</v>
      </c>
      <c r="D293" s="113" t="str">
        <f>IFERROR(VLOOKUP(C293,SKUs!$A$6:$F$1971,6,FALSE()),"")</f>
        <v>POLO PIQUET OUT. ROSA MASC.</v>
      </c>
      <c r="E293" s="113">
        <v>5</v>
      </c>
      <c r="F293" s="113">
        <f>IFERROR(IF(OR(B293="",E293=""),"",E293*VLOOKUP(B293,Configurações!$I$5:$J$15,2,FALSE())),"")</f>
        <v>5</v>
      </c>
      <c r="G293" s="113" t="s">
        <v>665</v>
      </c>
      <c r="H293" s="113" t="s">
        <v>2050</v>
      </c>
      <c r="I293" s="113"/>
      <c r="J293" s="113"/>
      <c r="K293" s="113" t="s">
        <v>2051</v>
      </c>
      <c r="L293" s="113"/>
      <c r="M293" s="113" t="s">
        <v>1044</v>
      </c>
    </row>
    <row r="294" spans="1:13" ht="12.75" hidden="1" customHeight="1" x14ac:dyDescent="0.3">
      <c r="A294" s="111">
        <v>46162</v>
      </c>
      <c r="B294" s="112" t="s">
        <v>2049</v>
      </c>
      <c r="C294" s="113" t="s">
        <v>1046</v>
      </c>
      <c r="D294" s="113" t="str">
        <f>IFERROR(VLOOKUP(C294,SKUs!$A$6:$F$1971,6,FALSE()),"")</f>
        <v>POLO PIQUET OUT. ROSA MASC.</v>
      </c>
      <c r="E294" s="113">
        <v>9</v>
      </c>
      <c r="F294" s="113">
        <f>IFERROR(IF(OR(B294="",E294=""),"",E294*VLOOKUP(B294,Configurações!$I$5:$J$15,2,FALSE())),"")</f>
        <v>9</v>
      </c>
      <c r="G294" s="113" t="s">
        <v>665</v>
      </c>
      <c r="H294" s="113" t="s">
        <v>2050</v>
      </c>
      <c r="I294" s="113"/>
      <c r="J294" s="113"/>
      <c r="K294" s="113" t="s">
        <v>2051</v>
      </c>
      <c r="L294" s="113"/>
      <c r="M294" s="113" t="s">
        <v>1044</v>
      </c>
    </row>
    <row r="295" spans="1:13" ht="12.75" hidden="1" customHeight="1" x14ac:dyDescent="0.3">
      <c r="A295" s="111">
        <v>46162</v>
      </c>
      <c r="B295" s="112" t="s">
        <v>2049</v>
      </c>
      <c r="C295" s="113" t="s">
        <v>1047</v>
      </c>
      <c r="D295" s="113" t="str">
        <f>IFERROR(VLOOKUP(C295,SKUs!$A$6:$F$1971,6,FALSE()),"")</f>
        <v>POLO PIQUET OUT. ROSA MASC.</v>
      </c>
      <c r="E295" s="113">
        <v>11</v>
      </c>
      <c r="F295" s="113">
        <f>IFERROR(IF(OR(B295="",E295=""),"",E295*VLOOKUP(B295,Configurações!$I$5:$J$15,2,FALSE())),"")</f>
        <v>11</v>
      </c>
      <c r="G295" s="113" t="s">
        <v>665</v>
      </c>
      <c r="H295" s="113" t="s">
        <v>2050</v>
      </c>
      <c r="I295" s="113"/>
      <c r="J295" s="113"/>
      <c r="K295" s="113" t="s">
        <v>2051</v>
      </c>
      <c r="L295" s="113"/>
      <c r="M295" s="113" t="s">
        <v>1044</v>
      </c>
    </row>
    <row r="296" spans="1:13" ht="12.75" hidden="1" customHeight="1" x14ac:dyDescent="0.3">
      <c r="A296" s="111">
        <v>46162</v>
      </c>
      <c r="B296" s="112" t="s">
        <v>2049</v>
      </c>
      <c r="C296" s="113" t="s">
        <v>1048</v>
      </c>
      <c r="D296" s="113" t="str">
        <f>IFERROR(VLOOKUP(C296,SKUs!$A$6:$F$1971,6,FALSE()),"")</f>
        <v>POLO PIQUET OUT. ROSA MASC.</v>
      </c>
      <c r="E296" s="113">
        <v>5</v>
      </c>
      <c r="F296" s="113">
        <f>IFERROR(IF(OR(B296="",E296=""),"",E296*VLOOKUP(B296,Configurações!$I$5:$J$15,2,FALSE())),"")</f>
        <v>5</v>
      </c>
      <c r="G296" s="113" t="s">
        <v>665</v>
      </c>
      <c r="H296" s="113" t="s">
        <v>2050</v>
      </c>
      <c r="I296" s="113"/>
      <c r="J296" s="113"/>
      <c r="K296" s="113" t="s">
        <v>2051</v>
      </c>
      <c r="L296" s="113"/>
      <c r="M296" s="113" t="s">
        <v>1044</v>
      </c>
    </row>
    <row r="297" spans="1:13" ht="12.75" hidden="1" customHeight="1" x14ac:dyDescent="0.3">
      <c r="A297" s="111">
        <v>46162</v>
      </c>
      <c r="B297" s="112" t="s">
        <v>2049</v>
      </c>
      <c r="C297" s="113" t="s">
        <v>995</v>
      </c>
      <c r="D297" s="113" t="str">
        <f>IFERROR(VLOOKUP(C297,SKUs!$A$6:$F$1971,6,FALSE()),"")</f>
        <v>POLO PIQUET FEM.</v>
      </c>
      <c r="E297" s="113">
        <v>4</v>
      </c>
      <c r="F297" s="113">
        <f>IFERROR(IF(OR(B297="",E297=""),"",E297*VLOOKUP(B297,Configurações!$I$5:$J$15,2,FALSE())),"")</f>
        <v>4</v>
      </c>
      <c r="G297" s="113" t="s">
        <v>665</v>
      </c>
      <c r="H297" s="113" t="s">
        <v>2050</v>
      </c>
      <c r="I297" s="113"/>
      <c r="J297" s="113"/>
      <c r="K297" s="113" t="s">
        <v>2051</v>
      </c>
      <c r="L297" s="113"/>
      <c r="M297" s="113" t="s">
        <v>997</v>
      </c>
    </row>
    <row r="298" spans="1:13" ht="12.75" hidden="1" customHeight="1" x14ac:dyDescent="0.3">
      <c r="A298" s="111">
        <v>46162</v>
      </c>
      <c r="B298" s="112" t="s">
        <v>2049</v>
      </c>
      <c r="C298" s="113" t="s">
        <v>998</v>
      </c>
      <c r="D298" s="113" t="str">
        <f>IFERROR(VLOOKUP(C298,SKUs!$A$6:$F$1971,6,FALSE()),"")</f>
        <v>POLO PIQUET FEM.</v>
      </c>
      <c r="E298" s="113">
        <v>7</v>
      </c>
      <c r="F298" s="113">
        <f>IFERROR(IF(OR(B298="",E298=""),"",E298*VLOOKUP(B298,Configurações!$I$5:$J$15,2,FALSE())),"")</f>
        <v>7</v>
      </c>
      <c r="G298" s="113" t="s">
        <v>665</v>
      </c>
      <c r="H298" s="113" t="s">
        <v>2050</v>
      </c>
      <c r="I298" s="113"/>
      <c r="J298" s="113"/>
      <c r="K298" s="113" t="s">
        <v>2051</v>
      </c>
      <c r="L298" s="113"/>
      <c r="M298" s="113" t="s">
        <v>997</v>
      </c>
    </row>
    <row r="299" spans="1:13" ht="12.75" hidden="1" customHeight="1" x14ac:dyDescent="0.3">
      <c r="A299" s="111">
        <v>46162</v>
      </c>
      <c r="B299" s="112" t="s">
        <v>2049</v>
      </c>
      <c r="C299" s="113" t="s">
        <v>999</v>
      </c>
      <c r="D299" s="113" t="str">
        <f>IFERROR(VLOOKUP(C299,SKUs!$A$6:$F$1971,6,FALSE()),"")</f>
        <v>POLO PIQUET FEM.</v>
      </c>
      <c r="E299" s="113">
        <v>8</v>
      </c>
      <c r="F299" s="113">
        <f>IFERROR(IF(OR(B299="",E299=""),"",E299*VLOOKUP(B299,Configurações!$I$5:$J$15,2,FALSE())),"")</f>
        <v>8</v>
      </c>
      <c r="G299" s="113" t="s">
        <v>665</v>
      </c>
      <c r="H299" s="113" t="s">
        <v>2050</v>
      </c>
      <c r="I299" s="113"/>
      <c r="J299" s="113"/>
      <c r="K299" s="113" t="s">
        <v>2051</v>
      </c>
      <c r="L299" s="113"/>
      <c r="M299" s="113" t="s">
        <v>997</v>
      </c>
    </row>
    <row r="300" spans="1:13" ht="12.75" hidden="1" customHeight="1" x14ac:dyDescent="0.3">
      <c r="A300" s="111">
        <v>46162</v>
      </c>
      <c r="B300" s="112" t="s">
        <v>2049</v>
      </c>
      <c r="C300" s="113" t="s">
        <v>1000</v>
      </c>
      <c r="D300" s="113" t="str">
        <f>IFERROR(VLOOKUP(C300,SKUs!$A$6:$F$1971,6,FALSE()),"")</f>
        <v>POLO PIQUET FEM.</v>
      </c>
      <c r="E300" s="113">
        <v>9</v>
      </c>
      <c r="F300" s="113">
        <f>IFERROR(IF(OR(B300="",E300=""),"",E300*VLOOKUP(B300,Configurações!$I$5:$J$15,2,FALSE())),"")</f>
        <v>9</v>
      </c>
      <c r="G300" s="113" t="s">
        <v>665</v>
      </c>
      <c r="H300" s="113" t="s">
        <v>2050</v>
      </c>
      <c r="I300" s="113"/>
      <c r="J300" s="113"/>
      <c r="K300" s="113" t="s">
        <v>2051</v>
      </c>
      <c r="L300" s="113"/>
      <c r="M300" s="113" t="s">
        <v>997</v>
      </c>
    </row>
    <row r="301" spans="1:13" ht="12.75" hidden="1" customHeight="1" x14ac:dyDescent="0.3">
      <c r="A301" s="111">
        <v>46162</v>
      </c>
      <c r="B301" s="112" t="s">
        <v>2049</v>
      </c>
      <c r="C301" s="113" t="s">
        <v>1001</v>
      </c>
      <c r="D301" s="113" t="str">
        <f>IFERROR(VLOOKUP(C301,SKUs!$A$6:$F$1971,6,FALSE()),"")</f>
        <v>POLO PIQUET FEM.</v>
      </c>
      <c r="E301" s="113">
        <v>5</v>
      </c>
      <c r="F301" s="113">
        <f>IFERROR(IF(OR(B301="",E301=""),"",E301*VLOOKUP(B301,Configurações!$I$5:$J$15,2,FALSE())),"")</f>
        <v>5</v>
      </c>
      <c r="G301" s="113" t="s">
        <v>665</v>
      </c>
      <c r="H301" s="113" t="s">
        <v>2050</v>
      </c>
      <c r="I301" s="113"/>
      <c r="J301" s="113"/>
      <c r="K301" s="113" t="s">
        <v>2051</v>
      </c>
      <c r="L301" s="113"/>
      <c r="M301" s="113" t="s">
        <v>997</v>
      </c>
    </row>
    <row r="302" spans="1:13" ht="12.75" hidden="1" customHeight="1" x14ac:dyDescent="0.3">
      <c r="A302" s="111">
        <v>46162</v>
      </c>
      <c r="B302" s="112" t="s">
        <v>2049</v>
      </c>
      <c r="C302" s="113" t="s">
        <v>1002</v>
      </c>
      <c r="D302" s="113" t="str">
        <f>IFERROR(VLOOKUP(C302,SKUs!$A$6:$F$1971,6,FALSE()),"")</f>
        <v>POLO PIQUET FEM.</v>
      </c>
      <c r="E302" s="113">
        <v>6</v>
      </c>
      <c r="F302" s="113">
        <f>IFERROR(IF(OR(B302="",E302=""),"",E302*VLOOKUP(B302,Configurações!$I$5:$J$15,2,FALSE())),"")</f>
        <v>6</v>
      </c>
      <c r="G302" s="113" t="s">
        <v>665</v>
      </c>
      <c r="H302" s="113" t="s">
        <v>2050</v>
      </c>
      <c r="I302" s="113"/>
      <c r="J302" s="113"/>
      <c r="K302" s="113" t="s">
        <v>2051</v>
      </c>
      <c r="L302" s="113"/>
      <c r="M302" s="113" t="s">
        <v>997</v>
      </c>
    </row>
    <row r="303" spans="1:13" ht="12.75" hidden="1" customHeight="1" x14ac:dyDescent="0.3">
      <c r="A303" s="111">
        <v>46162</v>
      </c>
      <c r="B303" s="112" t="s">
        <v>2049</v>
      </c>
      <c r="C303" s="113" t="s">
        <v>1049</v>
      </c>
      <c r="D303" s="113" t="str">
        <f>IFERROR(VLOOKUP(C303,SKUs!$A$6:$F$1971,6,FALSE()),"")</f>
        <v>JAQUETA CAPUZ EMBUTIDO</v>
      </c>
      <c r="E303" s="113">
        <v>4</v>
      </c>
      <c r="F303" s="113">
        <f>IFERROR(IF(OR(B303="",E303=""),"",E303*VLOOKUP(B303,Configurações!$I$5:$J$15,2,FALSE())),"")</f>
        <v>4</v>
      </c>
      <c r="G303" s="113" t="s">
        <v>665</v>
      </c>
      <c r="H303" s="113" t="s">
        <v>2050</v>
      </c>
      <c r="I303" s="113"/>
      <c r="J303" s="113"/>
      <c r="K303" s="113" t="s">
        <v>2051</v>
      </c>
      <c r="L303" s="113"/>
      <c r="M303" s="113" t="s">
        <v>1050</v>
      </c>
    </row>
    <row r="304" spans="1:13" ht="12.75" hidden="1" customHeight="1" x14ac:dyDescent="0.3">
      <c r="A304" s="111">
        <v>46162</v>
      </c>
      <c r="B304" s="112" t="s">
        <v>2049</v>
      </c>
      <c r="C304" s="113" t="s">
        <v>1051</v>
      </c>
      <c r="D304" s="113" t="str">
        <f>IFERROR(VLOOKUP(C304,SKUs!$A$6:$F$1971,6,FALSE()),"")</f>
        <v>JAQUETA CAPUZ EMBUTIDO</v>
      </c>
      <c r="E304" s="113">
        <v>2</v>
      </c>
      <c r="F304" s="113">
        <f>IFERROR(IF(OR(B304="",E304=""),"",E304*VLOOKUP(B304,Configurações!$I$5:$J$15,2,FALSE())),"")</f>
        <v>2</v>
      </c>
      <c r="G304" s="113" t="s">
        <v>665</v>
      </c>
      <c r="H304" s="113" t="s">
        <v>2050</v>
      </c>
      <c r="I304" s="113"/>
      <c r="J304" s="113"/>
      <c r="K304" s="113" t="s">
        <v>2051</v>
      </c>
      <c r="L304" s="113"/>
      <c r="M304" s="113" t="s">
        <v>1050</v>
      </c>
    </row>
    <row r="305" spans="1:13" ht="12.75" hidden="1" customHeight="1" x14ac:dyDescent="0.3">
      <c r="A305" s="111">
        <v>46162</v>
      </c>
      <c r="B305" s="112" t="s">
        <v>2049</v>
      </c>
      <c r="C305" s="113" t="s">
        <v>1052</v>
      </c>
      <c r="D305" s="113" t="str">
        <f>IFERROR(VLOOKUP(C305,SKUs!$A$6:$F$1971,6,FALSE()),"")</f>
        <v>JAQUETA CAPUZ EMBUTIDO</v>
      </c>
      <c r="E305" s="113">
        <v>3</v>
      </c>
      <c r="F305" s="113">
        <f>IFERROR(IF(OR(B305="",E305=""),"",E305*VLOOKUP(B305,Configurações!$I$5:$J$15,2,FALSE())),"")</f>
        <v>3</v>
      </c>
      <c r="G305" s="113" t="s">
        <v>665</v>
      </c>
      <c r="H305" s="113" t="s">
        <v>2050</v>
      </c>
      <c r="I305" s="113"/>
      <c r="J305" s="113"/>
      <c r="K305" s="113" t="s">
        <v>2051</v>
      </c>
      <c r="L305" s="113"/>
      <c r="M305" s="113" t="s">
        <v>1050</v>
      </c>
    </row>
    <row r="306" spans="1:13" ht="12.75" hidden="1" customHeight="1" x14ac:dyDescent="0.3">
      <c r="A306" s="111">
        <v>46162</v>
      </c>
      <c r="B306" s="112" t="s">
        <v>2049</v>
      </c>
      <c r="C306" s="113" t="s">
        <v>1053</v>
      </c>
      <c r="D306" s="113" t="str">
        <f>IFERROR(VLOOKUP(C306,SKUs!$A$6:$F$1971,6,FALSE()),"")</f>
        <v>JAQUETA CAPUZ EMBUTIDO</v>
      </c>
      <c r="E306" s="113">
        <v>2</v>
      </c>
      <c r="F306" s="113">
        <f>IFERROR(IF(OR(B306="",E306=""),"",E306*VLOOKUP(B306,Configurações!$I$5:$J$15,2,FALSE())),"")</f>
        <v>2</v>
      </c>
      <c r="G306" s="113" t="s">
        <v>665</v>
      </c>
      <c r="H306" s="113" t="s">
        <v>2050</v>
      </c>
      <c r="I306" s="113"/>
      <c r="J306" s="113"/>
      <c r="K306" s="113" t="s">
        <v>2051</v>
      </c>
      <c r="L306" s="113"/>
      <c r="M306" s="113" t="s">
        <v>1050</v>
      </c>
    </row>
    <row r="307" spans="1:13" ht="12.75" hidden="1" customHeight="1" x14ac:dyDescent="0.3">
      <c r="A307" s="111">
        <v>46162</v>
      </c>
      <c r="B307" s="112" t="s">
        <v>2049</v>
      </c>
      <c r="C307" s="113" t="s">
        <v>1054</v>
      </c>
      <c r="D307" s="113" t="str">
        <f>IFERROR(VLOOKUP(C307,SKUs!$A$6:$F$1971,6,FALSE()),"")</f>
        <v>JAQUETA BOMBER</v>
      </c>
      <c r="E307" s="113">
        <v>1</v>
      </c>
      <c r="F307" s="113">
        <f>IFERROR(IF(OR(B307="",E307=""),"",E307*VLOOKUP(B307,Configurações!$I$5:$J$15,2,FALSE())),"")</f>
        <v>1</v>
      </c>
      <c r="G307" s="113" t="s">
        <v>665</v>
      </c>
      <c r="H307" s="113" t="s">
        <v>2050</v>
      </c>
      <c r="I307" s="113"/>
      <c r="J307" s="113"/>
      <c r="K307" s="113" t="s">
        <v>2051</v>
      </c>
      <c r="L307" s="113"/>
      <c r="M307" s="113" t="s">
        <v>1056</v>
      </c>
    </row>
    <row r="308" spans="1:13" ht="12.75" hidden="1" customHeight="1" x14ac:dyDescent="0.3">
      <c r="A308" s="111">
        <v>46162</v>
      </c>
      <c r="B308" s="112" t="s">
        <v>2049</v>
      </c>
      <c r="C308" s="113" t="s">
        <v>1057</v>
      </c>
      <c r="D308" s="113" t="str">
        <f>IFERROR(VLOOKUP(C308,SKUs!$A$6:$F$1971,6,FALSE()),"")</f>
        <v>JAQUETA BOMBER</v>
      </c>
      <c r="E308" s="113">
        <v>7</v>
      </c>
      <c r="F308" s="113">
        <f>IFERROR(IF(OR(B308="",E308=""),"",E308*VLOOKUP(B308,Configurações!$I$5:$J$15,2,FALSE())),"")</f>
        <v>7</v>
      </c>
      <c r="G308" s="113" t="s">
        <v>665</v>
      </c>
      <c r="H308" s="113" t="s">
        <v>2050</v>
      </c>
      <c r="I308" s="113"/>
      <c r="J308" s="113"/>
      <c r="K308" s="113" t="s">
        <v>2051</v>
      </c>
      <c r="L308" s="113"/>
      <c r="M308" s="113" t="s">
        <v>1056</v>
      </c>
    </row>
    <row r="309" spans="1:13" ht="12.75" hidden="1" customHeight="1" x14ac:dyDescent="0.3">
      <c r="A309" s="111">
        <v>46162</v>
      </c>
      <c r="B309" s="112" t="s">
        <v>2049</v>
      </c>
      <c r="C309" s="113" t="s">
        <v>1058</v>
      </c>
      <c r="D309" s="113" t="str">
        <f>IFERROR(VLOOKUP(C309,SKUs!$A$6:$F$1971,6,FALSE()),"")</f>
        <v>JAQUETA NYLON LEVE</v>
      </c>
      <c r="E309" s="113">
        <v>4</v>
      </c>
      <c r="F309" s="113">
        <f>IFERROR(IF(OR(B309="",E309=""),"",E309*VLOOKUP(B309,Configurações!$I$5:$J$15,2,FALSE())),"")</f>
        <v>4</v>
      </c>
      <c r="G309" s="113" t="s">
        <v>665</v>
      </c>
      <c r="H309" s="113" t="s">
        <v>2050</v>
      </c>
      <c r="I309" s="113"/>
      <c r="J309" s="113"/>
      <c r="K309" s="113" t="s">
        <v>2051</v>
      </c>
      <c r="L309" s="113"/>
      <c r="M309" s="113" t="s">
        <v>1060</v>
      </c>
    </row>
    <row r="310" spans="1:13" ht="12.75" hidden="1" customHeight="1" x14ac:dyDescent="0.3">
      <c r="A310" s="111">
        <v>46162</v>
      </c>
      <c r="B310" s="112" t="s">
        <v>2049</v>
      </c>
      <c r="C310" s="113" t="s">
        <v>1061</v>
      </c>
      <c r="D310" s="113" t="str">
        <f>IFERROR(VLOOKUP(C310,SKUs!$A$6:$F$1971,6,FALSE()),"")</f>
        <v>JAQUETA NYLON LEVE</v>
      </c>
      <c r="E310" s="113">
        <v>3</v>
      </c>
      <c r="F310" s="113">
        <f>IFERROR(IF(OR(B310="",E310=""),"",E310*VLOOKUP(B310,Configurações!$I$5:$J$15,2,FALSE())),"")</f>
        <v>3</v>
      </c>
      <c r="G310" s="113" t="s">
        <v>665</v>
      </c>
      <c r="H310" s="113" t="s">
        <v>2050</v>
      </c>
      <c r="I310" s="113"/>
      <c r="J310" s="113"/>
      <c r="K310" s="113" t="s">
        <v>2051</v>
      </c>
      <c r="L310" s="113"/>
      <c r="M310" s="113" t="s">
        <v>1060</v>
      </c>
    </row>
    <row r="311" spans="1:13" ht="12.75" hidden="1" customHeight="1" x14ac:dyDescent="0.3">
      <c r="A311" s="111">
        <v>46162</v>
      </c>
      <c r="B311" s="112" t="s">
        <v>2049</v>
      </c>
      <c r="C311" s="113" t="s">
        <v>1062</v>
      </c>
      <c r="D311" s="113" t="str">
        <f>IFERROR(VLOOKUP(C311,SKUs!$A$6:$F$1971,6,FALSE()),"")</f>
        <v>JAQUETA NYLON LEVE</v>
      </c>
      <c r="E311" s="113">
        <v>8</v>
      </c>
      <c r="F311" s="113">
        <f>IFERROR(IF(OR(B311="",E311=""),"",E311*VLOOKUP(B311,Configurações!$I$5:$J$15,2,FALSE())),"")</f>
        <v>8</v>
      </c>
      <c r="G311" s="113" t="s">
        <v>665</v>
      </c>
      <c r="H311" s="113" t="s">
        <v>2050</v>
      </c>
      <c r="I311" s="113"/>
      <c r="J311" s="113"/>
      <c r="K311" s="113" t="s">
        <v>2051</v>
      </c>
      <c r="L311" s="113"/>
      <c r="M311" s="113" t="s">
        <v>1060</v>
      </c>
    </row>
    <row r="312" spans="1:13" ht="12.75" hidden="1" customHeight="1" x14ac:dyDescent="0.3">
      <c r="A312" s="111">
        <v>46162</v>
      </c>
      <c r="B312" s="112" t="s">
        <v>2049</v>
      </c>
      <c r="C312" s="113" t="s">
        <v>1063</v>
      </c>
      <c r="D312" s="113" t="str">
        <f>IFERROR(VLOOKUP(C312,SKUs!$A$6:$F$1971,6,FALSE()),"")</f>
        <v>JAQUETA NYLON LEVE</v>
      </c>
      <c r="E312" s="113">
        <v>8</v>
      </c>
      <c r="F312" s="113">
        <f>IFERROR(IF(OR(B312="",E312=""),"",E312*VLOOKUP(B312,Configurações!$I$5:$J$15,2,FALSE())),"")</f>
        <v>8</v>
      </c>
      <c r="G312" s="113" t="s">
        <v>665</v>
      </c>
      <c r="H312" s="113" t="s">
        <v>2050</v>
      </c>
      <c r="I312" s="113"/>
      <c r="J312" s="113"/>
      <c r="K312" s="113" t="s">
        <v>2051</v>
      </c>
      <c r="L312" s="113"/>
      <c r="M312" s="113" t="s">
        <v>1060</v>
      </c>
    </row>
    <row r="313" spans="1:13" ht="12.75" hidden="1" customHeight="1" x14ac:dyDescent="0.3">
      <c r="A313" s="111">
        <v>46162</v>
      </c>
      <c r="B313" s="112" t="s">
        <v>2049</v>
      </c>
      <c r="C313" s="113" t="s">
        <v>1064</v>
      </c>
      <c r="D313" s="113" t="str">
        <f>IFERROR(VLOOKUP(C313,SKUs!$A$6:$F$1971,6,FALSE()),"")</f>
        <v>JAQUETA CAPUZ EMBUTIDO</v>
      </c>
      <c r="E313" s="113">
        <v>7</v>
      </c>
      <c r="F313" s="113">
        <f>IFERROR(IF(OR(B313="",E313=""),"",E313*VLOOKUP(B313,Configurações!$I$5:$J$15,2,FALSE())),"")</f>
        <v>7</v>
      </c>
      <c r="G313" s="113" t="s">
        <v>665</v>
      </c>
      <c r="H313" s="113" t="s">
        <v>2050</v>
      </c>
      <c r="I313" s="113"/>
      <c r="J313" s="113"/>
      <c r="K313" s="113" t="s">
        <v>2051</v>
      </c>
      <c r="L313" s="113"/>
      <c r="M313" s="113" t="s">
        <v>1065</v>
      </c>
    </row>
    <row r="314" spans="1:13" ht="12.75" hidden="1" customHeight="1" x14ac:dyDescent="0.3">
      <c r="A314" s="111">
        <v>46162</v>
      </c>
      <c r="B314" s="112" t="s">
        <v>2049</v>
      </c>
      <c r="C314" s="113" t="s">
        <v>1067</v>
      </c>
      <c r="D314" s="113" t="str">
        <f>IFERROR(VLOOKUP(C314,SKUs!$A$6:$F$1971,6,FALSE()),"")</f>
        <v>JAQUETA CAPUZ EMBUTIDO</v>
      </c>
      <c r="E314" s="113">
        <v>2</v>
      </c>
      <c r="F314" s="113">
        <f>IFERROR(IF(OR(B314="",E314=""),"",E314*VLOOKUP(B314,Configurações!$I$5:$J$15,2,FALSE())),"")</f>
        <v>2</v>
      </c>
      <c r="G314" s="113" t="s">
        <v>665</v>
      </c>
      <c r="H314" s="113" t="s">
        <v>2050</v>
      </c>
      <c r="I314" s="113"/>
      <c r="J314" s="113"/>
      <c r="K314" s="113" t="s">
        <v>2051</v>
      </c>
      <c r="L314" s="113"/>
      <c r="M314" s="113" t="s">
        <v>1065</v>
      </c>
    </row>
    <row r="315" spans="1:13" ht="12.75" hidden="1" customHeight="1" x14ac:dyDescent="0.3">
      <c r="A315" s="111">
        <v>46162</v>
      </c>
      <c r="B315" s="112" t="s">
        <v>2049</v>
      </c>
      <c r="C315" s="113" t="s">
        <v>1069</v>
      </c>
      <c r="D315" s="113" t="str">
        <f>IFERROR(VLOOKUP(C315,SKUs!$A$6:$F$1971,6,FALSE()),"")</f>
        <v>JAQUETA CAPUZ EMBUTIDO</v>
      </c>
      <c r="E315" s="113">
        <v>2</v>
      </c>
      <c r="F315" s="113">
        <f>IFERROR(IF(OR(B315="",E315=""),"",E315*VLOOKUP(B315,Configurações!$I$5:$J$15,2,FALSE())),"")</f>
        <v>2</v>
      </c>
      <c r="G315" s="113" t="s">
        <v>665</v>
      </c>
      <c r="H315" s="113" t="s">
        <v>2050</v>
      </c>
      <c r="I315" s="113"/>
      <c r="J315" s="113"/>
      <c r="K315" s="113" t="s">
        <v>2051</v>
      </c>
      <c r="L315" s="113"/>
      <c r="M315" s="113" t="s">
        <v>1065</v>
      </c>
    </row>
    <row r="316" spans="1:13" ht="12.75" hidden="1" customHeight="1" x14ac:dyDescent="0.3">
      <c r="A316" s="111">
        <v>46162</v>
      </c>
      <c r="B316" s="112" t="s">
        <v>2049</v>
      </c>
      <c r="C316" s="113" t="s">
        <v>1070</v>
      </c>
      <c r="D316" s="113" t="str">
        <f>IFERROR(VLOOKUP(C316,SKUs!$A$6:$F$1971,6,FALSE()),"")</f>
        <v>JAQUETA CAPUZ EMBUTIDO</v>
      </c>
      <c r="E316" s="113">
        <v>1</v>
      </c>
      <c r="F316" s="113">
        <f>IFERROR(IF(OR(B316="",E316=""),"",E316*VLOOKUP(B316,Configurações!$I$5:$J$15,2,FALSE())),"")</f>
        <v>1</v>
      </c>
      <c r="G316" s="113" t="s">
        <v>665</v>
      </c>
      <c r="H316" s="113" t="s">
        <v>2050</v>
      </c>
      <c r="I316" s="113"/>
      <c r="J316" s="113"/>
      <c r="K316" s="113" t="s">
        <v>2051</v>
      </c>
      <c r="L316" s="113"/>
      <c r="M316" s="113" t="s">
        <v>1065</v>
      </c>
    </row>
    <row r="317" spans="1:13" ht="12.75" hidden="1" customHeight="1" x14ac:dyDescent="0.3">
      <c r="A317" s="111">
        <v>46162</v>
      </c>
      <c r="B317" s="112" t="s">
        <v>2049</v>
      </c>
      <c r="C317" s="113" t="s">
        <v>1071</v>
      </c>
      <c r="D317" s="113" t="str">
        <f>IFERROR(VLOOKUP(C317,SKUs!$A$6:$F$1971,6,FALSE()),"")</f>
        <v>JAQUETA PUFFER CAPUZ</v>
      </c>
      <c r="E317" s="113">
        <v>3</v>
      </c>
      <c r="F317" s="113">
        <f>IFERROR(IF(OR(B317="",E317=""),"",E317*VLOOKUP(B317,Configurações!$I$5:$J$15,2,FALSE())),"")</f>
        <v>3</v>
      </c>
      <c r="G317" s="113" t="s">
        <v>665</v>
      </c>
      <c r="H317" s="113" t="s">
        <v>2050</v>
      </c>
      <c r="I317" s="113"/>
      <c r="J317" s="113"/>
      <c r="K317" s="113" t="s">
        <v>2051</v>
      </c>
      <c r="L317" s="113"/>
      <c r="M317" s="113" t="s">
        <v>1073</v>
      </c>
    </row>
    <row r="318" spans="1:13" ht="12.75" hidden="1" customHeight="1" x14ac:dyDescent="0.3">
      <c r="A318" s="111">
        <v>46162</v>
      </c>
      <c r="B318" s="112" t="s">
        <v>2049</v>
      </c>
      <c r="C318" s="113" t="s">
        <v>1064</v>
      </c>
      <c r="D318" s="113" t="str">
        <f>IFERROR(VLOOKUP(C318,SKUs!$A$6:$F$1971,6,FALSE()),"")</f>
        <v>JAQUETA CAPUZ EMBUTIDO</v>
      </c>
      <c r="E318" s="113">
        <v>1</v>
      </c>
      <c r="F318" s="113">
        <f>IFERROR(IF(OR(B318="",E318=""),"",E318*VLOOKUP(B318,Configurações!$I$5:$J$15,2,FALSE())),"")</f>
        <v>1</v>
      </c>
      <c r="G318" s="113" t="s">
        <v>665</v>
      </c>
      <c r="H318" s="113" t="s">
        <v>2050</v>
      </c>
      <c r="I318" s="113"/>
      <c r="J318" s="113"/>
      <c r="K318" s="113" t="s">
        <v>2051</v>
      </c>
      <c r="L318" s="113"/>
      <c r="M318" s="113" t="s">
        <v>1066</v>
      </c>
    </row>
    <row r="319" spans="1:13" ht="12.75" hidden="1" customHeight="1" x14ac:dyDescent="0.3">
      <c r="A319" s="111">
        <v>46162</v>
      </c>
      <c r="B319" s="112" t="s">
        <v>2049</v>
      </c>
      <c r="C319" s="113" t="s">
        <v>1067</v>
      </c>
      <c r="D319" s="113" t="str">
        <f>IFERROR(VLOOKUP(C319,SKUs!$A$6:$F$1971,6,FALSE()),"")</f>
        <v>JAQUETA CAPUZ EMBUTIDO</v>
      </c>
      <c r="E319" s="113">
        <v>8</v>
      </c>
      <c r="F319" s="113">
        <f>IFERROR(IF(OR(B319="",E319=""),"",E319*VLOOKUP(B319,Configurações!$I$5:$J$15,2,FALSE())),"")</f>
        <v>8</v>
      </c>
      <c r="G319" s="113" t="s">
        <v>665</v>
      </c>
      <c r="H319" s="113" t="s">
        <v>2050</v>
      </c>
      <c r="I319" s="113"/>
      <c r="J319" s="113"/>
      <c r="K319" s="113" t="s">
        <v>2051</v>
      </c>
      <c r="L319" s="113"/>
      <c r="M319" s="113" t="s">
        <v>1066</v>
      </c>
    </row>
    <row r="320" spans="1:13" ht="12.75" hidden="1" customHeight="1" x14ac:dyDescent="0.3">
      <c r="A320" s="111">
        <v>46162</v>
      </c>
      <c r="B320" s="112" t="s">
        <v>2049</v>
      </c>
      <c r="C320" s="113" t="s">
        <v>1074</v>
      </c>
      <c r="D320" s="113" t="str">
        <f>IFERROR(VLOOKUP(C320,SKUs!$A$6:$F$1971,6,FALSE()),"")</f>
        <v>JAQUETA PUFFER CAPUZ</v>
      </c>
      <c r="E320" s="113">
        <v>1</v>
      </c>
      <c r="F320" s="113">
        <f>IFERROR(IF(OR(B320="",E320=""),"",E320*VLOOKUP(B320,Configurações!$I$5:$J$15,2,FALSE())),"")</f>
        <v>1</v>
      </c>
      <c r="G320" s="113" t="s">
        <v>665</v>
      </c>
      <c r="H320" s="113" t="s">
        <v>2050</v>
      </c>
      <c r="I320" s="113"/>
      <c r="J320" s="113"/>
      <c r="K320" s="113" t="s">
        <v>2051</v>
      </c>
      <c r="L320" s="113"/>
      <c r="M320" s="113" t="s">
        <v>1076</v>
      </c>
    </row>
    <row r="321" spans="1:13" ht="12.75" hidden="1" customHeight="1" x14ac:dyDescent="0.3">
      <c r="A321" s="111">
        <v>46162</v>
      </c>
      <c r="B321" s="112" t="s">
        <v>2049</v>
      </c>
      <c r="C321" s="113" t="s">
        <v>1077</v>
      </c>
      <c r="D321" s="113" t="str">
        <f>IFERROR(VLOOKUP(C321,SKUs!$A$6:$F$1971,6,FALSE()),"")</f>
        <v>JAQUETA PUFFER CAPUZ</v>
      </c>
      <c r="E321" s="113">
        <v>2</v>
      </c>
      <c r="F321" s="113">
        <f>IFERROR(IF(OR(B321="",E321=""),"",E321*VLOOKUP(B321,Configurações!$I$5:$J$15,2,FALSE())),"")</f>
        <v>2</v>
      </c>
      <c r="G321" s="113" t="s">
        <v>665</v>
      </c>
      <c r="H321" s="113" t="s">
        <v>2050</v>
      </c>
      <c r="I321" s="113"/>
      <c r="J321" s="113"/>
      <c r="K321" s="113" t="s">
        <v>2051</v>
      </c>
      <c r="L321" s="113"/>
      <c r="M321" s="113" t="s">
        <v>1076</v>
      </c>
    </row>
    <row r="322" spans="1:13" ht="12.75" hidden="1" customHeight="1" x14ac:dyDescent="0.3">
      <c r="A322" s="111">
        <v>46162</v>
      </c>
      <c r="B322" s="112" t="s">
        <v>2049</v>
      </c>
      <c r="C322" s="113" t="s">
        <v>1078</v>
      </c>
      <c r="D322" s="113" t="str">
        <f>IFERROR(VLOOKUP(C322,SKUs!$A$6:$F$1971,6,FALSE()),"")</f>
        <v>JAQUETA BOMBER</v>
      </c>
      <c r="E322" s="113">
        <v>1</v>
      </c>
      <c r="F322" s="113">
        <f>IFERROR(IF(OR(B322="",E322=""),"",E322*VLOOKUP(B322,Configurações!$I$5:$J$15,2,FALSE())),"")</f>
        <v>1</v>
      </c>
      <c r="G322" s="113" t="s">
        <v>665</v>
      </c>
      <c r="H322" s="113" t="s">
        <v>2050</v>
      </c>
      <c r="I322" s="113"/>
      <c r="J322" s="113"/>
      <c r="K322" s="113" t="s">
        <v>2051</v>
      </c>
      <c r="L322" s="113"/>
      <c r="M322" s="113" t="s">
        <v>1080</v>
      </c>
    </row>
    <row r="323" spans="1:13" ht="12.75" hidden="1" customHeight="1" x14ac:dyDescent="0.3">
      <c r="A323" s="111">
        <v>46162</v>
      </c>
      <c r="B323" s="112" t="s">
        <v>2049</v>
      </c>
      <c r="C323" s="113" t="s">
        <v>1081</v>
      </c>
      <c r="D323" s="113" t="str">
        <f>IFERROR(VLOOKUP(C323,SKUs!$A$6:$F$1971,6,FALSE()),"")</f>
        <v>JAQUETA BOMBER</v>
      </c>
      <c r="E323" s="113">
        <v>4</v>
      </c>
      <c r="F323" s="113">
        <f>IFERROR(IF(OR(B323="",E323=""),"",E323*VLOOKUP(B323,Configurações!$I$5:$J$15,2,FALSE())),"")</f>
        <v>4</v>
      </c>
      <c r="G323" s="113" t="s">
        <v>665</v>
      </c>
      <c r="H323" s="113" t="s">
        <v>2050</v>
      </c>
      <c r="I323" s="113"/>
      <c r="J323" s="113"/>
      <c r="K323" s="113" t="s">
        <v>2051</v>
      </c>
      <c r="L323" s="113"/>
      <c r="M323" s="113" t="s">
        <v>1080</v>
      </c>
    </row>
    <row r="324" spans="1:13" ht="12.75" hidden="1" customHeight="1" x14ac:dyDescent="0.3">
      <c r="A324" s="111">
        <v>46162</v>
      </c>
      <c r="B324" s="112" t="s">
        <v>2049</v>
      </c>
      <c r="C324" s="113" t="s">
        <v>1082</v>
      </c>
      <c r="D324" s="113" t="str">
        <f>IFERROR(VLOOKUP(C324,SKUs!$A$6:$F$1971,6,FALSE()),"")</f>
        <v>JAQUETA BOMBER</v>
      </c>
      <c r="E324" s="113">
        <v>5</v>
      </c>
      <c r="F324" s="113">
        <f>IFERROR(IF(OR(B324="",E324=""),"",E324*VLOOKUP(B324,Configurações!$I$5:$J$15,2,FALSE())),"")</f>
        <v>5</v>
      </c>
      <c r="G324" s="113" t="s">
        <v>665</v>
      </c>
      <c r="H324" s="113" t="s">
        <v>2050</v>
      </c>
      <c r="I324" s="113"/>
      <c r="J324" s="113"/>
      <c r="K324" s="113" t="s">
        <v>2051</v>
      </c>
      <c r="L324" s="113"/>
      <c r="M324" s="113" t="s">
        <v>1080</v>
      </c>
    </row>
    <row r="325" spans="1:13" ht="12.75" hidden="1" customHeight="1" x14ac:dyDescent="0.3">
      <c r="A325" s="111">
        <v>46162</v>
      </c>
      <c r="B325" s="112" t="s">
        <v>2049</v>
      </c>
      <c r="C325" s="113" t="s">
        <v>1083</v>
      </c>
      <c r="D325" s="113" t="str">
        <f>IFERROR(VLOOKUP(C325,SKUs!$A$6:$F$1971,6,FALSE()),"")</f>
        <v>JAQUETA BOMBER</v>
      </c>
      <c r="E325" s="113">
        <v>4</v>
      </c>
      <c r="F325" s="113">
        <f>IFERROR(IF(OR(B325="",E325=""),"",E325*VLOOKUP(B325,Configurações!$I$5:$J$15,2,FALSE())),"")</f>
        <v>4</v>
      </c>
      <c r="G325" s="113" t="s">
        <v>665</v>
      </c>
      <c r="H325" s="113" t="s">
        <v>2050</v>
      </c>
      <c r="I325" s="113"/>
      <c r="J325" s="113"/>
      <c r="K325" s="113" t="s">
        <v>2051</v>
      </c>
      <c r="L325" s="113"/>
      <c r="M325" s="113" t="s">
        <v>1080</v>
      </c>
    </row>
    <row r="326" spans="1:13" ht="12.75" hidden="1" customHeight="1" x14ac:dyDescent="0.3">
      <c r="A326" s="111">
        <v>46162</v>
      </c>
      <c r="B326" s="112" t="s">
        <v>2049</v>
      </c>
      <c r="C326" s="113" t="s">
        <v>1084</v>
      </c>
      <c r="D326" s="113" t="str">
        <f>IFERROR(VLOOKUP(C326,SKUs!$A$6:$F$1971,6,FALSE()),"")</f>
        <v>BOLSA LONG</v>
      </c>
      <c r="E326" s="113">
        <v>23</v>
      </c>
      <c r="F326" s="113">
        <f>IFERROR(IF(OR(B326="",E326=""),"",E326*VLOOKUP(B326,Configurações!$I$5:$J$15,2,FALSE())),"")</f>
        <v>23</v>
      </c>
      <c r="G326" s="113" t="s">
        <v>665</v>
      </c>
      <c r="H326" s="113" t="s">
        <v>2050</v>
      </c>
      <c r="I326" s="113"/>
      <c r="J326" s="113"/>
      <c r="K326" s="113" t="s">
        <v>2051</v>
      </c>
      <c r="L326" s="113"/>
      <c r="M326" s="113" t="s">
        <v>1088</v>
      </c>
    </row>
    <row r="327" spans="1:13" ht="12.75" hidden="1" customHeight="1" x14ac:dyDescent="0.3">
      <c r="A327" s="111">
        <v>46162</v>
      </c>
      <c r="B327" s="112" t="s">
        <v>2049</v>
      </c>
      <c r="C327" s="113" t="s">
        <v>1089</v>
      </c>
      <c r="D327" s="113" t="str">
        <f>IFERROR(VLOOKUP(C327,SKUs!$A$6:$F$1971,6,FALSE()),"")</f>
        <v>RAQUETE FRESCOBOL</v>
      </c>
      <c r="E327" s="113">
        <v>2</v>
      </c>
      <c r="F327" s="113">
        <f>IFERROR(IF(OR(B327="",E327=""),"",E327*VLOOKUP(B327,Configurações!$I$5:$J$15,2,FALSE())),"")</f>
        <v>2</v>
      </c>
      <c r="G327" s="113" t="s">
        <v>665</v>
      </c>
      <c r="H327" s="113" t="s">
        <v>2050</v>
      </c>
      <c r="I327" s="113"/>
      <c r="J327" s="113"/>
      <c r="K327" s="113" t="s">
        <v>2051</v>
      </c>
      <c r="L327" s="113"/>
      <c r="M327" s="113" t="s">
        <v>1093</v>
      </c>
    </row>
    <row r="328" spans="1:13" ht="12.75" hidden="1" customHeight="1" x14ac:dyDescent="0.3">
      <c r="A328" s="111">
        <v>46162</v>
      </c>
      <c r="B328" s="112" t="s">
        <v>2049</v>
      </c>
      <c r="C328" s="113" t="s">
        <v>1095</v>
      </c>
      <c r="D328" s="113" t="str">
        <f>IFERROR(VLOOKUP(C328,SKUs!$A$6:$F$1971,6,FALSE()),"")</f>
        <v>VISEIRA BIC- ELASTICO</v>
      </c>
      <c r="E328" s="113">
        <v>10</v>
      </c>
      <c r="F328" s="113">
        <f>IFERROR(IF(OR(B328="",E328=""),"",E328*VLOOKUP(B328,Configurações!$I$5:$J$15,2,FALSE())),"")</f>
        <v>10</v>
      </c>
      <c r="G328" s="113" t="s">
        <v>665</v>
      </c>
      <c r="H328" s="113" t="s">
        <v>2050</v>
      </c>
      <c r="I328" s="113"/>
      <c r="J328" s="113"/>
      <c r="K328" s="113" t="s">
        <v>2051</v>
      </c>
      <c r="L328" s="113"/>
      <c r="M328" s="113" t="s">
        <v>1093</v>
      </c>
    </row>
    <row r="329" spans="1:13" ht="12.75" hidden="1" customHeight="1" x14ac:dyDescent="0.3">
      <c r="A329" s="111">
        <v>46162</v>
      </c>
      <c r="B329" s="112" t="s">
        <v>2049</v>
      </c>
      <c r="C329" s="113" t="s">
        <v>1098</v>
      </c>
      <c r="D329" s="113" t="str">
        <f>IFERROR(VLOOKUP(C329,SKUs!$A$6:$F$1971,6,FALSE()),"")</f>
        <v>VISEIRA BIC- ELASTICO</v>
      </c>
      <c r="E329" s="113">
        <v>12</v>
      </c>
      <c r="F329" s="113">
        <f>IFERROR(IF(OR(B329="",E329=""),"",E329*VLOOKUP(B329,Configurações!$I$5:$J$15,2,FALSE())),"")</f>
        <v>12</v>
      </c>
      <c r="G329" s="113" t="s">
        <v>665</v>
      </c>
      <c r="H329" s="113" t="s">
        <v>2050</v>
      </c>
      <c r="I329" s="113"/>
      <c r="J329" s="113"/>
      <c r="K329" s="113" t="s">
        <v>2051</v>
      </c>
      <c r="L329" s="113"/>
      <c r="M329" s="113" t="s">
        <v>1093</v>
      </c>
    </row>
    <row r="330" spans="1:13" ht="12.75" hidden="1" customHeight="1" x14ac:dyDescent="0.3">
      <c r="A330" s="111">
        <v>46162</v>
      </c>
      <c r="B330" s="112" t="s">
        <v>2049</v>
      </c>
      <c r="C330" s="113" t="s">
        <v>1099</v>
      </c>
      <c r="D330" s="113" t="str">
        <f>IFERROR(VLOOKUP(C330,SKUs!$A$6:$F$1971,6,FALSE()),"")</f>
        <v>LANCHEIRA TERMICA GG</v>
      </c>
      <c r="E330" s="113">
        <v>15</v>
      </c>
      <c r="F330" s="113">
        <f>IFERROR(IF(OR(B330="",E330=""),"",E330*VLOOKUP(B330,Configurações!$I$5:$J$15,2,FALSE())),"")</f>
        <v>15</v>
      </c>
      <c r="G330" s="113" t="s">
        <v>665</v>
      </c>
      <c r="H330" s="113" t="s">
        <v>2050</v>
      </c>
      <c r="I330" s="113"/>
      <c r="J330" s="113"/>
      <c r="K330" s="113" t="s">
        <v>2051</v>
      </c>
      <c r="L330" s="113"/>
      <c r="M330" s="113" t="s">
        <v>1102</v>
      </c>
    </row>
    <row r="331" spans="1:13" ht="12.75" hidden="1" customHeight="1" x14ac:dyDescent="0.3">
      <c r="A331" s="111">
        <v>46162</v>
      </c>
      <c r="B331" s="112" t="s">
        <v>2049</v>
      </c>
      <c r="C331" s="113" t="s">
        <v>1103</v>
      </c>
      <c r="D331" s="113" t="str">
        <f>IFERROR(VLOOKUP(C331,SKUs!$A$6:$F$1971,6,FALSE()),"")</f>
        <v>TOALHA DE ACADEMIA</v>
      </c>
      <c r="E331" s="113">
        <v>12</v>
      </c>
      <c r="F331" s="113">
        <f>IFERROR(IF(OR(B331="",E331=""),"",E331*VLOOKUP(B331,Configurações!$I$5:$J$15,2,FALSE())),"")</f>
        <v>12</v>
      </c>
      <c r="G331" s="113" t="s">
        <v>665</v>
      </c>
      <c r="H331" s="113" t="s">
        <v>2050</v>
      </c>
      <c r="I331" s="113"/>
      <c r="J331" s="113"/>
      <c r="K331" s="113" t="s">
        <v>2051</v>
      </c>
      <c r="L331" s="113"/>
      <c r="M331" s="113" t="s">
        <v>1106</v>
      </c>
    </row>
    <row r="332" spans="1:13" ht="12.75" hidden="1" customHeight="1" x14ac:dyDescent="0.3">
      <c r="A332" s="111">
        <v>46162</v>
      </c>
      <c r="B332" s="112" t="s">
        <v>2049</v>
      </c>
      <c r="C332" s="113" t="s">
        <v>1107</v>
      </c>
      <c r="D332" s="113" t="str">
        <f>IFERROR(VLOOKUP(C332,SKUs!$A$6:$F$1971,6,FALSE()),"")</f>
        <v>SACOLA AZUL</v>
      </c>
      <c r="E332" s="113">
        <v>22</v>
      </c>
      <c r="F332" s="113">
        <f>IFERROR(IF(OR(B332="",E332=""),"",E332*VLOOKUP(B332,Configurações!$I$5:$J$15,2,FALSE())),"")</f>
        <v>22</v>
      </c>
      <c r="G332" s="113" t="s">
        <v>665</v>
      </c>
      <c r="H332" s="113" t="s">
        <v>2050</v>
      </c>
      <c r="I332" s="113"/>
      <c r="J332" s="113"/>
      <c r="K332" s="113" t="s">
        <v>2051</v>
      </c>
      <c r="L332" s="113"/>
      <c r="M332" s="113" t="s">
        <v>1110</v>
      </c>
    </row>
    <row r="333" spans="1:13" ht="12.75" hidden="1" customHeight="1" x14ac:dyDescent="0.3">
      <c r="A333" s="111">
        <v>46162</v>
      </c>
      <c r="B333" s="112" t="s">
        <v>2049</v>
      </c>
      <c r="C333" s="113" t="s">
        <v>1111</v>
      </c>
      <c r="D333" s="113" t="str">
        <f>IFERROR(VLOOKUP(C333,SKUs!$A$6:$F$1971,6,FALSE()),"")</f>
        <v>SACOLA BTG - QUADRADA</v>
      </c>
      <c r="E333" s="113">
        <v>17</v>
      </c>
      <c r="F333" s="113">
        <f>IFERROR(IF(OR(B333="",E333=""),"",E333*VLOOKUP(B333,Configurações!$I$5:$J$15,2,FALSE())),"")</f>
        <v>17</v>
      </c>
      <c r="G333" s="113" t="s">
        <v>665</v>
      </c>
      <c r="H333" s="113" t="s">
        <v>2050</v>
      </c>
      <c r="I333" s="113"/>
      <c r="J333" s="113"/>
      <c r="K333" s="113" t="s">
        <v>2051</v>
      </c>
      <c r="L333" s="113"/>
      <c r="M333" s="113" t="s">
        <v>1114</v>
      </c>
    </row>
    <row r="334" spans="1:13" ht="12.75" hidden="1" customHeight="1" x14ac:dyDescent="0.3">
      <c r="A334" s="111">
        <v>46162</v>
      </c>
      <c r="B334" s="112" t="s">
        <v>2049</v>
      </c>
      <c r="C334" s="113" t="s">
        <v>1119</v>
      </c>
      <c r="D334" s="113" t="str">
        <f>IFERROR(VLOOKUP(C334,SKUs!$A$6:$F$1971,6,FALSE()),"")</f>
        <v>SACOLA BTG - QUADRADA</v>
      </c>
      <c r="E334" s="113">
        <v>57</v>
      </c>
      <c r="F334" s="113">
        <f>IFERROR(IF(OR(B334="",E334=""),"",E334*VLOOKUP(B334,Configurações!$I$5:$J$15,2,FALSE())),"")</f>
        <v>57</v>
      </c>
      <c r="G334" s="113" t="s">
        <v>665</v>
      </c>
      <c r="H334" s="113" t="s">
        <v>2050</v>
      </c>
      <c r="I334" s="113"/>
      <c r="J334" s="113"/>
      <c r="K334" s="113" t="s">
        <v>2051</v>
      </c>
      <c r="L334" s="113"/>
      <c r="M334" s="113" t="s">
        <v>1114</v>
      </c>
    </row>
    <row r="335" spans="1:13" ht="12.75" hidden="1" customHeight="1" x14ac:dyDescent="0.3">
      <c r="A335" s="111">
        <v>46162</v>
      </c>
      <c r="B335" s="112" t="s">
        <v>2049</v>
      </c>
      <c r="C335" s="113" t="s">
        <v>1123</v>
      </c>
      <c r="D335" s="113" t="str">
        <f>IFERROR(VLOOKUP(C335,SKUs!$A$6:$F$1971,6,FALSE()),"")</f>
        <v>CABIDE</v>
      </c>
      <c r="E335" s="113">
        <v>50</v>
      </c>
      <c r="F335" s="113">
        <f>IFERROR(IF(OR(B335="",E335=""),"",E335*VLOOKUP(B335,Configurações!$I$5:$J$15,2,FALSE())),"")</f>
        <v>50</v>
      </c>
      <c r="G335" s="113" t="s">
        <v>665</v>
      </c>
      <c r="H335" s="113" t="s">
        <v>2050</v>
      </c>
      <c r="I335" s="113"/>
      <c r="J335" s="113"/>
      <c r="K335" s="113" t="s">
        <v>2051</v>
      </c>
      <c r="L335" s="113"/>
      <c r="M335" s="113" t="s">
        <v>1093</v>
      </c>
    </row>
    <row r="336" spans="1:13" ht="12.75" hidden="1" customHeight="1" x14ac:dyDescent="0.3">
      <c r="A336" s="111">
        <v>46162</v>
      </c>
      <c r="B336" s="112" t="s">
        <v>2049</v>
      </c>
      <c r="C336" s="113" t="s">
        <v>1125</v>
      </c>
      <c r="D336" s="113" t="str">
        <f>IFERROR(VLOOKUP(C336,SKUs!$A$6:$F$1971,6,FALSE()),"")</f>
        <v>GUARDA CHUVA BTG</v>
      </c>
      <c r="E336" s="113">
        <v>4</v>
      </c>
      <c r="F336" s="113">
        <f>IFERROR(IF(OR(B336="",E336=""),"",E336*VLOOKUP(B336,Configurações!$I$5:$J$15,2,FALSE())),"")</f>
        <v>4</v>
      </c>
      <c r="G336" s="113" t="s">
        <v>665</v>
      </c>
      <c r="H336" s="113" t="s">
        <v>2050</v>
      </c>
      <c r="I336" s="113"/>
      <c r="J336" s="113"/>
      <c r="K336" s="113" t="s">
        <v>2051</v>
      </c>
      <c r="L336" s="113"/>
      <c r="M336" s="113" t="s">
        <v>1128</v>
      </c>
    </row>
    <row r="337" spans="1:13" ht="12.75" hidden="1" customHeight="1" x14ac:dyDescent="0.3">
      <c r="A337" s="111">
        <v>46162</v>
      </c>
      <c r="B337" s="112" t="s">
        <v>2049</v>
      </c>
      <c r="C337" s="113" t="s">
        <v>1130</v>
      </c>
      <c r="D337" s="113" t="str">
        <f>IFERROR(VLOOKUP(C337,SKUs!$A$6:$F$1971,6,FALSE()),"")</f>
        <v>GUARDA CHUVA BTG</v>
      </c>
      <c r="E337" s="113">
        <v>1</v>
      </c>
      <c r="F337" s="113">
        <f>IFERROR(IF(OR(B337="",E337=""),"",E337*VLOOKUP(B337,Configurações!$I$5:$J$15,2,FALSE())),"")</f>
        <v>1</v>
      </c>
      <c r="G337" s="113" t="s">
        <v>665</v>
      </c>
      <c r="H337" s="113" t="s">
        <v>2050</v>
      </c>
      <c r="I337" s="113"/>
      <c r="J337" s="113"/>
      <c r="K337" s="113" t="s">
        <v>2051</v>
      </c>
      <c r="L337" s="113"/>
      <c r="M337" s="113" t="s">
        <v>1128</v>
      </c>
    </row>
    <row r="338" spans="1:13" ht="12.75" hidden="1" customHeight="1" x14ac:dyDescent="0.3">
      <c r="A338" s="111">
        <v>46162</v>
      </c>
      <c r="B338" s="112" t="s">
        <v>2049</v>
      </c>
      <c r="C338" s="113" t="s">
        <v>1132</v>
      </c>
      <c r="D338" s="113" t="str">
        <f>IFERROR(VLOOKUP(C338,SKUs!$A$6:$F$1971,6,FALSE()),"")</f>
        <v>RAQUETEIRA</v>
      </c>
      <c r="E338" s="113">
        <v>21</v>
      </c>
      <c r="F338" s="113">
        <f>IFERROR(IF(OR(B338="",E338=""),"",E338*VLOOKUP(B338,Configurações!$I$5:$J$15,2,FALSE())),"")</f>
        <v>21</v>
      </c>
      <c r="G338" s="113" t="s">
        <v>665</v>
      </c>
      <c r="H338" s="113" t="s">
        <v>2050</v>
      </c>
      <c r="I338" s="113"/>
      <c r="J338" s="113"/>
      <c r="K338" s="113" t="s">
        <v>2051</v>
      </c>
      <c r="L338" s="113"/>
      <c r="M338" s="113" t="s">
        <v>1128</v>
      </c>
    </row>
    <row r="339" spans="1:13" ht="12.75" hidden="1" customHeight="1" x14ac:dyDescent="0.3">
      <c r="A339" s="111">
        <v>46162</v>
      </c>
      <c r="B339" s="112" t="s">
        <v>2049</v>
      </c>
      <c r="C339" s="113" t="s">
        <v>1134</v>
      </c>
      <c r="D339" s="113" t="str">
        <f>IFERROR(VLOOKUP(C339,SKUs!$A$6:$F$1971,6,FALSE()),"")</f>
        <v>MALINHA DE MÃO</v>
      </c>
      <c r="E339" s="113">
        <v>14</v>
      </c>
      <c r="F339" s="113">
        <f>IFERROR(IF(OR(B339="",E339=""),"",E339*VLOOKUP(B339,Configurações!$I$5:$J$15,2,FALSE())),"")</f>
        <v>14</v>
      </c>
      <c r="G339" s="113" t="s">
        <v>665</v>
      </c>
      <c r="H339" s="113" t="s">
        <v>2050</v>
      </c>
      <c r="I339" s="113"/>
      <c r="J339" s="113"/>
      <c r="K339" s="113" t="s">
        <v>2051</v>
      </c>
      <c r="L339" s="113"/>
      <c r="M339" s="113" t="s">
        <v>1128</v>
      </c>
    </row>
    <row r="340" spans="1:13" ht="12.75" hidden="1" customHeight="1" x14ac:dyDescent="0.3">
      <c r="A340" s="111">
        <v>46162</v>
      </c>
      <c r="B340" s="112" t="s">
        <v>2049</v>
      </c>
      <c r="C340" s="113" t="s">
        <v>1137</v>
      </c>
      <c r="D340" s="113" t="str">
        <f>IFERROR(VLOOKUP(C340,SKUs!$A$6:$F$1971,6,FALSE()),"")</f>
        <v>MALINHA DE MÃO</v>
      </c>
      <c r="E340" s="113">
        <v>24</v>
      </c>
      <c r="F340" s="113">
        <f>IFERROR(IF(OR(B340="",E340=""),"",E340*VLOOKUP(B340,Configurações!$I$5:$J$15,2,FALSE())),"")</f>
        <v>24</v>
      </c>
      <c r="G340" s="113" t="s">
        <v>665</v>
      </c>
      <c r="H340" s="113" t="s">
        <v>2050</v>
      </c>
      <c r="I340" s="113"/>
      <c r="J340" s="113"/>
      <c r="K340" s="113" t="s">
        <v>2051</v>
      </c>
      <c r="L340" s="113"/>
      <c r="M340" s="113" t="s">
        <v>1128</v>
      </c>
    </row>
    <row r="341" spans="1:13" ht="12.75" hidden="1" customHeight="1" x14ac:dyDescent="0.3">
      <c r="A341" s="111">
        <v>46162</v>
      </c>
      <c r="B341" s="112" t="s">
        <v>2049</v>
      </c>
      <c r="C341" s="113" t="s">
        <v>1139</v>
      </c>
      <c r="D341" s="113" t="str">
        <f>IFERROR(VLOOKUP(C341,SKUs!$A$6:$F$1971,6,FALSE()),"")</f>
        <v>MALINHA DE MÃO</v>
      </c>
      <c r="E341" s="113">
        <v>19</v>
      </c>
      <c r="F341" s="113">
        <f>IFERROR(IF(OR(B341="",E341=""),"",E341*VLOOKUP(B341,Configurações!$I$5:$J$15,2,FALSE())),"")</f>
        <v>19</v>
      </c>
      <c r="G341" s="113" t="s">
        <v>665</v>
      </c>
      <c r="H341" s="113" t="s">
        <v>2050</v>
      </c>
      <c r="I341" s="113"/>
      <c r="J341" s="113"/>
      <c r="K341" s="113" t="s">
        <v>2051</v>
      </c>
      <c r="L341" s="113"/>
      <c r="M341" s="113" t="s">
        <v>1128</v>
      </c>
    </row>
    <row r="342" spans="1:13" ht="12.75" hidden="1" customHeight="1" x14ac:dyDescent="0.3">
      <c r="A342" s="111">
        <v>46162</v>
      </c>
      <c r="B342" s="112" t="s">
        <v>2049</v>
      </c>
      <c r="C342" s="113" t="s">
        <v>1140</v>
      </c>
      <c r="D342" s="113" t="str">
        <f>IFERROR(VLOOKUP(C342,SKUs!$A$6:$F$1971,6,FALSE()),"")</f>
        <v>MALINHA DE MÃO</v>
      </c>
      <c r="E342" s="113">
        <v>9</v>
      </c>
      <c r="F342" s="113">
        <f>IFERROR(IF(OR(B342="",E342=""),"",E342*VLOOKUP(B342,Configurações!$I$5:$J$15,2,FALSE())),"")</f>
        <v>9</v>
      </c>
      <c r="G342" s="113" t="s">
        <v>665</v>
      </c>
      <c r="H342" s="113" t="s">
        <v>2050</v>
      </c>
      <c r="I342" s="113"/>
      <c r="J342" s="113"/>
      <c r="K342" s="113" t="s">
        <v>2051</v>
      </c>
      <c r="L342" s="113"/>
      <c r="M342" s="113" t="s">
        <v>1128</v>
      </c>
    </row>
    <row r="343" spans="1:13" ht="12.75" hidden="1" customHeight="1" x14ac:dyDescent="0.3">
      <c r="A343" s="111">
        <v>46162</v>
      </c>
      <c r="B343" s="112" t="s">
        <v>2049</v>
      </c>
      <c r="C343" s="113" t="s">
        <v>1141</v>
      </c>
      <c r="D343" s="113" t="str">
        <f>IFERROR(VLOOKUP(C343,SKUs!$A$6:$F$1971,6,FALSE()),"")</f>
        <v>ORGANIZADOR DE ROUPA</v>
      </c>
      <c r="E343" s="113">
        <v>7</v>
      </c>
      <c r="F343" s="113">
        <f>IFERROR(IF(OR(B343="",E343=""),"",E343*VLOOKUP(B343,Configurações!$I$5:$J$15,2,FALSE())),"")</f>
        <v>7</v>
      </c>
      <c r="G343" s="113" t="s">
        <v>665</v>
      </c>
      <c r="H343" s="113" t="s">
        <v>2050</v>
      </c>
      <c r="I343" s="113"/>
      <c r="J343" s="113"/>
      <c r="K343" s="113" t="s">
        <v>2051</v>
      </c>
      <c r="L343" s="113"/>
      <c r="M343" s="113" t="s">
        <v>1144</v>
      </c>
    </row>
    <row r="344" spans="1:13" ht="12.75" hidden="1" customHeight="1" x14ac:dyDescent="0.3">
      <c r="A344" s="111">
        <v>46162</v>
      </c>
      <c r="B344" s="112" t="s">
        <v>2049</v>
      </c>
      <c r="C344" s="113" t="s">
        <v>1145</v>
      </c>
      <c r="D344" s="113" t="str">
        <f>IFERROR(VLOOKUP(C344,SKUs!$A$6:$F$1971,6,FALSE()),"")</f>
        <v>ORGANIZADOR DE ROUPA</v>
      </c>
      <c r="E344" s="113">
        <v>11</v>
      </c>
      <c r="F344" s="113">
        <f>IFERROR(IF(OR(B344="",E344=""),"",E344*VLOOKUP(B344,Configurações!$I$5:$J$15,2,FALSE())),"")</f>
        <v>11</v>
      </c>
      <c r="G344" s="113" t="s">
        <v>665</v>
      </c>
      <c r="H344" s="113" t="s">
        <v>2050</v>
      </c>
      <c r="I344" s="113"/>
      <c r="J344" s="113"/>
      <c r="K344" s="113" t="s">
        <v>2051</v>
      </c>
      <c r="L344" s="113"/>
      <c r="M344" s="113" t="s">
        <v>1144</v>
      </c>
    </row>
    <row r="345" spans="1:13" ht="12.75" hidden="1" customHeight="1" x14ac:dyDescent="0.3">
      <c r="A345" s="111">
        <v>46162</v>
      </c>
      <c r="B345" s="112" t="s">
        <v>2049</v>
      </c>
      <c r="C345" s="113" t="s">
        <v>1146</v>
      </c>
      <c r="D345" s="113" t="str">
        <f>IFERROR(VLOOKUP(C345,SKUs!$A$6:$F$1971,6,FALSE()),"")</f>
        <v>TECIDO PARA CUBRIR STAND</v>
      </c>
      <c r="E345" s="113">
        <v>3</v>
      </c>
      <c r="F345" s="113">
        <f>IFERROR(IF(OR(B345="",E345=""),"",E345*VLOOKUP(B345,Configurações!$I$5:$J$15,2,FALSE())),"")</f>
        <v>3</v>
      </c>
      <c r="G345" s="113" t="s">
        <v>665</v>
      </c>
      <c r="H345" s="113" t="s">
        <v>2050</v>
      </c>
      <c r="I345" s="113"/>
      <c r="J345" s="113"/>
      <c r="K345" s="113" t="s">
        <v>2051</v>
      </c>
      <c r="L345" s="113"/>
      <c r="M345" s="113" t="s">
        <v>1148</v>
      </c>
    </row>
    <row r="346" spans="1:13" ht="12.75" hidden="1" customHeight="1" x14ac:dyDescent="0.3">
      <c r="A346" s="111">
        <v>46162</v>
      </c>
      <c r="B346" s="112" t="s">
        <v>2049</v>
      </c>
      <c r="C346" s="113" t="s">
        <v>1149</v>
      </c>
      <c r="D346" s="113" t="str">
        <f>IFERROR(VLOOKUP(C346,SKUs!$A$6:$F$1971,6,FALSE()),"")</f>
        <v>TOALHA PISCINA</v>
      </c>
      <c r="E346" s="113">
        <v>14</v>
      </c>
      <c r="F346" s="113">
        <f>IFERROR(IF(OR(B346="",E346=""),"",E346*VLOOKUP(B346,Configurações!$I$5:$J$15,2,FALSE())),"")</f>
        <v>14</v>
      </c>
      <c r="G346" s="113" t="s">
        <v>665</v>
      </c>
      <c r="H346" s="113" t="s">
        <v>2050</v>
      </c>
      <c r="I346" s="113"/>
      <c r="J346" s="113"/>
      <c r="K346" s="113" t="s">
        <v>2051</v>
      </c>
      <c r="L346" s="113"/>
      <c r="M346" s="113" t="s">
        <v>1152</v>
      </c>
    </row>
    <row r="347" spans="1:13" ht="12.75" hidden="1" customHeight="1" x14ac:dyDescent="0.3">
      <c r="A347" s="111">
        <v>46162</v>
      </c>
      <c r="B347" s="112" t="s">
        <v>2049</v>
      </c>
      <c r="C347" s="113" t="s">
        <v>1153</v>
      </c>
      <c r="D347" s="113" t="str">
        <f>IFERROR(VLOOKUP(C347,SKUs!$A$6:$F$1971,6,FALSE()),"")</f>
        <v>MOCHILA RV</v>
      </c>
      <c r="E347" s="113">
        <v>11</v>
      </c>
      <c r="F347" s="113">
        <f>IFERROR(IF(OR(B347="",E347=""),"",E347*VLOOKUP(B347,Configurações!$I$5:$J$15,2,FALSE())),"")</f>
        <v>11</v>
      </c>
      <c r="G347" s="113" t="s">
        <v>665</v>
      </c>
      <c r="H347" s="113" t="s">
        <v>2050</v>
      </c>
      <c r="I347" s="113"/>
      <c r="J347" s="113"/>
      <c r="K347" s="113" t="s">
        <v>2051</v>
      </c>
      <c r="L347" s="113"/>
      <c r="M347" s="113" t="s">
        <v>1156</v>
      </c>
    </row>
    <row r="348" spans="1:13" ht="12.75" hidden="1" customHeight="1" x14ac:dyDescent="0.3">
      <c r="A348" s="111">
        <v>46162</v>
      </c>
      <c r="B348" s="112" t="s">
        <v>2049</v>
      </c>
      <c r="C348" s="113" t="s">
        <v>1158</v>
      </c>
      <c r="D348" s="113" t="str">
        <f>IFERROR(VLOOKUP(C348,SKUs!$A$6:$F$1971,6,FALSE()),"")</f>
        <v>MALA DE MÃO</v>
      </c>
      <c r="E348" s="113">
        <v>6</v>
      </c>
      <c r="F348" s="113">
        <f>IFERROR(IF(OR(B348="",E348=""),"",E348*VLOOKUP(B348,Configurações!$I$5:$J$15,2,FALSE())),"")</f>
        <v>6</v>
      </c>
      <c r="G348" s="113" t="s">
        <v>665</v>
      </c>
      <c r="H348" s="113" t="s">
        <v>2050</v>
      </c>
      <c r="I348" s="113"/>
      <c r="J348" s="113"/>
      <c r="K348" s="113" t="s">
        <v>2051</v>
      </c>
      <c r="L348" s="113"/>
      <c r="M348" s="113" t="s">
        <v>1160</v>
      </c>
    </row>
    <row r="349" spans="1:13" ht="12.75" hidden="1" customHeight="1" x14ac:dyDescent="0.3">
      <c r="A349" s="111">
        <v>46162</v>
      </c>
      <c r="B349" s="112" t="s">
        <v>2049</v>
      </c>
      <c r="C349" s="113" t="s">
        <v>1161</v>
      </c>
      <c r="D349" s="113" t="str">
        <f>IFERROR(VLOOKUP(C349,SKUs!$A$6:$F$1971,6,FALSE()),"")</f>
        <v>LANCHEIRA AZ</v>
      </c>
      <c r="E349" s="113">
        <v>2</v>
      </c>
      <c r="F349" s="113">
        <f>IFERROR(IF(OR(B349="",E349=""),"",E349*VLOOKUP(B349,Configurações!$I$5:$J$15,2,FALSE())),"")</f>
        <v>2</v>
      </c>
      <c r="G349" s="113" t="s">
        <v>665</v>
      </c>
      <c r="H349" s="113" t="s">
        <v>2050</v>
      </c>
      <c r="I349" s="113"/>
      <c r="J349" s="113"/>
      <c r="K349" s="113" t="s">
        <v>2051</v>
      </c>
      <c r="L349" s="113"/>
      <c r="M349" s="113" t="s">
        <v>1164</v>
      </c>
    </row>
    <row r="350" spans="1:13" ht="12.75" hidden="1" customHeight="1" x14ac:dyDescent="0.3">
      <c r="A350" s="111">
        <v>46162</v>
      </c>
      <c r="B350" s="112" t="s">
        <v>2049</v>
      </c>
      <c r="C350" s="113" t="s">
        <v>1166</v>
      </c>
      <c r="D350" s="113" t="str">
        <f>IFERROR(VLOOKUP(C350,SKUs!$A$6:$F$1971,6,FALSE()),"")</f>
        <v>MANTA FOM</v>
      </c>
      <c r="E350" s="113">
        <v>5</v>
      </c>
      <c r="F350" s="113">
        <f>IFERROR(IF(OR(B350="",E350=""),"",E350*VLOOKUP(B350,Configurações!$I$5:$J$15,2,FALSE())),"")</f>
        <v>5</v>
      </c>
      <c r="G350" s="113" t="s">
        <v>665</v>
      </c>
      <c r="H350" s="113" t="s">
        <v>2050</v>
      </c>
      <c r="I350" s="113"/>
      <c r="J350" s="113"/>
      <c r="K350" s="113" t="s">
        <v>2051</v>
      </c>
      <c r="L350" s="113"/>
      <c r="M350" s="113" t="s">
        <v>1164</v>
      </c>
    </row>
    <row r="351" spans="1:13" ht="12.75" hidden="1" customHeight="1" x14ac:dyDescent="0.3">
      <c r="A351" s="111">
        <v>46162</v>
      </c>
      <c r="B351" s="112" t="s">
        <v>2049</v>
      </c>
      <c r="C351" s="113" t="s">
        <v>1169</v>
      </c>
      <c r="D351" s="113" t="str">
        <f>IFERROR(VLOOKUP(C351,SKUs!$A$6:$F$1971,6,FALSE()),"")</f>
        <v>CANECA CERÂMICA</v>
      </c>
      <c r="E351" s="113">
        <v>32</v>
      </c>
      <c r="F351" s="113">
        <f>IFERROR(IF(OR(B351="",E351=""),"",E351*VLOOKUP(B351,Configurações!$I$5:$J$15,2,FALSE())),"")</f>
        <v>32</v>
      </c>
      <c r="G351" s="113" t="s">
        <v>665</v>
      </c>
      <c r="H351" s="113" t="s">
        <v>2050</v>
      </c>
      <c r="I351" s="113"/>
      <c r="J351" s="113"/>
      <c r="K351" s="113" t="s">
        <v>2051</v>
      </c>
      <c r="L351" s="113"/>
      <c r="M351" s="113" t="s">
        <v>1172</v>
      </c>
    </row>
    <row r="352" spans="1:13" ht="12.75" hidden="1" customHeight="1" x14ac:dyDescent="0.3">
      <c r="A352" s="111">
        <v>46162</v>
      </c>
      <c r="B352" s="112" t="s">
        <v>2049</v>
      </c>
      <c r="C352" s="113" t="s">
        <v>1174</v>
      </c>
      <c r="D352" s="113" t="str">
        <f>IFERROR(VLOOKUP(C352,SKUs!$A$6:$F$1971,6,FALSE()),"")</f>
        <v>MOCHILA VICTORINOX - BTG</v>
      </c>
      <c r="E352" s="113">
        <v>6</v>
      </c>
      <c r="F352" s="113">
        <f>IFERROR(IF(OR(B352="",E352=""),"",E352*VLOOKUP(B352,Configurações!$I$5:$J$15,2,FALSE())),"")</f>
        <v>6</v>
      </c>
      <c r="G352" s="113" t="s">
        <v>665</v>
      </c>
      <c r="H352" s="113" t="s">
        <v>2050</v>
      </c>
      <c r="I352" s="113"/>
      <c r="J352" s="113"/>
      <c r="K352" s="113" t="s">
        <v>2051</v>
      </c>
      <c r="L352" s="113"/>
      <c r="M352" s="113" t="s">
        <v>1176</v>
      </c>
    </row>
    <row r="353" spans="1:13" ht="12.75" hidden="1" customHeight="1" x14ac:dyDescent="0.3">
      <c r="A353" s="111">
        <v>46162</v>
      </c>
      <c r="B353" s="112" t="s">
        <v>2049</v>
      </c>
      <c r="C353" s="113" t="s">
        <v>1178</v>
      </c>
      <c r="D353" s="113" t="str">
        <f>IFERROR(VLOOKUP(C353,SKUs!$A$6:$F$1971,6,FALSE()),"")</f>
        <v>COPO STALEY</v>
      </c>
      <c r="E353" s="113">
        <v>3</v>
      </c>
      <c r="F353" s="113">
        <f>IFERROR(IF(OR(B353="",E353=""),"",E353*VLOOKUP(B353,Configurações!$I$5:$J$15,2,FALSE())),"")</f>
        <v>3</v>
      </c>
      <c r="G353" s="113" t="s">
        <v>665</v>
      </c>
      <c r="H353" s="113" t="s">
        <v>2050</v>
      </c>
      <c r="I353" s="113"/>
      <c r="J353" s="113"/>
      <c r="K353" s="113" t="s">
        <v>2051</v>
      </c>
      <c r="L353" s="113"/>
      <c r="M353" s="113" t="s">
        <v>1182</v>
      </c>
    </row>
    <row r="354" spans="1:13" ht="12.75" hidden="1" customHeight="1" x14ac:dyDescent="0.3">
      <c r="A354" s="111">
        <v>46162</v>
      </c>
      <c r="B354" s="112" t="s">
        <v>2049</v>
      </c>
      <c r="C354" s="113" t="s">
        <v>1183</v>
      </c>
      <c r="D354" s="113" t="str">
        <f>IFERROR(VLOOKUP(C354,SKUs!$A$6:$F$1971,6,FALSE()),"")</f>
        <v>GARRAFA INOX - BTG</v>
      </c>
      <c r="E354" s="113">
        <v>12</v>
      </c>
      <c r="F354" s="113">
        <f>IFERROR(IF(OR(B354="",E354=""),"",E354*VLOOKUP(B354,Configurações!$I$5:$J$15,2,FALSE())),"")</f>
        <v>12</v>
      </c>
      <c r="G354" s="113" t="s">
        <v>665</v>
      </c>
      <c r="H354" s="113" t="s">
        <v>2050</v>
      </c>
      <c r="I354" s="113"/>
      <c r="J354" s="113"/>
      <c r="K354" s="113" t="s">
        <v>2051</v>
      </c>
      <c r="L354" s="113"/>
      <c r="M354" s="113" t="s">
        <v>1182</v>
      </c>
    </row>
    <row r="355" spans="1:13" ht="12.75" hidden="1" customHeight="1" x14ac:dyDescent="0.3">
      <c r="A355" s="111">
        <v>46162</v>
      </c>
      <c r="B355" s="112" t="s">
        <v>2049</v>
      </c>
      <c r="C355" s="113" t="s">
        <v>1188</v>
      </c>
      <c r="D355" s="113" t="str">
        <f>IFERROR(VLOOKUP(C355,SKUs!$A$6:$F$1971,6,FALSE()),"")</f>
        <v>COPO CAFÉ - G</v>
      </c>
      <c r="E355" s="113">
        <v>2</v>
      </c>
      <c r="F355" s="113">
        <f>IFERROR(IF(OR(B355="",E355=""),"",E355*VLOOKUP(B355,Configurações!$I$5:$J$15,2,FALSE())),"")</f>
        <v>2</v>
      </c>
      <c r="G355" s="113" t="s">
        <v>665</v>
      </c>
      <c r="H355" s="113" t="s">
        <v>2050</v>
      </c>
      <c r="I355" s="113"/>
      <c r="J355" s="113"/>
      <c r="K355" s="113" t="s">
        <v>2051</v>
      </c>
      <c r="L355" s="113"/>
      <c r="M355" s="113" t="s">
        <v>1182</v>
      </c>
    </row>
    <row r="356" spans="1:13" ht="12.75" hidden="1" customHeight="1" x14ac:dyDescent="0.3">
      <c r="A356" s="111">
        <v>46162</v>
      </c>
      <c r="B356" s="112" t="s">
        <v>2049</v>
      </c>
      <c r="C356" s="113" t="s">
        <v>1192</v>
      </c>
      <c r="D356" s="113" t="str">
        <f>IFERROR(VLOOKUP(C356,SKUs!$A$6:$F$1971,6,FALSE()),"")</f>
        <v>GARRAFA TERMICA EM INOX</v>
      </c>
      <c r="E356" s="113">
        <v>6</v>
      </c>
      <c r="F356" s="113">
        <f>IFERROR(IF(OR(B356="",E356=""),"",E356*VLOOKUP(B356,Configurações!$I$5:$J$15,2,FALSE())),"")</f>
        <v>6</v>
      </c>
      <c r="G356" s="113" t="s">
        <v>665</v>
      </c>
      <c r="H356" s="113" t="s">
        <v>2050</v>
      </c>
      <c r="I356" s="113"/>
      <c r="J356" s="113"/>
      <c r="K356" s="113" t="s">
        <v>2051</v>
      </c>
      <c r="L356" s="113"/>
      <c r="M356" s="113" t="s">
        <v>1182</v>
      </c>
    </row>
    <row r="357" spans="1:13" ht="12.75" hidden="1" customHeight="1" x14ac:dyDescent="0.3">
      <c r="A357" s="111">
        <v>46162</v>
      </c>
      <c r="B357" s="112" t="s">
        <v>2049</v>
      </c>
      <c r="C357" s="113" t="s">
        <v>1125</v>
      </c>
      <c r="D357" s="113" t="str">
        <f>IFERROR(VLOOKUP(C357,SKUs!$A$6:$F$1971,6,FALSE()),"")</f>
        <v>GUARDA CHUVA BTG</v>
      </c>
      <c r="E357" s="113">
        <v>6</v>
      </c>
      <c r="F357" s="113">
        <f>IFERROR(IF(OR(B357="",E357=""),"",E357*VLOOKUP(B357,Configurações!$I$5:$J$15,2,FALSE())),"")</f>
        <v>6</v>
      </c>
      <c r="G357" s="113" t="s">
        <v>665</v>
      </c>
      <c r="H357" s="113" t="s">
        <v>2050</v>
      </c>
      <c r="I357" s="113"/>
      <c r="J357" s="113"/>
      <c r="K357" s="113" t="s">
        <v>2051</v>
      </c>
      <c r="L357" s="113"/>
      <c r="M357" s="113" t="s">
        <v>1129</v>
      </c>
    </row>
    <row r="358" spans="1:13" ht="12.75" hidden="1" customHeight="1" x14ac:dyDescent="0.3">
      <c r="A358" s="111">
        <v>46162</v>
      </c>
      <c r="B358" s="112" t="s">
        <v>2049</v>
      </c>
      <c r="C358" s="113" t="s">
        <v>1130</v>
      </c>
      <c r="D358" s="113" t="str">
        <f>IFERROR(VLOOKUP(C358,SKUs!$A$6:$F$1971,6,FALSE()),"")</f>
        <v>GUARDA CHUVA BTG</v>
      </c>
      <c r="E358" s="113">
        <v>6</v>
      </c>
      <c r="F358" s="113">
        <f>IFERROR(IF(OR(B358="",E358=""),"",E358*VLOOKUP(B358,Configurações!$I$5:$J$15,2,FALSE())),"")</f>
        <v>6</v>
      </c>
      <c r="G358" s="113" t="s">
        <v>665</v>
      </c>
      <c r="H358" s="113" t="s">
        <v>2050</v>
      </c>
      <c r="I358" s="113"/>
      <c r="J358" s="113"/>
      <c r="K358" s="113" t="s">
        <v>2051</v>
      </c>
      <c r="L358" s="113"/>
      <c r="M358" s="113" t="s">
        <v>1129</v>
      </c>
    </row>
    <row r="359" spans="1:13" ht="12.75" hidden="1" customHeight="1" x14ac:dyDescent="0.3">
      <c r="A359" s="111">
        <v>46162</v>
      </c>
      <c r="B359" s="112" t="s">
        <v>2049</v>
      </c>
      <c r="C359" s="113" t="s">
        <v>1194</v>
      </c>
      <c r="D359" s="113" t="str">
        <f>IFERROR(VLOOKUP(C359,SKUs!$A$6:$F$1971,6,FALSE()),"")</f>
        <v>GARRAFA STALEY</v>
      </c>
      <c r="E359" s="113">
        <v>5</v>
      </c>
      <c r="F359" s="113">
        <f>IFERROR(IF(OR(B359="",E359=""),"",E359*VLOOKUP(B359,Configurações!$I$5:$J$15,2,FALSE())),"")</f>
        <v>5</v>
      </c>
      <c r="G359" s="113" t="s">
        <v>665</v>
      </c>
      <c r="H359" s="113" t="s">
        <v>2050</v>
      </c>
      <c r="I359" s="113"/>
      <c r="J359" s="113"/>
      <c r="K359" s="113" t="s">
        <v>2051</v>
      </c>
      <c r="L359" s="113"/>
      <c r="M359" s="113" t="s">
        <v>1191</v>
      </c>
    </row>
    <row r="360" spans="1:13" ht="12.75" hidden="1" customHeight="1" x14ac:dyDescent="0.3">
      <c r="A360" s="111">
        <v>46162</v>
      </c>
      <c r="B360" s="112" t="s">
        <v>2049</v>
      </c>
      <c r="C360" s="113" t="s">
        <v>1196</v>
      </c>
      <c r="D360" s="113" t="str">
        <f>IFERROR(VLOOKUP(C360,SKUs!$A$6:$F$1971,6,FALSE()),"")</f>
        <v>GARRAFA STALEY</v>
      </c>
      <c r="E360" s="113">
        <v>2</v>
      </c>
      <c r="F360" s="113">
        <f>IFERROR(IF(OR(B360="",E360=""),"",E360*VLOOKUP(B360,Configurações!$I$5:$J$15,2,FALSE())),"")</f>
        <v>2</v>
      </c>
      <c r="G360" s="113" t="s">
        <v>665</v>
      </c>
      <c r="H360" s="113" t="s">
        <v>2050</v>
      </c>
      <c r="I360" s="113"/>
      <c r="J360" s="113"/>
      <c r="K360" s="113" t="s">
        <v>2051</v>
      </c>
      <c r="L360" s="113"/>
      <c r="M360" s="113" t="s">
        <v>1182</v>
      </c>
    </row>
    <row r="361" spans="1:13" ht="12.75" hidden="1" customHeight="1" x14ac:dyDescent="0.3">
      <c r="A361" s="111">
        <v>46162</v>
      </c>
      <c r="B361" s="112" t="s">
        <v>2049</v>
      </c>
      <c r="C361" s="113" t="s">
        <v>1188</v>
      </c>
      <c r="D361" s="113" t="str">
        <f>IFERROR(VLOOKUP(C361,SKUs!$A$6:$F$1971,6,FALSE()),"")</f>
        <v>COPO CAFÉ - G</v>
      </c>
      <c r="E361" s="113">
        <v>19</v>
      </c>
      <c r="F361" s="113">
        <f>IFERROR(IF(OR(B361="",E361=""),"",E361*VLOOKUP(B361,Configurações!$I$5:$J$15,2,FALSE())),"")</f>
        <v>19</v>
      </c>
      <c r="G361" s="113" t="s">
        <v>665</v>
      </c>
      <c r="H361" s="113" t="s">
        <v>2050</v>
      </c>
      <c r="I361" s="113"/>
      <c r="J361" s="113"/>
      <c r="K361" s="113" t="s">
        <v>2051</v>
      </c>
      <c r="L361" s="113"/>
      <c r="M361" s="113" t="s">
        <v>1191</v>
      </c>
    </row>
    <row r="362" spans="1:13" ht="12.75" hidden="1" customHeight="1" x14ac:dyDescent="0.3">
      <c r="A362" s="111">
        <v>46162</v>
      </c>
      <c r="B362" s="112" t="s">
        <v>2049</v>
      </c>
      <c r="C362" s="113" t="s">
        <v>1197</v>
      </c>
      <c r="D362" s="113" t="str">
        <f>IFERROR(VLOOKUP(C362,SKUs!$A$6:$F$1971,6,FALSE()),"")</f>
        <v>COPO CAFÉ - P</v>
      </c>
      <c r="E362" s="113">
        <v>25</v>
      </c>
      <c r="F362" s="113">
        <f>IFERROR(IF(OR(B362="",E362=""),"",E362*VLOOKUP(B362,Configurações!$I$5:$J$15,2,FALSE())),"")</f>
        <v>25</v>
      </c>
      <c r="G362" s="113" t="s">
        <v>665</v>
      </c>
      <c r="H362" s="113" t="s">
        <v>2050</v>
      </c>
      <c r="I362" s="113"/>
      <c r="J362" s="113"/>
      <c r="K362" s="113" t="s">
        <v>2051</v>
      </c>
      <c r="L362" s="113"/>
      <c r="M362" s="113" t="s">
        <v>1182</v>
      </c>
    </row>
    <row r="363" spans="1:13" ht="12.75" hidden="1" customHeight="1" x14ac:dyDescent="0.3">
      <c r="A363" s="111">
        <v>46162</v>
      </c>
      <c r="B363" s="112" t="s">
        <v>2049</v>
      </c>
      <c r="C363" s="113" t="s">
        <v>1200</v>
      </c>
      <c r="D363" s="113" t="str">
        <f>IFERROR(VLOOKUP(C363,SKUs!$A$6:$F$1971,6,FALSE()),"")</f>
        <v>CANECA TREMICA FOKUS</v>
      </c>
      <c r="E363" s="113">
        <v>12</v>
      </c>
      <c r="F363" s="113">
        <f>IFERROR(IF(OR(B363="",E363=""),"",E363*VLOOKUP(B363,Configurações!$I$5:$J$15,2,FALSE())),"")</f>
        <v>12</v>
      </c>
      <c r="G363" s="113" t="s">
        <v>665</v>
      </c>
      <c r="H363" s="113" t="s">
        <v>2050</v>
      </c>
      <c r="I363" s="113"/>
      <c r="J363" s="113"/>
      <c r="K363" s="113" t="s">
        <v>2051</v>
      </c>
      <c r="L363" s="113"/>
      <c r="M363" s="113" t="s">
        <v>1204</v>
      </c>
    </row>
    <row r="364" spans="1:13" ht="12.75" hidden="1" customHeight="1" x14ac:dyDescent="0.3">
      <c r="A364" s="111">
        <v>46162</v>
      </c>
      <c r="B364" s="112" t="s">
        <v>2049</v>
      </c>
      <c r="C364" s="113" t="s">
        <v>1206</v>
      </c>
      <c r="D364" s="113" t="str">
        <f>IFERROR(VLOOKUP(C364,SKUs!$A$6:$F$1971,6,FALSE()),"")</f>
        <v>COPO TERMICO BEERCUP</v>
      </c>
      <c r="E364" s="113">
        <v>2</v>
      </c>
      <c r="F364" s="113">
        <f>IFERROR(IF(OR(B364="",E364=""),"",E364*VLOOKUP(B364,Configurações!$I$5:$J$15,2,FALSE())),"")</f>
        <v>2</v>
      </c>
      <c r="G364" s="113" t="s">
        <v>665</v>
      </c>
      <c r="H364" s="113" t="s">
        <v>2050</v>
      </c>
      <c r="I364" s="113"/>
      <c r="J364" s="113"/>
      <c r="K364" s="113" t="s">
        <v>2051</v>
      </c>
      <c r="L364" s="113"/>
      <c r="M364" s="113" t="s">
        <v>1204</v>
      </c>
    </row>
    <row r="365" spans="1:13" ht="12.75" hidden="1" customHeight="1" x14ac:dyDescent="0.3">
      <c r="A365" s="111">
        <v>46162</v>
      </c>
      <c r="B365" s="112" t="s">
        <v>2049</v>
      </c>
      <c r="C365" s="113" t="s">
        <v>1209</v>
      </c>
      <c r="D365" s="113" t="str">
        <f>IFERROR(VLOOKUP(C365,SKUs!$A$6:$F$1971,6,FALSE()),"")</f>
        <v>COPO TERMICO THERMOCUP</v>
      </c>
      <c r="E365" s="113">
        <v>5</v>
      </c>
      <c r="F365" s="113">
        <f>IFERROR(IF(OR(B365="",E365=""),"",E365*VLOOKUP(B365,Configurações!$I$5:$J$15,2,FALSE())),"")</f>
        <v>5</v>
      </c>
      <c r="G365" s="113" t="s">
        <v>665</v>
      </c>
      <c r="H365" s="113" t="s">
        <v>2050</v>
      </c>
      <c r="I365" s="113"/>
      <c r="J365" s="113"/>
      <c r="K365" s="113" t="s">
        <v>2051</v>
      </c>
      <c r="L365" s="113"/>
      <c r="M365" s="113" t="s">
        <v>1204</v>
      </c>
    </row>
    <row r="366" spans="1:13" ht="12.75" hidden="1" customHeight="1" x14ac:dyDescent="0.3">
      <c r="A366" s="111">
        <v>46162</v>
      </c>
      <c r="B366" s="112" t="s">
        <v>2049</v>
      </c>
      <c r="C366" s="113" t="s">
        <v>1213</v>
      </c>
      <c r="D366" s="113" t="str">
        <f>IFERROR(VLOOKUP(C366,SKUs!$A$6:$F$1971,6,FALSE()),"")</f>
        <v>COPO TERMICO THERMOCUP</v>
      </c>
      <c r="E366" s="113">
        <v>1</v>
      </c>
      <c r="F366" s="113">
        <f>IFERROR(IF(OR(B366="",E366=""),"",E366*VLOOKUP(B366,Configurações!$I$5:$J$15,2,FALSE())),"")</f>
        <v>1</v>
      </c>
      <c r="G366" s="113" t="s">
        <v>665</v>
      </c>
      <c r="H366" s="113" t="s">
        <v>2050</v>
      </c>
      <c r="I366" s="113"/>
      <c r="J366" s="113"/>
      <c r="K366" s="113" t="s">
        <v>2051</v>
      </c>
      <c r="L366" s="113"/>
      <c r="M366" s="113" t="s">
        <v>1204</v>
      </c>
    </row>
    <row r="367" spans="1:13" ht="12.75" hidden="1" customHeight="1" x14ac:dyDescent="0.3">
      <c r="A367" s="111">
        <v>46163</v>
      </c>
      <c r="B367" s="112" t="s">
        <v>2049</v>
      </c>
      <c r="C367" s="113" t="s">
        <v>1214</v>
      </c>
      <c r="D367" s="113" t="str">
        <f>IFERROR(VLOOKUP(C367,SKUs!$A$6:$F$1971,6,FALSE()),"")</f>
        <v>CANETA BTG COM LOGO</v>
      </c>
      <c r="E367" s="113">
        <v>6</v>
      </c>
      <c r="F367" s="113">
        <f>IFERROR(IF(OR(B367="",E367=""),"",E367*VLOOKUP(B367,Configurações!$I$5:$J$15,2,FALSE())),"")</f>
        <v>6</v>
      </c>
      <c r="G367" s="113" t="s">
        <v>665</v>
      </c>
      <c r="H367" s="113" t="s">
        <v>2050</v>
      </c>
      <c r="I367" s="113"/>
      <c r="J367" s="113"/>
      <c r="K367" s="113" t="s">
        <v>2051</v>
      </c>
      <c r="L367" s="113"/>
      <c r="M367" s="113" t="s">
        <v>1212</v>
      </c>
    </row>
    <row r="368" spans="1:13" ht="12.75" hidden="1" customHeight="1" x14ac:dyDescent="0.3">
      <c r="A368" s="111">
        <v>46163</v>
      </c>
      <c r="B368" s="112" t="s">
        <v>2049</v>
      </c>
      <c r="C368" s="113" t="s">
        <v>1218</v>
      </c>
      <c r="D368" s="113" t="str">
        <f>IFERROR(VLOOKUP(C368,SKUs!$A$6:$F$1971,6,FALSE()),"")</f>
        <v>CANETA BTG COM LOGO</v>
      </c>
      <c r="E368" s="113">
        <v>43</v>
      </c>
      <c r="F368" s="113">
        <f>IFERROR(IF(OR(B368="",E368=""),"",E368*VLOOKUP(B368,Configurações!$I$5:$J$15,2,FALSE())),"")</f>
        <v>43</v>
      </c>
      <c r="G368" s="113" t="s">
        <v>665</v>
      </c>
      <c r="H368" s="113" t="s">
        <v>2050</v>
      </c>
      <c r="I368" s="113"/>
      <c r="J368" s="113"/>
      <c r="K368" s="113" t="s">
        <v>2051</v>
      </c>
      <c r="L368" s="113"/>
      <c r="M368" s="113" t="s">
        <v>1212</v>
      </c>
    </row>
    <row r="369" spans="1:13" ht="12.75" hidden="1" customHeight="1" x14ac:dyDescent="0.3">
      <c r="A369" s="111">
        <v>46163</v>
      </c>
      <c r="B369" s="112" t="s">
        <v>2049</v>
      </c>
      <c r="C369" s="113" t="s">
        <v>1209</v>
      </c>
      <c r="D369" s="113" t="str">
        <f>IFERROR(VLOOKUP(C369,SKUs!$A$6:$F$1971,6,FALSE()),"")</f>
        <v>COPO TERMICO THERMOCUP</v>
      </c>
      <c r="E369" s="113">
        <v>9</v>
      </c>
      <c r="F369" s="113">
        <f>IFERROR(IF(OR(B369="",E369=""),"",E369*VLOOKUP(B369,Configurações!$I$5:$J$15,2,FALSE())),"")</f>
        <v>9</v>
      </c>
      <c r="G369" s="113" t="s">
        <v>665</v>
      </c>
      <c r="H369" s="113" t="s">
        <v>2050</v>
      </c>
      <c r="I369" s="113"/>
      <c r="J369" s="113"/>
      <c r="K369" s="113" t="s">
        <v>2051</v>
      </c>
      <c r="L369" s="113"/>
      <c r="M369" s="113" t="s">
        <v>1212</v>
      </c>
    </row>
    <row r="370" spans="1:13" ht="12.75" hidden="1" customHeight="1" x14ac:dyDescent="0.3">
      <c r="A370" s="111">
        <v>46163</v>
      </c>
      <c r="B370" s="112" t="s">
        <v>2049</v>
      </c>
      <c r="C370" s="113" t="s">
        <v>1220</v>
      </c>
      <c r="D370" s="113" t="str">
        <f>IFERROR(VLOOKUP(C370,SKUs!$A$6:$F$1971,6,FALSE()),"")</f>
        <v>COPO TERMICO THERMOCUP</v>
      </c>
      <c r="E370" s="113">
        <v>1</v>
      </c>
      <c r="F370" s="113">
        <f>IFERROR(IF(OR(B370="",E370=""),"",E370*VLOOKUP(B370,Configurações!$I$5:$J$15,2,FALSE())),"")</f>
        <v>1</v>
      </c>
      <c r="G370" s="113" t="s">
        <v>665</v>
      </c>
      <c r="H370" s="113" t="s">
        <v>2050</v>
      </c>
      <c r="I370" s="113"/>
      <c r="J370" s="113"/>
      <c r="K370" s="113" t="s">
        <v>2051</v>
      </c>
      <c r="L370" s="113"/>
      <c r="M370" s="113" t="s">
        <v>1212</v>
      </c>
    </row>
    <row r="371" spans="1:13" ht="12.75" hidden="1" customHeight="1" x14ac:dyDescent="0.3">
      <c r="A371" s="111">
        <v>46163</v>
      </c>
      <c r="B371" s="112" t="s">
        <v>2049</v>
      </c>
      <c r="C371" s="113" t="s">
        <v>1221</v>
      </c>
      <c r="D371" s="113" t="str">
        <f>IFERROR(VLOOKUP(C371,SKUs!$A$6:$F$1971,6,FALSE()),"")</f>
        <v>GARRAFA VYTA</v>
      </c>
      <c r="E371" s="113">
        <v>10</v>
      </c>
      <c r="F371" s="113">
        <f>IFERROR(IF(OR(B371="",E371=""),"",E371*VLOOKUP(B371,Configurações!$I$5:$J$15,2,FALSE())),"")</f>
        <v>10</v>
      </c>
      <c r="G371" s="113" t="s">
        <v>665</v>
      </c>
      <c r="H371" s="113" t="s">
        <v>2050</v>
      </c>
      <c r="I371" s="113"/>
      <c r="J371" s="113"/>
      <c r="K371" s="113" t="s">
        <v>2051</v>
      </c>
      <c r="L371" s="113"/>
      <c r="M371" s="113" t="s">
        <v>1212</v>
      </c>
    </row>
    <row r="372" spans="1:13" ht="12.75" hidden="1" customHeight="1" x14ac:dyDescent="0.3">
      <c r="A372" s="111">
        <v>46163</v>
      </c>
      <c r="B372" s="112" t="s">
        <v>2049</v>
      </c>
      <c r="C372" s="113" t="s">
        <v>1223</v>
      </c>
      <c r="D372" s="113" t="str">
        <f>IFERROR(VLOOKUP(C372,SKUs!$A$6:$F$1971,6,FALSE()),"")</f>
        <v>JAQUETA CORTA VENTO NYLON</v>
      </c>
      <c r="E372" s="113">
        <v>3</v>
      </c>
      <c r="F372" s="113">
        <f>IFERROR(IF(OR(B372="",E372=""),"",E372*VLOOKUP(B372,Configurações!$I$5:$J$15,2,FALSE())),"")</f>
        <v>3</v>
      </c>
      <c r="G372" s="113" t="s">
        <v>665</v>
      </c>
      <c r="H372" s="113" t="s">
        <v>2050</v>
      </c>
      <c r="I372" s="113"/>
      <c r="J372" s="113"/>
      <c r="K372" s="113" t="s">
        <v>2051</v>
      </c>
      <c r="L372" s="113"/>
      <c r="M372" s="113" t="s">
        <v>1068</v>
      </c>
    </row>
    <row r="373" spans="1:13" ht="12.75" hidden="1" customHeight="1" x14ac:dyDescent="0.3">
      <c r="A373" s="111">
        <v>46163</v>
      </c>
      <c r="B373" s="112" t="s">
        <v>2049</v>
      </c>
      <c r="C373" s="113" t="s">
        <v>1069</v>
      </c>
      <c r="D373" s="113" t="str">
        <f>IFERROR(VLOOKUP(C373,SKUs!$A$6:$F$1971,6,FALSE()),"")</f>
        <v>JAQUETA CAPUZ EMBUTIDO</v>
      </c>
      <c r="E373" s="113">
        <v>1</v>
      </c>
      <c r="F373" s="113">
        <f>IFERROR(IF(OR(B373="",E373=""),"",E373*VLOOKUP(B373,Configurações!$I$5:$J$15,2,FALSE())),"")</f>
        <v>1</v>
      </c>
      <c r="G373" s="113" t="s">
        <v>665</v>
      </c>
      <c r="H373" s="113" t="s">
        <v>2050</v>
      </c>
      <c r="I373" s="113"/>
      <c r="J373" s="113"/>
      <c r="K373" s="113" t="s">
        <v>2051</v>
      </c>
      <c r="L373" s="113"/>
      <c r="M373" s="113" t="s">
        <v>1068</v>
      </c>
    </row>
    <row r="374" spans="1:13" ht="12.75" hidden="1" customHeight="1" x14ac:dyDescent="0.3">
      <c r="A374" s="111">
        <v>46163</v>
      </c>
      <c r="B374" s="112" t="s">
        <v>2049</v>
      </c>
      <c r="C374" s="113" t="s">
        <v>1070</v>
      </c>
      <c r="D374" s="113" t="str">
        <f>IFERROR(VLOOKUP(C374,SKUs!$A$6:$F$1971,6,FALSE()),"")</f>
        <v>JAQUETA CAPUZ EMBUTIDO</v>
      </c>
      <c r="E374" s="113">
        <v>1</v>
      </c>
      <c r="F374" s="113">
        <f>IFERROR(IF(OR(B374="",E374=""),"",E374*VLOOKUP(B374,Configurações!$I$5:$J$15,2,FALSE())),"")</f>
        <v>1</v>
      </c>
      <c r="G374" s="113" t="s">
        <v>665</v>
      </c>
      <c r="H374" s="113" t="s">
        <v>2050</v>
      </c>
      <c r="I374" s="113"/>
      <c r="J374" s="113"/>
      <c r="K374" s="113" t="s">
        <v>2051</v>
      </c>
      <c r="L374" s="113"/>
      <c r="M374" s="113" t="s">
        <v>1068</v>
      </c>
    </row>
    <row r="375" spans="1:13" ht="12.75" hidden="1" customHeight="1" x14ac:dyDescent="0.3">
      <c r="A375" s="111">
        <v>46163</v>
      </c>
      <c r="B375" s="112" t="s">
        <v>2049</v>
      </c>
      <c r="C375" s="113" t="s">
        <v>1067</v>
      </c>
      <c r="D375" s="113" t="str">
        <f>IFERROR(VLOOKUP(C375,SKUs!$A$6:$F$1971,6,FALSE()),"")</f>
        <v>JAQUETA CAPUZ EMBUTIDO</v>
      </c>
      <c r="E375" s="113">
        <v>5</v>
      </c>
      <c r="F375" s="113">
        <f>IFERROR(IF(OR(B375="",E375=""),"",E375*VLOOKUP(B375,Configurações!$I$5:$J$15,2,FALSE())),"")</f>
        <v>5</v>
      </c>
      <c r="G375" s="113" t="s">
        <v>665</v>
      </c>
      <c r="H375" s="113" t="s">
        <v>2050</v>
      </c>
      <c r="I375" s="113"/>
      <c r="J375" s="113"/>
      <c r="K375" s="113" t="s">
        <v>2051</v>
      </c>
      <c r="L375" s="113"/>
      <c r="M375" s="113" t="s">
        <v>1068</v>
      </c>
    </row>
    <row r="376" spans="1:13" ht="12.75" hidden="1" customHeight="1" x14ac:dyDescent="0.3">
      <c r="A376" s="111">
        <v>46163</v>
      </c>
      <c r="B376" s="112" t="s">
        <v>2049</v>
      </c>
      <c r="C376" s="113" t="s">
        <v>1074</v>
      </c>
      <c r="D376" s="113" t="str">
        <f>IFERROR(VLOOKUP(C376,SKUs!$A$6:$F$1971,6,FALSE()),"")</f>
        <v>JAQUETA PUFFER CAPUZ</v>
      </c>
      <c r="E376" s="113">
        <v>1</v>
      </c>
      <c r="F376" s="113">
        <f>IFERROR(IF(OR(B376="",E376=""),"",E376*VLOOKUP(B376,Configurações!$I$5:$J$15,2,FALSE())),"")</f>
        <v>1</v>
      </c>
      <c r="G376" s="113" t="s">
        <v>665</v>
      </c>
      <c r="H376" s="113" t="s">
        <v>2050</v>
      </c>
      <c r="I376" s="113"/>
      <c r="J376" s="113"/>
      <c r="K376" s="113" t="s">
        <v>2051</v>
      </c>
      <c r="L376" s="113"/>
      <c r="M376" s="113" t="s">
        <v>1068</v>
      </c>
    </row>
    <row r="377" spans="1:13" ht="12.75" hidden="1" customHeight="1" x14ac:dyDescent="0.3">
      <c r="A377" s="111">
        <v>46163</v>
      </c>
      <c r="B377" s="112" t="s">
        <v>2049</v>
      </c>
      <c r="C377" s="113" t="s">
        <v>1119</v>
      </c>
      <c r="D377" s="113" t="str">
        <f>IFERROR(VLOOKUP(C377,SKUs!$A$6:$F$1971,6,FALSE()),"")</f>
        <v>SACOLA BTG - QUADRADA</v>
      </c>
      <c r="E377" s="113">
        <v>200</v>
      </c>
      <c r="F377" s="113">
        <f>IFERROR(IF(OR(B377="",E377=""),"",E377*VLOOKUP(B377,Configurações!$I$5:$J$15,2,FALSE())),"")</f>
        <v>200</v>
      </c>
      <c r="G377" s="113" t="s">
        <v>665</v>
      </c>
      <c r="H377" s="113" t="s">
        <v>2050</v>
      </c>
      <c r="I377" s="113"/>
      <c r="J377" s="113"/>
      <c r="K377" s="113" t="s">
        <v>2051</v>
      </c>
      <c r="L377" s="113"/>
      <c r="M377" s="113" t="s">
        <v>1121</v>
      </c>
    </row>
    <row r="378" spans="1:13" ht="12.75" hidden="1" customHeight="1" x14ac:dyDescent="0.3">
      <c r="A378" s="111">
        <v>46163</v>
      </c>
      <c r="B378" s="112" t="s">
        <v>2049</v>
      </c>
      <c r="C378" s="113" t="s">
        <v>1225</v>
      </c>
      <c r="D378" s="113" t="str">
        <f>IFERROR(VLOOKUP(C378,SKUs!$A$6:$F$1971,6,FALSE()),"")</f>
        <v>SACOLA BTG - QUADRADA</v>
      </c>
      <c r="E378" s="113">
        <v>25</v>
      </c>
      <c r="F378" s="113">
        <f>IFERROR(IF(OR(B378="",E378=""),"",E378*VLOOKUP(B378,Configurações!$I$5:$J$15,2,FALSE())),"")</f>
        <v>25</v>
      </c>
      <c r="G378" s="113" t="s">
        <v>665</v>
      </c>
      <c r="H378" s="113" t="s">
        <v>2050</v>
      </c>
      <c r="I378" s="113"/>
      <c r="J378" s="113"/>
      <c r="K378" s="113" t="s">
        <v>2051</v>
      </c>
      <c r="L378" s="113"/>
      <c r="M378" s="113" t="s">
        <v>1227</v>
      </c>
    </row>
    <row r="379" spans="1:13" ht="12.75" hidden="1" customHeight="1" x14ac:dyDescent="0.3">
      <c r="A379" s="111">
        <v>46163</v>
      </c>
      <c r="B379" s="112" t="s">
        <v>2049</v>
      </c>
      <c r="C379" s="113" t="s">
        <v>1230</v>
      </c>
      <c r="D379" s="113" t="str">
        <f>IFERROR(VLOOKUP(C379,SKUs!$A$6:$F$1971,6,FALSE()),"")</f>
        <v>CAMISETA FIO EGIPCIO MASC.</v>
      </c>
      <c r="E379" s="113">
        <v>5</v>
      </c>
      <c r="F379" s="113">
        <f>IFERROR(IF(OR(B379="",E379=""),"",E379*VLOOKUP(B379,Configurações!$I$5:$J$15,2,FALSE())),"")</f>
        <v>5</v>
      </c>
      <c r="G379" s="113" t="s">
        <v>665</v>
      </c>
      <c r="H379" s="113" t="s">
        <v>2050</v>
      </c>
      <c r="I379" s="113"/>
      <c r="J379" s="113"/>
      <c r="K379" s="113" t="s">
        <v>2051</v>
      </c>
      <c r="L379" s="113"/>
      <c r="M379" s="113" t="s">
        <v>1232</v>
      </c>
    </row>
    <row r="380" spans="1:13" ht="12.75" hidden="1" customHeight="1" x14ac:dyDescent="0.3">
      <c r="A380" s="111">
        <v>46163</v>
      </c>
      <c r="B380" s="112" t="s">
        <v>2049</v>
      </c>
      <c r="C380" s="113" t="s">
        <v>1233</v>
      </c>
      <c r="D380" s="113" t="str">
        <f>IFERROR(VLOOKUP(C380,SKUs!$A$6:$F$1971,6,FALSE()),"")</f>
        <v>CAMISETA FIO EGIPCIO MASC.</v>
      </c>
      <c r="E380" s="113">
        <v>5</v>
      </c>
      <c r="F380" s="113">
        <f>IFERROR(IF(OR(B380="",E380=""),"",E380*VLOOKUP(B380,Configurações!$I$5:$J$15,2,FALSE())),"")</f>
        <v>5</v>
      </c>
      <c r="G380" s="113" t="s">
        <v>665</v>
      </c>
      <c r="H380" s="113" t="s">
        <v>2050</v>
      </c>
      <c r="I380" s="113"/>
      <c r="J380" s="113"/>
      <c r="K380" s="113" t="s">
        <v>2051</v>
      </c>
      <c r="L380" s="113"/>
      <c r="M380" s="113" t="s">
        <v>1232</v>
      </c>
    </row>
    <row r="381" spans="1:13" ht="12.75" hidden="1" customHeight="1" x14ac:dyDescent="0.3">
      <c r="A381" s="111">
        <v>46163</v>
      </c>
      <c r="B381" s="112" t="s">
        <v>2049</v>
      </c>
      <c r="C381" s="113" t="s">
        <v>1234</v>
      </c>
      <c r="D381" s="113" t="str">
        <f>IFERROR(VLOOKUP(C381,SKUs!$A$6:$F$1971,6,FALSE()),"")</f>
        <v>CAMISETA FIO EGIPCIO MASC.</v>
      </c>
      <c r="E381" s="113">
        <v>6</v>
      </c>
      <c r="F381" s="113">
        <f>IFERROR(IF(OR(B381="",E381=""),"",E381*VLOOKUP(B381,Configurações!$I$5:$J$15,2,FALSE())),"")</f>
        <v>6</v>
      </c>
      <c r="G381" s="113" t="s">
        <v>665</v>
      </c>
      <c r="H381" s="113" t="s">
        <v>2050</v>
      </c>
      <c r="I381" s="113"/>
      <c r="J381" s="113"/>
      <c r="K381" s="113" t="s">
        <v>2051</v>
      </c>
      <c r="L381" s="113"/>
      <c r="M381" s="113" t="s">
        <v>1232</v>
      </c>
    </row>
    <row r="382" spans="1:13" ht="12.75" hidden="1" customHeight="1" x14ac:dyDescent="0.3">
      <c r="A382" s="111">
        <v>46163</v>
      </c>
      <c r="B382" s="112" t="s">
        <v>2049</v>
      </c>
      <c r="C382" s="113" t="s">
        <v>1235</v>
      </c>
      <c r="D382" s="113" t="str">
        <f>IFERROR(VLOOKUP(C382,SKUs!$A$6:$F$1971,6,FALSE()),"")</f>
        <v>CAMISETA FIO EGIPCIO MASC.</v>
      </c>
      <c r="E382" s="113">
        <v>2</v>
      </c>
      <c r="F382" s="113">
        <f>IFERROR(IF(OR(B382="",E382=""),"",E382*VLOOKUP(B382,Configurações!$I$5:$J$15,2,FALSE())),"")</f>
        <v>2</v>
      </c>
      <c r="G382" s="113" t="s">
        <v>665</v>
      </c>
      <c r="H382" s="113" t="s">
        <v>2050</v>
      </c>
      <c r="I382" s="113"/>
      <c r="J382" s="113"/>
      <c r="K382" s="113" t="s">
        <v>2051</v>
      </c>
      <c r="L382" s="113"/>
      <c r="M382" s="113" t="s">
        <v>1232</v>
      </c>
    </row>
    <row r="383" spans="1:13" ht="12.75" hidden="1" customHeight="1" x14ac:dyDescent="0.3">
      <c r="A383" s="111">
        <v>46163</v>
      </c>
      <c r="B383" s="112" t="s">
        <v>2049</v>
      </c>
      <c r="C383" s="113" t="s">
        <v>1236</v>
      </c>
      <c r="D383" s="113" t="str">
        <f>IFERROR(VLOOKUP(C383,SKUs!$A$6:$F$1971,6,FALSE()),"")</f>
        <v>CAMISETA FIO EGIPCIO MASC.</v>
      </c>
      <c r="E383" s="113">
        <v>7</v>
      </c>
      <c r="F383" s="113">
        <f>IFERROR(IF(OR(B383="",E383=""),"",E383*VLOOKUP(B383,Configurações!$I$5:$J$15,2,FALSE())),"")</f>
        <v>7</v>
      </c>
      <c r="G383" s="113" t="s">
        <v>665</v>
      </c>
      <c r="H383" s="113" t="s">
        <v>2050</v>
      </c>
      <c r="I383" s="113"/>
      <c r="J383" s="113"/>
      <c r="K383" s="113" t="s">
        <v>2051</v>
      </c>
      <c r="L383" s="113"/>
      <c r="M383" s="113" t="s">
        <v>1232</v>
      </c>
    </row>
    <row r="384" spans="1:13" ht="12.75" hidden="1" customHeight="1" x14ac:dyDescent="0.3">
      <c r="A384" s="111">
        <v>46163</v>
      </c>
      <c r="B384" s="112" t="s">
        <v>2049</v>
      </c>
      <c r="C384" s="113" t="s">
        <v>1237</v>
      </c>
      <c r="D384" s="113" t="str">
        <f>IFERROR(VLOOKUP(C384,SKUs!$A$6:$F$1971,6,FALSE()),"")</f>
        <v>CAMISETA FIO EGIPCIO FEM.</v>
      </c>
      <c r="E384" s="113">
        <v>11</v>
      </c>
      <c r="F384" s="113">
        <f>IFERROR(IF(OR(B384="",E384=""),"",E384*VLOOKUP(B384,Configurações!$I$5:$J$15,2,FALSE())),"")</f>
        <v>11</v>
      </c>
      <c r="G384" s="113" t="s">
        <v>665</v>
      </c>
      <c r="H384" s="113" t="s">
        <v>2050</v>
      </c>
      <c r="I384" s="113"/>
      <c r="J384" s="113"/>
      <c r="K384" s="113" t="s">
        <v>2051</v>
      </c>
      <c r="L384" s="113"/>
      <c r="M384" s="113" t="s">
        <v>1232</v>
      </c>
    </row>
    <row r="385" spans="1:13" ht="12.75" hidden="1" customHeight="1" x14ac:dyDescent="0.3">
      <c r="A385" s="111">
        <v>46163</v>
      </c>
      <c r="B385" s="112" t="s">
        <v>2049</v>
      </c>
      <c r="C385" s="113" t="s">
        <v>1240</v>
      </c>
      <c r="D385" s="113" t="str">
        <f>IFERROR(VLOOKUP(C385,SKUs!$A$6:$F$1971,6,FALSE()),"")</f>
        <v>CAMISETA FIO EGIPCIO FEM.</v>
      </c>
      <c r="E385" s="113">
        <v>1</v>
      </c>
      <c r="F385" s="113">
        <f>IFERROR(IF(OR(B385="",E385=""),"",E385*VLOOKUP(B385,Configurações!$I$5:$J$15,2,FALSE())),"")</f>
        <v>1</v>
      </c>
      <c r="G385" s="113" t="s">
        <v>665</v>
      </c>
      <c r="H385" s="113" t="s">
        <v>2050</v>
      </c>
      <c r="I385" s="113"/>
      <c r="J385" s="113"/>
      <c r="K385" s="113" t="s">
        <v>2051</v>
      </c>
      <c r="L385" s="113"/>
      <c r="M385" s="113" t="s">
        <v>1232</v>
      </c>
    </row>
    <row r="386" spans="1:13" ht="12.75" hidden="1" customHeight="1" x14ac:dyDescent="0.3">
      <c r="A386" s="111">
        <v>46163</v>
      </c>
      <c r="B386" s="112" t="s">
        <v>2049</v>
      </c>
      <c r="C386" s="113" t="s">
        <v>1241</v>
      </c>
      <c r="D386" s="113" t="str">
        <f>IFERROR(VLOOKUP(C386,SKUs!$A$6:$F$1971,6,FALSE()),"")</f>
        <v>CAMISETA FIO EGIPCIO FEM.</v>
      </c>
      <c r="E386" s="113">
        <v>1</v>
      </c>
      <c r="F386" s="113">
        <f>IFERROR(IF(OR(B386="",E386=""),"",E386*VLOOKUP(B386,Configurações!$I$5:$J$15,2,FALSE())),"")</f>
        <v>1</v>
      </c>
      <c r="G386" s="113" t="s">
        <v>665</v>
      </c>
      <c r="H386" s="113" t="s">
        <v>2050</v>
      </c>
      <c r="I386" s="113"/>
      <c r="J386" s="113"/>
      <c r="K386" s="113" t="s">
        <v>2051</v>
      </c>
      <c r="L386" s="113"/>
      <c r="M386" s="113" t="s">
        <v>1232</v>
      </c>
    </row>
    <row r="387" spans="1:13" ht="12.75" hidden="1" customHeight="1" x14ac:dyDescent="0.3">
      <c r="A387" s="111">
        <v>46163</v>
      </c>
      <c r="B387" s="112" t="s">
        <v>2049</v>
      </c>
      <c r="C387" s="113" t="s">
        <v>1242</v>
      </c>
      <c r="D387" s="113" t="str">
        <f>IFERROR(VLOOKUP(C387,SKUs!$A$6:$F$1971,6,FALSE()),"")</f>
        <v>CAMISETA ESPORTE MASC.</v>
      </c>
      <c r="E387" s="113">
        <v>7</v>
      </c>
      <c r="F387" s="113">
        <f>IFERROR(IF(OR(B387="",E387=""),"",E387*VLOOKUP(B387,Configurações!$I$5:$J$15,2,FALSE())),"")</f>
        <v>7</v>
      </c>
      <c r="G387" s="113" t="s">
        <v>665</v>
      </c>
      <c r="H387" s="113" t="s">
        <v>2050</v>
      </c>
      <c r="I387" s="113"/>
      <c r="J387" s="113"/>
      <c r="K387" s="113" t="s">
        <v>2051</v>
      </c>
      <c r="L387" s="113"/>
      <c r="M387" s="113" t="s">
        <v>1232</v>
      </c>
    </row>
    <row r="388" spans="1:13" ht="12.75" hidden="1" customHeight="1" x14ac:dyDescent="0.3">
      <c r="A388" s="111">
        <v>46163</v>
      </c>
      <c r="B388" s="112" t="s">
        <v>2049</v>
      </c>
      <c r="C388" s="113" t="s">
        <v>1244</v>
      </c>
      <c r="D388" s="113" t="str">
        <f>IFERROR(VLOOKUP(C388,SKUs!$A$6:$F$1971,6,FALSE()),"")</f>
        <v>CAMISETA ESPORTE MASC.</v>
      </c>
      <c r="E388" s="113">
        <v>11</v>
      </c>
      <c r="F388" s="113">
        <f>IFERROR(IF(OR(B388="",E388=""),"",E388*VLOOKUP(B388,Configurações!$I$5:$J$15,2,FALSE())),"")</f>
        <v>11</v>
      </c>
      <c r="G388" s="113" t="s">
        <v>665</v>
      </c>
      <c r="H388" s="113" t="s">
        <v>2050</v>
      </c>
      <c r="I388" s="113"/>
      <c r="J388" s="113"/>
      <c r="K388" s="113" t="s">
        <v>2051</v>
      </c>
      <c r="L388" s="113"/>
      <c r="M388" s="113" t="s">
        <v>1232</v>
      </c>
    </row>
    <row r="389" spans="1:13" ht="12.75" hidden="1" customHeight="1" x14ac:dyDescent="0.3">
      <c r="A389" s="111">
        <v>46163</v>
      </c>
      <c r="B389" s="112" t="s">
        <v>2049</v>
      </c>
      <c r="C389" s="113" t="s">
        <v>1245</v>
      </c>
      <c r="D389" s="113" t="str">
        <f>IFERROR(VLOOKUP(C389,SKUs!$A$6:$F$1971,6,FALSE()),"")</f>
        <v>CAMISETA ESPORTE MASC.</v>
      </c>
      <c r="E389" s="113">
        <v>3</v>
      </c>
      <c r="F389" s="113">
        <f>IFERROR(IF(OR(B389="",E389=""),"",E389*VLOOKUP(B389,Configurações!$I$5:$J$15,2,FALSE())),"")</f>
        <v>3</v>
      </c>
      <c r="G389" s="113" t="s">
        <v>665</v>
      </c>
      <c r="H389" s="113" t="s">
        <v>2050</v>
      </c>
      <c r="I389" s="113"/>
      <c r="J389" s="113"/>
      <c r="K389" s="113" t="s">
        <v>2051</v>
      </c>
      <c r="L389" s="113"/>
      <c r="M389" s="113" t="s">
        <v>1232</v>
      </c>
    </row>
    <row r="390" spans="1:13" ht="12.75" hidden="1" customHeight="1" x14ac:dyDescent="0.3">
      <c r="A390" s="111">
        <v>46163</v>
      </c>
      <c r="B390" s="112" t="s">
        <v>2049</v>
      </c>
      <c r="C390" s="113" t="s">
        <v>1246</v>
      </c>
      <c r="D390" s="113" t="str">
        <f>IFERROR(VLOOKUP(C390,SKUs!$A$6:$F$1971,6,FALSE()),"")</f>
        <v>LENÇO ECHARPE FEM</v>
      </c>
      <c r="E390" s="113">
        <v>6</v>
      </c>
      <c r="F390" s="113">
        <f>IFERROR(IF(OR(B390="",E390=""),"",E390*VLOOKUP(B390,Configurações!$I$5:$J$15,2,FALSE())),"")</f>
        <v>6</v>
      </c>
      <c r="G390" s="113" t="s">
        <v>665</v>
      </c>
      <c r="H390" s="113" t="s">
        <v>2050</v>
      </c>
      <c r="I390" s="113"/>
      <c r="J390" s="113"/>
      <c r="K390" s="113" t="s">
        <v>2051</v>
      </c>
      <c r="L390" s="113"/>
      <c r="M390" s="113" t="s">
        <v>1249</v>
      </c>
    </row>
    <row r="391" spans="1:13" ht="12.75" hidden="1" customHeight="1" x14ac:dyDescent="0.3">
      <c r="A391" s="111">
        <v>46163</v>
      </c>
      <c r="B391" s="112" t="s">
        <v>2049</v>
      </c>
      <c r="C391" s="113" t="s">
        <v>1250</v>
      </c>
      <c r="D391" s="113" t="str">
        <f>IFERROR(VLOOKUP(C391,SKUs!$A$6:$F$1971,6,FALSE()),"")</f>
        <v>LENÇO ECHARPE FEM</v>
      </c>
      <c r="E391" s="113">
        <v>6</v>
      </c>
      <c r="F391" s="113">
        <f>IFERROR(IF(OR(B391="",E391=""),"",E391*VLOOKUP(B391,Configurações!$I$5:$J$15,2,FALSE())),"")</f>
        <v>6</v>
      </c>
      <c r="G391" s="113" t="s">
        <v>665</v>
      </c>
      <c r="H391" s="113" t="s">
        <v>2050</v>
      </c>
      <c r="I391" s="113"/>
      <c r="J391" s="113"/>
      <c r="K391" s="113" t="s">
        <v>2051</v>
      </c>
      <c r="L391" s="113"/>
      <c r="M391" s="113" t="s">
        <v>1249</v>
      </c>
    </row>
    <row r="392" spans="1:13" ht="12.75" hidden="1" customHeight="1" x14ac:dyDescent="0.3">
      <c r="A392" s="111">
        <v>46163</v>
      </c>
      <c r="B392" s="112" t="s">
        <v>2049</v>
      </c>
      <c r="C392" s="113" t="s">
        <v>1252</v>
      </c>
      <c r="D392" s="113" t="str">
        <f>IFERROR(VLOOKUP(C392,SKUs!$A$6:$F$1971,6,FALSE()),"")</f>
        <v>LENÇO ECHARPE FEM</v>
      </c>
      <c r="E392" s="113">
        <v>6</v>
      </c>
      <c r="F392" s="113">
        <f>IFERROR(IF(OR(B392="",E392=""),"",E392*VLOOKUP(B392,Configurações!$I$5:$J$15,2,FALSE())),"")</f>
        <v>6</v>
      </c>
      <c r="G392" s="113" t="s">
        <v>665</v>
      </c>
      <c r="H392" s="113" t="s">
        <v>2050</v>
      </c>
      <c r="I392" s="113"/>
      <c r="J392" s="113"/>
      <c r="K392" s="113" t="s">
        <v>2051</v>
      </c>
      <c r="L392" s="113"/>
      <c r="M392" s="113" t="s">
        <v>1249</v>
      </c>
    </row>
    <row r="393" spans="1:13" ht="12.75" hidden="1" customHeight="1" x14ac:dyDescent="0.3">
      <c r="A393" s="111">
        <v>46163</v>
      </c>
      <c r="B393" s="112" t="s">
        <v>2049</v>
      </c>
      <c r="C393" s="113" t="s">
        <v>1253</v>
      </c>
      <c r="D393" s="113" t="str">
        <f>IFERROR(VLOOKUP(C393,SKUs!$A$6:$F$1971,6,FALSE()),"")</f>
        <v>LENÇO ECHARPE FEM</v>
      </c>
      <c r="E393" s="113">
        <v>6</v>
      </c>
      <c r="F393" s="113">
        <f>IFERROR(IF(OR(B393="",E393=""),"",E393*VLOOKUP(B393,Configurações!$I$5:$J$15,2,FALSE())),"")</f>
        <v>6</v>
      </c>
      <c r="G393" s="113" t="s">
        <v>665</v>
      </c>
      <c r="H393" s="113" t="s">
        <v>2050</v>
      </c>
      <c r="I393" s="113"/>
      <c r="J393" s="113"/>
      <c r="K393" s="113" t="s">
        <v>2051</v>
      </c>
      <c r="L393" s="113"/>
      <c r="M393" s="113" t="s">
        <v>1249</v>
      </c>
    </row>
    <row r="394" spans="1:13" ht="12.75" hidden="1" customHeight="1" x14ac:dyDescent="0.3">
      <c r="A394" s="111">
        <v>46163</v>
      </c>
      <c r="B394" s="112" t="s">
        <v>2049</v>
      </c>
      <c r="C394" s="113" t="s">
        <v>1254</v>
      </c>
      <c r="D394" s="113" t="str">
        <f>IFERROR(VLOOKUP(C394,SKUs!$A$6:$F$1971,6,FALSE()),"")</f>
        <v>PORTA VINHO - NYLON</v>
      </c>
      <c r="E394" s="113">
        <v>15</v>
      </c>
      <c r="F394" s="113">
        <f>IFERROR(IF(OR(B394="",E394=""),"",E394*VLOOKUP(B394,Configurações!$I$5:$J$15,2,FALSE())),"")</f>
        <v>15</v>
      </c>
      <c r="G394" s="113" t="s">
        <v>665</v>
      </c>
      <c r="H394" s="113" t="s">
        <v>2050</v>
      </c>
      <c r="I394" s="113"/>
      <c r="J394" s="113"/>
      <c r="K394" s="113" t="s">
        <v>2051</v>
      </c>
      <c r="L394" s="113"/>
      <c r="M394" s="113" t="s">
        <v>1249</v>
      </c>
    </row>
    <row r="395" spans="1:13" ht="12.75" hidden="1" customHeight="1" x14ac:dyDescent="0.3">
      <c r="A395" s="111">
        <v>46163</v>
      </c>
      <c r="B395" s="112" t="s">
        <v>2049</v>
      </c>
      <c r="C395" s="113" t="s">
        <v>1258</v>
      </c>
      <c r="D395" s="113" t="str">
        <f>IFERROR(VLOOKUP(C395,SKUs!$A$6:$F$1971,6,FALSE()),"")</f>
        <v>PORTA VINHO - COURO</v>
      </c>
      <c r="E395" s="113">
        <v>16</v>
      </c>
      <c r="F395" s="113">
        <f>IFERROR(IF(OR(B395="",E395=""),"",E395*VLOOKUP(B395,Configurações!$I$5:$J$15,2,FALSE())),"")</f>
        <v>16</v>
      </c>
      <c r="G395" s="113" t="s">
        <v>665</v>
      </c>
      <c r="H395" s="113" t="s">
        <v>2050</v>
      </c>
      <c r="I395" s="113"/>
      <c r="J395" s="113"/>
      <c r="K395" s="113" t="s">
        <v>2051</v>
      </c>
      <c r="L395" s="113"/>
      <c r="M395" s="113" t="s">
        <v>1249</v>
      </c>
    </row>
    <row r="396" spans="1:13" ht="12.75" hidden="1" customHeight="1" x14ac:dyDescent="0.3">
      <c r="A396" s="111">
        <v>46163</v>
      </c>
      <c r="B396" s="112" t="s">
        <v>2049</v>
      </c>
      <c r="C396" s="113" t="s">
        <v>1261</v>
      </c>
      <c r="D396" s="113" t="str">
        <f>IFERROR(VLOOKUP(C396,SKUs!$A$6:$F$1971,6,FALSE()),"")</f>
        <v>CHAVEIRO TENIS</v>
      </c>
      <c r="E396" s="113">
        <v>63</v>
      </c>
      <c r="F396" s="113">
        <f>IFERROR(IF(OR(B396="",E396=""),"",E396*VLOOKUP(B396,Configurações!$I$5:$J$15,2,FALSE())),"")</f>
        <v>63</v>
      </c>
      <c r="G396" s="113" t="s">
        <v>665</v>
      </c>
      <c r="H396" s="113" t="s">
        <v>2050</v>
      </c>
      <c r="I396" s="113"/>
      <c r="J396" s="113"/>
      <c r="K396" s="113" t="s">
        <v>2051</v>
      </c>
      <c r="L396" s="113"/>
      <c r="M396" s="113" t="s">
        <v>1249</v>
      </c>
    </row>
    <row r="397" spans="1:13" ht="12.75" hidden="1" customHeight="1" x14ac:dyDescent="0.3">
      <c r="A397" s="111">
        <v>46163</v>
      </c>
      <c r="B397" s="112" t="s">
        <v>2049</v>
      </c>
      <c r="C397" s="113" t="s">
        <v>1265</v>
      </c>
      <c r="D397" s="113" t="str">
        <f>IFERROR(VLOOKUP(C397,SKUs!$A$6:$F$1971,6,FALSE()),"")</f>
        <v>SHORTS ESPORTE UNISSEX</v>
      </c>
      <c r="E397" s="113">
        <v>5</v>
      </c>
      <c r="F397" s="113">
        <f>IFERROR(IF(OR(B397="",E397=""),"",E397*VLOOKUP(B397,Configurações!$I$5:$J$15,2,FALSE())),"")</f>
        <v>5</v>
      </c>
      <c r="G397" s="113" t="s">
        <v>665</v>
      </c>
      <c r="H397" s="113" t="s">
        <v>2050</v>
      </c>
      <c r="I397" s="113"/>
      <c r="J397" s="113"/>
      <c r="K397" s="113" t="s">
        <v>2051</v>
      </c>
      <c r="L397" s="113"/>
      <c r="M397" s="113" t="s">
        <v>1268</v>
      </c>
    </row>
    <row r="398" spans="1:13" ht="12.75" hidden="1" customHeight="1" x14ac:dyDescent="0.3">
      <c r="A398" s="111">
        <v>46163</v>
      </c>
      <c r="B398" s="112" t="s">
        <v>2049</v>
      </c>
      <c r="C398" s="113" t="s">
        <v>1269</v>
      </c>
      <c r="D398" s="113" t="str">
        <f>IFERROR(VLOOKUP(C398,SKUs!$A$6:$F$1971,6,FALSE()),"")</f>
        <v>SHORTS ESPORTE UNISSEX</v>
      </c>
      <c r="E398" s="113">
        <v>3</v>
      </c>
      <c r="F398" s="113">
        <f>IFERROR(IF(OR(B398="",E398=""),"",E398*VLOOKUP(B398,Configurações!$I$5:$J$15,2,FALSE())),"")</f>
        <v>3</v>
      </c>
      <c r="G398" s="113" t="s">
        <v>665</v>
      </c>
      <c r="H398" s="113" t="s">
        <v>2050</v>
      </c>
      <c r="I398" s="113"/>
      <c r="J398" s="113"/>
      <c r="K398" s="113" t="s">
        <v>2051</v>
      </c>
      <c r="L398" s="113"/>
      <c r="M398" s="113" t="s">
        <v>1268</v>
      </c>
    </row>
    <row r="399" spans="1:13" ht="12.75" hidden="1" customHeight="1" x14ac:dyDescent="0.3">
      <c r="A399" s="111">
        <v>46163</v>
      </c>
      <c r="B399" s="112" t="s">
        <v>2049</v>
      </c>
      <c r="C399" s="113" t="s">
        <v>1270</v>
      </c>
      <c r="D399" s="113" t="str">
        <f>IFERROR(VLOOKUP(C399,SKUs!$A$6:$F$1971,6,FALSE()),"")</f>
        <v>SHORTS ESPORTE UNISSEX</v>
      </c>
      <c r="E399" s="113">
        <v>4</v>
      </c>
      <c r="F399" s="113">
        <f>IFERROR(IF(OR(B399="",E399=""),"",E399*VLOOKUP(B399,Configurações!$I$5:$J$15,2,FALSE())),"")</f>
        <v>4</v>
      </c>
      <c r="G399" s="113" t="s">
        <v>665</v>
      </c>
      <c r="H399" s="113" t="s">
        <v>2050</v>
      </c>
      <c r="I399" s="113"/>
      <c r="J399" s="113"/>
      <c r="K399" s="113" t="s">
        <v>2051</v>
      </c>
      <c r="L399" s="113"/>
      <c r="M399" s="113" t="s">
        <v>1268</v>
      </c>
    </row>
    <row r="400" spans="1:13" ht="12.75" hidden="1" customHeight="1" x14ac:dyDescent="0.3">
      <c r="A400" s="111">
        <v>46163</v>
      </c>
      <c r="B400" s="112" t="s">
        <v>2049</v>
      </c>
      <c r="C400" s="113" t="s">
        <v>1271</v>
      </c>
      <c r="D400" s="113" t="str">
        <f>IFERROR(VLOOKUP(C400,SKUs!$A$6:$F$1971,6,FALSE()),"")</f>
        <v>SHORTS ESPORTE UNISSEX</v>
      </c>
      <c r="E400" s="113">
        <v>5</v>
      </c>
      <c r="F400" s="113">
        <f>IFERROR(IF(OR(B400="",E400=""),"",E400*VLOOKUP(B400,Configurações!$I$5:$J$15,2,FALSE())),"")</f>
        <v>5</v>
      </c>
      <c r="G400" s="113" t="s">
        <v>665</v>
      </c>
      <c r="H400" s="113" t="s">
        <v>2050</v>
      </c>
      <c r="I400" s="113"/>
      <c r="J400" s="113"/>
      <c r="K400" s="113" t="s">
        <v>2051</v>
      </c>
      <c r="L400" s="113"/>
      <c r="M400" s="113" t="s">
        <v>1268</v>
      </c>
    </row>
    <row r="401" spans="1:13" ht="12.75" hidden="1" customHeight="1" x14ac:dyDescent="0.3">
      <c r="A401" s="111">
        <v>46163</v>
      </c>
      <c r="B401" s="112" t="s">
        <v>2049</v>
      </c>
      <c r="C401" s="113" t="s">
        <v>1272</v>
      </c>
      <c r="D401" s="113" t="str">
        <f>IFERROR(VLOOKUP(C401,SKUs!$A$6:$F$1971,6,FALSE()),"")</f>
        <v>SHORTS ESPORTE UNISSEX</v>
      </c>
      <c r="E401" s="113">
        <v>4</v>
      </c>
      <c r="F401" s="113">
        <f>IFERROR(IF(OR(B401="",E401=""),"",E401*VLOOKUP(B401,Configurações!$I$5:$J$15,2,FALSE())),"")</f>
        <v>4</v>
      </c>
      <c r="G401" s="113" t="s">
        <v>665</v>
      </c>
      <c r="H401" s="113" t="s">
        <v>2050</v>
      </c>
      <c r="I401" s="113"/>
      <c r="J401" s="113"/>
      <c r="K401" s="113" t="s">
        <v>2051</v>
      </c>
      <c r="L401" s="113"/>
      <c r="M401" s="113" t="s">
        <v>1268</v>
      </c>
    </row>
    <row r="402" spans="1:13" ht="12.75" hidden="1" customHeight="1" x14ac:dyDescent="0.3">
      <c r="A402" s="111">
        <v>46163</v>
      </c>
      <c r="B402" s="112" t="s">
        <v>2049</v>
      </c>
      <c r="C402" s="113" t="s">
        <v>1273</v>
      </c>
      <c r="D402" s="113" t="str">
        <f>IFERROR(VLOOKUP(C402,SKUs!$A$6:$F$1971,6,FALSE()),"")</f>
        <v>BERMUDA FEMININA BTG</v>
      </c>
      <c r="E402" s="113">
        <v>11</v>
      </c>
      <c r="F402" s="113">
        <f>IFERROR(IF(OR(B402="",E402=""),"",E402*VLOOKUP(B402,Configurações!$I$5:$J$15,2,FALSE())),"")</f>
        <v>11</v>
      </c>
      <c r="G402" s="113" t="s">
        <v>665</v>
      </c>
      <c r="H402" s="113" t="s">
        <v>2050</v>
      </c>
      <c r="I402" s="113"/>
      <c r="J402" s="113"/>
      <c r="K402" s="113" t="s">
        <v>2051</v>
      </c>
      <c r="L402" s="113"/>
      <c r="M402" s="113" t="s">
        <v>1276</v>
      </c>
    </row>
    <row r="403" spans="1:13" ht="12.75" hidden="1" customHeight="1" x14ac:dyDescent="0.3">
      <c r="A403" s="111">
        <v>46163</v>
      </c>
      <c r="B403" s="112" t="s">
        <v>2049</v>
      </c>
      <c r="C403" s="113" t="s">
        <v>1277</v>
      </c>
      <c r="D403" s="113" t="str">
        <f>IFERROR(VLOOKUP(C403,SKUs!$A$6:$F$1971,6,FALSE()),"")</f>
        <v>BERMUDA FEMININA BTG</v>
      </c>
      <c r="E403" s="113">
        <v>10</v>
      </c>
      <c r="F403" s="113">
        <f>IFERROR(IF(OR(B403="",E403=""),"",E403*VLOOKUP(B403,Configurações!$I$5:$J$15,2,FALSE())),"")</f>
        <v>10</v>
      </c>
      <c r="G403" s="113" t="s">
        <v>665</v>
      </c>
      <c r="H403" s="113" t="s">
        <v>2050</v>
      </c>
      <c r="I403" s="113"/>
      <c r="J403" s="113"/>
      <c r="K403" s="113" t="s">
        <v>2051</v>
      </c>
      <c r="L403" s="113"/>
      <c r="M403" s="113" t="s">
        <v>1268</v>
      </c>
    </row>
    <row r="404" spans="1:13" ht="12.75" hidden="1" customHeight="1" x14ac:dyDescent="0.3">
      <c r="A404" s="111">
        <v>46163</v>
      </c>
      <c r="B404" s="112" t="s">
        <v>2049</v>
      </c>
      <c r="C404" s="113" t="s">
        <v>1278</v>
      </c>
      <c r="D404" s="113" t="str">
        <f>IFERROR(VLOOKUP(C404,SKUs!$A$6:$F$1971,6,FALSE()),"")</f>
        <v>BERMUDA FEMININA BTG</v>
      </c>
      <c r="E404" s="113">
        <v>10</v>
      </c>
      <c r="F404" s="113">
        <f>IFERROR(IF(OR(B404="",E404=""),"",E404*VLOOKUP(B404,Configurações!$I$5:$J$15,2,FALSE())),"")</f>
        <v>10</v>
      </c>
      <c r="G404" s="113" t="s">
        <v>665</v>
      </c>
      <c r="H404" s="113" t="s">
        <v>2050</v>
      </c>
      <c r="I404" s="113"/>
      <c r="J404" s="113"/>
      <c r="K404" s="113" t="s">
        <v>2051</v>
      </c>
      <c r="L404" s="113"/>
      <c r="M404" s="113" t="s">
        <v>1268</v>
      </c>
    </row>
    <row r="405" spans="1:13" ht="12.75" hidden="1" customHeight="1" x14ac:dyDescent="0.3">
      <c r="A405" s="111">
        <v>46163</v>
      </c>
      <c r="B405" s="112" t="s">
        <v>2049</v>
      </c>
      <c r="C405" s="113" t="s">
        <v>1279</v>
      </c>
      <c r="D405" s="113" t="str">
        <f>IFERROR(VLOOKUP(C405,SKUs!$A$6:$F$1971,6,FALSE()),"")</f>
        <v>BERMUDA FEMININA BTG</v>
      </c>
      <c r="E405" s="113">
        <v>11</v>
      </c>
      <c r="F405" s="113">
        <f>IFERROR(IF(OR(B405="",E405=""),"",E405*VLOOKUP(B405,Configurações!$I$5:$J$15,2,FALSE())),"")</f>
        <v>11</v>
      </c>
      <c r="G405" s="113" t="s">
        <v>665</v>
      </c>
      <c r="H405" s="113" t="s">
        <v>2050</v>
      </c>
      <c r="I405" s="113"/>
      <c r="J405" s="113"/>
      <c r="K405" s="113" t="s">
        <v>2051</v>
      </c>
      <c r="L405" s="113"/>
      <c r="M405" s="113" t="s">
        <v>1276</v>
      </c>
    </row>
    <row r="406" spans="1:13" ht="12.75" hidden="1" customHeight="1" x14ac:dyDescent="0.3">
      <c r="A406" s="111">
        <v>46163</v>
      </c>
      <c r="B406" s="112" t="s">
        <v>2049</v>
      </c>
      <c r="C406" s="113" t="s">
        <v>1280</v>
      </c>
      <c r="D406" s="113" t="str">
        <f>IFERROR(VLOOKUP(C406,SKUs!$A$6:$F$1971,6,FALSE()),"")</f>
        <v>MOLESKINE COM PAUTA</v>
      </c>
      <c r="E406" s="113">
        <v>24</v>
      </c>
      <c r="F406" s="113">
        <f>IFERROR(IF(OR(B406="",E406=""),"",E406*VLOOKUP(B406,Configurações!$I$5:$J$15,2,FALSE())),"")</f>
        <v>24</v>
      </c>
      <c r="G406" s="113" t="s">
        <v>665</v>
      </c>
      <c r="H406" s="113" t="s">
        <v>2050</v>
      </c>
      <c r="I406" s="113"/>
      <c r="J406" s="113"/>
      <c r="K406" s="113" t="s">
        <v>2051</v>
      </c>
      <c r="L406" s="113"/>
      <c r="M406" s="113" t="s">
        <v>1284</v>
      </c>
    </row>
    <row r="407" spans="1:13" ht="12.75" hidden="1" customHeight="1" x14ac:dyDescent="0.3">
      <c r="A407" s="111">
        <v>46163</v>
      </c>
      <c r="B407" s="112" t="s">
        <v>2049</v>
      </c>
      <c r="C407" s="113" t="s">
        <v>1285</v>
      </c>
      <c r="D407" s="113" t="str">
        <f>IFERROR(VLOOKUP(C407,SKUs!$A$6:$F$1971,6,FALSE()),"")</f>
        <v>BANDANA MATOS RACING</v>
      </c>
      <c r="E407" s="113">
        <v>9</v>
      </c>
      <c r="F407" s="113">
        <f>IFERROR(IF(OR(B407="",E407=""),"",E407*VLOOKUP(B407,Configurações!$I$5:$J$15,2,FALSE())),"")</f>
        <v>9</v>
      </c>
      <c r="G407" s="113" t="s">
        <v>665</v>
      </c>
      <c r="H407" s="113" t="s">
        <v>2050</v>
      </c>
      <c r="I407" s="113"/>
      <c r="J407" s="113"/>
      <c r="K407" s="113" t="s">
        <v>2051</v>
      </c>
      <c r="L407" s="113"/>
      <c r="M407" s="113" t="s">
        <v>1284</v>
      </c>
    </row>
    <row r="408" spans="1:13" ht="12.75" hidden="1" customHeight="1" x14ac:dyDescent="0.3">
      <c r="A408" s="111">
        <v>46163</v>
      </c>
      <c r="B408" s="112" t="s">
        <v>2049</v>
      </c>
      <c r="C408" s="113" t="s">
        <v>1288</v>
      </c>
      <c r="D408" s="113" t="str">
        <f>IFERROR(VLOOKUP(C408,SKUs!$A$6:$F$1971,6,FALSE()),"")</f>
        <v>MANGUITO BIKE</v>
      </c>
      <c r="E408" s="113">
        <v>4</v>
      </c>
      <c r="F408" s="113">
        <f>IFERROR(IF(OR(B408="",E408=""),"",E408*VLOOKUP(B408,Configurações!$I$5:$J$15,2,FALSE())),"")</f>
        <v>4</v>
      </c>
      <c r="G408" s="113" t="s">
        <v>665</v>
      </c>
      <c r="H408" s="113" t="s">
        <v>2050</v>
      </c>
      <c r="I408" s="113"/>
      <c r="J408" s="113"/>
      <c r="K408" s="113" t="s">
        <v>2051</v>
      </c>
      <c r="L408" s="113"/>
      <c r="M408" s="113" t="s">
        <v>1284</v>
      </c>
    </row>
    <row r="409" spans="1:13" ht="12.75" hidden="1" customHeight="1" x14ac:dyDescent="0.3">
      <c r="A409" s="111">
        <v>46163</v>
      </c>
      <c r="B409" s="112" t="s">
        <v>2049</v>
      </c>
      <c r="C409" s="113" t="s">
        <v>1291</v>
      </c>
      <c r="D409" s="113" t="str">
        <f>IFERROR(VLOOKUP(C409,SKUs!$A$6:$F$1971,6,FALSE()),"")</f>
        <v>MANGUITO BIKE</v>
      </c>
      <c r="E409" s="113">
        <v>1</v>
      </c>
      <c r="F409" s="113">
        <f>IFERROR(IF(OR(B409="",E409=""),"",E409*VLOOKUP(B409,Configurações!$I$5:$J$15,2,FALSE())),"")</f>
        <v>1</v>
      </c>
      <c r="G409" s="113" t="s">
        <v>665</v>
      </c>
      <c r="H409" s="113" t="s">
        <v>2050</v>
      </c>
      <c r="I409" s="113"/>
      <c r="J409" s="113"/>
      <c r="K409" s="113" t="s">
        <v>2051</v>
      </c>
      <c r="L409" s="113"/>
      <c r="M409" s="113" t="s">
        <v>1284</v>
      </c>
    </row>
    <row r="410" spans="1:13" ht="12.75" hidden="1" customHeight="1" x14ac:dyDescent="0.3">
      <c r="A410" s="111">
        <v>46163</v>
      </c>
      <c r="B410" s="112" t="s">
        <v>2049</v>
      </c>
      <c r="C410" s="113" t="s">
        <v>1292</v>
      </c>
      <c r="D410" s="113" t="str">
        <f>IFERROR(VLOOKUP(C410,SKUs!$A$6:$F$1971,6,FALSE()),"")</f>
        <v>MANGUITO BIKE</v>
      </c>
      <c r="E410" s="113">
        <v>1</v>
      </c>
      <c r="F410" s="113">
        <f>IFERROR(IF(OR(B410="",E410=""),"",E410*VLOOKUP(B410,Configurações!$I$5:$J$15,2,FALSE())),"")</f>
        <v>1</v>
      </c>
      <c r="G410" s="113" t="s">
        <v>665</v>
      </c>
      <c r="H410" s="113" t="s">
        <v>2050</v>
      </c>
      <c r="I410" s="113"/>
      <c r="J410" s="113"/>
      <c r="K410" s="113" t="s">
        <v>2051</v>
      </c>
      <c r="L410" s="113"/>
      <c r="M410" s="113" t="s">
        <v>1284</v>
      </c>
    </row>
    <row r="411" spans="1:13" ht="12.75" hidden="1" customHeight="1" x14ac:dyDescent="0.3">
      <c r="A411" s="111">
        <v>46163</v>
      </c>
      <c r="B411" s="112" t="s">
        <v>2049</v>
      </c>
      <c r="C411" s="113" t="s">
        <v>1293</v>
      </c>
      <c r="D411" s="113" t="str">
        <f>IFERROR(VLOOKUP(C411,SKUs!$A$6:$F$1971,6,FALSE()),"")</f>
        <v>MOUSE PAD- PUNHO SILICONE</v>
      </c>
      <c r="E411" s="113">
        <v>11</v>
      </c>
      <c r="F411" s="113">
        <f>IFERROR(IF(OR(B411="",E411=""),"",E411*VLOOKUP(B411,Configurações!$I$5:$J$15,2,FALSE())),"")</f>
        <v>11</v>
      </c>
      <c r="G411" s="113" t="s">
        <v>665</v>
      </c>
      <c r="H411" s="113" t="s">
        <v>2050</v>
      </c>
      <c r="I411" s="113"/>
      <c r="J411" s="113"/>
      <c r="K411" s="113" t="s">
        <v>2051</v>
      </c>
      <c r="L411" s="113"/>
      <c r="M411" s="113" t="s">
        <v>1284</v>
      </c>
    </row>
    <row r="412" spans="1:13" ht="12.75" hidden="1" customHeight="1" x14ac:dyDescent="0.3">
      <c r="A412" s="111">
        <v>46163</v>
      </c>
      <c r="B412" s="112" t="s">
        <v>2049</v>
      </c>
      <c r="C412" s="113" t="s">
        <v>1296</v>
      </c>
      <c r="D412" s="113" t="str">
        <f>IFERROR(VLOOKUP(C412,SKUs!$A$6:$F$1971,6,FALSE()),"")</f>
        <v>SACOCHILA BTG</v>
      </c>
      <c r="E412" s="113">
        <v>6</v>
      </c>
      <c r="F412" s="113">
        <f>IFERROR(IF(OR(B412="",E412=""),"",E412*VLOOKUP(B412,Configurações!$I$5:$J$15,2,FALSE())),"")</f>
        <v>6</v>
      </c>
      <c r="G412" s="113" t="s">
        <v>665</v>
      </c>
      <c r="H412" s="113" t="s">
        <v>2050</v>
      </c>
      <c r="I412" s="113"/>
      <c r="J412" s="113"/>
      <c r="K412" s="113" t="s">
        <v>2051</v>
      </c>
      <c r="L412" s="113"/>
      <c r="M412" s="113" t="s">
        <v>1284</v>
      </c>
    </row>
    <row r="413" spans="1:13" ht="12.75" hidden="1" customHeight="1" x14ac:dyDescent="0.3">
      <c r="A413" s="111">
        <v>46163</v>
      </c>
      <c r="B413" s="112" t="s">
        <v>2049</v>
      </c>
      <c r="C413" s="113" t="s">
        <v>1299</v>
      </c>
      <c r="D413" s="113" t="str">
        <f>IFERROR(VLOOKUP(C413,SKUs!$A$6:$F$1971,6,FALSE()),"")</f>
        <v>MOLESKINE SEM PAUTA</v>
      </c>
      <c r="E413" s="113">
        <v>4</v>
      </c>
      <c r="F413" s="113">
        <f>IFERROR(IF(OR(B413="",E413=""),"",E413*VLOOKUP(B413,Configurações!$I$5:$J$15,2,FALSE())),"")</f>
        <v>4</v>
      </c>
      <c r="G413" s="113" t="s">
        <v>665</v>
      </c>
      <c r="H413" s="113" t="s">
        <v>2050</v>
      </c>
      <c r="I413" s="113"/>
      <c r="J413" s="113"/>
      <c r="K413" s="113" t="s">
        <v>2051</v>
      </c>
      <c r="L413" s="113"/>
      <c r="M413" s="113" t="s">
        <v>1284</v>
      </c>
    </row>
    <row r="414" spans="1:13" ht="12.75" hidden="1" customHeight="1" x14ac:dyDescent="0.3">
      <c r="A414" s="111">
        <v>46163</v>
      </c>
      <c r="B414" s="112" t="s">
        <v>2049</v>
      </c>
      <c r="C414" s="113" t="s">
        <v>1301</v>
      </c>
      <c r="D414" s="113" t="str">
        <f>IFERROR(VLOOKUP(C414,SKUs!$A$6:$F$1971,6,FALSE()),"")</f>
        <v>PIN BTG PACTUAL</v>
      </c>
      <c r="E414" s="113">
        <v>40</v>
      </c>
      <c r="F414" s="113">
        <f>IFERROR(IF(OR(B414="",E414=""),"",E414*VLOOKUP(B414,Configurações!$I$5:$J$15,2,FALSE())),"")</f>
        <v>40</v>
      </c>
      <c r="G414" s="113" t="s">
        <v>665</v>
      </c>
      <c r="H414" s="113" t="s">
        <v>2050</v>
      </c>
      <c r="I414" s="113"/>
      <c r="J414" s="113"/>
      <c r="K414" s="113" t="s">
        <v>2051</v>
      </c>
      <c r="L414" s="113"/>
      <c r="M414" s="113" t="s">
        <v>1284</v>
      </c>
    </row>
    <row r="415" spans="1:13" ht="12.75" hidden="1" customHeight="1" x14ac:dyDescent="0.3">
      <c r="A415" s="111">
        <v>46163</v>
      </c>
      <c r="B415" s="112" t="s">
        <v>2049</v>
      </c>
      <c r="C415" s="113" t="s">
        <v>1304</v>
      </c>
      <c r="D415" s="113" t="str">
        <f>IFERROR(VLOOKUP(C415,SKUs!$A$6:$F$1971,6,FALSE()),"")</f>
        <v>ANTIVIBRADOR</v>
      </c>
      <c r="E415" s="113">
        <v>28</v>
      </c>
      <c r="F415" s="113">
        <f>IFERROR(IF(OR(B415="",E415=""),"",E415*VLOOKUP(B415,Configurações!$I$5:$J$15,2,FALSE())),"")</f>
        <v>28</v>
      </c>
      <c r="G415" s="113" t="s">
        <v>665</v>
      </c>
      <c r="H415" s="113" t="s">
        <v>2050</v>
      </c>
      <c r="I415" s="113"/>
      <c r="J415" s="113"/>
      <c r="K415" s="113" t="s">
        <v>2051</v>
      </c>
      <c r="L415" s="113"/>
      <c r="M415" s="113" t="s">
        <v>1284</v>
      </c>
    </row>
    <row r="416" spans="1:13" ht="12.75" hidden="1" customHeight="1" x14ac:dyDescent="0.3">
      <c r="A416" s="111">
        <v>46163</v>
      </c>
      <c r="B416" s="112" t="s">
        <v>2049</v>
      </c>
      <c r="C416" s="113" t="s">
        <v>1306</v>
      </c>
      <c r="D416" s="113" t="str">
        <f>IFERROR(VLOOKUP(C416,SKUs!$A$6:$F$1971,6,FALSE()),"")</f>
        <v>SAQUINHO VELUDO - CANETA</v>
      </c>
      <c r="E416" s="113">
        <v>114</v>
      </c>
      <c r="F416" s="113">
        <f>IFERROR(IF(OR(B416="",E416=""),"",E416*VLOOKUP(B416,Configurações!$I$5:$J$15,2,FALSE())),"")</f>
        <v>114</v>
      </c>
      <c r="G416" s="113" t="s">
        <v>665</v>
      </c>
      <c r="H416" s="113" t="s">
        <v>2050</v>
      </c>
      <c r="I416" s="113"/>
      <c r="J416" s="113"/>
      <c r="K416" s="113" t="s">
        <v>2051</v>
      </c>
      <c r="L416" s="113"/>
      <c r="M416" s="113" t="s">
        <v>1284</v>
      </c>
    </row>
    <row r="417" spans="1:13" ht="12.75" hidden="1" customHeight="1" x14ac:dyDescent="0.3">
      <c r="A417" s="111">
        <v>46163</v>
      </c>
      <c r="B417" s="112" t="s">
        <v>2049</v>
      </c>
      <c r="C417" s="113" t="s">
        <v>1309</v>
      </c>
      <c r="D417" s="113" t="str">
        <f>IFERROR(VLOOKUP(C417,SKUs!$A$6:$F$1971,6,FALSE()),"")</f>
        <v>BONÉ ESTRUTURADO - BTG</v>
      </c>
      <c r="E417" s="113">
        <v>22</v>
      </c>
      <c r="F417" s="113">
        <f>IFERROR(IF(OR(B417="",E417=""),"",E417*VLOOKUP(B417,Configurações!$I$5:$J$15,2,FALSE())),"")</f>
        <v>22</v>
      </c>
      <c r="G417" s="113" t="s">
        <v>665</v>
      </c>
      <c r="H417" s="113" t="s">
        <v>2050</v>
      </c>
      <c r="I417" s="113"/>
      <c r="J417" s="113"/>
      <c r="K417" s="113" t="s">
        <v>2051</v>
      </c>
      <c r="L417" s="113"/>
      <c r="M417" s="113" t="s">
        <v>1205</v>
      </c>
    </row>
    <row r="418" spans="1:13" ht="12.75" hidden="1" customHeight="1" x14ac:dyDescent="0.3">
      <c r="A418" s="111">
        <v>46163</v>
      </c>
      <c r="B418" s="112" t="s">
        <v>2049</v>
      </c>
      <c r="C418" s="113" t="s">
        <v>1312</v>
      </c>
      <c r="D418" s="113" t="str">
        <f>IFERROR(VLOOKUP(C418,SKUs!$A$6:$F$1971,6,FALSE()),"")</f>
        <v>BONÉ ESTRUTURADO - BTG</v>
      </c>
      <c r="E418" s="113">
        <v>33</v>
      </c>
      <c r="F418" s="113">
        <f>IFERROR(IF(OR(B418="",E418=""),"",E418*VLOOKUP(B418,Configurações!$I$5:$J$15,2,FALSE())),"")</f>
        <v>33</v>
      </c>
      <c r="G418" s="113" t="s">
        <v>665</v>
      </c>
      <c r="H418" s="113" t="s">
        <v>2050</v>
      </c>
      <c r="I418" s="113"/>
      <c r="J418" s="113"/>
      <c r="K418" s="113" t="s">
        <v>2051</v>
      </c>
      <c r="L418" s="113"/>
      <c r="M418" s="113" t="s">
        <v>1205</v>
      </c>
    </row>
    <row r="419" spans="1:13" ht="12.75" hidden="1" customHeight="1" x14ac:dyDescent="0.3">
      <c r="A419" s="111">
        <v>46163</v>
      </c>
      <c r="B419" s="112" t="s">
        <v>2049</v>
      </c>
      <c r="C419" s="113" t="s">
        <v>1313</v>
      </c>
      <c r="D419" s="113" t="str">
        <f>IFERROR(VLOOKUP(C419,SKUs!$A$6:$F$1971,6,FALSE()),"")</f>
        <v>BONE BRIM - BTG</v>
      </c>
      <c r="E419" s="113">
        <v>20</v>
      </c>
      <c r="F419" s="113">
        <f>IFERROR(IF(OR(B419="",E419=""),"",E419*VLOOKUP(B419,Configurações!$I$5:$J$15,2,FALSE())),"")</f>
        <v>20</v>
      </c>
      <c r="G419" s="113" t="s">
        <v>665</v>
      </c>
      <c r="H419" s="113" t="s">
        <v>2050</v>
      </c>
      <c r="I419" s="113"/>
      <c r="J419" s="113"/>
      <c r="K419" s="113" t="s">
        <v>2051</v>
      </c>
      <c r="L419" s="113"/>
      <c r="M419" s="113" t="s">
        <v>1205</v>
      </c>
    </row>
    <row r="420" spans="1:13" ht="12.75" hidden="1" customHeight="1" x14ac:dyDescent="0.3">
      <c r="A420" s="111">
        <v>46163</v>
      </c>
      <c r="B420" s="112" t="s">
        <v>2049</v>
      </c>
      <c r="C420" s="113" t="s">
        <v>1315</v>
      </c>
      <c r="D420" s="113" t="str">
        <f>IFERROR(VLOOKUP(C420,SKUs!$A$6:$F$1971,6,FALSE()),"")</f>
        <v>BONE BRIM - BTG</v>
      </c>
      <c r="E420" s="113">
        <v>1</v>
      </c>
      <c r="F420" s="113">
        <f>IFERROR(IF(OR(B420="",E420=""),"",E420*VLOOKUP(B420,Configurações!$I$5:$J$15,2,FALSE())),"")</f>
        <v>1</v>
      </c>
      <c r="G420" s="113" t="s">
        <v>665</v>
      </c>
      <c r="H420" s="113" t="s">
        <v>2050</v>
      </c>
      <c r="I420" s="113"/>
      <c r="J420" s="113"/>
      <c r="K420" s="113" t="s">
        <v>2051</v>
      </c>
      <c r="L420" s="113"/>
      <c r="M420" s="113" t="s">
        <v>1205</v>
      </c>
    </row>
    <row r="421" spans="1:13" ht="12.75" hidden="1" customHeight="1" x14ac:dyDescent="0.3">
      <c r="A421" s="111">
        <v>46163</v>
      </c>
      <c r="B421" s="112" t="s">
        <v>2049</v>
      </c>
      <c r="C421" s="113" t="s">
        <v>1316</v>
      </c>
      <c r="D421" s="113" t="str">
        <f>IFERROR(VLOOKUP(C421,SKUs!$A$6:$F$1971,6,FALSE()),"")</f>
        <v>LANCHEIRA - PT</v>
      </c>
      <c r="E421" s="113">
        <v>18</v>
      </c>
      <c r="F421" s="113">
        <f>IFERROR(IF(OR(B421="",E421=""),"",E421*VLOOKUP(B421,Configurações!$I$5:$J$15,2,FALSE())),"")</f>
        <v>18</v>
      </c>
      <c r="G421" s="113" t="s">
        <v>665</v>
      </c>
      <c r="H421" s="113" t="s">
        <v>2050</v>
      </c>
      <c r="I421" s="113"/>
      <c r="J421" s="113"/>
      <c r="K421" s="113" t="s">
        <v>2051</v>
      </c>
      <c r="L421" s="113"/>
      <c r="M421" s="113" t="s">
        <v>1318</v>
      </c>
    </row>
    <row r="422" spans="1:13" ht="12.75" hidden="1" customHeight="1" x14ac:dyDescent="0.3">
      <c r="A422" s="111">
        <v>46163</v>
      </c>
      <c r="B422" s="112" t="s">
        <v>2049</v>
      </c>
      <c r="C422" s="113" t="s">
        <v>1319</v>
      </c>
      <c r="D422" s="113" t="str">
        <f>IFERROR(VLOOKUP(C422,SKUs!$A$6:$F$1971,6,FALSE()),"")</f>
        <v>ALMOFADA DUO- FOM</v>
      </c>
      <c r="E422" s="113">
        <v>5</v>
      </c>
      <c r="F422" s="113">
        <f>IFERROR(IF(OR(B422="",E422=""),"",E422*VLOOKUP(B422,Configurações!$I$5:$J$15,2,FALSE())),"")</f>
        <v>5</v>
      </c>
      <c r="G422" s="113" t="s">
        <v>665</v>
      </c>
      <c r="H422" s="113" t="s">
        <v>2050</v>
      </c>
      <c r="I422" s="113"/>
      <c r="J422" s="113"/>
      <c r="K422" s="113" t="s">
        <v>2051</v>
      </c>
      <c r="L422" s="113"/>
      <c r="M422" s="113" t="s">
        <v>1322</v>
      </c>
    </row>
    <row r="423" spans="1:13" ht="12.75" hidden="1" customHeight="1" x14ac:dyDescent="0.3">
      <c r="A423" s="111">
        <v>46163</v>
      </c>
      <c r="B423" s="112" t="s">
        <v>2049</v>
      </c>
      <c r="C423" s="113" t="s">
        <v>1323</v>
      </c>
      <c r="D423" s="113" t="str">
        <f>IFERROR(VLOOKUP(C423,SKUs!$A$6:$F$1971,6,FALSE()),"")</f>
        <v>GARRAFA PAN INOX</v>
      </c>
      <c r="E423" s="113">
        <v>6</v>
      </c>
      <c r="F423" s="113">
        <f>IFERROR(IF(OR(B423="",E423=""),"",E423*VLOOKUP(B423,Configurações!$I$5:$J$15,2,FALSE())),"")</f>
        <v>6</v>
      </c>
      <c r="G423" s="113" t="s">
        <v>665</v>
      </c>
      <c r="H423" s="113" t="s">
        <v>2050</v>
      </c>
      <c r="I423" s="113"/>
      <c r="J423" s="113"/>
      <c r="K423" s="113" t="s">
        <v>2051</v>
      </c>
      <c r="L423" s="113"/>
      <c r="M423" s="113" t="s">
        <v>1325</v>
      </c>
    </row>
    <row r="424" spans="1:13" ht="12.75" hidden="1" customHeight="1" x14ac:dyDescent="0.3">
      <c r="A424" s="111">
        <v>46163</v>
      </c>
      <c r="B424" s="112" t="s">
        <v>2049</v>
      </c>
      <c r="C424" s="113" t="s">
        <v>1200</v>
      </c>
      <c r="D424" s="113" t="str">
        <f>IFERROR(VLOOKUP(C424,SKUs!$A$6:$F$1971,6,FALSE()),"")</f>
        <v>CANECA TREMICA FOKUS</v>
      </c>
      <c r="E424" s="113">
        <v>8</v>
      </c>
      <c r="F424" s="113">
        <f>IFERROR(IF(OR(B424="",E424=""),"",E424*VLOOKUP(B424,Configurações!$I$5:$J$15,2,FALSE())),"")</f>
        <v>8</v>
      </c>
      <c r="G424" s="113" t="s">
        <v>665</v>
      </c>
      <c r="H424" s="113" t="s">
        <v>2050</v>
      </c>
      <c r="I424" s="113"/>
      <c r="J424" s="113"/>
      <c r="K424" s="113" t="s">
        <v>2051</v>
      </c>
      <c r="L424" s="113"/>
      <c r="M424" s="113" t="s">
        <v>1205</v>
      </c>
    </row>
    <row r="425" spans="1:13" ht="12.75" hidden="1" customHeight="1" x14ac:dyDescent="0.3">
      <c r="A425" s="111">
        <v>46163</v>
      </c>
      <c r="B425" s="112" t="s">
        <v>2049</v>
      </c>
      <c r="C425" s="113" t="s">
        <v>1326</v>
      </c>
      <c r="D425" s="113" t="str">
        <f>IFERROR(VLOOKUP(C425,SKUs!$A$6:$F$1971,6,FALSE()),"")</f>
        <v>CANECA TREMICA FOKUS</v>
      </c>
      <c r="E425" s="113">
        <v>9</v>
      </c>
      <c r="F425" s="113">
        <f>IFERROR(IF(OR(B425="",E425=""),"",E425*VLOOKUP(B425,Configurações!$I$5:$J$15,2,FALSE())),"")</f>
        <v>9</v>
      </c>
      <c r="G425" s="113" t="s">
        <v>665</v>
      </c>
      <c r="H425" s="113" t="s">
        <v>2050</v>
      </c>
      <c r="I425" s="113"/>
      <c r="J425" s="113"/>
      <c r="K425" s="113" t="s">
        <v>2051</v>
      </c>
      <c r="L425" s="113"/>
      <c r="M425" s="113" t="s">
        <v>1325</v>
      </c>
    </row>
    <row r="426" spans="1:13" ht="12.75" hidden="1" customHeight="1" x14ac:dyDescent="0.3">
      <c r="A426" s="111">
        <v>46163</v>
      </c>
      <c r="B426" s="112" t="s">
        <v>2049</v>
      </c>
      <c r="C426" s="113" t="s">
        <v>1327</v>
      </c>
      <c r="D426" s="113" t="str">
        <f>IFERROR(VLOOKUP(C426,SKUs!$A$6:$F$1971,6,FALSE()),"")</f>
        <v>NECESSARIE</v>
      </c>
      <c r="E426" s="113">
        <v>24</v>
      </c>
      <c r="F426" s="113">
        <f>IFERROR(IF(OR(B426="",E426=""),"",E426*VLOOKUP(B426,Configurações!$I$5:$J$15,2,FALSE())),"")</f>
        <v>24</v>
      </c>
      <c r="G426" s="113" t="s">
        <v>665</v>
      </c>
      <c r="H426" s="113" t="s">
        <v>2050</v>
      </c>
      <c r="I426" s="113"/>
      <c r="J426" s="113"/>
      <c r="K426" s="113" t="s">
        <v>2051</v>
      </c>
      <c r="L426" s="113"/>
      <c r="M426" s="113" t="s">
        <v>1094</v>
      </c>
    </row>
    <row r="427" spans="1:13" ht="12.75" hidden="1" customHeight="1" x14ac:dyDescent="0.3">
      <c r="A427" s="111">
        <v>46163</v>
      </c>
      <c r="B427" s="112" t="s">
        <v>2049</v>
      </c>
      <c r="C427" s="113" t="s">
        <v>1089</v>
      </c>
      <c r="D427" s="113" t="str">
        <f>IFERROR(VLOOKUP(C427,SKUs!$A$6:$F$1971,6,FALSE()),"")</f>
        <v>RAQUETE FRESCOBOL</v>
      </c>
      <c r="E427" s="113">
        <v>4</v>
      </c>
      <c r="F427" s="113">
        <f>IFERROR(IF(OR(B427="",E427=""),"",E427*VLOOKUP(B427,Configurações!$I$5:$J$15,2,FALSE())),"")</f>
        <v>4</v>
      </c>
      <c r="G427" s="113" t="s">
        <v>665</v>
      </c>
      <c r="H427" s="113" t="s">
        <v>2050</v>
      </c>
      <c r="I427" s="113"/>
      <c r="J427" s="113"/>
      <c r="K427" s="113" t="s">
        <v>2051</v>
      </c>
      <c r="L427" s="113"/>
      <c r="M427" s="113" t="s">
        <v>1094</v>
      </c>
    </row>
    <row r="428" spans="1:13" ht="12.75" hidden="1" customHeight="1" x14ac:dyDescent="0.3">
      <c r="A428" s="111">
        <v>46163</v>
      </c>
      <c r="B428" s="112" t="s">
        <v>2049</v>
      </c>
      <c r="C428" s="113" t="s">
        <v>1111</v>
      </c>
      <c r="D428" s="113" t="str">
        <f>IFERROR(VLOOKUP(C428,SKUs!$A$6:$F$1971,6,FALSE()),"")</f>
        <v>SACOLA BTG - QUADRADA</v>
      </c>
      <c r="E428" s="113">
        <v>2</v>
      </c>
      <c r="F428" s="113">
        <f>IFERROR(IF(OR(B428="",E428=""),"",E428*VLOOKUP(B428,Configurações!$I$5:$J$15,2,FALSE())),"")</f>
        <v>2</v>
      </c>
      <c r="G428" s="113" t="s">
        <v>665</v>
      </c>
      <c r="H428" s="113" t="s">
        <v>2050</v>
      </c>
      <c r="I428" s="113"/>
      <c r="J428" s="113"/>
      <c r="K428" s="113" t="s">
        <v>2051</v>
      </c>
      <c r="L428" s="113"/>
      <c r="M428" s="113" t="s">
        <v>1116</v>
      </c>
    </row>
    <row r="429" spans="1:13" ht="12.75" hidden="1" customHeight="1" x14ac:dyDescent="0.3">
      <c r="A429" s="111">
        <v>46163</v>
      </c>
      <c r="B429" s="112" t="s">
        <v>2049</v>
      </c>
      <c r="C429" s="113" t="s">
        <v>1119</v>
      </c>
      <c r="D429" s="113" t="str">
        <f>IFERROR(VLOOKUP(C429,SKUs!$A$6:$F$1971,6,FALSE()),"")</f>
        <v>SACOLA BTG - QUADRADA</v>
      </c>
      <c r="E429" s="113">
        <v>82</v>
      </c>
      <c r="F429" s="113">
        <f>IFERROR(IF(OR(B429="",E429=""),"",E429*VLOOKUP(B429,Configurações!$I$5:$J$15,2,FALSE())),"")</f>
        <v>82</v>
      </c>
      <c r="G429" s="113" t="s">
        <v>665</v>
      </c>
      <c r="H429" s="113" t="s">
        <v>2050</v>
      </c>
      <c r="I429" s="113"/>
      <c r="J429" s="113"/>
      <c r="K429" s="113" t="s">
        <v>2051</v>
      </c>
      <c r="L429" s="113"/>
      <c r="M429" s="113" t="s">
        <v>1116</v>
      </c>
    </row>
    <row r="430" spans="1:13" ht="12.75" hidden="1" customHeight="1" x14ac:dyDescent="0.3">
      <c r="A430" s="111">
        <v>46163</v>
      </c>
      <c r="B430" s="112" t="s">
        <v>2049</v>
      </c>
      <c r="C430" s="113" t="s">
        <v>1225</v>
      </c>
      <c r="D430" s="113" t="str">
        <f>IFERROR(VLOOKUP(C430,SKUs!$A$6:$F$1971,6,FALSE()),"")</f>
        <v>SACOLA BTG - QUADRADA</v>
      </c>
      <c r="E430" s="113">
        <v>3</v>
      </c>
      <c r="F430" s="113">
        <f>IFERROR(IF(OR(B430="",E430=""),"",E430*VLOOKUP(B430,Configurações!$I$5:$J$15,2,FALSE())),"")</f>
        <v>3</v>
      </c>
      <c r="G430" s="113" t="s">
        <v>665</v>
      </c>
      <c r="H430" s="113" t="s">
        <v>2050</v>
      </c>
      <c r="I430" s="113"/>
      <c r="J430" s="113"/>
      <c r="K430" s="113" t="s">
        <v>2051</v>
      </c>
      <c r="L430" s="113"/>
      <c r="M430" s="113" t="s">
        <v>1116</v>
      </c>
    </row>
    <row r="431" spans="1:13" ht="12.75" hidden="1" customHeight="1" x14ac:dyDescent="0.3">
      <c r="A431" s="111">
        <v>46163</v>
      </c>
      <c r="B431" s="112" t="s">
        <v>2049</v>
      </c>
      <c r="C431" s="113" t="s">
        <v>1329</v>
      </c>
      <c r="D431" s="113" t="str">
        <f>IFERROR(VLOOKUP(C431,SKUs!$A$6:$F$1971,6,FALSE()),"")</f>
        <v>POLO COPA FEM.</v>
      </c>
      <c r="E431" s="113">
        <v>8</v>
      </c>
      <c r="F431" s="113">
        <f>IFERROR(IF(OR(B431="",E431=""),"",E431*VLOOKUP(B431,Configurações!$I$5:$J$15,2,FALSE())),"")</f>
        <v>8</v>
      </c>
      <c r="G431" s="113" t="s">
        <v>665</v>
      </c>
      <c r="H431" s="113" t="s">
        <v>2050</v>
      </c>
      <c r="I431" s="113"/>
      <c r="J431" s="113"/>
      <c r="K431" s="113" t="s">
        <v>2051</v>
      </c>
      <c r="L431" s="113"/>
      <c r="M431" s="113" t="s">
        <v>1331</v>
      </c>
    </row>
    <row r="432" spans="1:13" ht="12.75" hidden="1" customHeight="1" x14ac:dyDescent="0.3">
      <c r="A432" s="111">
        <v>46163</v>
      </c>
      <c r="B432" s="112" t="s">
        <v>2049</v>
      </c>
      <c r="C432" s="113" t="s">
        <v>1332</v>
      </c>
      <c r="D432" s="113" t="str">
        <f>IFERROR(VLOOKUP(C432,SKUs!$A$6:$F$1971,6,FALSE()),"")</f>
        <v>POLO COPA FEM.</v>
      </c>
      <c r="E432" s="113">
        <v>10</v>
      </c>
      <c r="F432" s="113">
        <f>IFERROR(IF(OR(B432="",E432=""),"",E432*VLOOKUP(B432,Configurações!$I$5:$J$15,2,FALSE())),"")</f>
        <v>10</v>
      </c>
      <c r="G432" s="113" t="s">
        <v>665</v>
      </c>
      <c r="H432" s="113" t="s">
        <v>2050</v>
      </c>
      <c r="I432" s="113"/>
      <c r="J432" s="113"/>
      <c r="K432" s="113" t="s">
        <v>2051</v>
      </c>
      <c r="L432" s="113"/>
      <c r="M432" s="113" t="s">
        <v>1331</v>
      </c>
    </row>
    <row r="433" spans="1:13" ht="12.75" hidden="1" customHeight="1" x14ac:dyDescent="0.3">
      <c r="A433" s="111">
        <v>46163</v>
      </c>
      <c r="B433" s="112" t="s">
        <v>2049</v>
      </c>
      <c r="C433" s="113" t="s">
        <v>1333</v>
      </c>
      <c r="D433" s="113" t="str">
        <f>IFERROR(VLOOKUP(C433,SKUs!$A$6:$F$1971,6,FALSE()),"")</f>
        <v>POLO COPA FEM.</v>
      </c>
      <c r="E433" s="113">
        <v>10</v>
      </c>
      <c r="F433" s="113">
        <f>IFERROR(IF(OR(B433="",E433=""),"",E433*VLOOKUP(B433,Configurações!$I$5:$J$15,2,FALSE())),"")</f>
        <v>10</v>
      </c>
      <c r="G433" s="113" t="s">
        <v>665</v>
      </c>
      <c r="H433" s="113" t="s">
        <v>2050</v>
      </c>
      <c r="I433" s="113"/>
      <c r="J433" s="113"/>
      <c r="K433" s="113" t="s">
        <v>2051</v>
      </c>
      <c r="L433" s="113"/>
      <c r="M433" s="113" t="s">
        <v>1331</v>
      </c>
    </row>
    <row r="434" spans="1:13" ht="12.75" hidden="1" customHeight="1" x14ac:dyDescent="0.3">
      <c r="A434" s="111">
        <v>46163</v>
      </c>
      <c r="B434" s="112" t="s">
        <v>2049</v>
      </c>
      <c r="C434" s="113" t="s">
        <v>1334</v>
      </c>
      <c r="D434" s="113" t="str">
        <f>IFERROR(VLOOKUP(C434,SKUs!$A$6:$F$1971,6,FALSE()),"")</f>
        <v>POLO COPA FEM.</v>
      </c>
      <c r="E434" s="113">
        <v>13</v>
      </c>
      <c r="F434" s="113">
        <f>IFERROR(IF(OR(B434="",E434=""),"",E434*VLOOKUP(B434,Configurações!$I$5:$J$15,2,FALSE())),"")</f>
        <v>13</v>
      </c>
      <c r="G434" s="113" t="s">
        <v>665</v>
      </c>
      <c r="H434" s="113" t="s">
        <v>2050</v>
      </c>
      <c r="I434" s="113"/>
      <c r="J434" s="113"/>
      <c r="K434" s="113" t="s">
        <v>2051</v>
      </c>
      <c r="L434" s="113"/>
      <c r="M434" s="113" t="s">
        <v>1331</v>
      </c>
    </row>
    <row r="435" spans="1:13" ht="12.75" hidden="1" customHeight="1" x14ac:dyDescent="0.3">
      <c r="A435" s="111">
        <v>46163</v>
      </c>
      <c r="B435" s="112" t="s">
        <v>2049</v>
      </c>
      <c r="C435" s="113" t="s">
        <v>1335</v>
      </c>
      <c r="D435" s="113" t="str">
        <f>IFERROR(VLOOKUP(C435,SKUs!$A$6:$F$1971,6,FALSE()),"")</f>
        <v>POLO COPA FEM.</v>
      </c>
      <c r="E435" s="113">
        <v>10</v>
      </c>
      <c r="F435" s="113">
        <f>IFERROR(IF(OR(B435="",E435=""),"",E435*VLOOKUP(B435,Configurações!$I$5:$J$15,2,FALSE())),"")</f>
        <v>10</v>
      </c>
      <c r="G435" s="113" t="s">
        <v>665</v>
      </c>
      <c r="H435" s="113" t="s">
        <v>2050</v>
      </c>
      <c r="I435" s="113"/>
      <c r="J435" s="113"/>
      <c r="K435" s="113" t="s">
        <v>2051</v>
      </c>
      <c r="L435" s="113"/>
      <c r="M435" s="113" t="s">
        <v>1331</v>
      </c>
    </row>
    <row r="436" spans="1:13" ht="12.75" hidden="1" customHeight="1" x14ac:dyDescent="0.3">
      <c r="A436" s="111">
        <v>46163</v>
      </c>
      <c r="B436" s="112" t="s">
        <v>2049</v>
      </c>
      <c r="C436" s="113" t="s">
        <v>1336</v>
      </c>
      <c r="D436" s="113" t="str">
        <f>IFERROR(VLOOKUP(C436,SKUs!$A$6:$F$1971,6,FALSE()),"")</f>
        <v>CAMISETA FIO EGIPCIO FEM.</v>
      </c>
      <c r="E436" s="113">
        <v>5</v>
      </c>
      <c r="F436" s="113">
        <f>IFERROR(IF(OR(B436="",E436=""),"",E436*VLOOKUP(B436,Configurações!$I$5:$J$15,2,FALSE())),"")</f>
        <v>5</v>
      </c>
      <c r="G436" s="113" t="s">
        <v>665</v>
      </c>
      <c r="H436" s="113" t="s">
        <v>2050</v>
      </c>
      <c r="I436" s="113"/>
      <c r="J436" s="113"/>
      <c r="K436" s="113" t="s">
        <v>2051</v>
      </c>
      <c r="L436" s="113"/>
      <c r="M436" s="113" t="s">
        <v>1239</v>
      </c>
    </row>
    <row r="437" spans="1:13" ht="12.75" hidden="1" customHeight="1" x14ac:dyDescent="0.3">
      <c r="A437" s="111">
        <v>46163</v>
      </c>
      <c r="B437" s="112" t="s">
        <v>2049</v>
      </c>
      <c r="C437" s="113" t="s">
        <v>1337</v>
      </c>
      <c r="D437" s="113" t="str">
        <f>IFERROR(VLOOKUP(C437,SKUs!$A$6:$F$1971,6,FALSE()),"")</f>
        <v>CAMISETA FIO EGIPCIO FEM.</v>
      </c>
      <c r="E437" s="113">
        <v>5</v>
      </c>
      <c r="F437" s="113">
        <f>IFERROR(IF(OR(B437="",E437=""),"",E437*VLOOKUP(B437,Configurações!$I$5:$J$15,2,FALSE())),"")</f>
        <v>5</v>
      </c>
      <c r="G437" s="113" t="s">
        <v>665</v>
      </c>
      <c r="H437" s="113" t="s">
        <v>2050</v>
      </c>
      <c r="I437" s="113"/>
      <c r="J437" s="113"/>
      <c r="K437" s="113" t="s">
        <v>2051</v>
      </c>
      <c r="L437" s="113"/>
      <c r="M437" s="113" t="s">
        <v>1239</v>
      </c>
    </row>
    <row r="438" spans="1:13" ht="12.75" hidden="1" customHeight="1" x14ac:dyDescent="0.3">
      <c r="A438" s="111">
        <v>46163</v>
      </c>
      <c r="B438" s="112" t="s">
        <v>2049</v>
      </c>
      <c r="C438" s="113" t="s">
        <v>1338</v>
      </c>
      <c r="D438" s="113" t="str">
        <f>IFERROR(VLOOKUP(C438,SKUs!$A$6:$F$1971,6,FALSE()),"")</f>
        <v>CAMISETA FIO EGIPCIO FEM.</v>
      </c>
      <c r="E438" s="113">
        <v>5</v>
      </c>
      <c r="F438" s="113">
        <f>IFERROR(IF(OR(B438="",E438=""),"",E438*VLOOKUP(B438,Configurações!$I$5:$J$15,2,FALSE())),"")</f>
        <v>5</v>
      </c>
      <c r="G438" s="113" t="s">
        <v>665</v>
      </c>
      <c r="H438" s="113" t="s">
        <v>2050</v>
      </c>
      <c r="I438" s="113"/>
      <c r="J438" s="113"/>
      <c r="K438" s="113" t="s">
        <v>2051</v>
      </c>
      <c r="L438" s="113"/>
      <c r="M438" s="113" t="s">
        <v>1239</v>
      </c>
    </row>
    <row r="439" spans="1:13" ht="12.75" hidden="1" customHeight="1" x14ac:dyDescent="0.3">
      <c r="A439" s="111">
        <v>46163</v>
      </c>
      <c r="B439" s="112" t="s">
        <v>2049</v>
      </c>
      <c r="C439" s="113" t="s">
        <v>1339</v>
      </c>
      <c r="D439" s="113" t="str">
        <f>IFERROR(VLOOKUP(C439,SKUs!$A$6:$F$1971,6,FALSE()),"")</f>
        <v>CAMISETA FIO EGIPCIO FEM.</v>
      </c>
      <c r="E439" s="113">
        <v>5</v>
      </c>
      <c r="F439" s="113">
        <f>IFERROR(IF(OR(B439="",E439=""),"",E439*VLOOKUP(B439,Configurações!$I$5:$J$15,2,FALSE())),"")</f>
        <v>5</v>
      </c>
      <c r="G439" s="113" t="s">
        <v>665</v>
      </c>
      <c r="H439" s="113" t="s">
        <v>2050</v>
      </c>
      <c r="I439" s="113"/>
      <c r="J439" s="113"/>
      <c r="K439" s="113" t="s">
        <v>2051</v>
      </c>
      <c r="L439" s="113"/>
      <c r="M439" s="113" t="s">
        <v>1239</v>
      </c>
    </row>
    <row r="440" spans="1:13" ht="12.75" hidden="1" customHeight="1" x14ac:dyDescent="0.3">
      <c r="A440" s="111">
        <v>46163</v>
      </c>
      <c r="B440" s="112" t="s">
        <v>2049</v>
      </c>
      <c r="C440" s="113" t="s">
        <v>1340</v>
      </c>
      <c r="D440" s="113" t="str">
        <f>IFERROR(VLOOKUP(C440,SKUs!$A$6:$F$1971,6,FALSE()),"")</f>
        <v>CAMISETA FIO EGIPCIO FEM.</v>
      </c>
      <c r="E440" s="113">
        <v>2</v>
      </c>
      <c r="F440" s="113">
        <f>IFERROR(IF(OR(B440="",E440=""),"",E440*VLOOKUP(B440,Configurações!$I$5:$J$15,2,FALSE())),"")</f>
        <v>2</v>
      </c>
      <c r="G440" s="113" t="s">
        <v>665</v>
      </c>
      <c r="H440" s="113" t="s">
        <v>2050</v>
      </c>
      <c r="I440" s="113"/>
      <c r="J440" s="113"/>
      <c r="K440" s="113" t="s">
        <v>2051</v>
      </c>
      <c r="L440" s="113"/>
      <c r="M440" s="113" t="s">
        <v>1239</v>
      </c>
    </row>
    <row r="441" spans="1:13" ht="12.75" hidden="1" customHeight="1" x14ac:dyDescent="0.3">
      <c r="A441" s="111">
        <v>46163</v>
      </c>
      <c r="B441" s="112" t="s">
        <v>2049</v>
      </c>
      <c r="C441" s="113" t="s">
        <v>1237</v>
      </c>
      <c r="D441" s="113" t="str">
        <f>IFERROR(VLOOKUP(C441,SKUs!$A$6:$F$1971,6,FALSE()),"")</f>
        <v>CAMISETA FIO EGIPCIO FEM.</v>
      </c>
      <c r="E441" s="113">
        <v>6</v>
      </c>
      <c r="F441" s="113">
        <f>IFERROR(IF(OR(B441="",E441=""),"",E441*VLOOKUP(B441,Configurações!$I$5:$J$15,2,FALSE())),"")</f>
        <v>6</v>
      </c>
      <c r="G441" s="113" t="s">
        <v>665</v>
      </c>
      <c r="H441" s="113" t="s">
        <v>2050</v>
      </c>
      <c r="I441" s="113"/>
      <c r="J441" s="113"/>
      <c r="K441" s="113" t="s">
        <v>2051</v>
      </c>
      <c r="L441" s="113"/>
      <c r="M441" s="113" t="s">
        <v>1239</v>
      </c>
    </row>
    <row r="442" spans="1:13" ht="12.75" hidden="1" customHeight="1" x14ac:dyDescent="0.3">
      <c r="A442" s="111">
        <v>46163</v>
      </c>
      <c r="B442" s="112" t="s">
        <v>2049</v>
      </c>
      <c r="C442" s="113" t="s">
        <v>1240</v>
      </c>
      <c r="D442" s="113" t="str">
        <f>IFERROR(VLOOKUP(C442,SKUs!$A$6:$F$1971,6,FALSE()),"")</f>
        <v>CAMISETA FIO EGIPCIO FEM.</v>
      </c>
      <c r="E442" s="113">
        <v>5</v>
      </c>
      <c r="F442" s="113">
        <f>IFERROR(IF(OR(B442="",E442=""),"",E442*VLOOKUP(B442,Configurações!$I$5:$J$15,2,FALSE())),"")</f>
        <v>5</v>
      </c>
      <c r="G442" s="113" t="s">
        <v>665</v>
      </c>
      <c r="H442" s="113" t="s">
        <v>2050</v>
      </c>
      <c r="I442" s="113"/>
      <c r="J442" s="113"/>
      <c r="K442" s="113" t="s">
        <v>2051</v>
      </c>
      <c r="L442" s="113"/>
      <c r="M442" s="113" t="s">
        <v>1239</v>
      </c>
    </row>
    <row r="443" spans="1:13" ht="12.75" hidden="1" customHeight="1" x14ac:dyDescent="0.3">
      <c r="A443" s="111">
        <v>46163</v>
      </c>
      <c r="B443" s="112" t="s">
        <v>2049</v>
      </c>
      <c r="C443" s="113" t="s">
        <v>1241</v>
      </c>
      <c r="D443" s="113" t="str">
        <f>IFERROR(VLOOKUP(C443,SKUs!$A$6:$F$1971,6,FALSE()),"")</f>
        <v>CAMISETA FIO EGIPCIO FEM.</v>
      </c>
      <c r="E443" s="113">
        <v>5</v>
      </c>
      <c r="F443" s="113">
        <f>IFERROR(IF(OR(B443="",E443=""),"",E443*VLOOKUP(B443,Configurações!$I$5:$J$15,2,FALSE())),"")</f>
        <v>5</v>
      </c>
      <c r="G443" s="113" t="s">
        <v>665</v>
      </c>
      <c r="H443" s="113" t="s">
        <v>2050</v>
      </c>
      <c r="I443" s="113"/>
      <c r="J443" s="113"/>
      <c r="K443" s="113" t="s">
        <v>2051</v>
      </c>
      <c r="L443" s="113"/>
      <c r="M443" s="113" t="s">
        <v>1239</v>
      </c>
    </row>
    <row r="444" spans="1:13" ht="12.75" hidden="1" customHeight="1" x14ac:dyDescent="0.3">
      <c r="A444" s="111">
        <v>46163</v>
      </c>
      <c r="B444" s="112" t="s">
        <v>2049</v>
      </c>
      <c r="C444" s="113" t="s">
        <v>1341</v>
      </c>
      <c r="D444" s="113" t="str">
        <f>IFERROR(VLOOKUP(C444,SKUs!$A$6:$F$1971,6,FALSE()),"")</f>
        <v>CAMISETA FIO EGIPCIO FEM.</v>
      </c>
      <c r="E444" s="113">
        <v>6</v>
      </c>
      <c r="F444" s="113">
        <f>IFERROR(IF(OR(B444="",E444=""),"",E444*VLOOKUP(B444,Configurações!$I$5:$J$15,2,FALSE())),"")</f>
        <v>6</v>
      </c>
      <c r="G444" s="113" t="s">
        <v>665</v>
      </c>
      <c r="H444" s="113" t="s">
        <v>2050</v>
      </c>
      <c r="I444" s="113"/>
      <c r="J444" s="113"/>
      <c r="K444" s="113" t="s">
        <v>2051</v>
      </c>
      <c r="L444" s="113"/>
      <c r="M444" s="113" t="s">
        <v>1239</v>
      </c>
    </row>
    <row r="445" spans="1:13" ht="12.75" hidden="1" customHeight="1" x14ac:dyDescent="0.3">
      <c r="A445" s="111">
        <v>46163</v>
      </c>
      <c r="B445" s="112" t="s">
        <v>2049</v>
      </c>
      <c r="C445" s="113" t="s">
        <v>1342</v>
      </c>
      <c r="D445" s="113" t="str">
        <f>IFERROR(VLOOKUP(C445,SKUs!$A$6:$F$1971,6,FALSE()),"")</f>
        <v>CAMISETA FIO EGIPCIO FEM.</v>
      </c>
      <c r="E445" s="113">
        <v>6</v>
      </c>
      <c r="F445" s="113">
        <f>IFERROR(IF(OR(B445="",E445=""),"",E445*VLOOKUP(B445,Configurações!$I$5:$J$15,2,FALSE())),"")</f>
        <v>6</v>
      </c>
      <c r="G445" s="113" t="s">
        <v>665</v>
      </c>
      <c r="H445" s="113" t="s">
        <v>2050</v>
      </c>
      <c r="I445" s="113"/>
      <c r="J445" s="113"/>
      <c r="K445" s="113" t="s">
        <v>2051</v>
      </c>
      <c r="L445" s="113"/>
      <c r="M445" s="113" t="s">
        <v>1239</v>
      </c>
    </row>
    <row r="446" spans="1:13" ht="12.75" hidden="1" customHeight="1" x14ac:dyDescent="0.3">
      <c r="A446" s="111">
        <v>46163</v>
      </c>
      <c r="B446" s="112" t="s">
        <v>2049</v>
      </c>
      <c r="C446" s="113" t="s">
        <v>1343</v>
      </c>
      <c r="D446" s="113" t="str">
        <f>IFERROR(VLOOKUP(C446,SKUs!$A$6:$F$1971,6,FALSE()),"")</f>
        <v>PORTA CARTÃO - COURO</v>
      </c>
      <c r="E446" s="113">
        <v>24</v>
      </c>
      <c r="F446" s="113">
        <f>IFERROR(IF(OR(B446="",E446=""),"",E446*VLOOKUP(B446,Configurações!$I$5:$J$15,2,FALSE())),"")</f>
        <v>24</v>
      </c>
      <c r="G446" s="113" t="s">
        <v>665</v>
      </c>
      <c r="H446" s="113" t="s">
        <v>2050</v>
      </c>
      <c r="I446" s="113"/>
      <c r="J446" s="113"/>
      <c r="K446" s="113" t="s">
        <v>2051</v>
      </c>
      <c r="L446" s="113"/>
      <c r="M446" s="113" t="s">
        <v>1177</v>
      </c>
    </row>
    <row r="447" spans="1:13" ht="12.75" hidden="1" customHeight="1" x14ac:dyDescent="0.3">
      <c r="A447" s="111">
        <v>46163</v>
      </c>
      <c r="B447" s="112" t="s">
        <v>2049</v>
      </c>
      <c r="C447" s="113" t="s">
        <v>1346</v>
      </c>
      <c r="D447" s="113" t="str">
        <f>IFERROR(VLOOKUP(C447,SKUs!$A$6:$F$1971,6,FALSE()),"")</f>
        <v>PORTA CARTÃO - COURO</v>
      </c>
      <c r="E447" s="113">
        <v>30</v>
      </c>
      <c r="F447" s="113">
        <f>IFERROR(IF(OR(B447="",E447=""),"",E447*VLOOKUP(B447,Configurações!$I$5:$J$15,2,FALSE())),"")</f>
        <v>30</v>
      </c>
      <c r="G447" s="113" t="s">
        <v>665</v>
      </c>
      <c r="H447" s="113" t="s">
        <v>2050</v>
      </c>
      <c r="I447" s="113"/>
      <c r="J447" s="113"/>
      <c r="K447" s="113" t="s">
        <v>2051</v>
      </c>
      <c r="L447" s="113"/>
      <c r="M447" s="113" t="s">
        <v>1177</v>
      </c>
    </row>
    <row r="448" spans="1:13" ht="12.75" hidden="1" customHeight="1" x14ac:dyDescent="0.3">
      <c r="A448" s="111">
        <v>46163</v>
      </c>
      <c r="B448" s="112" t="s">
        <v>2049</v>
      </c>
      <c r="C448" s="113" t="s">
        <v>1347</v>
      </c>
      <c r="D448" s="113" t="str">
        <f>IFERROR(VLOOKUP(C448,SKUs!$A$6:$F$1971,6,FALSE()),"")</f>
        <v>PORTA CARTÃO - COURO</v>
      </c>
      <c r="E448" s="113">
        <v>5</v>
      </c>
      <c r="F448" s="113">
        <f>IFERROR(IF(OR(B448="",E448=""),"",E448*VLOOKUP(B448,Configurações!$I$5:$J$15,2,FALSE())),"")</f>
        <v>5</v>
      </c>
      <c r="G448" s="113" t="s">
        <v>665</v>
      </c>
      <c r="H448" s="113" t="s">
        <v>2050</v>
      </c>
      <c r="I448" s="113"/>
      <c r="J448" s="113"/>
      <c r="K448" s="113" t="s">
        <v>2051</v>
      </c>
      <c r="L448" s="113"/>
      <c r="M448" s="113" t="s">
        <v>1177</v>
      </c>
    </row>
    <row r="449" spans="1:13" ht="12.75" hidden="1" customHeight="1" x14ac:dyDescent="0.3">
      <c r="A449" s="111">
        <v>46163</v>
      </c>
      <c r="B449" s="112" t="s">
        <v>2049</v>
      </c>
      <c r="C449" s="113" t="s">
        <v>1348</v>
      </c>
      <c r="D449" s="113" t="str">
        <f>IFERROR(VLOOKUP(C449,SKUs!$A$6:$F$1971,6,FALSE()),"")</f>
        <v>PORTA CARTÃO CHUMBO - BTG</v>
      </c>
      <c r="E449" s="113">
        <v>47</v>
      </c>
      <c r="F449" s="113">
        <f>IFERROR(IF(OR(B449="",E449=""),"",E449*VLOOKUP(B449,Configurações!$I$5:$J$15,2,FALSE())),"")</f>
        <v>47</v>
      </c>
      <c r="G449" s="113" t="s">
        <v>665</v>
      </c>
      <c r="H449" s="113" t="s">
        <v>2050</v>
      </c>
      <c r="I449" s="113"/>
      <c r="J449" s="113"/>
      <c r="K449" s="113" t="s">
        <v>2051</v>
      </c>
      <c r="L449" s="113"/>
      <c r="M449" s="113" t="s">
        <v>1177</v>
      </c>
    </row>
    <row r="450" spans="1:13" ht="12.75" hidden="1" customHeight="1" x14ac:dyDescent="0.3">
      <c r="A450" s="111">
        <v>46163</v>
      </c>
      <c r="B450" s="112" t="s">
        <v>2049</v>
      </c>
      <c r="C450" s="113" t="s">
        <v>1350</v>
      </c>
      <c r="D450" s="113" t="str">
        <f>IFERROR(VLOOKUP(C450,SKUs!$A$6:$F$1971,6,FALSE()),"")</f>
        <v>PORTA PASSAPORTE + TAG MALA</v>
      </c>
      <c r="E450" s="113">
        <v>14</v>
      </c>
      <c r="F450" s="113">
        <f>IFERROR(IF(OR(B450="",E450=""),"",E450*VLOOKUP(B450,Configurações!$I$5:$J$15,2,FALSE())),"")</f>
        <v>14</v>
      </c>
      <c r="G450" s="113" t="s">
        <v>665</v>
      </c>
      <c r="H450" s="113" t="s">
        <v>2050</v>
      </c>
      <c r="I450" s="113"/>
      <c r="J450" s="113"/>
      <c r="K450" s="113" t="s">
        <v>2051</v>
      </c>
      <c r="L450" s="113"/>
      <c r="M450" s="113" t="s">
        <v>1177</v>
      </c>
    </row>
    <row r="451" spans="1:13" ht="12.75" hidden="1" customHeight="1" x14ac:dyDescent="0.3">
      <c r="A451" s="111">
        <v>46163</v>
      </c>
      <c r="B451" s="112" t="s">
        <v>2049</v>
      </c>
      <c r="C451" s="113" t="s">
        <v>1353</v>
      </c>
      <c r="D451" s="113" t="str">
        <f>IFERROR(VLOOKUP(C451,SKUs!$A$6:$F$1971,6,FALSE()),"")</f>
        <v>PORTA PASSAPORTE + TAG MALA</v>
      </c>
      <c r="E451" s="113">
        <v>11</v>
      </c>
      <c r="F451" s="113">
        <f>IFERROR(IF(OR(B451="",E451=""),"",E451*VLOOKUP(B451,Configurações!$I$5:$J$15,2,FALSE())),"")</f>
        <v>11</v>
      </c>
      <c r="G451" s="113" t="s">
        <v>665</v>
      </c>
      <c r="H451" s="113" t="s">
        <v>2050</v>
      </c>
      <c r="I451" s="113"/>
      <c r="J451" s="113"/>
      <c r="K451" s="113" t="s">
        <v>2051</v>
      </c>
      <c r="L451" s="113"/>
      <c r="M451" s="113" t="s">
        <v>1177</v>
      </c>
    </row>
    <row r="452" spans="1:13" ht="12.75" hidden="1" customHeight="1" x14ac:dyDescent="0.3">
      <c r="A452" s="111">
        <v>46163</v>
      </c>
      <c r="B452" s="112" t="s">
        <v>2049</v>
      </c>
      <c r="C452" s="113" t="s">
        <v>1354</v>
      </c>
      <c r="D452" s="113" t="str">
        <f>IFERROR(VLOOKUP(C452,SKUs!$A$6:$F$1971,6,FALSE()),"")</f>
        <v>BOLSINHA DE MÃO EM COURO</v>
      </c>
      <c r="E452" s="113">
        <v>15</v>
      </c>
      <c r="F452" s="113">
        <f>IFERROR(IF(OR(B452="",E452=""),"",E452*VLOOKUP(B452,Configurações!$I$5:$J$15,2,FALSE())),"")</f>
        <v>15</v>
      </c>
      <c r="G452" s="113" t="s">
        <v>665</v>
      </c>
      <c r="H452" s="113" t="s">
        <v>2050</v>
      </c>
      <c r="I452" s="113"/>
      <c r="J452" s="113"/>
      <c r="K452" s="113" t="s">
        <v>2051</v>
      </c>
      <c r="L452" s="113"/>
      <c r="M452" s="113" t="s">
        <v>1177</v>
      </c>
    </row>
    <row r="453" spans="1:13" ht="12.75" hidden="1" customHeight="1" x14ac:dyDescent="0.3">
      <c r="A453" s="111">
        <v>46163</v>
      </c>
      <c r="B453" s="112" t="s">
        <v>2049</v>
      </c>
      <c r="C453" s="113" t="s">
        <v>1357</v>
      </c>
      <c r="D453" s="113" t="str">
        <f>IFERROR(VLOOKUP(C453,SKUs!$A$6:$F$1971,6,FALSE()),"")</f>
        <v>BOLSINHA DE MÃO EM COURO</v>
      </c>
      <c r="E453" s="113">
        <v>20</v>
      </c>
      <c r="F453" s="113">
        <f>IFERROR(IF(OR(B453="",E453=""),"",E453*VLOOKUP(B453,Configurações!$I$5:$J$15,2,FALSE())),"")</f>
        <v>20</v>
      </c>
      <c r="G453" s="113" t="s">
        <v>665</v>
      </c>
      <c r="H453" s="113" t="s">
        <v>2050</v>
      </c>
      <c r="I453" s="113"/>
      <c r="J453" s="113"/>
      <c r="K453" s="113" t="s">
        <v>2051</v>
      </c>
      <c r="L453" s="113"/>
      <c r="M453" s="113" t="s">
        <v>1177</v>
      </c>
    </row>
    <row r="454" spans="1:13" ht="12.75" hidden="1" customHeight="1" x14ac:dyDescent="0.3">
      <c r="A454" s="111">
        <v>46163</v>
      </c>
      <c r="B454" s="112" t="s">
        <v>2049</v>
      </c>
      <c r="C454" s="113" t="s">
        <v>1174</v>
      </c>
      <c r="D454" s="113" t="str">
        <f>IFERROR(VLOOKUP(C454,SKUs!$A$6:$F$1971,6,FALSE()),"")</f>
        <v>MOCHILA VICTORINOX - BTG</v>
      </c>
      <c r="E454" s="113">
        <v>5</v>
      </c>
      <c r="F454" s="113">
        <f>IFERROR(IF(OR(B454="",E454=""),"",E454*VLOOKUP(B454,Configurações!$I$5:$J$15,2,FALSE())),"")</f>
        <v>5</v>
      </c>
      <c r="G454" s="113" t="s">
        <v>665</v>
      </c>
      <c r="H454" s="113" t="s">
        <v>2050</v>
      </c>
      <c r="I454" s="113"/>
      <c r="J454" s="113"/>
      <c r="K454" s="113" t="s">
        <v>2051</v>
      </c>
      <c r="L454" s="113"/>
      <c r="M454" s="113" t="s">
        <v>1177</v>
      </c>
    </row>
    <row r="455" spans="1:13" ht="12.75" hidden="1" customHeight="1" x14ac:dyDescent="0.3">
      <c r="A455" s="111">
        <v>46163</v>
      </c>
      <c r="B455" s="112" t="s">
        <v>2049</v>
      </c>
      <c r="C455" s="113" t="s">
        <v>1111</v>
      </c>
      <c r="D455" s="113" t="str">
        <f>IFERROR(VLOOKUP(C455,SKUs!$A$6:$F$1971,6,FALSE()),"")</f>
        <v>SACOLA BTG - QUADRADA</v>
      </c>
      <c r="E455" s="113">
        <v>150</v>
      </c>
      <c r="F455" s="113">
        <f>IFERROR(IF(OR(B455="",E455=""),"",E455*VLOOKUP(B455,Configurações!$I$5:$J$15,2,FALSE())),"")</f>
        <v>150</v>
      </c>
      <c r="G455" s="113" t="s">
        <v>665</v>
      </c>
      <c r="H455" s="113" t="s">
        <v>2050</v>
      </c>
      <c r="I455" s="113"/>
      <c r="J455" s="113"/>
      <c r="K455" s="113" t="s">
        <v>2051</v>
      </c>
      <c r="L455" s="113"/>
      <c r="M455" s="113" t="s">
        <v>1117</v>
      </c>
    </row>
    <row r="456" spans="1:13" ht="12.75" hidden="1" customHeight="1" x14ac:dyDescent="0.3">
      <c r="A456" s="111">
        <v>46163</v>
      </c>
      <c r="B456" s="112" t="s">
        <v>2049</v>
      </c>
      <c r="C456" s="113" t="s">
        <v>1225</v>
      </c>
      <c r="D456" s="113" t="str">
        <f>IFERROR(VLOOKUP(C456,SKUs!$A$6:$F$1971,6,FALSE()),"")</f>
        <v>SACOLA BTG - QUADRADA</v>
      </c>
      <c r="E456" s="113">
        <v>60</v>
      </c>
      <c r="F456" s="113">
        <f>IFERROR(IF(OR(B456="",E456=""),"",E456*VLOOKUP(B456,Configurações!$I$5:$J$15,2,FALSE())),"")</f>
        <v>60</v>
      </c>
      <c r="G456" s="113" t="s">
        <v>665</v>
      </c>
      <c r="H456" s="113" t="s">
        <v>2050</v>
      </c>
      <c r="I456" s="113"/>
      <c r="J456" s="113"/>
      <c r="K456" s="113" t="s">
        <v>2051</v>
      </c>
      <c r="L456" s="113"/>
      <c r="M456" s="113" t="s">
        <v>1228</v>
      </c>
    </row>
    <row r="457" spans="1:13" ht="12.75" hidden="1" customHeight="1" x14ac:dyDescent="0.3">
      <c r="A457" s="111">
        <v>46163</v>
      </c>
      <c r="B457" s="112" t="s">
        <v>2049</v>
      </c>
      <c r="C457" s="113" t="s">
        <v>1358</v>
      </c>
      <c r="D457" s="113" t="str">
        <f>IFERROR(VLOOKUP(C457,SKUs!$A$6:$F$1971,6,FALSE()),"")</f>
        <v>CESTO PEQUENO</v>
      </c>
      <c r="E457" s="113">
        <v>1</v>
      </c>
      <c r="F457" s="113">
        <f>IFERROR(IF(OR(B457="",E457=""),"",E457*VLOOKUP(B457,Configurações!$I$5:$J$15,2,FALSE())),"")</f>
        <v>1</v>
      </c>
      <c r="G457" s="113" t="s">
        <v>665</v>
      </c>
      <c r="H457" s="113" t="s">
        <v>2050</v>
      </c>
      <c r="I457" s="113"/>
      <c r="J457" s="113"/>
      <c r="K457" s="113" t="s">
        <v>2051</v>
      </c>
      <c r="L457" s="113"/>
      <c r="M457" s="113" t="s">
        <v>1362</v>
      </c>
    </row>
    <row r="458" spans="1:13" ht="12.75" hidden="1" customHeight="1" x14ac:dyDescent="0.3">
      <c r="A458" s="111">
        <v>46163</v>
      </c>
      <c r="B458" s="112" t="s">
        <v>2049</v>
      </c>
      <c r="C458" s="113" t="s">
        <v>1363</v>
      </c>
      <c r="D458" s="113" t="str">
        <f>IFERROR(VLOOKUP(C458,SKUs!$A$6:$F$1971,6,FALSE()),"")</f>
        <v>CESTO GRANDE</v>
      </c>
      <c r="E458" s="113">
        <v>4</v>
      </c>
      <c r="F458" s="113">
        <f>IFERROR(IF(OR(B458="",E458=""),"",E458*VLOOKUP(B458,Configurações!$I$5:$J$15,2,FALSE())),"")</f>
        <v>4</v>
      </c>
      <c r="G458" s="113" t="s">
        <v>665</v>
      </c>
      <c r="H458" s="113" t="s">
        <v>2050</v>
      </c>
      <c r="I458" s="113"/>
      <c r="J458" s="113"/>
      <c r="K458" s="113" t="s">
        <v>2051</v>
      </c>
      <c r="L458" s="113"/>
      <c r="M458" s="113" t="s">
        <v>1362</v>
      </c>
    </row>
    <row r="459" spans="1:13" ht="12.75" hidden="1" customHeight="1" x14ac:dyDescent="0.3">
      <c r="A459" s="111">
        <v>46163</v>
      </c>
      <c r="B459" s="112" t="s">
        <v>2049</v>
      </c>
      <c r="C459" s="113" t="s">
        <v>1366</v>
      </c>
      <c r="D459" s="113" t="str">
        <f>IFERROR(VLOOKUP(C459,SKUs!$A$6:$F$1971,6,FALSE()),"")</f>
        <v>CESTO REDONDO - GRANDE</v>
      </c>
      <c r="E459" s="113">
        <v>1</v>
      </c>
      <c r="F459" s="113">
        <f>IFERROR(IF(OR(B459="",E459=""),"",E459*VLOOKUP(B459,Configurações!$I$5:$J$15,2,FALSE())),"")</f>
        <v>1</v>
      </c>
      <c r="G459" s="113" t="s">
        <v>665</v>
      </c>
      <c r="H459" s="113" t="s">
        <v>2050</v>
      </c>
      <c r="I459" s="113"/>
      <c r="J459" s="113"/>
      <c r="K459" s="113" t="s">
        <v>2051</v>
      </c>
      <c r="L459" s="113"/>
      <c r="M459" s="113" t="s">
        <v>1362</v>
      </c>
    </row>
    <row r="460" spans="1:13" ht="12.75" hidden="1" customHeight="1" x14ac:dyDescent="0.3">
      <c r="A460" s="111">
        <v>46163</v>
      </c>
      <c r="B460" s="112" t="s">
        <v>2049</v>
      </c>
      <c r="C460" s="113" t="s">
        <v>1368</v>
      </c>
      <c r="D460" s="113" t="str">
        <f>IFERROR(VLOOKUP(C460,SKUs!$A$6:$F$1971,6,FALSE()),"")</f>
        <v>CESTO QUADRADO - GRANDE</v>
      </c>
      <c r="E460" s="113">
        <v>5</v>
      </c>
      <c r="F460" s="113">
        <f>IFERROR(IF(OR(B460="",E460=""),"",E460*VLOOKUP(B460,Configurações!$I$5:$J$15,2,FALSE())),"")</f>
        <v>5</v>
      </c>
      <c r="G460" s="113" t="s">
        <v>665</v>
      </c>
      <c r="H460" s="113" t="s">
        <v>2050</v>
      </c>
      <c r="I460" s="113"/>
      <c r="J460" s="113"/>
      <c r="K460" s="113" t="s">
        <v>2051</v>
      </c>
      <c r="L460" s="113"/>
      <c r="M460" s="113" t="s">
        <v>1371</v>
      </c>
    </row>
    <row r="461" spans="1:13" ht="12.75" hidden="1" customHeight="1" x14ac:dyDescent="0.3">
      <c r="A461" s="111">
        <v>46163</v>
      </c>
      <c r="B461" s="112" t="s">
        <v>2049</v>
      </c>
      <c r="C461" s="113" t="s">
        <v>1372</v>
      </c>
      <c r="D461" s="113" t="str">
        <f>IFERROR(VLOOKUP(C461,SKUs!$A$6:$F$1971,6,FALSE()),"")</f>
        <v>CESTO QUADRADO - PEQUENO</v>
      </c>
      <c r="E461" s="113">
        <v>1</v>
      </c>
      <c r="F461" s="113">
        <f>IFERROR(IF(OR(B461="",E461=""),"",E461*VLOOKUP(B461,Configurações!$I$5:$J$15,2,FALSE())),"")</f>
        <v>1</v>
      </c>
      <c r="G461" s="113" t="s">
        <v>665</v>
      </c>
      <c r="H461" s="113" t="s">
        <v>2050</v>
      </c>
      <c r="I461" s="113"/>
      <c r="J461" s="113"/>
      <c r="K461" s="113" t="s">
        <v>2051</v>
      </c>
      <c r="L461" s="113"/>
      <c r="M461" s="113" t="s">
        <v>1371</v>
      </c>
    </row>
    <row r="462" spans="1:13" ht="12.75" hidden="1" customHeight="1" x14ac:dyDescent="0.3">
      <c r="A462" s="111">
        <v>46163</v>
      </c>
      <c r="B462" s="112" t="s">
        <v>2049</v>
      </c>
      <c r="C462" s="113" t="s">
        <v>1374</v>
      </c>
      <c r="D462" s="113" t="str">
        <f>IFERROR(VLOOKUP(C462,SKUs!$A$6:$F$1971,6,FALSE()),"")</f>
        <v>CESTO QUADRADO - GRANDE</v>
      </c>
      <c r="E462" s="113">
        <v>5</v>
      </c>
      <c r="F462" s="113">
        <f>IFERROR(IF(OR(B462="",E462=""),"",E462*VLOOKUP(B462,Configurações!$I$5:$J$15,2,FALSE())),"")</f>
        <v>5</v>
      </c>
      <c r="G462" s="113" t="s">
        <v>665</v>
      </c>
      <c r="H462" s="113" t="s">
        <v>2050</v>
      </c>
      <c r="I462" s="113"/>
      <c r="J462" s="113"/>
      <c r="K462" s="113" t="s">
        <v>2051</v>
      </c>
      <c r="L462" s="113"/>
      <c r="M462" s="113" t="s">
        <v>1375</v>
      </c>
    </row>
    <row r="463" spans="1:13" ht="12.75" hidden="1" customHeight="1" x14ac:dyDescent="0.3">
      <c r="A463" s="111">
        <v>46163</v>
      </c>
      <c r="B463" s="112" t="s">
        <v>2049</v>
      </c>
      <c r="C463" s="113" t="s">
        <v>1376</v>
      </c>
      <c r="D463" s="113" t="str">
        <f>IFERROR(VLOOKUP(C463,SKUs!$A$6:$F$1971,6,FALSE()),"")</f>
        <v>CESTO QUADRADO - PEQUENO</v>
      </c>
      <c r="E463" s="113">
        <v>2</v>
      </c>
      <c r="F463" s="113">
        <f>IFERROR(IF(OR(B463="",E463=""),"",E463*VLOOKUP(B463,Configurações!$I$5:$J$15,2,FALSE())),"")</f>
        <v>2</v>
      </c>
      <c r="G463" s="113" t="s">
        <v>665</v>
      </c>
      <c r="H463" s="113" t="s">
        <v>2050</v>
      </c>
      <c r="I463" s="113"/>
      <c r="J463" s="113"/>
      <c r="K463" s="113" t="s">
        <v>2051</v>
      </c>
      <c r="L463" s="113"/>
      <c r="M463" s="113" t="s">
        <v>1375</v>
      </c>
    </row>
    <row r="464" spans="1:13" ht="12.75" hidden="1" customHeight="1" x14ac:dyDescent="0.3">
      <c r="A464" s="111">
        <v>46163</v>
      </c>
      <c r="B464" s="112" t="s">
        <v>2049</v>
      </c>
      <c r="C464" s="113" t="s">
        <v>1161</v>
      </c>
      <c r="D464" s="113" t="str">
        <f>IFERROR(VLOOKUP(C464,SKUs!$A$6:$F$1971,6,FALSE()),"")</f>
        <v>LANCHEIRA AZ</v>
      </c>
      <c r="E464" s="113">
        <v>35</v>
      </c>
      <c r="F464" s="113">
        <f>IFERROR(IF(OR(B464="",E464=""),"",E464*VLOOKUP(B464,Configurações!$I$5:$J$15,2,FALSE())),"")</f>
        <v>35</v>
      </c>
      <c r="G464" s="113" t="s">
        <v>665</v>
      </c>
      <c r="H464" s="113" t="s">
        <v>2050</v>
      </c>
      <c r="I464" s="113"/>
      <c r="J464" s="113"/>
      <c r="K464" s="113" t="s">
        <v>2051</v>
      </c>
      <c r="L464" s="113"/>
      <c r="M464" s="113" t="s">
        <v>1165</v>
      </c>
    </row>
    <row r="465" spans="1:13" ht="12.75" hidden="1" customHeight="1" x14ac:dyDescent="0.3">
      <c r="A465" s="111">
        <v>46163</v>
      </c>
      <c r="B465" s="112" t="s">
        <v>2049</v>
      </c>
      <c r="C465" s="113" t="s">
        <v>1169</v>
      </c>
      <c r="D465" s="113" t="str">
        <f>IFERROR(VLOOKUP(C465,SKUs!$A$6:$F$1971,6,FALSE()),"")</f>
        <v>CANECA CERÂMICA</v>
      </c>
      <c r="E465" s="113">
        <v>14</v>
      </c>
      <c r="F465" s="113">
        <f>IFERROR(IF(OR(B465="",E465=""),"",E465*VLOOKUP(B465,Configurações!$I$5:$J$15,2,FALSE())),"")</f>
        <v>14</v>
      </c>
      <c r="G465" s="113" t="s">
        <v>665</v>
      </c>
      <c r="H465" s="113" t="s">
        <v>2050</v>
      </c>
      <c r="I465" s="113"/>
      <c r="J465" s="113"/>
      <c r="K465" s="113" t="s">
        <v>2051</v>
      </c>
      <c r="L465" s="113"/>
      <c r="M465" s="113" t="s">
        <v>1173</v>
      </c>
    </row>
    <row r="466" spans="1:13" ht="12.75" hidden="1" customHeight="1" x14ac:dyDescent="0.3">
      <c r="A466" s="111">
        <v>46163</v>
      </c>
      <c r="B466" s="112" t="s">
        <v>2049</v>
      </c>
      <c r="C466" s="113" t="s">
        <v>1377</v>
      </c>
      <c r="D466" s="113" t="str">
        <f>IFERROR(VLOOKUP(C466,SKUs!$A$6:$F$1971,6,FALSE()),"")</f>
        <v>LEGGING BTG</v>
      </c>
      <c r="E466" s="113">
        <v>7</v>
      </c>
      <c r="F466" s="113">
        <f>IFERROR(IF(OR(B466="",E466=""),"",E466*VLOOKUP(B466,Configurações!$I$5:$J$15,2,FALSE())),"")</f>
        <v>7</v>
      </c>
      <c r="G466" s="113" t="s">
        <v>665</v>
      </c>
      <c r="H466" s="113" t="s">
        <v>2050</v>
      </c>
      <c r="I466" s="113"/>
      <c r="J466" s="113"/>
      <c r="K466" s="113" t="s">
        <v>2051</v>
      </c>
      <c r="L466" s="113"/>
      <c r="M466" s="113" t="s">
        <v>1380</v>
      </c>
    </row>
    <row r="467" spans="1:13" ht="12.75" hidden="1" customHeight="1" x14ac:dyDescent="0.3">
      <c r="A467" s="111">
        <v>46163</v>
      </c>
      <c r="B467" s="112" t="s">
        <v>2049</v>
      </c>
      <c r="C467" s="113" t="s">
        <v>1381</v>
      </c>
      <c r="D467" s="113" t="str">
        <f>IFERROR(VLOOKUP(C467,SKUs!$A$6:$F$1971,6,FALSE()),"")</f>
        <v>LEGGING BTG</v>
      </c>
      <c r="E467" s="113">
        <v>6</v>
      </c>
      <c r="F467" s="113">
        <f>IFERROR(IF(OR(B467="",E467=""),"",E467*VLOOKUP(B467,Configurações!$I$5:$J$15,2,FALSE())),"")</f>
        <v>6</v>
      </c>
      <c r="G467" s="113" t="s">
        <v>665</v>
      </c>
      <c r="H467" s="113" t="s">
        <v>2050</v>
      </c>
      <c r="I467" s="113"/>
      <c r="J467" s="113"/>
      <c r="K467" s="113" t="s">
        <v>2051</v>
      </c>
      <c r="L467" s="113"/>
      <c r="M467" s="113" t="s">
        <v>1380</v>
      </c>
    </row>
    <row r="468" spans="1:13" ht="12.75" hidden="1" customHeight="1" x14ac:dyDescent="0.3">
      <c r="A468" s="111">
        <v>46163</v>
      </c>
      <c r="B468" s="112" t="s">
        <v>2049</v>
      </c>
      <c r="C468" s="113" t="s">
        <v>1382</v>
      </c>
      <c r="D468" s="113" t="str">
        <f>IFERROR(VLOOKUP(C468,SKUs!$A$6:$F$1971,6,FALSE()),"")</f>
        <v>LEGGING BTG</v>
      </c>
      <c r="E468" s="113">
        <v>6</v>
      </c>
      <c r="F468" s="113">
        <f>IFERROR(IF(OR(B468="",E468=""),"",E468*VLOOKUP(B468,Configurações!$I$5:$J$15,2,FALSE())),"")</f>
        <v>6</v>
      </c>
      <c r="G468" s="113" t="s">
        <v>665</v>
      </c>
      <c r="H468" s="113" t="s">
        <v>2050</v>
      </c>
      <c r="I468" s="113"/>
      <c r="J468" s="113"/>
      <c r="K468" s="113" t="s">
        <v>2051</v>
      </c>
      <c r="L468" s="113"/>
      <c r="M468" s="113" t="s">
        <v>1380</v>
      </c>
    </row>
    <row r="469" spans="1:13" ht="12.75" hidden="1" customHeight="1" x14ac:dyDescent="0.3">
      <c r="A469" s="111">
        <v>46163</v>
      </c>
      <c r="B469" s="112" t="s">
        <v>2049</v>
      </c>
      <c r="C469" s="113" t="s">
        <v>1383</v>
      </c>
      <c r="D469" s="113" t="str">
        <f>IFERROR(VLOOKUP(C469,SKUs!$A$6:$F$1971,6,FALSE()),"")</f>
        <v>LEGGING BTG</v>
      </c>
      <c r="E469" s="113">
        <v>7</v>
      </c>
      <c r="F469" s="113">
        <f>IFERROR(IF(OR(B469="",E469=""),"",E469*VLOOKUP(B469,Configurações!$I$5:$J$15,2,FALSE())),"")</f>
        <v>7</v>
      </c>
      <c r="G469" s="113" t="s">
        <v>665</v>
      </c>
      <c r="H469" s="113" t="s">
        <v>2050</v>
      </c>
      <c r="I469" s="113"/>
      <c r="J469" s="113"/>
      <c r="K469" s="113" t="s">
        <v>2051</v>
      </c>
      <c r="L469" s="113"/>
      <c r="M469" s="113" t="s">
        <v>1380</v>
      </c>
    </row>
    <row r="470" spans="1:13" ht="12.75" hidden="1" customHeight="1" x14ac:dyDescent="0.3">
      <c r="A470" s="111">
        <v>46163</v>
      </c>
      <c r="B470" s="112" t="s">
        <v>2049</v>
      </c>
      <c r="C470" s="113" t="s">
        <v>1384</v>
      </c>
      <c r="D470" s="113" t="str">
        <f>IFERROR(VLOOKUP(C470,SKUs!$A$6:$F$1971,6,FALSE()),"")</f>
        <v>MANGUITO BIKE</v>
      </c>
      <c r="E470" s="113">
        <v>6</v>
      </c>
      <c r="F470" s="113">
        <f>IFERROR(IF(OR(B470="",E470=""),"",E470*VLOOKUP(B470,Configurações!$I$5:$J$15,2,FALSE())),"")</f>
        <v>6</v>
      </c>
      <c r="G470" s="113" t="s">
        <v>665</v>
      </c>
      <c r="H470" s="113" t="s">
        <v>2050</v>
      </c>
      <c r="I470" s="113"/>
      <c r="J470" s="113"/>
      <c r="K470" s="113" t="s">
        <v>2051</v>
      </c>
      <c r="L470" s="113"/>
      <c r="M470" s="113" t="s">
        <v>1380</v>
      </c>
    </row>
    <row r="471" spans="1:13" ht="12.75" hidden="1" customHeight="1" x14ac:dyDescent="0.3">
      <c r="A471" s="111">
        <v>46163</v>
      </c>
      <c r="B471" s="112" t="s">
        <v>2049</v>
      </c>
      <c r="C471" s="113" t="s">
        <v>1385</v>
      </c>
      <c r="D471" s="113" t="str">
        <f>IFERROR(VLOOKUP(C471,SKUs!$A$6:$F$1971,6,FALSE()),"")</f>
        <v>MANGUITO BIKE</v>
      </c>
      <c r="E471" s="113">
        <v>7</v>
      </c>
      <c r="F471" s="113">
        <f>IFERROR(IF(OR(B471="",E471=""),"",E471*VLOOKUP(B471,Configurações!$I$5:$J$15,2,FALSE())),"")</f>
        <v>7</v>
      </c>
      <c r="G471" s="113" t="s">
        <v>665</v>
      </c>
      <c r="H471" s="113" t="s">
        <v>2050</v>
      </c>
      <c r="I471" s="113"/>
      <c r="J471" s="113"/>
      <c r="K471" s="113" t="s">
        <v>2051</v>
      </c>
      <c r="L471" s="113"/>
      <c r="M471" s="113" t="s">
        <v>1380</v>
      </c>
    </row>
    <row r="472" spans="1:13" ht="12.75" hidden="1" customHeight="1" x14ac:dyDescent="0.3">
      <c r="A472" s="111">
        <v>46163</v>
      </c>
      <c r="B472" s="112" t="s">
        <v>2049</v>
      </c>
      <c r="C472" s="113" t="s">
        <v>1386</v>
      </c>
      <c r="D472" s="113" t="str">
        <f>IFERROR(VLOOKUP(C472,SKUs!$A$6:$F$1971,6,FALSE()),"")</f>
        <v>MANGUITO BIKE</v>
      </c>
      <c r="E472" s="113">
        <v>11</v>
      </c>
      <c r="F472" s="113">
        <f>IFERROR(IF(OR(B472="",E472=""),"",E472*VLOOKUP(B472,Configurações!$I$5:$J$15,2,FALSE())),"")</f>
        <v>11</v>
      </c>
      <c r="G472" s="113" t="s">
        <v>665</v>
      </c>
      <c r="H472" s="113" t="s">
        <v>2050</v>
      </c>
      <c r="I472" s="113"/>
      <c r="J472" s="113"/>
      <c r="K472" s="113" t="s">
        <v>2051</v>
      </c>
      <c r="L472" s="113"/>
      <c r="M472" s="113" t="s">
        <v>1380</v>
      </c>
    </row>
    <row r="473" spans="1:13" ht="12.75" hidden="1" customHeight="1" x14ac:dyDescent="0.3">
      <c r="A473" s="111">
        <v>46163</v>
      </c>
      <c r="B473" s="112" t="s">
        <v>2049</v>
      </c>
      <c r="C473" s="113" t="s">
        <v>1111</v>
      </c>
      <c r="D473" s="113" t="str">
        <f>IFERROR(VLOOKUP(C473,SKUs!$A$6:$F$1971,6,FALSE()),"")</f>
        <v>SACOLA BTG - QUADRADA</v>
      </c>
      <c r="E473" s="113">
        <v>125</v>
      </c>
      <c r="F473" s="113">
        <f>IFERROR(IF(OR(B473="",E473=""),"",E473*VLOOKUP(B473,Configurações!$I$5:$J$15,2,FALSE())),"")</f>
        <v>125</v>
      </c>
      <c r="G473" s="113" t="s">
        <v>665</v>
      </c>
      <c r="H473" s="113" t="s">
        <v>2050</v>
      </c>
      <c r="I473" s="113"/>
      <c r="J473" s="113"/>
      <c r="K473" s="113" t="s">
        <v>2051</v>
      </c>
      <c r="L473" s="113"/>
      <c r="M473" s="113" t="s">
        <v>1118</v>
      </c>
    </row>
    <row r="474" spans="1:13" ht="12.75" hidden="1" customHeight="1" x14ac:dyDescent="0.3">
      <c r="A474" s="111">
        <v>46163</v>
      </c>
      <c r="B474" s="112" t="s">
        <v>2049</v>
      </c>
      <c r="C474" s="113" t="s">
        <v>1123</v>
      </c>
      <c r="D474" s="113" t="str">
        <f>IFERROR(VLOOKUP(C474,SKUs!$A$6:$F$1971,6,FALSE()),"")</f>
        <v>CABIDE</v>
      </c>
      <c r="E474" s="113">
        <v>19</v>
      </c>
      <c r="F474" s="113">
        <f>IFERROR(IF(OR(B474="",E474=""),"",E474*VLOOKUP(B474,Configurações!$I$5:$J$15,2,FALSE())),"")</f>
        <v>19</v>
      </c>
      <c r="G474" s="113" t="s">
        <v>665</v>
      </c>
      <c r="H474" s="113" t="s">
        <v>2050</v>
      </c>
      <c r="I474" s="113"/>
      <c r="J474" s="113"/>
      <c r="K474" s="113" t="s">
        <v>2051</v>
      </c>
      <c r="L474" s="113"/>
      <c r="M474" s="113" t="s">
        <v>1118</v>
      </c>
    </row>
    <row r="475" spans="1:13" ht="12.75" hidden="1" customHeight="1" x14ac:dyDescent="0.3">
      <c r="A475" s="111">
        <v>46163</v>
      </c>
      <c r="B475" s="112" t="s">
        <v>2049</v>
      </c>
      <c r="C475" s="113" t="s">
        <v>1225</v>
      </c>
      <c r="D475" s="113" t="str">
        <f>IFERROR(VLOOKUP(C475,SKUs!$A$6:$F$1971,6,FALSE()),"")</f>
        <v>SACOLA BTG - QUADRADA</v>
      </c>
      <c r="E475" s="113">
        <v>46</v>
      </c>
      <c r="F475" s="113">
        <f>IFERROR(IF(OR(B475="",E475=""),"",E475*VLOOKUP(B475,Configurações!$I$5:$J$15,2,FALSE())),"")</f>
        <v>46</v>
      </c>
      <c r="G475" s="113" t="s">
        <v>665</v>
      </c>
      <c r="H475" s="113" t="s">
        <v>2050</v>
      </c>
      <c r="I475" s="113"/>
      <c r="J475" s="113"/>
      <c r="K475" s="113" t="s">
        <v>2051</v>
      </c>
      <c r="L475" s="113"/>
      <c r="M475" s="113" t="s">
        <v>1229</v>
      </c>
    </row>
    <row r="476" spans="1:13" ht="12.75" hidden="1" customHeight="1" x14ac:dyDescent="0.3">
      <c r="A476" s="111">
        <v>46163</v>
      </c>
      <c r="B476" s="112" t="s">
        <v>2049</v>
      </c>
      <c r="C476" s="113" t="s">
        <v>1387</v>
      </c>
      <c r="D476" s="113" t="str">
        <f>IFERROR(VLOOKUP(C476,SKUs!$A$6:$F$1971,6,FALSE()),"")</f>
        <v>MOCHILA NORTH FACE</v>
      </c>
      <c r="E476" s="113">
        <v>10</v>
      </c>
      <c r="F476" s="113">
        <f>IFERROR(IF(OR(B476="",E476=""),"",E476*VLOOKUP(B476,Configurações!$I$5:$J$15,2,FALSE())),"")</f>
        <v>10</v>
      </c>
      <c r="G476" s="113" t="s">
        <v>665</v>
      </c>
      <c r="H476" s="113" t="s">
        <v>2050</v>
      </c>
      <c r="I476" s="113"/>
      <c r="J476" s="113"/>
      <c r="K476" s="113" t="s">
        <v>2051</v>
      </c>
      <c r="L476" s="113"/>
      <c r="M476" s="113" t="s">
        <v>1389</v>
      </c>
    </row>
    <row r="477" spans="1:13" ht="12.75" hidden="1" customHeight="1" x14ac:dyDescent="0.3">
      <c r="A477" s="111">
        <v>46163</v>
      </c>
      <c r="B477" s="112" t="s">
        <v>2049</v>
      </c>
      <c r="C477" s="113" t="s">
        <v>1153</v>
      </c>
      <c r="D477" s="113" t="str">
        <f>IFERROR(VLOOKUP(C477,SKUs!$A$6:$F$1971,6,FALSE()),"")</f>
        <v>MOCHILA RV</v>
      </c>
      <c r="E477" s="113">
        <v>22</v>
      </c>
      <c r="F477" s="113">
        <f>IFERROR(IF(OR(B477="",E477=""),"",E477*VLOOKUP(B477,Configurações!$I$5:$J$15,2,FALSE())),"")</f>
        <v>22</v>
      </c>
      <c r="G477" s="113" t="s">
        <v>665</v>
      </c>
      <c r="H477" s="113" t="s">
        <v>2050</v>
      </c>
      <c r="I477" s="113"/>
      <c r="J477" s="113"/>
      <c r="K477" s="113" t="s">
        <v>2051</v>
      </c>
      <c r="L477" s="113"/>
      <c r="M477" s="113" t="s">
        <v>1157</v>
      </c>
    </row>
    <row r="478" spans="1:13" ht="12.75" hidden="1" customHeight="1" x14ac:dyDescent="0.3">
      <c r="A478" s="111">
        <v>46163</v>
      </c>
      <c r="B478" s="112" t="s">
        <v>2049</v>
      </c>
      <c r="C478" s="113" t="s">
        <v>1119</v>
      </c>
      <c r="D478" s="113" t="str">
        <f>IFERROR(VLOOKUP(C478,SKUs!$A$6:$F$1971,6,FALSE()),"")</f>
        <v>SACOLA BTG - QUADRADA</v>
      </c>
      <c r="E478" s="113">
        <v>36</v>
      </c>
      <c r="F478" s="113">
        <f>IFERROR(IF(OR(B478="",E478=""),"",E478*VLOOKUP(B478,Configurações!$I$5:$J$15,2,FALSE())),"")</f>
        <v>36</v>
      </c>
      <c r="G478" s="113" t="s">
        <v>665</v>
      </c>
      <c r="H478" s="113" t="s">
        <v>2050</v>
      </c>
      <c r="I478" s="113"/>
      <c r="J478" s="113"/>
      <c r="K478" s="113" t="s">
        <v>2051</v>
      </c>
      <c r="L478" s="113"/>
      <c r="M478" s="113" t="s">
        <v>1122</v>
      </c>
    </row>
    <row r="479" spans="1:13" ht="12.75" hidden="1" customHeight="1" x14ac:dyDescent="0.3">
      <c r="A479" s="111">
        <v>46163</v>
      </c>
      <c r="B479" s="112" t="s">
        <v>2049</v>
      </c>
      <c r="C479" s="113" t="s">
        <v>1225</v>
      </c>
      <c r="D479" s="113" t="str">
        <f>IFERROR(VLOOKUP(C479,SKUs!$A$6:$F$1971,6,FALSE()),"")</f>
        <v>SACOLA BTG - QUADRADA</v>
      </c>
      <c r="E479" s="113">
        <v>14</v>
      </c>
      <c r="F479" s="113">
        <f>IFERROR(IF(OR(B479="",E479=""),"",E479*VLOOKUP(B479,Configurações!$I$5:$J$15,2,FALSE())),"")</f>
        <v>14</v>
      </c>
      <c r="G479" s="113" t="s">
        <v>665</v>
      </c>
      <c r="H479" s="113" t="s">
        <v>2050</v>
      </c>
      <c r="I479" s="113"/>
      <c r="J479" s="113"/>
      <c r="K479" s="113" t="s">
        <v>2051</v>
      </c>
      <c r="L479" s="113"/>
      <c r="M479" s="113" t="s">
        <v>1122</v>
      </c>
    </row>
    <row r="480" spans="1:13" ht="12.75" hidden="1" customHeight="1" x14ac:dyDescent="0.3">
      <c r="A480" s="111">
        <v>46163</v>
      </c>
      <c r="B480" s="112" t="s">
        <v>2049</v>
      </c>
      <c r="C480" s="113" t="s">
        <v>1390</v>
      </c>
      <c r="D480" s="113" t="str">
        <f>IFERROR(VLOOKUP(C480,SKUs!$A$6:$F$1971,6,FALSE()),"")</f>
        <v>MANEQUIM CRIANÇA</v>
      </c>
      <c r="E480" s="113">
        <v>1</v>
      </c>
      <c r="F480" s="113">
        <f>IFERROR(IF(OR(B480="",E480=""),"",E480*VLOOKUP(B480,Configurações!$I$5:$J$15,2,FALSE())),"")</f>
        <v>1</v>
      </c>
      <c r="G480" s="113" t="s">
        <v>665</v>
      </c>
      <c r="H480" s="113" t="s">
        <v>2050</v>
      </c>
      <c r="I480" s="113"/>
      <c r="J480" s="113"/>
      <c r="K480" s="113" t="s">
        <v>2051</v>
      </c>
      <c r="L480" s="113"/>
      <c r="M480" s="113" t="s">
        <v>1005</v>
      </c>
    </row>
    <row r="481" spans="1:13" ht="12.75" hidden="1" customHeight="1" x14ac:dyDescent="0.3">
      <c r="A481" s="111">
        <v>46163</v>
      </c>
      <c r="B481" s="112" t="s">
        <v>2049</v>
      </c>
      <c r="C481" s="113" t="s">
        <v>1393</v>
      </c>
      <c r="D481" s="113" t="str">
        <f>IFERROR(VLOOKUP(C481,SKUs!$A$6:$F$1971,6,FALSE()),"")</f>
        <v>MANEQUIM MULHER</v>
      </c>
      <c r="E481" s="113">
        <v>3</v>
      </c>
      <c r="F481" s="113">
        <f>IFERROR(IF(OR(B481="",E481=""),"",E481*VLOOKUP(B481,Configurações!$I$5:$J$15,2,FALSE())),"")</f>
        <v>3</v>
      </c>
      <c r="G481" s="113" t="s">
        <v>665</v>
      </c>
      <c r="H481" s="113" t="s">
        <v>2050</v>
      </c>
      <c r="I481" s="113"/>
      <c r="J481" s="113"/>
      <c r="K481" s="113" t="s">
        <v>2051</v>
      </c>
      <c r="L481" s="113"/>
      <c r="M481" s="113" t="s">
        <v>1005</v>
      </c>
    </row>
    <row r="482" spans="1:13" ht="12.75" hidden="1" customHeight="1" x14ac:dyDescent="0.3">
      <c r="A482" s="111">
        <v>46163</v>
      </c>
      <c r="B482" s="112" t="s">
        <v>2049</v>
      </c>
      <c r="C482" s="113" t="s">
        <v>1395</v>
      </c>
      <c r="D482" s="113" t="str">
        <f>IFERROR(VLOOKUP(C482,SKUs!$A$6:$F$1971,6,FALSE()),"")</f>
        <v>MANEQUIM MASCULINO</v>
      </c>
      <c r="E482" s="113">
        <v>2</v>
      </c>
      <c r="F482" s="113">
        <f>IFERROR(IF(OR(B482="",E482=""),"",E482*VLOOKUP(B482,Configurações!$I$5:$J$15,2,FALSE())),"")</f>
        <v>2</v>
      </c>
      <c r="G482" s="113" t="s">
        <v>665</v>
      </c>
      <c r="H482" s="113" t="s">
        <v>2050</v>
      </c>
      <c r="I482" s="113"/>
      <c r="J482" s="113"/>
      <c r="K482" s="113" t="s">
        <v>2051</v>
      </c>
      <c r="L482" s="113"/>
      <c r="M482" s="113" t="s">
        <v>1005</v>
      </c>
    </row>
    <row r="483" spans="1:13" ht="12.75" hidden="1" customHeight="1" x14ac:dyDescent="0.3">
      <c r="A483" s="111">
        <v>46163</v>
      </c>
      <c r="B483" s="112" t="s">
        <v>2049</v>
      </c>
      <c r="C483" s="113" t="s">
        <v>1397</v>
      </c>
      <c r="D483" s="113" t="str">
        <f>IFERROR(VLOOKUP(C483,SKUs!$A$6:$F$1971,6,FALSE()),"")</f>
        <v>PERSONALIZAÇÃO</v>
      </c>
      <c r="E483" s="113">
        <v>1</v>
      </c>
      <c r="F483" s="113">
        <f>IFERROR(IF(OR(B483="",E483=""),"",E483*VLOOKUP(B483,Configurações!$I$5:$J$15,2,FALSE())),"")</f>
        <v>1</v>
      </c>
      <c r="G483" s="113" t="s">
        <v>665</v>
      </c>
      <c r="H483" s="113" t="s">
        <v>2050</v>
      </c>
      <c r="I483" s="113"/>
      <c r="J483" s="113"/>
      <c r="K483" s="113" t="s">
        <v>2051</v>
      </c>
      <c r="L483" s="113"/>
      <c r="M483" s="113" t="s">
        <v>1005</v>
      </c>
    </row>
    <row r="484" spans="1:13" ht="12.75" hidden="1" customHeight="1" x14ac:dyDescent="0.3">
      <c r="A484" s="111">
        <v>46163</v>
      </c>
      <c r="B484" s="112" t="s">
        <v>2049</v>
      </c>
      <c r="C484" s="113" t="s">
        <v>1400</v>
      </c>
      <c r="D484" s="113" t="str">
        <f>IFERROR(VLOOKUP(C484,SKUs!$A$6:$F$1971,6,FALSE()),"")</f>
        <v>ESPELHO</v>
      </c>
      <c r="E484" s="113">
        <v>1</v>
      </c>
      <c r="F484" s="113">
        <f>IFERROR(IF(OR(B484="",E484=""),"",E484*VLOOKUP(B484,Configurações!$I$5:$J$15,2,FALSE())),"")</f>
        <v>1</v>
      </c>
      <c r="G484" s="113" t="s">
        <v>665</v>
      </c>
      <c r="H484" s="113" t="s">
        <v>2050</v>
      </c>
      <c r="I484" s="113"/>
      <c r="J484" s="113"/>
      <c r="K484" s="113" t="s">
        <v>2051</v>
      </c>
      <c r="L484" s="113"/>
      <c r="M484" s="113" t="s">
        <v>1005</v>
      </c>
    </row>
    <row r="485" spans="1:13" ht="12.75" hidden="1" customHeight="1" x14ac:dyDescent="0.3">
      <c r="A485" s="111">
        <v>46163</v>
      </c>
      <c r="B485" s="113" t="s">
        <v>2052</v>
      </c>
      <c r="C485" s="113" t="s">
        <v>664</v>
      </c>
      <c r="D485" s="113" t="str">
        <f>IFERROR(VLOOKUP(C485,SKUs!$A$6:$F$1971,6,FALSE()),"")</f>
        <v>POLO COPA MASC.</v>
      </c>
      <c r="E485" s="113">
        <v>17</v>
      </c>
      <c r="F485" s="113">
        <f>IFERROR(IF(OR(B485="",E485=""),"",E485*VLOOKUP(B485,Configurações!$I$5:$J$15,2,FALSE())),"")</f>
        <v>-17</v>
      </c>
      <c r="G485" s="113" t="s">
        <v>665</v>
      </c>
      <c r="H485" s="113" t="s">
        <v>2053</v>
      </c>
      <c r="I485" s="113"/>
      <c r="J485" s="113"/>
      <c r="K485" s="113" t="s">
        <v>2051</v>
      </c>
      <c r="L485" s="113"/>
      <c r="M485" s="113" t="s">
        <v>673</v>
      </c>
    </row>
    <row r="486" spans="1:13" ht="12.75" hidden="1" customHeight="1" x14ac:dyDescent="0.3">
      <c r="A486" s="111">
        <v>46163</v>
      </c>
      <c r="B486" s="113" t="s">
        <v>2052</v>
      </c>
      <c r="C486" s="113" t="s">
        <v>674</v>
      </c>
      <c r="D486" s="113" t="str">
        <f>IFERROR(VLOOKUP(C486,SKUs!$A$6:$F$1971,6,FALSE()),"")</f>
        <v>POLO COPA MASC.</v>
      </c>
      <c r="E486" s="113">
        <v>12</v>
      </c>
      <c r="F486" s="113">
        <f>IFERROR(IF(OR(B486="",E486=""),"",E486*VLOOKUP(B486,Configurações!$I$5:$J$15,2,FALSE())),"")</f>
        <v>-12</v>
      </c>
      <c r="G486" s="113" t="s">
        <v>665</v>
      </c>
      <c r="H486" s="113" t="s">
        <v>2053</v>
      </c>
      <c r="I486" s="113"/>
      <c r="J486" s="113"/>
      <c r="K486" s="113" t="s">
        <v>2051</v>
      </c>
      <c r="L486" s="113"/>
      <c r="M486" s="113" t="s">
        <v>673</v>
      </c>
    </row>
    <row r="487" spans="1:13" ht="12.75" hidden="1" customHeight="1" x14ac:dyDescent="0.3">
      <c r="A487" s="111">
        <v>46163</v>
      </c>
      <c r="B487" s="113" t="s">
        <v>2052</v>
      </c>
      <c r="C487" s="113" t="s">
        <v>676</v>
      </c>
      <c r="D487" s="113" t="str">
        <f>IFERROR(VLOOKUP(C487,SKUs!$A$6:$F$1971,6,FALSE()),"")</f>
        <v>POLO COPA MASC.</v>
      </c>
      <c r="E487" s="113">
        <v>8</v>
      </c>
      <c r="F487" s="113">
        <f>IFERROR(IF(OR(B487="",E487=""),"",E487*VLOOKUP(B487,Configurações!$I$5:$J$15,2,FALSE())),"")</f>
        <v>-8</v>
      </c>
      <c r="G487" s="113" t="s">
        <v>665</v>
      </c>
      <c r="H487" s="113" t="s">
        <v>2053</v>
      </c>
      <c r="I487" s="113"/>
      <c r="J487" s="113"/>
      <c r="K487" s="113" t="s">
        <v>2051</v>
      </c>
      <c r="L487" s="113"/>
      <c r="M487" s="113" t="s">
        <v>673</v>
      </c>
    </row>
    <row r="488" spans="1:13" ht="12.75" hidden="1" customHeight="1" x14ac:dyDescent="0.3">
      <c r="A488" s="111">
        <v>46163</v>
      </c>
      <c r="B488" s="113" t="s">
        <v>2052</v>
      </c>
      <c r="C488" s="113" t="s">
        <v>679</v>
      </c>
      <c r="D488" s="113" t="str">
        <f>IFERROR(VLOOKUP(C488,SKUs!$A$6:$F$1971,6,FALSE()),"")</f>
        <v>POLO COPA MASC.</v>
      </c>
      <c r="E488" s="113">
        <v>10</v>
      </c>
      <c r="F488" s="113">
        <f>IFERROR(IF(OR(B488="",E488=""),"",E488*VLOOKUP(B488,Configurações!$I$5:$J$15,2,FALSE())),"")</f>
        <v>-10</v>
      </c>
      <c r="G488" s="113" t="s">
        <v>665</v>
      </c>
      <c r="H488" s="113" t="s">
        <v>2053</v>
      </c>
      <c r="I488" s="113"/>
      <c r="J488" s="113"/>
      <c r="K488" s="113" t="s">
        <v>2051</v>
      </c>
      <c r="L488" s="113"/>
      <c r="M488" s="113" t="s">
        <v>678</v>
      </c>
    </row>
    <row r="489" spans="1:13" ht="12.75" hidden="1" customHeight="1" x14ac:dyDescent="0.3">
      <c r="A489" s="111">
        <v>46163</v>
      </c>
      <c r="B489" s="113" t="s">
        <v>2052</v>
      </c>
      <c r="C489" s="113" t="s">
        <v>681</v>
      </c>
      <c r="D489" s="113" t="str">
        <f>IFERROR(VLOOKUP(C489,SKUs!$A$6:$F$1971,6,FALSE()),"")</f>
        <v>POLO COPA MASC.</v>
      </c>
      <c r="E489" s="113">
        <v>13</v>
      </c>
      <c r="F489" s="113">
        <f>IFERROR(IF(OR(B489="",E489=""),"",E489*VLOOKUP(B489,Configurações!$I$5:$J$15,2,FALSE())),"")</f>
        <v>-13</v>
      </c>
      <c r="G489" s="113" t="s">
        <v>665</v>
      </c>
      <c r="H489" s="113" t="s">
        <v>2053</v>
      </c>
      <c r="I489" s="113"/>
      <c r="J489" s="113"/>
      <c r="K489" s="113" t="s">
        <v>2051</v>
      </c>
      <c r="L489" s="113"/>
      <c r="M489" s="113" t="s">
        <v>678</v>
      </c>
    </row>
    <row r="490" spans="1:13" ht="12.75" hidden="1" customHeight="1" x14ac:dyDescent="0.3">
      <c r="A490" s="111">
        <v>46163</v>
      </c>
      <c r="B490" s="113" t="s">
        <v>2052</v>
      </c>
      <c r="C490" s="113" t="s">
        <v>683</v>
      </c>
      <c r="D490" s="113" t="str">
        <f>IFERROR(VLOOKUP(C490,SKUs!$A$6:$F$1971,6,FALSE()),"")</f>
        <v>CAMISETA COPA MASC.</v>
      </c>
      <c r="E490" s="113">
        <v>15</v>
      </c>
      <c r="F490" s="113">
        <f>IFERROR(IF(OR(B490="",E490=""),"",E490*VLOOKUP(B490,Configurações!$I$5:$J$15,2,FALSE())),"")</f>
        <v>-15</v>
      </c>
      <c r="G490" s="113" t="s">
        <v>665</v>
      </c>
      <c r="H490" s="113" t="s">
        <v>2053</v>
      </c>
      <c r="I490" s="113"/>
      <c r="J490" s="113"/>
      <c r="K490" s="113" t="s">
        <v>2051</v>
      </c>
      <c r="L490" s="113"/>
      <c r="M490" s="113" t="s">
        <v>686</v>
      </c>
    </row>
    <row r="491" spans="1:13" ht="12.75" hidden="1" customHeight="1" x14ac:dyDescent="0.3">
      <c r="A491" s="111">
        <v>46163</v>
      </c>
      <c r="B491" s="113" t="s">
        <v>2052</v>
      </c>
      <c r="C491" s="113" t="s">
        <v>687</v>
      </c>
      <c r="D491" s="113" t="str">
        <f>IFERROR(VLOOKUP(C491,SKUs!$A$6:$F$1971,6,FALSE()),"")</f>
        <v>CAMISETA COPA MASC.</v>
      </c>
      <c r="E491" s="113">
        <v>15</v>
      </c>
      <c r="F491" s="113">
        <f>IFERROR(IF(OR(B491="",E491=""),"",E491*VLOOKUP(B491,Configurações!$I$5:$J$15,2,FALSE())),"")</f>
        <v>-15</v>
      </c>
      <c r="G491" s="113" t="s">
        <v>665</v>
      </c>
      <c r="H491" s="113" t="s">
        <v>2053</v>
      </c>
      <c r="I491" s="113"/>
      <c r="J491" s="113"/>
      <c r="K491" s="113" t="s">
        <v>2051</v>
      </c>
      <c r="L491" s="113"/>
      <c r="M491" s="113" t="s">
        <v>686</v>
      </c>
    </row>
    <row r="492" spans="1:13" ht="12.75" hidden="1" customHeight="1" x14ac:dyDescent="0.3">
      <c r="A492" s="111">
        <v>46163</v>
      </c>
      <c r="B492" s="113" t="s">
        <v>2052</v>
      </c>
      <c r="C492" s="113" t="s">
        <v>688</v>
      </c>
      <c r="D492" s="113" t="str">
        <f>IFERROR(VLOOKUP(C492,SKUs!$A$6:$F$1971,6,FALSE()),"")</f>
        <v>CAMISETA COPA MASC.</v>
      </c>
      <c r="E492" s="113">
        <v>15</v>
      </c>
      <c r="F492" s="113">
        <f>IFERROR(IF(OR(B492="",E492=""),"",E492*VLOOKUP(B492,Configurações!$I$5:$J$15,2,FALSE())),"")</f>
        <v>-15</v>
      </c>
      <c r="G492" s="113" t="s">
        <v>665</v>
      </c>
      <c r="H492" s="113" t="s">
        <v>2053</v>
      </c>
      <c r="I492" s="113"/>
      <c r="J492" s="113"/>
      <c r="K492" s="113" t="s">
        <v>2051</v>
      </c>
      <c r="L492" s="113"/>
      <c r="M492" s="113" t="s">
        <v>686</v>
      </c>
    </row>
    <row r="493" spans="1:13" ht="12.75" hidden="1" customHeight="1" x14ac:dyDescent="0.3">
      <c r="A493" s="111">
        <v>46163</v>
      </c>
      <c r="B493" s="113" t="s">
        <v>2052</v>
      </c>
      <c r="C493" s="113" t="s">
        <v>689</v>
      </c>
      <c r="D493" s="113" t="str">
        <f>IFERROR(VLOOKUP(C493,SKUs!$A$6:$F$1971,6,FALSE()),"")</f>
        <v>CAMISETA COPA MASC.</v>
      </c>
      <c r="E493" s="113">
        <v>15</v>
      </c>
      <c r="F493" s="113">
        <f>IFERROR(IF(OR(B493="",E493=""),"",E493*VLOOKUP(B493,Configurações!$I$5:$J$15,2,FALSE())),"")</f>
        <v>-15</v>
      </c>
      <c r="G493" s="113" t="s">
        <v>665</v>
      </c>
      <c r="H493" s="113" t="s">
        <v>2053</v>
      </c>
      <c r="I493" s="113"/>
      <c r="J493" s="113"/>
      <c r="K493" s="113" t="s">
        <v>2051</v>
      </c>
      <c r="L493" s="113"/>
      <c r="M493" s="113" t="s">
        <v>686</v>
      </c>
    </row>
    <row r="494" spans="1:13" ht="12.75" hidden="1" customHeight="1" x14ac:dyDescent="0.3">
      <c r="A494" s="111">
        <v>46163</v>
      </c>
      <c r="B494" s="113" t="s">
        <v>2052</v>
      </c>
      <c r="C494" s="113" t="s">
        <v>690</v>
      </c>
      <c r="D494" s="113" t="str">
        <f>IFERROR(VLOOKUP(C494,SKUs!$A$6:$F$1971,6,FALSE()),"")</f>
        <v>CAMISETA COPA MASC.</v>
      </c>
      <c r="E494" s="113">
        <v>20</v>
      </c>
      <c r="F494" s="113">
        <f>IFERROR(IF(OR(B494="",E494=""),"",E494*VLOOKUP(B494,Configurações!$I$5:$J$15,2,FALSE())),"")</f>
        <v>-20</v>
      </c>
      <c r="G494" s="113" t="s">
        <v>665</v>
      </c>
      <c r="H494" s="113" t="s">
        <v>2053</v>
      </c>
      <c r="I494" s="113"/>
      <c r="J494" s="113"/>
      <c r="K494" s="113" t="s">
        <v>2051</v>
      </c>
      <c r="L494" s="113"/>
      <c r="M494" s="113" t="s">
        <v>686</v>
      </c>
    </row>
    <row r="495" spans="1:13" ht="12.75" hidden="1" customHeight="1" x14ac:dyDescent="0.3">
      <c r="A495" s="111">
        <v>46163</v>
      </c>
      <c r="B495" s="113" t="s">
        <v>2052</v>
      </c>
      <c r="C495" s="113" t="s">
        <v>691</v>
      </c>
      <c r="D495" s="113" t="str">
        <f>IFERROR(VLOOKUP(C495,SKUs!$A$6:$F$1971,6,FALSE()),"")</f>
        <v>CAMISETA COPA MASC.</v>
      </c>
      <c r="E495" s="113">
        <v>5</v>
      </c>
      <c r="F495" s="113">
        <f>IFERROR(IF(OR(B495="",E495=""),"",E495*VLOOKUP(B495,Configurações!$I$5:$J$15,2,FALSE())),"")</f>
        <v>-5</v>
      </c>
      <c r="G495" s="113" t="s">
        <v>665</v>
      </c>
      <c r="H495" s="113" t="s">
        <v>2053</v>
      </c>
      <c r="I495" s="113"/>
      <c r="J495" s="113"/>
      <c r="K495" s="113" t="s">
        <v>2051</v>
      </c>
      <c r="L495" s="113"/>
      <c r="M495" s="113" t="s">
        <v>686</v>
      </c>
    </row>
    <row r="496" spans="1:13" ht="12.75" hidden="1" customHeight="1" x14ac:dyDescent="0.3">
      <c r="A496" s="111">
        <v>46163</v>
      </c>
      <c r="B496" s="113" t="s">
        <v>2052</v>
      </c>
      <c r="C496" s="113" t="s">
        <v>693</v>
      </c>
      <c r="D496" s="113" t="str">
        <f>IFERROR(VLOOKUP(C496,SKUs!$A$6:$F$1971,6,FALSE()),"")</f>
        <v>CAMISETA COPA MASC.</v>
      </c>
      <c r="E496" s="113">
        <v>16</v>
      </c>
      <c r="F496" s="113">
        <f>IFERROR(IF(OR(B496="",E496=""),"",E496*VLOOKUP(B496,Configurações!$I$5:$J$15,2,FALSE())),"")</f>
        <v>-16</v>
      </c>
      <c r="G496" s="113" t="s">
        <v>665</v>
      </c>
      <c r="H496" s="113" t="s">
        <v>2053</v>
      </c>
      <c r="I496" s="113"/>
      <c r="J496" s="113"/>
      <c r="K496" s="113" t="s">
        <v>2051</v>
      </c>
      <c r="L496" s="113"/>
      <c r="M496" s="113" t="s">
        <v>695</v>
      </c>
    </row>
    <row r="497" spans="1:13" ht="12.75" hidden="1" customHeight="1" x14ac:dyDescent="0.3">
      <c r="A497" s="111">
        <v>46163</v>
      </c>
      <c r="B497" s="113" t="s">
        <v>2052</v>
      </c>
      <c r="C497" s="113" t="s">
        <v>696</v>
      </c>
      <c r="D497" s="113" t="str">
        <f>IFERROR(VLOOKUP(C497,SKUs!$A$6:$F$1971,6,FALSE()),"")</f>
        <v>CAMISETA COPA MASC.</v>
      </c>
      <c r="E497" s="113">
        <v>14</v>
      </c>
      <c r="F497" s="113">
        <f>IFERROR(IF(OR(B497="",E497=""),"",E497*VLOOKUP(B497,Configurações!$I$5:$J$15,2,FALSE())),"")</f>
        <v>-14</v>
      </c>
      <c r="G497" s="113" t="s">
        <v>665</v>
      </c>
      <c r="H497" s="113" t="s">
        <v>2053</v>
      </c>
      <c r="I497" s="113"/>
      <c r="J497" s="113"/>
      <c r="K497" s="113" t="s">
        <v>2051</v>
      </c>
      <c r="L497" s="113"/>
      <c r="M497" s="113" t="s">
        <v>695</v>
      </c>
    </row>
    <row r="498" spans="1:13" ht="12.75" hidden="1" customHeight="1" x14ac:dyDescent="0.3">
      <c r="A498" s="111">
        <v>46163</v>
      </c>
      <c r="B498" s="113" t="s">
        <v>2052</v>
      </c>
      <c r="C498" s="113" t="s">
        <v>697</v>
      </c>
      <c r="D498" s="113" t="str">
        <f>IFERROR(VLOOKUP(C498,SKUs!$A$6:$F$1971,6,FALSE()),"")</f>
        <v>CAMISETA COPA MASC.</v>
      </c>
      <c r="E498" s="113">
        <v>15</v>
      </c>
      <c r="F498" s="113">
        <f>IFERROR(IF(OR(B498="",E498=""),"",E498*VLOOKUP(B498,Configurações!$I$5:$J$15,2,FALSE())),"")</f>
        <v>-15</v>
      </c>
      <c r="G498" s="113" t="s">
        <v>665</v>
      </c>
      <c r="H498" s="113" t="s">
        <v>2053</v>
      </c>
      <c r="I498" s="113"/>
      <c r="J498" s="113"/>
      <c r="K498" s="113" t="s">
        <v>2051</v>
      </c>
      <c r="L498" s="113"/>
      <c r="M498" s="113" t="s">
        <v>695</v>
      </c>
    </row>
    <row r="499" spans="1:13" ht="12.75" hidden="1" customHeight="1" x14ac:dyDescent="0.3">
      <c r="A499" s="111">
        <v>46163</v>
      </c>
      <c r="B499" s="113" t="s">
        <v>2052</v>
      </c>
      <c r="C499" s="113" t="s">
        <v>698</v>
      </c>
      <c r="D499" s="113" t="str">
        <f>IFERROR(VLOOKUP(C499,SKUs!$A$6:$F$1971,6,FALSE()),"")</f>
        <v>CAMISETA COPA MASC.</v>
      </c>
      <c r="E499" s="113">
        <v>15</v>
      </c>
      <c r="F499" s="113">
        <f>IFERROR(IF(OR(B499="",E499=""),"",E499*VLOOKUP(B499,Configurações!$I$5:$J$15,2,FALSE())),"")</f>
        <v>-15</v>
      </c>
      <c r="G499" s="113" t="s">
        <v>665</v>
      </c>
      <c r="H499" s="113" t="s">
        <v>2053</v>
      </c>
      <c r="I499" s="113"/>
      <c r="J499" s="113"/>
      <c r="K499" s="113" t="s">
        <v>2051</v>
      </c>
      <c r="L499" s="113"/>
      <c r="M499" s="113" t="s">
        <v>695</v>
      </c>
    </row>
    <row r="500" spans="1:13" ht="12.75" hidden="1" customHeight="1" x14ac:dyDescent="0.3">
      <c r="A500" s="111">
        <v>46163</v>
      </c>
      <c r="B500" s="113" t="s">
        <v>2052</v>
      </c>
      <c r="C500" s="113" t="s">
        <v>699</v>
      </c>
      <c r="D500" s="113" t="str">
        <f>IFERROR(VLOOKUP(C500,SKUs!$A$6:$F$1971,6,FALSE()),"")</f>
        <v>CAMISETA COPA MASC.</v>
      </c>
      <c r="E500" s="113">
        <v>15</v>
      </c>
      <c r="F500" s="113">
        <f>IFERROR(IF(OR(B500="",E500=""),"",E500*VLOOKUP(B500,Configurações!$I$5:$J$15,2,FALSE())),"")</f>
        <v>-15</v>
      </c>
      <c r="G500" s="113" t="s">
        <v>665</v>
      </c>
      <c r="H500" s="113" t="s">
        <v>2053</v>
      </c>
      <c r="I500" s="113"/>
      <c r="J500" s="113"/>
      <c r="K500" s="113" t="s">
        <v>2051</v>
      </c>
      <c r="L500" s="113"/>
      <c r="M500" s="113" t="s">
        <v>695</v>
      </c>
    </row>
    <row r="501" spans="1:13" ht="12.75" hidden="1" customHeight="1" x14ac:dyDescent="0.3">
      <c r="A501" s="111">
        <v>46163</v>
      </c>
      <c r="B501" s="113" t="s">
        <v>2052</v>
      </c>
      <c r="C501" s="113" t="s">
        <v>700</v>
      </c>
      <c r="D501" s="113" t="str">
        <f>IFERROR(VLOOKUP(C501,SKUs!$A$6:$F$1971,6,FALSE()),"")</f>
        <v>CAMISETA COPA MASC.</v>
      </c>
      <c r="E501" s="113">
        <v>5</v>
      </c>
      <c r="F501" s="113">
        <f>IFERROR(IF(OR(B501="",E501=""),"",E501*VLOOKUP(B501,Configurações!$I$5:$J$15,2,FALSE())),"")</f>
        <v>-5</v>
      </c>
      <c r="G501" s="113" t="s">
        <v>665</v>
      </c>
      <c r="H501" s="113" t="s">
        <v>2053</v>
      </c>
      <c r="I501" s="113"/>
      <c r="J501" s="113"/>
      <c r="K501" s="113" t="s">
        <v>2051</v>
      </c>
      <c r="L501" s="113"/>
      <c r="M501" s="113" t="s">
        <v>695</v>
      </c>
    </row>
    <row r="502" spans="1:13" ht="12.75" hidden="1" customHeight="1" x14ac:dyDescent="0.3">
      <c r="A502" s="111">
        <v>46163</v>
      </c>
      <c r="B502" s="113" t="s">
        <v>2052</v>
      </c>
      <c r="C502" s="113" t="s">
        <v>701</v>
      </c>
      <c r="D502" s="113" t="str">
        <f>IFERROR(VLOOKUP(C502,SKUs!$A$6:$F$1971,6,FALSE()),"")</f>
        <v>CAMISETA COPA MASC.</v>
      </c>
      <c r="E502" s="113">
        <v>15</v>
      </c>
      <c r="F502" s="113">
        <f>IFERROR(IF(OR(B502="",E502=""),"",E502*VLOOKUP(B502,Configurações!$I$5:$J$15,2,FALSE())),"")</f>
        <v>-15</v>
      </c>
      <c r="G502" s="113" t="s">
        <v>665</v>
      </c>
      <c r="H502" s="113" t="s">
        <v>2053</v>
      </c>
      <c r="I502" s="113"/>
      <c r="J502" s="113"/>
      <c r="K502" s="113" t="s">
        <v>2051</v>
      </c>
      <c r="L502" s="113"/>
      <c r="M502" s="113" t="s">
        <v>703</v>
      </c>
    </row>
    <row r="503" spans="1:13" ht="12.75" hidden="1" customHeight="1" x14ac:dyDescent="0.3">
      <c r="A503" s="111">
        <v>46163</v>
      </c>
      <c r="B503" s="113" t="s">
        <v>2052</v>
      </c>
      <c r="C503" s="113" t="s">
        <v>704</v>
      </c>
      <c r="D503" s="113" t="str">
        <f>IFERROR(VLOOKUP(C503,SKUs!$A$6:$F$1971,6,FALSE()),"")</f>
        <v>CAMISETA COPA MASC.</v>
      </c>
      <c r="E503" s="113">
        <v>15</v>
      </c>
      <c r="F503" s="113">
        <f>IFERROR(IF(OR(B503="",E503=""),"",E503*VLOOKUP(B503,Configurações!$I$5:$J$15,2,FALSE())),"")</f>
        <v>-15</v>
      </c>
      <c r="G503" s="113" t="s">
        <v>665</v>
      </c>
      <c r="H503" s="113" t="s">
        <v>2053</v>
      </c>
      <c r="I503" s="113"/>
      <c r="J503" s="113"/>
      <c r="K503" s="113" t="s">
        <v>2051</v>
      </c>
      <c r="L503" s="113"/>
      <c r="M503" s="113" t="s">
        <v>703</v>
      </c>
    </row>
    <row r="504" spans="1:13" ht="12.75" hidden="1" customHeight="1" x14ac:dyDescent="0.3">
      <c r="A504" s="111">
        <v>46163</v>
      </c>
      <c r="B504" s="113" t="s">
        <v>2052</v>
      </c>
      <c r="C504" s="113" t="s">
        <v>705</v>
      </c>
      <c r="D504" s="113" t="str">
        <f>IFERROR(VLOOKUP(C504,SKUs!$A$6:$F$1971,6,FALSE()),"")</f>
        <v>CAMISETA COPA MASC.</v>
      </c>
      <c r="E504" s="113">
        <v>14</v>
      </c>
      <c r="F504" s="113">
        <f>IFERROR(IF(OR(B504="",E504=""),"",E504*VLOOKUP(B504,Configurações!$I$5:$J$15,2,FALSE())),"")</f>
        <v>-14</v>
      </c>
      <c r="G504" s="113" t="s">
        <v>665</v>
      </c>
      <c r="H504" s="113" t="s">
        <v>2053</v>
      </c>
      <c r="I504" s="113"/>
      <c r="J504" s="113"/>
      <c r="K504" s="113" t="s">
        <v>2051</v>
      </c>
      <c r="L504" s="113"/>
      <c r="M504" s="113" t="s">
        <v>703</v>
      </c>
    </row>
    <row r="505" spans="1:13" ht="12.75" hidden="1" customHeight="1" x14ac:dyDescent="0.3">
      <c r="A505" s="111">
        <v>46163</v>
      </c>
      <c r="B505" s="113" t="s">
        <v>2052</v>
      </c>
      <c r="C505" s="113" t="s">
        <v>706</v>
      </c>
      <c r="D505" s="113" t="str">
        <f>IFERROR(VLOOKUP(C505,SKUs!$A$6:$F$1971,6,FALSE()),"")</f>
        <v>CAMISETA COPA MASC.</v>
      </c>
      <c r="E505" s="113">
        <v>16</v>
      </c>
      <c r="F505" s="113">
        <f>IFERROR(IF(OR(B505="",E505=""),"",E505*VLOOKUP(B505,Configurações!$I$5:$J$15,2,FALSE())),"")</f>
        <v>-16</v>
      </c>
      <c r="G505" s="113" t="s">
        <v>665</v>
      </c>
      <c r="H505" s="113" t="s">
        <v>2053</v>
      </c>
      <c r="I505" s="113"/>
      <c r="J505" s="113"/>
      <c r="K505" s="113" t="s">
        <v>2051</v>
      </c>
      <c r="L505" s="113"/>
      <c r="M505" s="113" t="s">
        <v>703</v>
      </c>
    </row>
    <row r="506" spans="1:13" ht="12.75" hidden="1" customHeight="1" x14ac:dyDescent="0.3">
      <c r="A506" s="111">
        <v>46163</v>
      </c>
      <c r="B506" s="113" t="s">
        <v>2052</v>
      </c>
      <c r="C506" s="113" t="s">
        <v>707</v>
      </c>
      <c r="D506" s="113" t="str">
        <f>IFERROR(VLOOKUP(C506,SKUs!$A$6:$F$1971,6,FALSE()),"")</f>
        <v>CAMISETA COPA MASC.</v>
      </c>
      <c r="E506" s="113">
        <v>7</v>
      </c>
      <c r="F506" s="113">
        <f>IFERROR(IF(OR(B506="",E506=""),"",E506*VLOOKUP(B506,Configurações!$I$5:$J$15,2,FALSE())),"")</f>
        <v>-7</v>
      </c>
      <c r="G506" s="113" t="s">
        <v>665</v>
      </c>
      <c r="H506" s="113" t="s">
        <v>2053</v>
      </c>
      <c r="I506" s="113"/>
      <c r="J506" s="113"/>
      <c r="K506" s="113" t="s">
        <v>2051</v>
      </c>
      <c r="L506" s="113"/>
      <c r="M506" s="113" t="s">
        <v>703</v>
      </c>
    </row>
    <row r="507" spans="1:13" ht="12.75" hidden="1" customHeight="1" x14ac:dyDescent="0.3">
      <c r="A507" s="111">
        <v>46163</v>
      </c>
      <c r="B507" s="113" t="s">
        <v>2052</v>
      </c>
      <c r="C507" s="113" t="s">
        <v>743</v>
      </c>
      <c r="D507" s="113" t="str">
        <f>IFERROR(VLOOKUP(C507,SKUs!$A$6:$F$1971,6,FALSE()),"")</f>
        <v>CAMISETA COPA MASC.</v>
      </c>
      <c r="E507" s="113">
        <v>12</v>
      </c>
      <c r="F507" s="113">
        <f>IFERROR(IF(OR(B507="",E507=""),"",E507*VLOOKUP(B507,Configurações!$I$5:$J$15,2,FALSE())),"")</f>
        <v>-12</v>
      </c>
      <c r="G507" s="113" t="s">
        <v>665</v>
      </c>
      <c r="H507" s="113" t="s">
        <v>2053</v>
      </c>
      <c r="I507" s="113"/>
      <c r="J507" s="113"/>
      <c r="K507" s="113" t="s">
        <v>2051</v>
      </c>
      <c r="L507" s="113"/>
      <c r="M507" s="113" t="s">
        <v>745</v>
      </c>
    </row>
    <row r="508" spans="1:13" ht="12.75" hidden="1" customHeight="1" x14ac:dyDescent="0.3">
      <c r="A508" s="111">
        <v>46163</v>
      </c>
      <c r="B508" s="113" t="s">
        <v>2052</v>
      </c>
      <c r="C508" s="113" t="s">
        <v>748</v>
      </c>
      <c r="D508" s="113" t="str">
        <f>IFERROR(VLOOKUP(C508,SKUs!$A$6:$F$1971,6,FALSE()),"")</f>
        <v>CAMISETA COPA MASC.</v>
      </c>
      <c r="E508" s="113">
        <v>13</v>
      </c>
      <c r="F508" s="113">
        <f>IFERROR(IF(OR(B508="",E508=""),"",E508*VLOOKUP(B508,Configurações!$I$5:$J$15,2,FALSE())),"")</f>
        <v>-13</v>
      </c>
      <c r="G508" s="113" t="s">
        <v>665</v>
      </c>
      <c r="H508" s="113" t="s">
        <v>2053</v>
      </c>
      <c r="I508" s="113"/>
      <c r="J508" s="113"/>
      <c r="K508" s="113" t="s">
        <v>2051</v>
      </c>
      <c r="L508" s="113"/>
      <c r="M508" s="113" t="s">
        <v>745</v>
      </c>
    </row>
    <row r="509" spans="1:13" ht="12.75" hidden="1" customHeight="1" x14ac:dyDescent="0.3">
      <c r="A509" s="111">
        <v>46163</v>
      </c>
      <c r="B509" s="113" t="s">
        <v>2052</v>
      </c>
      <c r="C509" s="113" t="s">
        <v>749</v>
      </c>
      <c r="D509" s="113" t="str">
        <f>IFERROR(VLOOKUP(C509,SKUs!$A$6:$F$1971,6,FALSE()),"")</f>
        <v>CAMISETA COPA MASC.</v>
      </c>
      <c r="E509" s="113">
        <v>13</v>
      </c>
      <c r="F509" s="113">
        <f>IFERROR(IF(OR(B509="",E509=""),"",E509*VLOOKUP(B509,Configurações!$I$5:$J$15,2,FALSE())),"")</f>
        <v>-13</v>
      </c>
      <c r="G509" s="113" t="s">
        <v>665</v>
      </c>
      <c r="H509" s="113" t="s">
        <v>2053</v>
      </c>
      <c r="I509" s="113"/>
      <c r="J509" s="113"/>
      <c r="K509" s="113" t="s">
        <v>2051</v>
      </c>
      <c r="L509" s="113"/>
      <c r="M509" s="113" t="s">
        <v>745</v>
      </c>
    </row>
    <row r="510" spans="1:13" ht="12.75" hidden="1" customHeight="1" x14ac:dyDescent="0.3">
      <c r="A510" s="111">
        <v>46163</v>
      </c>
      <c r="B510" s="113" t="s">
        <v>2052</v>
      </c>
      <c r="C510" s="113" t="s">
        <v>750</v>
      </c>
      <c r="D510" s="113" t="str">
        <f>IFERROR(VLOOKUP(C510,SKUs!$A$6:$F$1971,6,FALSE()),"")</f>
        <v>CAMISETA COPA MASC.</v>
      </c>
      <c r="E510" s="113">
        <v>13</v>
      </c>
      <c r="F510" s="113">
        <f>IFERROR(IF(OR(B510="",E510=""),"",E510*VLOOKUP(B510,Configurações!$I$5:$J$15,2,FALSE())),"")</f>
        <v>-13</v>
      </c>
      <c r="G510" s="113" t="s">
        <v>665</v>
      </c>
      <c r="H510" s="113" t="s">
        <v>2053</v>
      </c>
      <c r="I510" s="113"/>
      <c r="J510" s="113"/>
      <c r="K510" s="113" t="s">
        <v>2051</v>
      </c>
      <c r="L510" s="113"/>
      <c r="M510" s="113" t="s">
        <v>745</v>
      </c>
    </row>
    <row r="511" spans="1:13" ht="12.75" hidden="1" customHeight="1" x14ac:dyDescent="0.3">
      <c r="A511" s="111">
        <v>46163</v>
      </c>
      <c r="B511" s="113" t="s">
        <v>2052</v>
      </c>
      <c r="C511" s="113" t="s">
        <v>751</v>
      </c>
      <c r="D511" s="113" t="str">
        <f>IFERROR(VLOOKUP(C511,SKUs!$A$6:$F$1971,6,FALSE()),"")</f>
        <v>CAMISETA COPA MASC.</v>
      </c>
      <c r="E511" s="113">
        <v>10</v>
      </c>
      <c r="F511" s="113">
        <f>IFERROR(IF(OR(B511="",E511=""),"",E511*VLOOKUP(B511,Configurações!$I$5:$J$15,2,FALSE())),"")</f>
        <v>-10</v>
      </c>
      <c r="G511" s="113" t="s">
        <v>665</v>
      </c>
      <c r="H511" s="113" t="s">
        <v>2053</v>
      </c>
      <c r="I511" s="113"/>
      <c r="J511" s="113"/>
      <c r="K511" s="113" t="s">
        <v>2051</v>
      </c>
      <c r="L511" s="113"/>
      <c r="M511" s="113" t="s">
        <v>745</v>
      </c>
    </row>
    <row r="512" spans="1:13" ht="12.75" hidden="1" customHeight="1" x14ac:dyDescent="0.3">
      <c r="A512" s="111">
        <v>46163</v>
      </c>
      <c r="B512" s="113" t="s">
        <v>2052</v>
      </c>
      <c r="C512" s="113" t="s">
        <v>752</v>
      </c>
      <c r="D512" s="113" t="str">
        <f>IFERROR(VLOOKUP(C512,SKUs!$A$6:$F$1971,6,FALSE()),"")</f>
        <v>CAMISETA COPA MASC.</v>
      </c>
      <c r="E512" s="113">
        <v>4</v>
      </c>
      <c r="F512" s="113">
        <f>IFERROR(IF(OR(B512="",E512=""),"",E512*VLOOKUP(B512,Configurações!$I$5:$J$15,2,FALSE())),"")</f>
        <v>-4</v>
      </c>
      <c r="G512" s="113" t="s">
        <v>665</v>
      </c>
      <c r="H512" s="113" t="s">
        <v>2053</v>
      </c>
      <c r="I512" s="113"/>
      <c r="J512" s="113"/>
      <c r="K512" s="113" t="s">
        <v>2051</v>
      </c>
      <c r="L512" s="113"/>
      <c r="M512" s="113" t="s">
        <v>745</v>
      </c>
    </row>
    <row r="513" spans="1:13" ht="12.75" hidden="1" customHeight="1" x14ac:dyDescent="0.3">
      <c r="A513" s="111">
        <v>46163</v>
      </c>
      <c r="B513" s="113" t="s">
        <v>2052</v>
      </c>
      <c r="C513" s="113" t="s">
        <v>814</v>
      </c>
      <c r="D513" s="113" t="str">
        <f>IFERROR(VLOOKUP(C513,SKUs!$A$6:$F$1971,6,FALSE()),"")</f>
        <v>CAMISETA COPA MASC.</v>
      </c>
      <c r="E513" s="113">
        <v>9</v>
      </c>
      <c r="F513" s="113">
        <f>IFERROR(IF(OR(B513="",E513=""),"",E513*VLOOKUP(B513,Configurações!$I$5:$J$15,2,FALSE())),"")</f>
        <v>-9</v>
      </c>
      <c r="G513" s="113" t="s">
        <v>665</v>
      </c>
      <c r="H513" s="113" t="s">
        <v>2053</v>
      </c>
      <c r="I513" s="113"/>
      <c r="J513" s="113"/>
      <c r="K513" s="113" t="s">
        <v>2051</v>
      </c>
      <c r="L513" s="113"/>
      <c r="M513" s="113" t="s">
        <v>815</v>
      </c>
    </row>
    <row r="514" spans="1:13" ht="12.75" hidden="1" customHeight="1" x14ac:dyDescent="0.3">
      <c r="A514" s="111">
        <v>46163</v>
      </c>
      <c r="B514" s="113" t="s">
        <v>2052</v>
      </c>
      <c r="C514" s="113" t="s">
        <v>816</v>
      </c>
      <c r="D514" s="113" t="str">
        <f>IFERROR(VLOOKUP(C514,SKUs!$A$6:$F$1971,6,FALSE()),"")</f>
        <v>CAMISETA COPA MASC.</v>
      </c>
      <c r="E514" s="113">
        <v>15</v>
      </c>
      <c r="F514" s="113">
        <f>IFERROR(IF(OR(B514="",E514=""),"",E514*VLOOKUP(B514,Configurações!$I$5:$J$15,2,FALSE())),"")</f>
        <v>-15</v>
      </c>
      <c r="G514" s="113" t="s">
        <v>665</v>
      </c>
      <c r="H514" s="113" t="s">
        <v>2053</v>
      </c>
      <c r="I514" s="113"/>
      <c r="J514" s="113"/>
      <c r="K514" s="113" t="s">
        <v>2051</v>
      </c>
      <c r="L514" s="113"/>
      <c r="M514" s="113" t="s">
        <v>815</v>
      </c>
    </row>
    <row r="515" spans="1:13" ht="12.75" hidden="1" customHeight="1" x14ac:dyDescent="0.3">
      <c r="A515" s="111">
        <v>46163</v>
      </c>
      <c r="B515" s="113" t="s">
        <v>2052</v>
      </c>
      <c r="C515" s="113" t="s">
        <v>817</v>
      </c>
      <c r="D515" s="113" t="str">
        <f>IFERROR(VLOOKUP(C515,SKUs!$A$6:$F$1971,6,FALSE()),"")</f>
        <v>CAMISETA COPA MASC.</v>
      </c>
      <c r="E515" s="113">
        <v>14</v>
      </c>
      <c r="F515" s="113">
        <f>IFERROR(IF(OR(B515="",E515=""),"",E515*VLOOKUP(B515,Configurações!$I$5:$J$15,2,FALSE())),"")</f>
        <v>-14</v>
      </c>
      <c r="G515" s="113" t="s">
        <v>665</v>
      </c>
      <c r="H515" s="113" t="s">
        <v>2053</v>
      </c>
      <c r="I515" s="113"/>
      <c r="J515" s="113"/>
      <c r="K515" s="113" t="s">
        <v>2051</v>
      </c>
      <c r="L515" s="113"/>
      <c r="M515" s="113" t="s">
        <v>815</v>
      </c>
    </row>
    <row r="516" spans="1:13" ht="12.75" hidden="1" customHeight="1" x14ac:dyDescent="0.3">
      <c r="A516" s="111">
        <v>46163</v>
      </c>
      <c r="B516" s="113" t="s">
        <v>2052</v>
      </c>
      <c r="C516" s="113" t="s">
        <v>818</v>
      </c>
      <c r="D516" s="113" t="str">
        <f>IFERROR(VLOOKUP(C516,SKUs!$A$6:$F$1971,6,FALSE()),"")</f>
        <v>CAMISETA COPA MASC.</v>
      </c>
      <c r="E516" s="113">
        <v>15</v>
      </c>
      <c r="F516" s="113">
        <f>IFERROR(IF(OR(B516="",E516=""),"",E516*VLOOKUP(B516,Configurações!$I$5:$J$15,2,FALSE())),"")</f>
        <v>-15</v>
      </c>
      <c r="G516" s="113" t="s">
        <v>665</v>
      </c>
      <c r="H516" s="113" t="s">
        <v>2053</v>
      </c>
      <c r="I516" s="113"/>
      <c r="J516" s="113"/>
      <c r="K516" s="113" t="s">
        <v>2051</v>
      </c>
      <c r="L516" s="113"/>
      <c r="M516" s="113" t="s">
        <v>815</v>
      </c>
    </row>
    <row r="517" spans="1:13" ht="12.75" hidden="1" customHeight="1" x14ac:dyDescent="0.3">
      <c r="A517" s="111">
        <v>46163</v>
      </c>
      <c r="B517" s="113" t="s">
        <v>2052</v>
      </c>
      <c r="C517" s="113" t="s">
        <v>819</v>
      </c>
      <c r="D517" s="113" t="str">
        <f>IFERROR(VLOOKUP(C517,SKUs!$A$6:$F$1971,6,FALSE()),"")</f>
        <v>CAMISETA COPA MASC.</v>
      </c>
      <c r="E517" s="113">
        <v>12</v>
      </c>
      <c r="F517" s="113">
        <f>IFERROR(IF(OR(B517="",E517=""),"",E517*VLOOKUP(B517,Configurações!$I$5:$J$15,2,FALSE())),"")</f>
        <v>-12</v>
      </c>
      <c r="G517" s="113" t="s">
        <v>665</v>
      </c>
      <c r="H517" s="113" t="s">
        <v>2053</v>
      </c>
      <c r="I517" s="113"/>
      <c r="J517" s="113"/>
      <c r="K517" s="113" t="s">
        <v>2051</v>
      </c>
      <c r="L517" s="113"/>
      <c r="M517" s="113" t="s">
        <v>815</v>
      </c>
    </row>
    <row r="518" spans="1:13" ht="12.75" hidden="1" customHeight="1" x14ac:dyDescent="0.3">
      <c r="A518" s="111">
        <v>46163</v>
      </c>
      <c r="B518" s="113" t="s">
        <v>2052</v>
      </c>
      <c r="C518" s="113" t="s">
        <v>820</v>
      </c>
      <c r="D518" s="113" t="str">
        <f>IFERROR(VLOOKUP(C518,SKUs!$A$6:$F$1971,6,FALSE()),"")</f>
        <v>CAMISETA COPA MASC.</v>
      </c>
      <c r="E518" s="113">
        <v>5</v>
      </c>
      <c r="F518" s="113">
        <f>IFERROR(IF(OR(B518="",E518=""),"",E518*VLOOKUP(B518,Configurações!$I$5:$J$15,2,FALSE())),"")</f>
        <v>-5</v>
      </c>
      <c r="G518" s="113" t="s">
        <v>665</v>
      </c>
      <c r="H518" s="113" t="s">
        <v>2053</v>
      </c>
      <c r="I518" s="113"/>
      <c r="J518" s="113"/>
      <c r="K518" s="113" t="s">
        <v>2051</v>
      </c>
      <c r="L518" s="113"/>
      <c r="M518" s="113" t="s">
        <v>815</v>
      </c>
    </row>
    <row r="519" spans="1:13" ht="12.75" hidden="1" customHeight="1" x14ac:dyDescent="0.3">
      <c r="A519" s="111">
        <v>46169</v>
      </c>
      <c r="B519" s="113" t="s">
        <v>2049</v>
      </c>
      <c r="C519" s="113" t="s">
        <v>1405</v>
      </c>
      <c r="D519" s="113" t="str">
        <f>IFERROR(VLOOKUP(C519,SKUs!$A$6:$F$1971,6,FALSE()),"")</f>
        <v>MOVEIS ILHA COM GAVETAS E NICHOS</v>
      </c>
      <c r="E519" s="113">
        <v>1</v>
      </c>
      <c r="F519" s="113">
        <f>IFERROR(IF(OR(B519="",E519=""),"",E519*VLOOKUP(B519,Configurações!$I$5:$J$15,2,FALSE())),"")</f>
        <v>1</v>
      </c>
      <c r="G519" s="113" t="s">
        <v>665</v>
      </c>
      <c r="H519" s="113" t="s">
        <v>2053</v>
      </c>
      <c r="I519" s="113"/>
      <c r="J519" s="113"/>
      <c r="K519" s="113" t="s">
        <v>2051</v>
      </c>
      <c r="L519" s="113"/>
      <c r="M519" s="113" t="s">
        <v>1005</v>
      </c>
    </row>
    <row r="520" spans="1:13" ht="12.75" hidden="1" customHeight="1" x14ac:dyDescent="0.3">
      <c r="A520" s="111">
        <v>46169</v>
      </c>
      <c r="B520" s="113" t="s">
        <v>2049</v>
      </c>
      <c r="C520" s="113" t="s">
        <v>1405</v>
      </c>
      <c r="D520" s="113" t="str">
        <f>IFERROR(VLOOKUP(C520,SKUs!$A$6:$F$1971,6,FALSE()),"")</f>
        <v>MOVEIS ILHA COM GAVETAS E NICHOS</v>
      </c>
      <c r="E520" s="113">
        <v>1</v>
      </c>
      <c r="F520" s="113">
        <f>IFERROR(IF(OR(B520="",E520=""),"",E520*VLOOKUP(B520,Configurações!$I$5:$J$15,2,FALSE())),"")</f>
        <v>1</v>
      </c>
      <c r="G520" s="113" t="s">
        <v>665</v>
      </c>
      <c r="H520" s="113" t="s">
        <v>2053</v>
      </c>
      <c r="I520" s="113"/>
      <c r="J520" s="113"/>
      <c r="K520" s="113" t="s">
        <v>2051</v>
      </c>
      <c r="L520" s="113"/>
      <c r="M520" s="113" t="s">
        <v>1005</v>
      </c>
    </row>
    <row r="521" spans="1:13" ht="12.75" hidden="1" customHeight="1" x14ac:dyDescent="0.3">
      <c r="A521" s="111">
        <v>46169</v>
      </c>
      <c r="B521" s="113" t="s">
        <v>2049</v>
      </c>
      <c r="C521" s="113" t="s">
        <v>1410</v>
      </c>
      <c r="D521" s="113" t="str">
        <f>IFERROR(VLOOKUP(C521,SKUs!$A$6:$F$1971,6,FALSE()),"")</f>
        <v>ESTANTE BIKE</v>
      </c>
      <c r="E521" s="113">
        <v>2</v>
      </c>
      <c r="F521" s="113">
        <f>IFERROR(IF(OR(B521="",E521=""),"",E521*VLOOKUP(B521,Configurações!$I$5:$J$15,2,FALSE())),"")</f>
        <v>2</v>
      </c>
      <c r="G521" s="113" t="s">
        <v>665</v>
      </c>
      <c r="H521" s="113" t="s">
        <v>2053</v>
      </c>
      <c r="I521" s="113"/>
      <c r="J521" s="113"/>
      <c r="K521" s="113" t="s">
        <v>2051</v>
      </c>
      <c r="L521" s="113"/>
      <c r="M521" s="113" t="s">
        <v>1005</v>
      </c>
    </row>
    <row r="522" spans="1:13" ht="12.75" hidden="1" customHeight="1" x14ac:dyDescent="0.3">
      <c r="A522" s="111">
        <v>46169</v>
      </c>
      <c r="B522" s="113" t="s">
        <v>2049</v>
      </c>
      <c r="C522" s="113" t="s">
        <v>1413</v>
      </c>
      <c r="D522" s="113" t="str">
        <f>IFERROR(VLOOKUP(C522,SKUs!$A$6:$F$1971,6,FALSE()),"")</f>
        <v>ESTANTE NOVA ARAMADA (SEM GAVETAS)</v>
      </c>
      <c r="E522" s="113">
        <v>2</v>
      </c>
      <c r="F522" s="113">
        <f>IFERROR(IF(OR(B522="",E522=""),"",E522*VLOOKUP(B522,Configurações!$I$5:$J$15,2,FALSE())),"")</f>
        <v>2</v>
      </c>
      <c r="G522" s="113" t="s">
        <v>665</v>
      </c>
      <c r="H522" s="113" t="s">
        <v>2053</v>
      </c>
      <c r="I522" s="113"/>
      <c r="J522" s="113"/>
      <c r="K522" s="113" t="s">
        <v>2051</v>
      </c>
      <c r="L522" s="113"/>
      <c r="M522" s="113" t="s">
        <v>1005</v>
      </c>
    </row>
    <row r="523" spans="1:13" ht="12.75" hidden="1" customHeight="1" x14ac:dyDescent="0.3">
      <c r="A523" s="111">
        <v>46169</v>
      </c>
      <c r="B523" s="113" t="s">
        <v>2049</v>
      </c>
      <c r="C523" s="113" t="s">
        <v>1416</v>
      </c>
      <c r="D523" s="113" t="str">
        <f>IFERROR(VLOOKUP(C523,SKUs!$A$6:$F$1971,6,FALSE()),"")</f>
        <v>GAVETÕES DAS ESTANTES ARAMADAS</v>
      </c>
      <c r="E523" s="113">
        <v>1</v>
      </c>
      <c r="F523" s="113">
        <f>IFERROR(IF(OR(B523="",E523=""),"",E523*VLOOKUP(B523,Configurações!$I$5:$J$15,2,FALSE())),"")</f>
        <v>1</v>
      </c>
      <c r="G523" s="113" t="s">
        <v>665</v>
      </c>
      <c r="H523" s="113" t="s">
        <v>2053</v>
      </c>
      <c r="I523" s="113"/>
      <c r="J523" s="113"/>
      <c r="K523" s="113" t="s">
        <v>2051</v>
      </c>
      <c r="L523" s="113"/>
      <c r="M523" s="113" t="s">
        <v>1005</v>
      </c>
    </row>
    <row r="524" spans="1:13" ht="12.75" hidden="1" customHeight="1" x14ac:dyDescent="0.3">
      <c r="A524" s="111">
        <v>46169</v>
      </c>
      <c r="B524" s="113" t="s">
        <v>2049</v>
      </c>
      <c r="C524" s="113" t="s">
        <v>1416</v>
      </c>
      <c r="D524" s="113" t="str">
        <f>IFERROR(VLOOKUP(C524,SKUs!$A$6:$F$1971,6,FALSE()),"")</f>
        <v>GAVETÕES DAS ESTANTES ARAMADAS</v>
      </c>
      <c r="E524" s="113">
        <v>1</v>
      </c>
      <c r="F524" s="113">
        <f>IFERROR(IF(OR(B524="",E524=""),"",E524*VLOOKUP(B524,Configurações!$I$5:$J$15,2,FALSE())),"")</f>
        <v>1</v>
      </c>
      <c r="G524" s="113" t="s">
        <v>665</v>
      </c>
      <c r="H524" s="113" t="s">
        <v>2053</v>
      </c>
      <c r="I524" s="113"/>
      <c r="J524" s="113"/>
      <c r="K524" s="113" t="s">
        <v>2051</v>
      </c>
      <c r="L524" s="113"/>
      <c r="M524" s="113" t="s">
        <v>1005</v>
      </c>
    </row>
    <row r="525" spans="1:13" ht="12.75" hidden="1" customHeight="1" x14ac:dyDescent="0.3">
      <c r="A525" s="111">
        <v>46169</v>
      </c>
      <c r="B525" s="113" t="s">
        <v>2049</v>
      </c>
      <c r="C525" s="113" t="s">
        <v>1420</v>
      </c>
      <c r="D525" s="113" t="str">
        <f>IFERROR(VLOOKUP(C525,SKUs!$A$6:$F$1971,6,FALSE()),"")</f>
        <v>MOVEIS AZUIS COM PORTAS DE ABRIR</v>
      </c>
      <c r="E525" s="113">
        <v>1</v>
      </c>
      <c r="F525" s="113">
        <f>IFERROR(IF(OR(B525="",E525=""),"",E525*VLOOKUP(B525,Configurações!$I$5:$J$15,2,FALSE())),"")</f>
        <v>1</v>
      </c>
      <c r="G525" s="113" t="s">
        <v>665</v>
      </c>
      <c r="H525" s="113" t="s">
        <v>2053</v>
      </c>
      <c r="I525" s="113"/>
      <c r="J525" s="113"/>
      <c r="K525" s="113" t="s">
        <v>2051</v>
      </c>
      <c r="L525" s="113"/>
      <c r="M525" s="113" t="s">
        <v>1005</v>
      </c>
    </row>
    <row r="526" spans="1:13" ht="12.75" hidden="1" customHeight="1" x14ac:dyDescent="0.3">
      <c r="A526" s="111">
        <v>46170</v>
      </c>
      <c r="B526" s="113" t="s">
        <v>2054</v>
      </c>
      <c r="C526" s="113" t="s">
        <v>697</v>
      </c>
      <c r="D526" s="113" t="str">
        <f>IFERROR(VLOOKUP(C526,SKUs!$A$6:$F$1971,6,FALSE()),"")</f>
        <v>CAMISETA COPA MASC.</v>
      </c>
      <c r="E526" s="113">
        <v>1</v>
      </c>
      <c r="F526" s="113">
        <f>IFERROR(IF(OR(B526="",E526=""),"",E526*VLOOKUP(B526,Configurações!$I$5:$J$15,2,FALSE())),"")</f>
        <v>1</v>
      </c>
      <c r="G526" s="113" t="s">
        <v>665</v>
      </c>
      <c r="H526" s="113" t="s">
        <v>2053</v>
      </c>
      <c r="I526" s="113"/>
      <c r="J526" s="113"/>
      <c r="K526" s="113" t="s">
        <v>2055</v>
      </c>
      <c r="L526" s="113" t="s">
        <v>2056</v>
      </c>
      <c r="M526" s="113" t="s">
        <v>695</v>
      </c>
    </row>
    <row r="527" spans="1:13" ht="12.75" hidden="1" customHeight="1" x14ac:dyDescent="0.3">
      <c r="A527" s="111">
        <v>46164</v>
      </c>
      <c r="B527" s="113" t="s">
        <v>2049</v>
      </c>
      <c r="C527" s="113" t="s">
        <v>1546</v>
      </c>
      <c r="D527" s="113" t="str">
        <f>IFERROR(VLOOKUP(C527,SKUs!$A$6:$F$1971,6,FALSE()),"")</f>
        <v>CAMISETA FIO EGIPCIO MASC.</v>
      </c>
      <c r="E527" s="113">
        <v>6</v>
      </c>
      <c r="F527" s="113">
        <f>IFERROR(IF(OR(B527="",E527=""),"",E527*VLOOKUP(B527,Configurações!$I$5:$J$15,2,FALSE())),"")</f>
        <v>6</v>
      </c>
      <c r="G527" s="113" t="s">
        <v>665</v>
      </c>
      <c r="H527" s="113" t="s">
        <v>2057</v>
      </c>
      <c r="I527" s="113"/>
      <c r="J527" s="113"/>
      <c r="K527" s="113" t="s">
        <v>2051</v>
      </c>
      <c r="L527" s="113"/>
      <c r="M527" s="113" t="s">
        <v>1545</v>
      </c>
    </row>
    <row r="528" spans="1:13" ht="12.75" hidden="1" customHeight="1" x14ac:dyDescent="0.3">
      <c r="A528" s="111">
        <v>46164</v>
      </c>
      <c r="B528" s="113" t="s">
        <v>2049</v>
      </c>
      <c r="C528" s="113" t="s">
        <v>1423</v>
      </c>
      <c r="D528" s="113" t="str">
        <f>IFERROR(VLOOKUP(C528,SKUs!$A$6:$F$1971,6,FALSE()),"")</f>
        <v>POLO PIQUET PAN FEM.</v>
      </c>
      <c r="E528" s="113">
        <v>55</v>
      </c>
      <c r="F528" s="113">
        <f>IFERROR(IF(OR(B528="",E528=""),"",E528*VLOOKUP(B528,Configurações!$I$5:$J$15,2,FALSE())),"")</f>
        <v>55</v>
      </c>
      <c r="G528" s="113" t="s">
        <v>1424</v>
      </c>
      <c r="H528" s="113" t="s">
        <v>2057</v>
      </c>
      <c r="I528" s="113"/>
      <c r="J528" s="113"/>
      <c r="K528" s="113" t="s">
        <v>2051</v>
      </c>
      <c r="L528" s="113"/>
      <c r="M528" s="113" t="s">
        <v>1427</v>
      </c>
    </row>
    <row r="529" spans="1:13" ht="12.75" hidden="1" customHeight="1" x14ac:dyDescent="0.3">
      <c r="A529" s="111">
        <v>46164</v>
      </c>
      <c r="B529" s="113" t="s">
        <v>2049</v>
      </c>
      <c r="C529" s="113" t="s">
        <v>1428</v>
      </c>
      <c r="D529" s="113" t="str">
        <f>IFERROR(VLOOKUP(C529,SKUs!$A$6:$F$1971,6,FALSE()),"")</f>
        <v>POLO PIQUET PAN FEM.</v>
      </c>
      <c r="E529" s="113">
        <v>33</v>
      </c>
      <c r="F529" s="113">
        <f>IFERROR(IF(OR(B529="",E529=""),"",E529*VLOOKUP(B529,Configurações!$I$5:$J$15,2,FALSE())),"")</f>
        <v>33</v>
      </c>
      <c r="G529" s="113" t="s">
        <v>1424</v>
      </c>
      <c r="H529" s="113" t="s">
        <v>2057</v>
      </c>
      <c r="I529" s="113"/>
      <c r="J529" s="113"/>
      <c r="K529" s="113" t="s">
        <v>2051</v>
      </c>
      <c r="L529" s="113"/>
      <c r="M529" s="113" t="s">
        <v>1429</v>
      </c>
    </row>
    <row r="530" spans="1:13" ht="12.75" hidden="1" customHeight="1" x14ac:dyDescent="0.3">
      <c r="A530" s="111">
        <v>46164</v>
      </c>
      <c r="B530" s="113" t="s">
        <v>2049</v>
      </c>
      <c r="C530" s="113" t="s">
        <v>1430</v>
      </c>
      <c r="D530" s="113" t="str">
        <f>IFERROR(VLOOKUP(C530,SKUs!$A$6:$F$1971,6,FALSE()),"")</f>
        <v>POLO PIQUET PAN FEM.</v>
      </c>
      <c r="E530" s="113">
        <v>15</v>
      </c>
      <c r="F530" s="113">
        <f>IFERROR(IF(OR(B530="",E530=""),"",E530*VLOOKUP(B530,Configurações!$I$5:$J$15,2,FALSE())),"")</f>
        <v>15</v>
      </c>
      <c r="G530" s="113" t="s">
        <v>1424</v>
      </c>
      <c r="H530" s="113" t="s">
        <v>2057</v>
      </c>
      <c r="I530" s="113"/>
      <c r="J530" s="113"/>
      <c r="K530" s="113" t="s">
        <v>2051</v>
      </c>
      <c r="L530" s="113"/>
      <c r="M530" s="113" t="s">
        <v>1429</v>
      </c>
    </row>
    <row r="531" spans="1:13" ht="12.75" hidden="1" customHeight="1" x14ac:dyDescent="0.3">
      <c r="A531" s="111">
        <v>46164</v>
      </c>
      <c r="B531" s="113" t="s">
        <v>2049</v>
      </c>
      <c r="C531" s="113" t="s">
        <v>1431</v>
      </c>
      <c r="D531" s="113" t="str">
        <f>IFERROR(VLOOKUP(C531,SKUs!$A$6:$F$1971,6,FALSE()),"")</f>
        <v>POLO PIQUET PAN FEM.</v>
      </c>
      <c r="E531" s="113">
        <v>18</v>
      </c>
      <c r="F531" s="113">
        <f>IFERROR(IF(OR(B531="",E531=""),"",E531*VLOOKUP(B531,Configurações!$I$5:$J$15,2,FALSE())),"")</f>
        <v>18</v>
      </c>
      <c r="G531" s="113" t="s">
        <v>1424</v>
      </c>
      <c r="H531" s="113" t="s">
        <v>2057</v>
      </c>
      <c r="I531" s="113"/>
      <c r="J531" s="113"/>
      <c r="K531" s="113" t="s">
        <v>2051</v>
      </c>
      <c r="L531" s="113"/>
      <c r="M531" s="113" t="s">
        <v>1429</v>
      </c>
    </row>
    <row r="532" spans="1:13" ht="12.75" hidden="1" customHeight="1" x14ac:dyDescent="0.3">
      <c r="A532" s="111">
        <v>46164</v>
      </c>
      <c r="B532" s="113" t="s">
        <v>2049</v>
      </c>
      <c r="C532" s="113" t="s">
        <v>1432</v>
      </c>
      <c r="D532" s="113" t="str">
        <f>IFERROR(VLOOKUP(C532,SKUs!$A$6:$F$1971,6,FALSE()),"")</f>
        <v>POLO PIQUET PAN MASC.</v>
      </c>
      <c r="E532" s="113">
        <v>22</v>
      </c>
      <c r="F532" s="113">
        <f>IFERROR(IF(OR(B532="",E532=""),"",E532*VLOOKUP(B532,Configurações!$I$5:$J$15,2,FALSE())),"")</f>
        <v>22</v>
      </c>
      <c r="G532" s="113" t="s">
        <v>1424</v>
      </c>
      <c r="H532" s="113" t="s">
        <v>2057</v>
      </c>
      <c r="I532" s="113"/>
      <c r="J532" s="113"/>
      <c r="K532" s="113" t="s">
        <v>2051</v>
      </c>
      <c r="L532" s="113"/>
      <c r="M532" s="113" t="s">
        <v>1434</v>
      </c>
    </row>
    <row r="533" spans="1:13" ht="12.75" hidden="1" customHeight="1" x14ac:dyDescent="0.3">
      <c r="A533" s="111">
        <v>46164</v>
      </c>
      <c r="B533" s="113" t="s">
        <v>2049</v>
      </c>
      <c r="C533" s="113" t="s">
        <v>1435</v>
      </c>
      <c r="D533" s="113" t="str">
        <f>IFERROR(VLOOKUP(C533,SKUs!$A$6:$F$1971,6,FALSE()),"")</f>
        <v>POLO PIQUET PAN MASC.</v>
      </c>
      <c r="E533" s="113">
        <v>18</v>
      </c>
      <c r="F533" s="113">
        <f>IFERROR(IF(OR(B533="",E533=""),"",E533*VLOOKUP(B533,Configurações!$I$5:$J$15,2,FALSE())),"")</f>
        <v>18</v>
      </c>
      <c r="G533" s="113" t="s">
        <v>1424</v>
      </c>
      <c r="H533" s="113" t="s">
        <v>2057</v>
      </c>
      <c r="I533" s="113"/>
      <c r="J533" s="113"/>
      <c r="K533" s="113" t="s">
        <v>2051</v>
      </c>
      <c r="L533" s="113"/>
      <c r="M533" s="113" t="s">
        <v>1434</v>
      </c>
    </row>
    <row r="534" spans="1:13" ht="12.75" hidden="1" customHeight="1" x14ac:dyDescent="0.3">
      <c r="A534" s="111">
        <v>46164</v>
      </c>
      <c r="B534" s="113" t="s">
        <v>2049</v>
      </c>
      <c r="C534" s="113" t="s">
        <v>1436</v>
      </c>
      <c r="D534" s="113" t="str">
        <f>IFERROR(VLOOKUP(C534,SKUs!$A$6:$F$1971,6,FALSE()),"")</f>
        <v>POLO PIQUET PAN FEM.</v>
      </c>
      <c r="E534" s="113">
        <v>13</v>
      </c>
      <c r="F534" s="113">
        <f>IFERROR(IF(OR(B534="",E534=""),"",E534*VLOOKUP(B534,Configurações!$I$5:$J$15,2,FALSE())),"")</f>
        <v>13</v>
      </c>
      <c r="G534" s="113" t="s">
        <v>1424</v>
      </c>
      <c r="H534" s="113" t="s">
        <v>2057</v>
      </c>
      <c r="I534" s="113"/>
      <c r="J534" s="113"/>
      <c r="K534" s="113" t="s">
        <v>2051</v>
      </c>
      <c r="L534" s="113"/>
      <c r="M534" s="113" t="s">
        <v>1438</v>
      </c>
    </row>
    <row r="535" spans="1:13" ht="12.75" hidden="1" customHeight="1" x14ac:dyDescent="0.3">
      <c r="A535" s="111">
        <v>46164</v>
      </c>
      <c r="B535" s="113" t="s">
        <v>2049</v>
      </c>
      <c r="C535" s="113" t="s">
        <v>1439</v>
      </c>
      <c r="D535" s="113" t="str">
        <f>IFERROR(VLOOKUP(C535,SKUs!$A$6:$F$1971,6,FALSE()),"")</f>
        <v>POLO PIQUET PAN FEM.</v>
      </c>
      <c r="E535" s="113">
        <v>12</v>
      </c>
      <c r="F535" s="113">
        <f>IFERROR(IF(OR(B535="",E535=""),"",E535*VLOOKUP(B535,Configurações!$I$5:$J$15,2,FALSE())),"")</f>
        <v>12</v>
      </c>
      <c r="G535" s="113" t="s">
        <v>1424</v>
      </c>
      <c r="H535" s="113" t="s">
        <v>2057</v>
      </c>
      <c r="I535" s="113"/>
      <c r="J535" s="113"/>
      <c r="K535" s="113" t="s">
        <v>2051</v>
      </c>
      <c r="L535" s="113"/>
      <c r="M535" s="113" t="s">
        <v>1438</v>
      </c>
    </row>
    <row r="536" spans="1:13" ht="12.75" hidden="1" customHeight="1" x14ac:dyDescent="0.3">
      <c r="A536" s="111">
        <v>46164</v>
      </c>
      <c r="B536" s="113" t="s">
        <v>2049</v>
      </c>
      <c r="C536" s="113" t="s">
        <v>1440</v>
      </c>
      <c r="D536" s="113" t="str">
        <f>IFERROR(VLOOKUP(C536,SKUs!$A$6:$F$1971,6,FALSE()),"")</f>
        <v>POLO PIQUET PAN FEM.</v>
      </c>
      <c r="E536" s="113">
        <v>26</v>
      </c>
      <c r="F536" s="113">
        <f>IFERROR(IF(OR(B536="",E536=""),"",E536*VLOOKUP(B536,Configurações!$I$5:$J$15,2,FALSE())),"")</f>
        <v>26</v>
      </c>
      <c r="G536" s="113" t="s">
        <v>1424</v>
      </c>
      <c r="H536" s="113" t="s">
        <v>2057</v>
      </c>
      <c r="I536" s="113"/>
      <c r="J536" s="113"/>
      <c r="K536" s="113" t="s">
        <v>2051</v>
      </c>
      <c r="L536" s="113"/>
      <c r="M536" s="113" t="s">
        <v>1438</v>
      </c>
    </row>
    <row r="537" spans="1:13" ht="12.75" hidden="1" customHeight="1" x14ac:dyDescent="0.3">
      <c r="A537" s="111">
        <v>46164</v>
      </c>
      <c r="B537" s="113" t="s">
        <v>2049</v>
      </c>
      <c r="C537" s="113" t="s">
        <v>1441</v>
      </c>
      <c r="D537" s="113" t="str">
        <f>IFERROR(VLOOKUP(C537,SKUs!$A$6:$F$1971,6,FALSE()),"")</f>
        <v>POLO PIQUET PAN FEM.</v>
      </c>
      <c r="E537" s="113">
        <v>7</v>
      </c>
      <c r="F537" s="113">
        <f>IFERROR(IF(OR(B537="",E537=""),"",E537*VLOOKUP(B537,Configurações!$I$5:$J$15,2,FALSE())),"")</f>
        <v>7</v>
      </c>
      <c r="G537" s="113" t="s">
        <v>1424</v>
      </c>
      <c r="H537" s="113" t="s">
        <v>2057</v>
      </c>
      <c r="I537" s="113"/>
      <c r="J537" s="113"/>
      <c r="K537" s="113" t="s">
        <v>2051</v>
      </c>
      <c r="L537" s="113"/>
      <c r="M537" s="113" t="s">
        <v>1438</v>
      </c>
    </row>
    <row r="538" spans="1:13" ht="12.75" hidden="1" customHeight="1" x14ac:dyDescent="0.3">
      <c r="A538" s="111">
        <v>46164</v>
      </c>
      <c r="B538" s="113" t="s">
        <v>2049</v>
      </c>
      <c r="C538" s="113" t="s">
        <v>1442</v>
      </c>
      <c r="D538" s="113" t="str">
        <f>IFERROR(VLOOKUP(C538,SKUs!$A$6:$F$1971,6,FALSE()),"")</f>
        <v>POLO PIQUET PAN FEM.</v>
      </c>
      <c r="E538" s="113">
        <v>34</v>
      </c>
      <c r="F538" s="113">
        <f>IFERROR(IF(OR(B538="",E538=""),"",E538*VLOOKUP(B538,Configurações!$I$5:$J$15,2,FALSE())),"")</f>
        <v>34</v>
      </c>
      <c r="G538" s="113" t="s">
        <v>1424</v>
      </c>
      <c r="H538" s="113" t="s">
        <v>2057</v>
      </c>
      <c r="I538" s="113"/>
      <c r="J538" s="113"/>
      <c r="K538" s="113" t="s">
        <v>2051</v>
      </c>
      <c r="L538" s="113"/>
      <c r="M538" s="113" t="s">
        <v>1438</v>
      </c>
    </row>
    <row r="539" spans="1:13" ht="12.75" hidden="1" customHeight="1" x14ac:dyDescent="0.3">
      <c r="A539" s="111">
        <v>46164</v>
      </c>
      <c r="B539" s="113" t="s">
        <v>2049</v>
      </c>
      <c r="C539" s="113" t="s">
        <v>1443</v>
      </c>
      <c r="D539" s="113" t="str">
        <f>IFERROR(VLOOKUP(C539,SKUs!$A$6:$F$1971,6,FALSE()),"")</f>
        <v>POLO PIQUET MESCLA MASC.</v>
      </c>
      <c r="E539" s="113">
        <v>10</v>
      </c>
      <c r="F539" s="113">
        <f>IFERROR(IF(OR(B539="",E539=""),"",E539*VLOOKUP(B539,Configurações!$I$5:$J$15,2,FALSE())),"")</f>
        <v>10</v>
      </c>
      <c r="G539" s="113" t="s">
        <v>1424</v>
      </c>
      <c r="H539" s="113" t="s">
        <v>2057</v>
      </c>
      <c r="I539" s="113"/>
      <c r="J539" s="113"/>
      <c r="K539" s="113" t="s">
        <v>2051</v>
      </c>
      <c r="L539" s="113"/>
      <c r="M539" s="113" t="s">
        <v>1446</v>
      </c>
    </row>
    <row r="540" spans="1:13" ht="12.75" hidden="1" customHeight="1" x14ac:dyDescent="0.3">
      <c r="A540" s="111">
        <v>46164</v>
      </c>
      <c r="B540" s="113" t="s">
        <v>2049</v>
      </c>
      <c r="C540" s="113" t="s">
        <v>1447</v>
      </c>
      <c r="D540" s="113" t="str">
        <f>IFERROR(VLOOKUP(C540,SKUs!$A$6:$F$1971,6,FALSE()),"")</f>
        <v>POLO PIQUET MESCLA MASC.</v>
      </c>
      <c r="E540" s="113">
        <v>7</v>
      </c>
      <c r="F540" s="113">
        <f>IFERROR(IF(OR(B540="",E540=""),"",E540*VLOOKUP(B540,Configurações!$I$5:$J$15,2,FALSE())),"")</f>
        <v>7</v>
      </c>
      <c r="G540" s="113" t="s">
        <v>1424</v>
      </c>
      <c r="H540" s="113" t="s">
        <v>2057</v>
      </c>
      <c r="I540" s="113"/>
      <c r="J540" s="113"/>
      <c r="K540" s="113" t="s">
        <v>2051</v>
      </c>
      <c r="L540" s="113"/>
      <c r="M540" s="113" t="s">
        <v>1446</v>
      </c>
    </row>
    <row r="541" spans="1:13" ht="12.75" hidden="1" customHeight="1" x14ac:dyDescent="0.3">
      <c r="A541" s="111">
        <v>46164</v>
      </c>
      <c r="B541" s="113" t="s">
        <v>2049</v>
      </c>
      <c r="C541" s="113" t="s">
        <v>1448</v>
      </c>
      <c r="D541" s="113" t="str">
        <f>IFERROR(VLOOKUP(C541,SKUs!$A$6:$F$1971,6,FALSE()),"")</f>
        <v>POLO PIQUET FEM.</v>
      </c>
      <c r="E541" s="113">
        <v>4</v>
      </c>
      <c r="F541" s="113">
        <f>IFERROR(IF(OR(B541="",E541=""),"",E541*VLOOKUP(B541,Configurações!$I$5:$J$15,2,FALSE())),"")</f>
        <v>4</v>
      </c>
      <c r="G541" s="113" t="s">
        <v>1424</v>
      </c>
      <c r="H541" s="113" t="s">
        <v>2057</v>
      </c>
      <c r="I541" s="113"/>
      <c r="J541" s="113"/>
      <c r="K541" s="113" t="s">
        <v>2051</v>
      </c>
      <c r="L541" s="113"/>
      <c r="M541" s="113" t="s">
        <v>1449</v>
      </c>
    </row>
    <row r="542" spans="1:13" ht="12.75" hidden="1" customHeight="1" x14ac:dyDescent="0.3">
      <c r="A542" s="111">
        <v>46164</v>
      </c>
      <c r="B542" s="113" t="s">
        <v>2049</v>
      </c>
      <c r="C542" s="113" t="s">
        <v>1450</v>
      </c>
      <c r="D542" s="113" t="str">
        <f>IFERROR(VLOOKUP(C542,SKUs!$A$6:$F$1971,6,FALSE()),"")</f>
        <v>POLO PIQUET MESCLA FEM.</v>
      </c>
      <c r="E542" s="113">
        <v>14</v>
      </c>
      <c r="F542" s="113">
        <f>IFERROR(IF(OR(B542="",E542=""),"",E542*VLOOKUP(B542,Configurações!$I$5:$J$15,2,FALSE())),"")</f>
        <v>14</v>
      </c>
      <c r="G542" s="113" t="s">
        <v>1424</v>
      </c>
      <c r="H542" s="113" t="s">
        <v>2057</v>
      </c>
      <c r="I542" s="113"/>
      <c r="J542" s="113"/>
      <c r="K542" s="113" t="s">
        <v>2051</v>
      </c>
      <c r="L542" s="113"/>
      <c r="M542" s="113" t="s">
        <v>1449</v>
      </c>
    </row>
    <row r="543" spans="1:13" ht="12.75" hidden="1" customHeight="1" x14ac:dyDescent="0.3">
      <c r="A543" s="111">
        <v>46164</v>
      </c>
      <c r="B543" s="113" t="s">
        <v>2049</v>
      </c>
      <c r="C543" s="113" t="s">
        <v>1452</v>
      </c>
      <c r="D543" s="113" t="str">
        <f>IFERROR(VLOOKUP(C543,SKUs!$A$6:$F$1971,6,FALSE()),"")</f>
        <v>POLO PIQUET MESCLA FEM.</v>
      </c>
      <c r="E543" s="113">
        <v>12</v>
      </c>
      <c r="F543" s="113">
        <f>IFERROR(IF(OR(B543="",E543=""),"",E543*VLOOKUP(B543,Configurações!$I$5:$J$15,2,FALSE())),"")</f>
        <v>12</v>
      </c>
      <c r="G543" s="113" t="s">
        <v>1424</v>
      </c>
      <c r="H543" s="113" t="s">
        <v>2057</v>
      </c>
      <c r="I543" s="113"/>
      <c r="J543" s="113"/>
      <c r="K543" s="113" t="s">
        <v>2051</v>
      </c>
      <c r="L543" s="113"/>
      <c r="M543" s="113" t="s">
        <v>1449</v>
      </c>
    </row>
    <row r="544" spans="1:13" ht="12.75" hidden="1" customHeight="1" x14ac:dyDescent="0.3">
      <c r="A544" s="111">
        <v>46164</v>
      </c>
      <c r="B544" s="113" t="s">
        <v>2049</v>
      </c>
      <c r="C544" s="113" t="s">
        <v>1453</v>
      </c>
      <c r="D544" s="113" t="str">
        <f>IFERROR(VLOOKUP(C544,SKUs!$A$6:$F$1971,6,FALSE()),"")</f>
        <v>POLO PIQUET MESCLA FEM.</v>
      </c>
      <c r="E544" s="113">
        <v>16</v>
      </c>
      <c r="F544" s="113">
        <f>IFERROR(IF(OR(B544="",E544=""),"",E544*VLOOKUP(B544,Configurações!$I$5:$J$15,2,FALSE())),"")</f>
        <v>16</v>
      </c>
      <c r="G544" s="113" t="s">
        <v>1424</v>
      </c>
      <c r="H544" s="113" t="s">
        <v>2057</v>
      </c>
      <c r="I544" s="113"/>
      <c r="J544" s="113"/>
      <c r="K544" s="113" t="s">
        <v>2051</v>
      </c>
      <c r="L544" s="113"/>
      <c r="M544" s="113" t="s">
        <v>1449</v>
      </c>
    </row>
    <row r="545" spans="1:13" ht="12.75" hidden="1" customHeight="1" x14ac:dyDescent="0.3">
      <c r="A545" s="111">
        <v>46164</v>
      </c>
      <c r="B545" s="113" t="s">
        <v>2049</v>
      </c>
      <c r="C545" s="113" t="s">
        <v>1454</v>
      </c>
      <c r="D545" s="113" t="str">
        <f>IFERROR(VLOOKUP(C545,SKUs!$A$6:$F$1971,6,FALSE()),"")</f>
        <v>POLO PIQUET MESCLA FEM.</v>
      </c>
      <c r="E545" s="113">
        <v>24</v>
      </c>
      <c r="F545" s="113">
        <f>IFERROR(IF(OR(B545="",E545=""),"",E545*VLOOKUP(B545,Configurações!$I$5:$J$15,2,FALSE())),"")</f>
        <v>24</v>
      </c>
      <c r="G545" s="113" t="s">
        <v>1424</v>
      </c>
      <c r="H545" s="113" t="s">
        <v>2057</v>
      </c>
      <c r="I545" s="113"/>
      <c r="J545" s="113"/>
      <c r="K545" s="113" t="s">
        <v>2051</v>
      </c>
      <c r="L545" s="113"/>
      <c r="M545" s="113" t="s">
        <v>1449</v>
      </c>
    </row>
    <row r="546" spans="1:13" ht="12.75" hidden="1" customHeight="1" x14ac:dyDescent="0.3">
      <c r="A546" s="111">
        <v>46164</v>
      </c>
      <c r="B546" s="113" t="s">
        <v>2049</v>
      </c>
      <c r="C546" s="113" t="s">
        <v>1455</v>
      </c>
      <c r="D546" s="113" t="str">
        <f>IFERROR(VLOOKUP(C546,SKUs!$A$6:$F$1971,6,FALSE()),"")</f>
        <v>POLO PIQUET MESCLA FEM.</v>
      </c>
      <c r="E546" s="113">
        <v>9</v>
      </c>
      <c r="F546" s="113">
        <f>IFERROR(IF(OR(B546="",E546=""),"",E546*VLOOKUP(B546,Configurações!$I$5:$J$15,2,FALSE())),"")</f>
        <v>9</v>
      </c>
      <c r="G546" s="113" t="s">
        <v>1424</v>
      </c>
      <c r="H546" s="113" t="s">
        <v>2057</v>
      </c>
      <c r="I546" s="113"/>
      <c r="J546" s="113"/>
      <c r="K546" s="113" t="s">
        <v>2051</v>
      </c>
      <c r="L546" s="113"/>
      <c r="M546" s="113" t="s">
        <v>1449</v>
      </c>
    </row>
    <row r="547" spans="1:13" ht="12.75" hidden="1" customHeight="1" x14ac:dyDescent="0.3">
      <c r="A547" s="111">
        <v>46164</v>
      </c>
      <c r="B547" s="113" t="s">
        <v>2049</v>
      </c>
      <c r="C547" s="113" t="s">
        <v>1456</v>
      </c>
      <c r="D547" s="113" t="str">
        <f>IFERROR(VLOOKUP(C547,SKUs!$A$6:$F$1971,6,FALSE()),"")</f>
        <v>POLO BASICA MASC.</v>
      </c>
      <c r="E547" s="113">
        <v>23</v>
      </c>
      <c r="F547" s="113">
        <f>IFERROR(IF(OR(B547="",E547=""),"",E547*VLOOKUP(B547,Configurações!$I$5:$J$15,2,FALSE())),"")</f>
        <v>23</v>
      </c>
      <c r="G547" s="113" t="s">
        <v>1424</v>
      </c>
      <c r="H547" s="113" t="s">
        <v>2057</v>
      </c>
      <c r="I547" s="113"/>
      <c r="J547" s="113"/>
      <c r="K547" s="113" t="s">
        <v>2051</v>
      </c>
      <c r="L547" s="113"/>
      <c r="M547" s="113" t="s">
        <v>1458</v>
      </c>
    </row>
    <row r="548" spans="1:13" ht="12.75" hidden="1" customHeight="1" x14ac:dyDescent="0.3">
      <c r="A548" s="111">
        <v>46164</v>
      </c>
      <c r="B548" s="113" t="s">
        <v>2049</v>
      </c>
      <c r="C548" s="113" t="s">
        <v>1459</v>
      </c>
      <c r="D548" s="113" t="str">
        <f>IFERROR(VLOOKUP(C548,SKUs!$A$6:$F$1971,6,FALSE()),"")</f>
        <v>POLO BASICA FEM.</v>
      </c>
      <c r="E548" s="113">
        <v>30</v>
      </c>
      <c r="F548" s="113">
        <f>IFERROR(IF(OR(B548="",E548=""),"",E548*VLOOKUP(B548,Configurações!$I$5:$J$15,2,FALSE())),"")</f>
        <v>30</v>
      </c>
      <c r="G548" s="113" t="s">
        <v>1424</v>
      </c>
      <c r="H548" s="113" t="s">
        <v>2057</v>
      </c>
      <c r="I548" s="113"/>
      <c r="J548" s="113"/>
      <c r="K548" s="113" t="s">
        <v>2051</v>
      </c>
      <c r="L548" s="113"/>
      <c r="M548" s="113" t="s">
        <v>1458</v>
      </c>
    </row>
    <row r="549" spans="1:13" ht="12.75" hidden="1" customHeight="1" x14ac:dyDescent="0.3">
      <c r="A549" s="111">
        <v>46164</v>
      </c>
      <c r="B549" s="113" t="s">
        <v>2049</v>
      </c>
      <c r="C549" s="113" t="s">
        <v>1460</v>
      </c>
      <c r="D549" s="113" t="str">
        <f>IFERROR(VLOOKUP(C549,SKUs!$A$6:$F$1971,6,FALSE()),"")</f>
        <v>JAQUETA CAPUZ FEM.</v>
      </c>
      <c r="E549" s="113">
        <v>4</v>
      </c>
      <c r="F549" s="113">
        <f>IFERROR(IF(OR(B549="",E549=""),"",E549*VLOOKUP(B549,Configurações!$I$5:$J$15,2,FALSE())),"")</f>
        <v>4</v>
      </c>
      <c r="G549" s="113" t="s">
        <v>1424</v>
      </c>
      <c r="H549" s="113" t="s">
        <v>2057</v>
      </c>
      <c r="I549" s="113"/>
      <c r="J549" s="113"/>
      <c r="K549" s="113" t="s">
        <v>2051</v>
      </c>
      <c r="L549" s="113"/>
      <c r="M549" s="113" t="s">
        <v>1462</v>
      </c>
    </row>
    <row r="550" spans="1:13" ht="12.75" hidden="1" customHeight="1" x14ac:dyDescent="0.3">
      <c r="A550" s="111">
        <v>46164</v>
      </c>
      <c r="B550" s="113" t="s">
        <v>2049</v>
      </c>
      <c r="C550" s="113" t="s">
        <v>1463</v>
      </c>
      <c r="D550" s="113" t="str">
        <f>IFERROR(VLOOKUP(C550,SKUs!$A$6:$F$1971,6,FALSE()),"")</f>
        <v>JAQUETA CAPUZ FEM.</v>
      </c>
      <c r="E550" s="113">
        <v>3</v>
      </c>
      <c r="F550" s="113">
        <f>IFERROR(IF(OR(B550="",E550=""),"",E550*VLOOKUP(B550,Configurações!$I$5:$J$15,2,FALSE())),"")</f>
        <v>3</v>
      </c>
      <c r="G550" s="113" t="s">
        <v>1424</v>
      </c>
      <c r="H550" s="113" t="s">
        <v>2057</v>
      </c>
      <c r="I550" s="113"/>
      <c r="J550" s="113"/>
      <c r="K550" s="113" t="s">
        <v>2051</v>
      </c>
      <c r="L550" s="113"/>
      <c r="M550" s="113" t="s">
        <v>1462</v>
      </c>
    </row>
    <row r="551" spans="1:13" ht="12.75" hidden="1" customHeight="1" x14ac:dyDescent="0.3">
      <c r="A551" s="111">
        <v>46164</v>
      </c>
      <c r="B551" s="113" t="s">
        <v>2049</v>
      </c>
      <c r="C551" s="113" t="s">
        <v>1464</v>
      </c>
      <c r="D551" s="113" t="str">
        <f>IFERROR(VLOOKUP(C551,SKUs!$A$6:$F$1971,6,FALSE()),"")</f>
        <v>JAQUETA PUFFER</v>
      </c>
      <c r="E551" s="113">
        <v>1</v>
      </c>
      <c r="F551" s="113">
        <f>IFERROR(IF(OR(B551="",E551=""),"",E551*VLOOKUP(B551,Configurações!$I$5:$J$15,2,FALSE())),"")</f>
        <v>1</v>
      </c>
      <c r="G551" s="113" t="s">
        <v>1424</v>
      </c>
      <c r="H551" s="113" t="s">
        <v>2057</v>
      </c>
      <c r="I551" s="113"/>
      <c r="J551" s="113"/>
      <c r="K551" s="113" t="s">
        <v>2051</v>
      </c>
      <c r="L551" s="113"/>
      <c r="M551" s="113" t="s">
        <v>1466</v>
      </c>
    </row>
    <row r="552" spans="1:13" ht="12.75" hidden="1" customHeight="1" x14ac:dyDescent="0.3">
      <c r="A552" s="111">
        <v>46164</v>
      </c>
      <c r="B552" s="113" t="s">
        <v>2049</v>
      </c>
      <c r="C552" s="113" t="s">
        <v>1467</v>
      </c>
      <c r="D552" s="113" t="str">
        <f>IFERROR(VLOOKUP(C552,SKUs!$A$6:$F$1971,6,FALSE()),"")</f>
        <v>JAQUETA PUFFER</v>
      </c>
      <c r="E552" s="113">
        <v>2</v>
      </c>
      <c r="F552" s="113">
        <f>IFERROR(IF(OR(B552="",E552=""),"",E552*VLOOKUP(B552,Configurações!$I$5:$J$15,2,FALSE())),"")</f>
        <v>2</v>
      </c>
      <c r="G552" s="113" t="s">
        <v>1424</v>
      </c>
      <c r="H552" s="113" t="s">
        <v>2057</v>
      </c>
      <c r="I552" s="113"/>
      <c r="J552" s="113"/>
      <c r="K552" s="113" t="s">
        <v>2051</v>
      </c>
      <c r="L552" s="113"/>
      <c r="M552" s="113" t="s">
        <v>1466</v>
      </c>
    </row>
    <row r="553" spans="1:13" ht="12.75" hidden="1" customHeight="1" x14ac:dyDescent="0.3">
      <c r="A553" s="111">
        <v>46164</v>
      </c>
      <c r="B553" s="113" t="s">
        <v>2049</v>
      </c>
      <c r="C553" s="113" t="s">
        <v>1468</v>
      </c>
      <c r="D553" s="113" t="str">
        <f>IFERROR(VLOOKUP(C553,SKUs!$A$6:$F$1971,6,FALSE()),"")</f>
        <v>JAQUETA CAPUZ FEM.</v>
      </c>
      <c r="E553" s="113">
        <v>9</v>
      </c>
      <c r="F553" s="113">
        <f>IFERROR(IF(OR(B553="",E553=""),"",E553*VLOOKUP(B553,Configurações!$I$5:$J$15,2,FALSE())),"")</f>
        <v>9</v>
      </c>
      <c r="G553" s="113" t="s">
        <v>1424</v>
      </c>
      <c r="H553" s="113" t="s">
        <v>2057</v>
      </c>
      <c r="I553" s="113"/>
      <c r="J553" s="113"/>
      <c r="K553" s="113" t="s">
        <v>2051</v>
      </c>
      <c r="L553" s="113"/>
      <c r="M553" s="113" t="s">
        <v>1469</v>
      </c>
    </row>
    <row r="554" spans="1:13" ht="12.75" hidden="1" customHeight="1" x14ac:dyDescent="0.3">
      <c r="A554" s="111">
        <v>46164</v>
      </c>
      <c r="B554" s="113" t="s">
        <v>2049</v>
      </c>
      <c r="C554" s="113" t="s">
        <v>1470</v>
      </c>
      <c r="D554" s="113" t="str">
        <f>IFERROR(VLOOKUP(C554,SKUs!$A$6:$F$1971,6,FALSE()),"")</f>
        <v>JAQUETA CAPUZ FEM.</v>
      </c>
      <c r="E554" s="113">
        <v>1</v>
      </c>
      <c r="F554" s="113">
        <f>IFERROR(IF(OR(B554="",E554=""),"",E554*VLOOKUP(B554,Configurações!$I$5:$J$15,2,FALSE())),"")</f>
        <v>1</v>
      </c>
      <c r="G554" s="113" t="s">
        <v>1424</v>
      </c>
      <c r="H554" s="113" t="s">
        <v>2057</v>
      </c>
      <c r="I554" s="113"/>
      <c r="J554" s="113"/>
      <c r="K554" s="113" t="s">
        <v>2051</v>
      </c>
      <c r="L554" s="113"/>
      <c r="M554" s="113" t="s">
        <v>1469</v>
      </c>
    </row>
    <row r="555" spans="1:13" ht="12.75" hidden="1" customHeight="1" x14ac:dyDescent="0.3">
      <c r="A555" s="111">
        <v>46164</v>
      </c>
      <c r="B555" s="113" t="s">
        <v>2049</v>
      </c>
      <c r="C555" s="113" t="s">
        <v>1471</v>
      </c>
      <c r="D555" s="113" t="str">
        <f>IFERROR(VLOOKUP(C555,SKUs!$A$6:$F$1971,6,FALSE()),"")</f>
        <v>JAQUETA BOMBER</v>
      </c>
      <c r="E555" s="113">
        <v>10</v>
      </c>
      <c r="F555" s="113">
        <f>IFERROR(IF(OR(B555="",E555=""),"",E555*VLOOKUP(B555,Configurações!$I$5:$J$15,2,FALSE())),"")</f>
        <v>10</v>
      </c>
      <c r="G555" s="113" t="s">
        <v>1424</v>
      </c>
      <c r="H555" s="113" t="s">
        <v>2057</v>
      </c>
      <c r="I555" s="113"/>
      <c r="J555" s="113"/>
      <c r="K555" s="113" t="s">
        <v>2051</v>
      </c>
      <c r="L555" s="113"/>
      <c r="M555" s="113" t="s">
        <v>1472</v>
      </c>
    </row>
    <row r="556" spans="1:13" ht="12.75" hidden="1" customHeight="1" x14ac:dyDescent="0.3">
      <c r="A556" s="111">
        <v>46164</v>
      </c>
      <c r="B556" s="113" t="s">
        <v>2049</v>
      </c>
      <c r="C556" s="113" t="s">
        <v>1473</v>
      </c>
      <c r="D556" s="113" t="str">
        <f>IFERROR(VLOOKUP(C556,SKUs!$A$6:$F$1971,6,FALSE()),"")</f>
        <v>JAQUETA BOMBER</v>
      </c>
      <c r="E556" s="113">
        <v>1</v>
      </c>
      <c r="F556" s="113">
        <f>IFERROR(IF(OR(B556="",E556=""),"",E556*VLOOKUP(B556,Configurações!$I$5:$J$15,2,FALSE())),"")</f>
        <v>1</v>
      </c>
      <c r="G556" s="113" t="s">
        <v>1424</v>
      </c>
      <c r="H556" s="113" t="s">
        <v>2057</v>
      </c>
      <c r="I556" s="113"/>
      <c r="J556" s="113"/>
      <c r="K556" s="113" t="s">
        <v>2051</v>
      </c>
      <c r="L556" s="113"/>
      <c r="M556" s="113" t="s">
        <v>1474</v>
      </c>
    </row>
    <row r="557" spans="1:13" ht="12.75" hidden="1" customHeight="1" x14ac:dyDescent="0.3">
      <c r="A557" s="111">
        <v>46164</v>
      </c>
      <c r="B557" s="113" t="s">
        <v>2049</v>
      </c>
      <c r="C557" s="113" t="s">
        <v>1475</v>
      </c>
      <c r="D557" s="113" t="str">
        <f>IFERROR(VLOOKUP(C557,SKUs!$A$6:$F$1971,6,FALSE()),"")</f>
        <v>JAQUETA BOMBER</v>
      </c>
      <c r="E557" s="113">
        <v>3</v>
      </c>
      <c r="F557" s="113">
        <f>IFERROR(IF(OR(B557="",E557=""),"",E557*VLOOKUP(B557,Configurações!$I$5:$J$15,2,FALSE())),"")</f>
        <v>3</v>
      </c>
      <c r="G557" s="113" t="s">
        <v>1424</v>
      </c>
      <c r="H557" s="113" t="s">
        <v>2057</v>
      </c>
      <c r="I557" s="113"/>
      <c r="J557" s="113"/>
      <c r="K557" s="113" t="s">
        <v>2051</v>
      </c>
      <c r="L557" s="113"/>
      <c r="M557" s="113" t="s">
        <v>1474</v>
      </c>
    </row>
    <row r="558" spans="1:13" ht="12.75" hidden="1" customHeight="1" x14ac:dyDescent="0.3">
      <c r="A558" s="111">
        <v>46164</v>
      </c>
      <c r="B558" s="113" t="s">
        <v>2049</v>
      </c>
      <c r="C558" s="113" t="s">
        <v>1460</v>
      </c>
      <c r="D558" s="113" t="str">
        <f>IFERROR(VLOOKUP(C558,SKUs!$A$6:$F$1971,6,FALSE()),"")</f>
        <v>JAQUETA CAPUZ FEM.</v>
      </c>
      <c r="E558" s="113">
        <v>8</v>
      </c>
      <c r="F558" s="113">
        <f>IFERROR(IF(OR(B558="",E558=""),"",E558*VLOOKUP(B558,Configurações!$I$5:$J$15,2,FALSE())),"")</f>
        <v>8</v>
      </c>
      <c r="G558" s="113" t="s">
        <v>1424</v>
      </c>
      <c r="H558" s="113" t="s">
        <v>2057</v>
      </c>
      <c r="I558" s="113"/>
      <c r="J558" s="113"/>
      <c r="K558" s="113" t="s">
        <v>2051</v>
      </c>
      <c r="L558" s="113"/>
      <c r="M558" s="113" t="s">
        <v>1476</v>
      </c>
    </row>
    <row r="559" spans="1:13" ht="12.75" hidden="1" customHeight="1" x14ac:dyDescent="0.3">
      <c r="A559" s="111">
        <v>46164</v>
      </c>
      <c r="B559" s="113" t="s">
        <v>2049</v>
      </c>
      <c r="C559" s="113" t="s">
        <v>1463</v>
      </c>
      <c r="D559" s="113" t="str">
        <f>IFERROR(VLOOKUP(C559,SKUs!$A$6:$F$1971,6,FALSE()),"")</f>
        <v>JAQUETA CAPUZ FEM.</v>
      </c>
      <c r="E559" s="113">
        <v>2</v>
      </c>
      <c r="F559" s="113">
        <f>IFERROR(IF(OR(B559="",E559=""),"",E559*VLOOKUP(B559,Configurações!$I$5:$J$15,2,FALSE())),"")</f>
        <v>2</v>
      </c>
      <c r="G559" s="113" t="s">
        <v>1424</v>
      </c>
      <c r="H559" s="113" t="s">
        <v>2057</v>
      </c>
      <c r="I559" s="113"/>
      <c r="J559" s="113"/>
      <c r="K559" s="113" t="s">
        <v>2051</v>
      </c>
      <c r="L559" s="113"/>
      <c r="M559" s="113" t="s">
        <v>1476</v>
      </c>
    </row>
    <row r="560" spans="1:13" ht="12.75" hidden="1" customHeight="1" x14ac:dyDescent="0.3">
      <c r="A560" s="111">
        <v>46164</v>
      </c>
      <c r="B560" s="113" t="s">
        <v>2049</v>
      </c>
      <c r="C560" s="113" t="s">
        <v>1477</v>
      </c>
      <c r="D560" s="113" t="str">
        <f>IFERROR(VLOOKUP(C560,SKUs!$A$6:$F$1971,6,FALSE()),"")</f>
        <v>JAQUETA CAPUZ OFF WHITE</v>
      </c>
      <c r="E560" s="113">
        <v>1</v>
      </c>
      <c r="F560" s="113">
        <f>IFERROR(IF(OR(B560="",E560=""),"",E560*VLOOKUP(B560,Configurações!$I$5:$J$15,2,FALSE())),"")</f>
        <v>1</v>
      </c>
      <c r="G560" s="113" t="s">
        <v>1424</v>
      </c>
      <c r="H560" s="113" t="s">
        <v>2057</v>
      </c>
      <c r="I560" s="113"/>
      <c r="J560" s="113"/>
      <c r="K560" s="113" t="s">
        <v>2051</v>
      </c>
      <c r="L560" s="113"/>
      <c r="M560" s="113" t="s">
        <v>1476</v>
      </c>
    </row>
    <row r="561" spans="1:13" ht="12.75" hidden="1" customHeight="1" x14ac:dyDescent="0.3">
      <c r="A561" s="111">
        <v>46164</v>
      </c>
      <c r="B561" s="113" t="s">
        <v>2049</v>
      </c>
      <c r="C561" s="113" t="s">
        <v>1468</v>
      </c>
      <c r="D561" s="113" t="str">
        <f>IFERROR(VLOOKUP(C561,SKUs!$A$6:$F$1971,6,FALSE()),"")</f>
        <v>JAQUETA CAPUZ FEM.</v>
      </c>
      <c r="E561" s="113">
        <v>3</v>
      </c>
      <c r="F561" s="113">
        <f>IFERROR(IF(OR(B561="",E561=""),"",E561*VLOOKUP(B561,Configurações!$I$5:$J$15,2,FALSE())),"")</f>
        <v>3</v>
      </c>
      <c r="G561" s="113" t="s">
        <v>1424</v>
      </c>
      <c r="H561" s="113" t="s">
        <v>2057</v>
      </c>
      <c r="I561" s="113"/>
      <c r="J561" s="113"/>
      <c r="K561" s="113" t="s">
        <v>2051</v>
      </c>
      <c r="L561" s="113"/>
      <c r="M561" s="113" t="s">
        <v>1479</v>
      </c>
    </row>
    <row r="562" spans="1:13" ht="12.75" hidden="1" customHeight="1" x14ac:dyDescent="0.3">
      <c r="A562" s="111">
        <v>46164</v>
      </c>
      <c r="B562" s="113" t="s">
        <v>2049</v>
      </c>
      <c r="C562" s="113" t="s">
        <v>1470</v>
      </c>
      <c r="D562" s="113" t="str">
        <f>IFERROR(VLOOKUP(C562,SKUs!$A$6:$F$1971,6,FALSE()),"")</f>
        <v>JAQUETA CAPUZ FEM.</v>
      </c>
      <c r="E562" s="113">
        <v>4</v>
      </c>
      <c r="F562" s="113">
        <f>IFERROR(IF(OR(B562="",E562=""),"",E562*VLOOKUP(B562,Configurações!$I$5:$J$15,2,FALSE())),"")</f>
        <v>4</v>
      </c>
      <c r="G562" s="113" t="s">
        <v>1424</v>
      </c>
      <c r="H562" s="113" t="s">
        <v>2057</v>
      </c>
      <c r="I562" s="113"/>
      <c r="J562" s="113"/>
      <c r="K562" s="113" t="s">
        <v>2051</v>
      </c>
      <c r="L562" s="113"/>
      <c r="M562" s="113" t="s">
        <v>1479</v>
      </c>
    </row>
    <row r="563" spans="1:13" ht="12.75" hidden="1" customHeight="1" x14ac:dyDescent="0.3">
      <c r="A563" s="111">
        <v>46164</v>
      </c>
      <c r="B563" s="113" t="s">
        <v>2049</v>
      </c>
      <c r="C563" s="113" t="s">
        <v>1470</v>
      </c>
      <c r="D563" s="113" t="str">
        <f>IFERROR(VLOOKUP(C563,SKUs!$A$6:$F$1971,6,FALSE()),"")</f>
        <v>JAQUETA CAPUZ FEM.</v>
      </c>
      <c r="E563" s="113">
        <v>7</v>
      </c>
      <c r="F563" s="113">
        <f>IFERROR(IF(OR(B563="",E563=""),"",E563*VLOOKUP(B563,Configurações!$I$5:$J$15,2,FALSE())),"")</f>
        <v>7</v>
      </c>
      <c r="G563" s="113" t="s">
        <v>1424</v>
      </c>
      <c r="H563" s="113" t="s">
        <v>2057</v>
      </c>
      <c r="I563" s="113"/>
      <c r="J563" s="113"/>
      <c r="K563" s="113" t="s">
        <v>2051</v>
      </c>
      <c r="L563" s="113"/>
      <c r="M563" s="113" t="s">
        <v>1480</v>
      </c>
    </row>
    <row r="564" spans="1:13" ht="12.75" hidden="1" customHeight="1" x14ac:dyDescent="0.3">
      <c r="A564" s="111">
        <v>46164</v>
      </c>
      <c r="B564" s="113" t="s">
        <v>2049</v>
      </c>
      <c r="C564" s="113" t="s">
        <v>1470</v>
      </c>
      <c r="D564" s="113" t="str">
        <f>IFERROR(VLOOKUP(C564,SKUs!$A$6:$F$1971,6,FALSE()),"")</f>
        <v>JAQUETA CAPUZ FEM.</v>
      </c>
      <c r="E564" s="113">
        <v>7</v>
      </c>
      <c r="F564" s="113">
        <f>IFERROR(IF(OR(B564="",E564=""),"",E564*VLOOKUP(B564,Configurações!$I$5:$J$15,2,FALSE())),"")</f>
        <v>7</v>
      </c>
      <c r="G564" s="113" t="s">
        <v>1424</v>
      </c>
      <c r="H564" s="113" t="s">
        <v>2057</v>
      </c>
      <c r="I564" s="113"/>
      <c r="J564" s="113"/>
      <c r="K564" s="113" t="s">
        <v>2051</v>
      </c>
      <c r="L564" s="113"/>
      <c r="M564" s="113" t="s">
        <v>1481</v>
      </c>
    </row>
    <row r="565" spans="1:13" ht="12.75" hidden="1" customHeight="1" x14ac:dyDescent="0.3">
      <c r="A565" s="111">
        <v>46164</v>
      </c>
      <c r="B565" s="113" t="s">
        <v>2049</v>
      </c>
      <c r="C565" s="113" t="s">
        <v>1482</v>
      </c>
      <c r="D565" s="113" t="str">
        <f>IFERROR(VLOOKUP(C565,SKUs!$A$6:$F$1971,6,FALSE()),"")</f>
        <v>JAQUETA CAPUZ FEM.</v>
      </c>
      <c r="E565" s="113">
        <v>6</v>
      </c>
      <c r="F565" s="113">
        <f>IFERROR(IF(OR(B565="",E565=""),"",E565*VLOOKUP(B565,Configurações!$I$5:$J$15,2,FALSE())),"")</f>
        <v>6</v>
      </c>
      <c r="G565" s="113" t="s">
        <v>1424</v>
      </c>
      <c r="H565" s="113" t="s">
        <v>2057</v>
      </c>
      <c r="I565" s="113"/>
      <c r="J565" s="113"/>
      <c r="K565" s="113" t="s">
        <v>2051</v>
      </c>
      <c r="L565" s="113"/>
      <c r="M565" s="113" t="s">
        <v>1483</v>
      </c>
    </row>
    <row r="566" spans="1:13" ht="12.75" hidden="1" customHeight="1" x14ac:dyDescent="0.3">
      <c r="A566" s="111">
        <v>46164</v>
      </c>
      <c r="B566" s="113" t="s">
        <v>2049</v>
      </c>
      <c r="C566" s="113" t="s">
        <v>1484</v>
      </c>
      <c r="D566" s="113" t="str">
        <f>IFERROR(VLOOKUP(C566,SKUs!$A$6:$F$1971,6,FALSE()),"")</f>
        <v>JAQUETA BOMBER</v>
      </c>
      <c r="E566" s="113">
        <v>1</v>
      </c>
      <c r="F566" s="113">
        <f>IFERROR(IF(OR(B566="",E566=""),"",E566*VLOOKUP(B566,Configurações!$I$5:$J$15,2,FALSE())),"")</f>
        <v>1</v>
      </c>
      <c r="G566" s="113" t="s">
        <v>1424</v>
      </c>
      <c r="H566" s="113" t="s">
        <v>2057</v>
      </c>
      <c r="I566" s="113"/>
      <c r="J566" s="113"/>
      <c r="K566" s="113" t="s">
        <v>2051</v>
      </c>
      <c r="L566" s="113"/>
      <c r="M566" s="113" t="s">
        <v>1485</v>
      </c>
    </row>
    <row r="567" spans="1:13" ht="12.75" hidden="1" customHeight="1" x14ac:dyDescent="0.3">
      <c r="A567" s="111">
        <v>46164</v>
      </c>
      <c r="B567" s="113" t="s">
        <v>2049</v>
      </c>
      <c r="C567" s="113" t="s">
        <v>1486</v>
      </c>
      <c r="D567" s="113" t="str">
        <f>IFERROR(VLOOKUP(C567,SKUs!$A$6:$F$1971,6,FALSE()),"")</f>
        <v>JAQUETA BOMBER</v>
      </c>
      <c r="E567" s="113">
        <v>7</v>
      </c>
      <c r="F567" s="113">
        <f>IFERROR(IF(OR(B567="",E567=""),"",E567*VLOOKUP(B567,Configurações!$I$5:$J$15,2,FALSE())),"")</f>
        <v>7</v>
      </c>
      <c r="G567" s="113" t="s">
        <v>1424</v>
      </c>
      <c r="H567" s="113" t="s">
        <v>2057</v>
      </c>
      <c r="I567" s="113"/>
      <c r="J567" s="113"/>
      <c r="K567" s="113" t="s">
        <v>2051</v>
      </c>
      <c r="L567" s="113"/>
      <c r="M567" s="113" t="s">
        <v>1485</v>
      </c>
    </row>
    <row r="568" spans="1:13" ht="12.75" hidden="1" customHeight="1" x14ac:dyDescent="0.3">
      <c r="A568" s="111">
        <v>46164</v>
      </c>
      <c r="B568" s="113" t="s">
        <v>2049</v>
      </c>
      <c r="C568" s="113" t="s">
        <v>1487</v>
      </c>
      <c r="D568" s="113" t="str">
        <f>IFERROR(VLOOKUP(C568,SKUs!$A$6:$F$1971,6,FALSE()),"")</f>
        <v>JAQUETA CAPUZ EMBUTIDO</v>
      </c>
      <c r="E568" s="113">
        <v>13</v>
      </c>
      <c r="F568" s="113">
        <f>IFERROR(IF(OR(B568="",E568=""),"",E568*VLOOKUP(B568,Configurações!$I$5:$J$15,2,FALSE())),"")</f>
        <v>13</v>
      </c>
      <c r="G568" s="113" t="s">
        <v>1424</v>
      </c>
      <c r="H568" s="113" t="s">
        <v>2057</v>
      </c>
      <c r="I568" s="113"/>
      <c r="J568" s="113"/>
      <c r="K568" s="113" t="s">
        <v>2051</v>
      </c>
      <c r="L568" s="113"/>
      <c r="M568" s="113" t="s">
        <v>1488</v>
      </c>
    </row>
    <row r="569" spans="1:13" ht="12.75" hidden="1" customHeight="1" x14ac:dyDescent="0.3">
      <c r="A569" s="111">
        <v>46164</v>
      </c>
      <c r="B569" s="113" t="s">
        <v>2049</v>
      </c>
      <c r="C569" s="113" t="s">
        <v>1489</v>
      </c>
      <c r="D569" s="113" t="str">
        <f>IFERROR(VLOOKUP(C569,SKUs!$A$6:$F$1971,6,FALSE()),"")</f>
        <v>JAQUETA CAPUZ EMBUTIDO</v>
      </c>
      <c r="E569" s="113">
        <v>2</v>
      </c>
      <c r="F569" s="113">
        <f>IFERROR(IF(OR(B569="",E569=""),"",E569*VLOOKUP(B569,Configurações!$I$5:$J$15,2,FALSE())),"")</f>
        <v>2</v>
      </c>
      <c r="G569" s="113" t="s">
        <v>1424</v>
      </c>
      <c r="H569" s="113" t="s">
        <v>2057</v>
      </c>
      <c r="I569" s="113"/>
      <c r="J569" s="113"/>
      <c r="K569" s="113" t="s">
        <v>2051</v>
      </c>
      <c r="L569" s="113"/>
      <c r="M569" s="113" t="s">
        <v>1490</v>
      </c>
    </row>
    <row r="570" spans="1:13" ht="12.75" hidden="1" customHeight="1" x14ac:dyDescent="0.3">
      <c r="A570" s="111">
        <v>46164</v>
      </c>
      <c r="B570" s="113" t="s">
        <v>2049</v>
      </c>
      <c r="C570" s="113" t="s">
        <v>1491</v>
      </c>
      <c r="D570" s="113" t="str">
        <f>IFERROR(VLOOKUP(C570,SKUs!$A$6:$F$1971,6,FALSE()),"")</f>
        <v>JAQUETA CAPUZ EMBUTIDO</v>
      </c>
      <c r="E570" s="113">
        <v>9</v>
      </c>
      <c r="F570" s="113">
        <f>IFERROR(IF(OR(B570="",E570=""),"",E570*VLOOKUP(B570,Configurações!$I$5:$J$15,2,FALSE())),"")</f>
        <v>9</v>
      </c>
      <c r="G570" s="113" t="s">
        <v>1424</v>
      </c>
      <c r="H570" s="113" t="s">
        <v>2057</v>
      </c>
      <c r="I570" s="113"/>
      <c r="J570" s="113"/>
      <c r="K570" s="113" t="s">
        <v>2051</v>
      </c>
      <c r="L570" s="113"/>
      <c r="M570" s="113" t="s">
        <v>1490</v>
      </c>
    </row>
    <row r="571" spans="1:13" ht="12.75" hidden="1" customHeight="1" x14ac:dyDescent="0.3">
      <c r="A571" s="111">
        <v>46164</v>
      </c>
      <c r="B571" s="113" t="s">
        <v>2049</v>
      </c>
      <c r="C571" s="113" t="s">
        <v>1492</v>
      </c>
      <c r="D571" s="113" t="str">
        <f>IFERROR(VLOOKUP(C571,SKUs!$A$6:$F$1971,6,FALSE()),"")</f>
        <v>CAMISETA FIO EGIPCIO MASC.</v>
      </c>
      <c r="E571" s="113">
        <v>12</v>
      </c>
      <c r="F571" s="113">
        <f>IFERROR(IF(OR(B571="",E571=""),"",E571*VLOOKUP(B571,Configurações!$I$5:$J$15,2,FALSE())),"")</f>
        <v>12</v>
      </c>
      <c r="G571" s="113" t="s">
        <v>1424</v>
      </c>
      <c r="H571" s="113" t="s">
        <v>2057</v>
      </c>
      <c r="I571" s="113"/>
      <c r="J571" s="113"/>
      <c r="K571" s="113" t="s">
        <v>2051</v>
      </c>
      <c r="L571" s="113"/>
      <c r="M571" s="113" t="s">
        <v>1493</v>
      </c>
    </row>
    <row r="572" spans="1:13" ht="12.75" hidden="1" customHeight="1" x14ac:dyDescent="0.3">
      <c r="A572" s="111">
        <v>46164</v>
      </c>
      <c r="B572" s="113" t="s">
        <v>2049</v>
      </c>
      <c r="C572" s="113" t="s">
        <v>1494</v>
      </c>
      <c r="D572" s="113" t="str">
        <f>IFERROR(VLOOKUP(C572,SKUs!$A$6:$F$1971,6,FALSE()),"")</f>
        <v>CAMISETA FIO EGIPCIO MASC.</v>
      </c>
      <c r="E572" s="113">
        <v>14</v>
      </c>
      <c r="F572" s="113">
        <f>IFERROR(IF(OR(B572="",E572=""),"",E572*VLOOKUP(B572,Configurações!$I$5:$J$15,2,FALSE())),"")</f>
        <v>14</v>
      </c>
      <c r="G572" s="113" t="s">
        <v>1424</v>
      </c>
      <c r="H572" s="113" t="s">
        <v>2057</v>
      </c>
      <c r="I572" s="113"/>
      <c r="J572" s="113"/>
      <c r="K572" s="113" t="s">
        <v>2051</v>
      </c>
      <c r="L572" s="113"/>
      <c r="M572" s="113" t="s">
        <v>1493</v>
      </c>
    </row>
    <row r="573" spans="1:13" ht="12.75" hidden="1" customHeight="1" x14ac:dyDescent="0.3">
      <c r="A573" s="111">
        <v>46164</v>
      </c>
      <c r="B573" s="113" t="s">
        <v>2049</v>
      </c>
      <c r="C573" s="113" t="s">
        <v>1495</v>
      </c>
      <c r="D573" s="113" t="str">
        <f>IFERROR(VLOOKUP(C573,SKUs!$A$6:$F$1971,6,FALSE()),"")</f>
        <v>CAMISETA FIO EGIPCIO MASC.</v>
      </c>
      <c r="E573" s="113">
        <v>13</v>
      </c>
      <c r="F573" s="113">
        <f>IFERROR(IF(OR(B573="",E573=""),"",E573*VLOOKUP(B573,Configurações!$I$5:$J$15,2,FALSE())),"")</f>
        <v>13</v>
      </c>
      <c r="G573" s="113" t="s">
        <v>1424</v>
      </c>
      <c r="H573" s="113" t="s">
        <v>2057</v>
      </c>
      <c r="I573" s="113"/>
      <c r="J573" s="113"/>
      <c r="K573" s="113" t="s">
        <v>2051</v>
      </c>
      <c r="L573" s="113"/>
      <c r="M573" s="113" t="s">
        <v>1493</v>
      </c>
    </row>
    <row r="574" spans="1:13" ht="12.75" hidden="1" customHeight="1" x14ac:dyDescent="0.3">
      <c r="A574" s="111">
        <v>46164</v>
      </c>
      <c r="B574" s="113" t="s">
        <v>2049</v>
      </c>
      <c r="C574" s="113" t="s">
        <v>1496</v>
      </c>
      <c r="D574" s="113" t="str">
        <f>IFERROR(VLOOKUP(C574,SKUs!$A$6:$F$1971,6,FALSE()),"")</f>
        <v>CAMISETA FIO EGIPCIO MASC.</v>
      </c>
      <c r="E574" s="113">
        <v>4</v>
      </c>
      <c r="F574" s="113">
        <f>IFERROR(IF(OR(B574="",E574=""),"",E574*VLOOKUP(B574,Configurações!$I$5:$J$15,2,FALSE())),"")</f>
        <v>4</v>
      </c>
      <c r="G574" s="113" t="s">
        <v>1424</v>
      </c>
      <c r="H574" s="113" t="s">
        <v>2057</v>
      </c>
      <c r="I574" s="113"/>
      <c r="J574" s="113"/>
      <c r="K574" s="113" t="s">
        <v>2051</v>
      </c>
      <c r="L574" s="113"/>
      <c r="M574" s="113" t="s">
        <v>1493</v>
      </c>
    </row>
    <row r="575" spans="1:13" ht="12.75" hidden="1" customHeight="1" x14ac:dyDescent="0.3">
      <c r="A575" s="111">
        <v>46164</v>
      </c>
      <c r="B575" s="113" t="s">
        <v>2049</v>
      </c>
      <c r="C575" s="113" t="s">
        <v>1498</v>
      </c>
      <c r="D575" s="113" t="str">
        <f>IFERROR(VLOOKUP(C575,SKUs!$A$6:$F$1971,6,FALSE()),"")</f>
        <v>TRICO BASICO GOLA V</v>
      </c>
      <c r="E575" s="113">
        <v>1</v>
      </c>
      <c r="F575" s="113">
        <f>IFERROR(IF(OR(B575="",E575=""),"",E575*VLOOKUP(B575,Configurações!$I$5:$J$15,2,FALSE())),"")</f>
        <v>1</v>
      </c>
      <c r="G575" s="113" t="s">
        <v>1424</v>
      </c>
      <c r="H575" s="113" t="s">
        <v>2057</v>
      </c>
      <c r="I575" s="113"/>
      <c r="J575" s="113"/>
      <c r="K575" s="113" t="s">
        <v>2051</v>
      </c>
      <c r="L575" s="113"/>
      <c r="M575" s="113" t="s">
        <v>1499</v>
      </c>
    </row>
    <row r="576" spans="1:13" ht="12.75" hidden="1" customHeight="1" x14ac:dyDescent="0.3">
      <c r="A576" s="111">
        <v>46164</v>
      </c>
      <c r="B576" s="113" t="s">
        <v>2049</v>
      </c>
      <c r="C576" s="113" t="s">
        <v>1500</v>
      </c>
      <c r="D576" s="113" t="str">
        <f>IFERROR(VLOOKUP(C576,SKUs!$A$6:$F$1971,6,FALSE()),"")</f>
        <v>TRICO BASICO GOLA V</v>
      </c>
      <c r="E576" s="113">
        <v>1</v>
      </c>
      <c r="F576" s="113">
        <f>IFERROR(IF(OR(B576="",E576=""),"",E576*VLOOKUP(B576,Configurações!$I$5:$J$15,2,FALSE())),"")</f>
        <v>1</v>
      </c>
      <c r="G576" s="113" t="s">
        <v>1424</v>
      </c>
      <c r="H576" s="113" t="s">
        <v>2057</v>
      </c>
      <c r="I576" s="113"/>
      <c r="J576" s="113"/>
      <c r="K576" s="113" t="s">
        <v>2051</v>
      </c>
      <c r="L576" s="113"/>
      <c r="M576" s="113" t="s">
        <v>1499</v>
      </c>
    </row>
    <row r="577" spans="1:13" ht="12.75" hidden="1" customHeight="1" x14ac:dyDescent="0.3">
      <c r="A577" s="111">
        <v>46164</v>
      </c>
      <c r="B577" s="113" t="s">
        <v>2049</v>
      </c>
      <c r="C577" s="113" t="s">
        <v>1501</v>
      </c>
      <c r="D577" s="113" t="str">
        <f>IFERROR(VLOOKUP(C577,SKUs!$A$6:$F$1971,6,FALSE()),"")</f>
        <v>TRICO BASICO GOLA V</v>
      </c>
      <c r="E577" s="113">
        <v>1</v>
      </c>
      <c r="F577" s="113">
        <f>IFERROR(IF(OR(B577="",E577=""),"",E577*VLOOKUP(B577,Configurações!$I$5:$J$15,2,FALSE())),"")</f>
        <v>1</v>
      </c>
      <c r="G577" s="113" t="s">
        <v>1424</v>
      </c>
      <c r="H577" s="113" t="s">
        <v>2057</v>
      </c>
      <c r="I577" s="113"/>
      <c r="J577" s="113"/>
      <c r="K577" s="113" t="s">
        <v>2051</v>
      </c>
      <c r="L577" s="113"/>
      <c r="M577" s="113" t="s">
        <v>1499</v>
      </c>
    </row>
    <row r="578" spans="1:13" ht="12.75" hidden="1" customHeight="1" x14ac:dyDescent="0.3">
      <c r="A578" s="111">
        <v>46164</v>
      </c>
      <c r="B578" s="113" t="s">
        <v>2049</v>
      </c>
      <c r="C578" s="113" t="s">
        <v>1502</v>
      </c>
      <c r="D578" s="113" t="str">
        <f>IFERROR(VLOOKUP(C578,SKUs!$A$6:$F$1971,6,FALSE()),"")</f>
        <v>TRICO BASICO GOLA V</v>
      </c>
      <c r="E578" s="113">
        <v>2</v>
      </c>
      <c r="F578" s="113">
        <f>IFERROR(IF(OR(B578="",E578=""),"",E578*VLOOKUP(B578,Configurações!$I$5:$J$15,2,FALSE())),"")</f>
        <v>2</v>
      </c>
      <c r="G578" s="113" t="s">
        <v>1424</v>
      </c>
      <c r="H578" s="113" t="s">
        <v>2057</v>
      </c>
      <c r="I578" s="113"/>
      <c r="J578" s="113"/>
      <c r="K578" s="113" t="s">
        <v>2051</v>
      </c>
      <c r="L578" s="113"/>
      <c r="M578" s="113" t="s">
        <v>1499</v>
      </c>
    </row>
    <row r="579" spans="1:13" ht="12.75" customHeight="1" x14ac:dyDescent="0.3">
      <c r="A579" s="111">
        <v>46164</v>
      </c>
      <c r="B579" s="113" t="s">
        <v>2049</v>
      </c>
      <c r="C579" s="113" t="s">
        <v>1503</v>
      </c>
      <c r="D579" s="113" t="str">
        <f>IFERROR(VLOOKUP(C579,SKUs!$A$6:$F$1971,6,FALSE()),"")</f>
        <v>TRICO BASICO GOLA V</v>
      </c>
      <c r="E579" s="113">
        <v>1</v>
      </c>
      <c r="F579" s="113">
        <f>IFERROR(IF(OR(B579="",E579=""),"",E579*VLOOKUP(B579,Configurações!$I$5:$J$15,2,FALSE())),"")</f>
        <v>1</v>
      </c>
      <c r="G579" s="113" t="s">
        <v>1424</v>
      </c>
      <c r="H579" s="113" t="s">
        <v>2057</v>
      </c>
      <c r="I579" s="113"/>
      <c r="J579" s="113"/>
      <c r="K579" s="113" t="s">
        <v>2051</v>
      </c>
      <c r="L579" s="113"/>
      <c r="M579" s="113" t="s">
        <v>1499</v>
      </c>
    </row>
    <row r="580" spans="1:13" ht="12.75" hidden="1" customHeight="1" x14ac:dyDescent="0.3">
      <c r="A580" s="111">
        <v>46164</v>
      </c>
      <c r="B580" s="113" t="s">
        <v>2049</v>
      </c>
      <c r="C580" s="113" t="s">
        <v>1504</v>
      </c>
      <c r="D580" s="113" t="str">
        <f>IFERROR(VLOOKUP(C580,SKUs!$A$6:$F$1971,6,FALSE()),"")</f>
        <v>TRICO BASICO GOLA CARACA</v>
      </c>
      <c r="E580" s="113">
        <v>2</v>
      </c>
      <c r="F580" s="113">
        <f>IFERROR(IF(OR(B580="",E580=""),"",E580*VLOOKUP(B580,Configurações!$I$5:$J$15,2,FALSE())),"")</f>
        <v>2</v>
      </c>
      <c r="G580" s="113" t="s">
        <v>1424</v>
      </c>
      <c r="H580" s="113" t="s">
        <v>2057</v>
      </c>
      <c r="I580" s="113"/>
      <c r="J580" s="113"/>
      <c r="K580" s="113" t="s">
        <v>2051</v>
      </c>
      <c r="L580" s="113"/>
      <c r="M580" s="113" t="s">
        <v>1499</v>
      </c>
    </row>
    <row r="581" spans="1:13" ht="12.75" hidden="1" customHeight="1" x14ac:dyDescent="0.3">
      <c r="A581" s="111">
        <v>46164</v>
      </c>
      <c r="B581" s="113" t="s">
        <v>2049</v>
      </c>
      <c r="C581" s="113" t="s">
        <v>1506</v>
      </c>
      <c r="D581" s="113" t="str">
        <f>IFERROR(VLOOKUP(C581,SKUs!$A$6:$F$1971,6,FALSE()),"")</f>
        <v>TRICO BASICO GOLA CARACA</v>
      </c>
      <c r="E581" s="113">
        <v>4</v>
      </c>
      <c r="F581" s="113">
        <f>IFERROR(IF(OR(B581="",E581=""),"",E581*VLOOKUP(B581,Configurações!$I$5:$J$15,2,FALSE())),"")</f>
        <v>4</v>
      </c>
      <c r="G581" s="113" t="s">
        <v>1424</v>
      </c>
      <c r="H581" s="113" t="s">
        <v>2057</v>
      </c>
      <c r="I581" s="113"/>
      <c r="J581" s="113"/>
      <c r="K581" s="113" t="s">
        <v>2051</v>
      </c>
      <c r="L581" s="113"/>
      <c r="M581" s="113" t="s">
        <v>1499</v>
      </c>
    </row>
    <row r="582" spans="1:13" ht="12.75" hidden="1" customHeight="1" x14ac:dyDescent="0.3">
      <c r="A582" s="111">
        <v>46164</v>
      </c>
      <c r="B582" s="113" t="s">
        <v>2049</v>
      </c>
      <c r="C582" s="113" t="s">
        <v>1507</v>
      </c>
      <c r="D582" s="113" t="str">
        <f>IFERROR(VLOOKUP(C582,SKUs!$A$6:$F$1971,6,FALSE()),"")</f>
        <v>TRICO BASICO GOLA CARACA</v>
      </c>
      <c r="E582" s="113">
        <v>2</v>
      </c>
      <c r="F582" s="113">
        <f>IFERROR(IF(OR(B582="",E582=""),"",E582*VLOOKUP(B582,Configurações!$I$5:$J$15,2,FALSE())),"")</f>
        <v>2</v>
      </c>
      <c r="G582" s="113" t="s">
        <v>1424</v>
      </c>
      <c r="H582" s="113" t="s">
        <v>2057</v>
      </c>
      <c r="I582" s="113"/>
      <c r="J582" s="113"/>
      <c r="K582" s="113" t="s">
        <v>2051</v>
      </c>
      <c r="L582" s="113"/>
      <c r="M582" s="113" t="s">
        <v>1499</v>
      </c>
    </row>
    <row r="583" spans="1:13" ht="12.75" hidden="1" customHeight="1" x14ac:dyDescent="0.3">
      <c r="A583" s="111">
        <v>46164</v>
      </c>
      <c r="B583" s="113" t="s">
        <v>2049</v>
      </c>
      <c r="C583" s="113" t="s">
        <v>1508</v>
      </c>
      <c r="D583" s="113" t="str">
        <f>IFERROR(VLOOKUP(C583,SKUs!$A$6:$F$1971,6,FALSE()),"")</f>
        <v>TRICO BASICO GOLA CARACA</v>
      </c>
      <c r="E583" s="113">
        <v>2</v>
      </c>
      <c r="F583" s="113">
        <f>IFERROR(IF(OR(B583="",E583=""),"",E583*VLOOKUP(B583,Configurações!$I$5:$J$15,2,FALSE())),"")</f>
        <v>2</v>
      </c>
      <c r="G583" s="113" t="s">
        <v>1424</v>
      </c>
      <c r="H583" s="113" t="s">
        <v>2057</v>
      </c>
      <c r="I583" s="113"/>
      <c r="J583" s="113"/>
      <c r="K583" s="113" t="s">
        <v>2051</v>
      </c>
      <c r="L583" s="113"/>
      <c r="M583" s="113" t="s">
        <v>1474</v>
      </c>
    </row>
    <row r="584" spans="1:13" ht="12.75" hidden="1" customHeight="1" x14ac:dyDescent="0.3">
      <c r="A584" s="111">
        <v>46164</v>
      </c>
      <c r="B584" s="113" t="s">
        <v>2049</v>
      </c>
      <c r="C584" s="113" t="s">
        <v>1509</v>
      </c>
      <c r="D584" s="113" t="str">
        <f>IFERROR(VLOOKUP(C584,SKUs!$A$6:$F$1971,6,FALSE()),"")</f>
        <v>POLO PIQUET OUT. ROSA MASC.</v>
      </c>
      <c r="E584" s="113">
        <v>62</v>
      </c>
      <c r="F584" s="113">
        <f>IFERROR(IF(OR(B584="",E584=""),"",E584*VLOOKUP(B584,Configurações!$I$5:$J$15,2,FALSE())),"")</f>
        <v>62</v>
      </c>
      <c r="G584" s="113" t="s">
        <v>1424</v>
      </c>
      <c r="H584" s="113" t="s">
        <v>2057</v>
      </c>
      <c r="I584" s="113"/>
      <c r="J584" s="113"/>
      <c r="K584" s="113" t="s">
        <v>2051</v>
      </c>
      <c r="L584" s="113"/>
      <c r="M584" s="113" t="s">
        <v>1510</v>
      </c>
    </row>
    <row r="585" spans="1:13" ht="12.75" hidden="1" customHeight="1" x14ac:dyDescent="0.3">
      <c r="A585" s="111">
        <v>46164</v>
      </c>
      <c r="B585" s="113" t="s">
        <v>2049</v>
      </c>
      <c r="C585" s="113" t="s">
        <v>1511</v>
      </c>
      <c r="D585" s="113" t="str">
        <f>IFERROR(VLOOKUP(C585,SKUs!$A$6:$F$1971,6,FALSE()),"")</f>
        <v>JAQUETA CAPUZ EMBUTIDO</v>
      </c>
      <c r="E585" s="113">
        <v>10</v>
      </c>
      <c r="F585" s="113">
        <f>IFERROR(IF(OR(B585="",E585=""),"",E585*VLOOKUP(B585,Configurações!$I$5:$J$15,2,FALSE())),"")</f>
        <v>10</v>
      </c>
      <c r="G585" s="113" t="s">
        <v>1424</v>
      </c>
      <c r="H585" s="113" t="s">
        <v>2057</v>
      </c>
      <c r="I585" s="113"/>
      <c r="J585" s="113"/>
      <c r="K585" s="113" t="s">
        <v>2051</v>
      </c>
      <c r="L585" s="113"/>
      <c r="M585" s="113" t="s">
        <v>1512</v>
      </c>
    </row>
    <row r="586" spans="1:13" ht="12.75" hidden="1" customHeight="1" x14ac:dyDescent="0.3">
      <c r="A586" s="111">
        <v>46164</v>
      </c>
      <c r="B586" s="113" t="s">
        <v>2049</v>
      </c>
      <c r="C586" s="113" t="s">
        <v>1513</v>
      </c>
      <c r="D586" s="113" t="str">
        <f>IFERROR(VLOOKUP(C586,SKUs!$A$6:$F$1971,6,FALSE()),"")</f>
        <v>JAQUETA NYLON LEVE</v>
      </c>
      <c r="E586" s="113">
        <v>4</v>
      </c>
      <c r="F586" s="113">
        <f>IFERROR(IF(OR(B586="",E586=""),"",E586*VLOOKUP(B586,Configurações!$I$5:$J$15,2,FALSE())),"")</f>
        <v>4</v>
      </c>
      <c r="G586" s="113" t="s">
        <v>1424</v>
      </c>
      <c r="H586" s="113" t="s">
        <v>2057</v>
      </c>
      <c r="I586" s="113"/>
      <c r="J586" s="113"/>
      <c r="K586" s="113" t="s">
        <v>2051</v>
      </c>
      <c r="L586" s="113"/>
      <c r="M586" s="113" t="s">
        <v>1512</v>
      </c>
    </row>
    <row r="587" spans="1:13" ht="12.75" hidden="1" customHeight="1" x14ac:dyDescent="0.3">
      <c r="A587" s="111">
        <v>46165</v>
      </c>
      <c r="B587" s="113" t="s">
        <v>2049</v>
      </c>
      <c r="C587" s="113" t="s">
        <v>1514</v>
      </c>
      <c r="D587" s="113" t="str">
        <f>IFERROR(VLOOKUP(C587,SKUs!$A$6:$F$1971,6,FALSE()),"")</f>
        <v>POLO BASICA SIDE WALK</v>
      </c>
      <c r="E587" s="113">
        <v>42</v>
      </c>
      <c r="F587" s="113">
        <f>IFERROR(IF(OR(B587="",E587=""),"",E587*VLOOKUP(B587,Configurações!$I$5:$J$15,2,FALSE())),"")</f>
        <v>42</v>
      </c>
      <c r="G587" s="113" t="s">
        <v>1424</v>
      </c>
      <c r="H587" s="113" t="s">
        <v>2057</v>
      </c>
      <c r="I587" s="113"/>
      <c r="J587" s="113"/>
      <c r="K587" s="113" t="s">
        <v>2051</v>
      </c>
      <c r="L587" s="113"/>
      <c r="M587" s="113" t="s">
        <v>1517</v>
      </c>
    </row>
    <row r="588" spans="1:13" ht="12.75" hidden="1" customHeight="1" x14ac:dyDescent="0.3">
      <c r="A588" s="111">
        <v>46165</v>
      </c>
      <c r="B588" s="113" t="s">
        <v>2049</v>
      </c>
      <c r="C588" s="113" t="s">
        <v>1518</v>
      </c>
      <c r="D588" s="113" t="str">
        <f>IFERROR(VLOOKUP(C588,SKUs!$A$6:$F$1971,6,FALSE()),"")</f>
        <v>CAMISETA FIO EGIPCIO MASC.</v>
      </c>
      <c r="E588" s="113">
        <v>52</v>
      </c>
      <c r="F588" s="113">
        <f>IFERROR(IF(OR(B588="",E588=""),"",E588*VLOOKUP(B588,Configurações!$I$5:$J$15,2,FALSE())),"")</f>
        <v>52</v>
      </c>
      <c r="G588" s="113" t="s">
        <v>1424</v>
      </c>
      <c r="H588" s="113" t="s">
        <v>2057</v>
      </c>
      <c r="I588" s="113"/>
      <c r="J588" s="113"/>
      <c r="K588" s="113" t="s">
        <v>2051</v>
      </c>
      <c r="L588" s="113"/>
      <c r="M588" s="113" t="s">
        <v>1520</v>
      </c>
    </row>
    <row r="589" spans="1:13" ht="12.75" hidden="1" customHeight="1" x14ac:dyDescent="0.3">
      <c r="A589" s="111">
        <v>46165</v>
      </c>
      <c r="B589" s="113" t="s">
        <v>2049</v>
      </c>
      <c r="C589" s="113" t="s">
        <v>1521</v>
      </c>
      <c r="D589" s="113" t="str">
        <f>IFERROR(VLOOKUP(C589,SKUs!$A$6:$F$1971,6,FALSE()),"")</f>
        <v>CAMISETA FIO EGIPCIO MASC.</v>
      </c>
      <c r="E589" s="113">
        <v>15</v>
      </c>
      <c r="F589" s="113">
        <f>IFERROR(IF(OR(B589="",E589=""),"",E589*VLOOKUP(B589,Configurações!$I$5:$J$15,2,FALSE())),"")</f>
        <v>15</v>
      </c>
      <c r="G589" s="113" t="s">
        <v>1424</v>
      </c>
      <c r="H589" s="113" t="s">
        <v>2057</v>
      </c>
      <c r="I589" s="113"/>
      <c r="J589" s="113"/>
      <c r="K589" s="113" t="s">
        <v>2051</v>
      </c>
      <c r="L589" s="113"/>
      <c r="M589" s="113" t="s">
        <v>1520</v>
      </c>
    </row>
    <row r="590" spans="1:13" ht="12.75" hidden="1" customHeight="1" x14ac:dyDescent="0.3">
      <c r="A590" s="111">
        <v>46165</v>
      </c>
      <c r="B590" s="113" t="s">
        <v>2049</v>
      </c>
      <c r="C590" s="113" t="s">
        <v>1522</v>
      </c>
      <c r="D590" s="113" t="str">
        <f>IFERROR(VLOOKUP(C590,SKUs!$A$6:$F$1971,6,FALSE()),"")</f>
        <v>CAMISETA FIO EGIPCIO MASC.</v>
      </c>
      <c r="E590" s="113">
        <v>101</v>
      </c>
      <c r="F590" s="113">
        <f>IFERROR(IF(OR(B590="",E590=""),"",E590*VLOOKUP(B590,Configurações!$I$5:$J$15,2,FALSE())),"")</f>
        <v>101</v>
      </c>
      <c r="G590" s="113" t="s">
        <v>1424</v>
      </c>
      <c r="H590" s="113" t="s">
        <v>2057</v>
      </c>
      <c r="I590" s="113"/>
      <c r="J590" s="113"/>
      <c r="K590" s="113" t="s">
        <v>2051</v>
      </c>
      <c r="L590" s="113"/>
      <c r="M590" s="113" t="s">
        <v>1523</v>
      </c>
    </row>
    <row r="591" spans="1:13" ht="12.75" hidden="1" customHeight="1" x14ac:dyDescent="0.3">
      <c r="A591" s="111">
        <v>46165</v>
      </c>
      <c r="B591" s="113" t="s">
        <v>2049</v>
      </c>
      <c r="C591" s="113" t="s">
        <v>1494</v>
      </c>
      <c r="D591" s="113" t="str">
        <f>IFERROR(VLOOKUP(C591,SKUs!$A$6:$F$1971,6,FALSE()),"")</f>
        <v>CAMISETA FIO EGIPCIO MASC.</v>
      </c>
      <c r="E591" s="113">
        <v>66</v>
      </c>
      <c r="F591" s="113">
        <f>IFERROR(IF(OR(B591="",E591=""),"",E591*VLOOKUP(B591,Configurações!$I$5:$J$15,2,FALSE())),"")</f>
        <v>66</v>
      </c>
      <c r="G591" s="113" t="s">
        <v>1424</v>
      </c>
      <c r="H591" s="113" t="s">
        <v>2057</v>
      </c>
      <c r="I591" s="113"/>
      <c r="J591" s="113"/>
      <c r="K591" s="113" t="s">
        <v>2051</v>
      </c>
      <c r="L591" s="113"/>
      <c r="M591" s="113" t="s">
        <v>1524</v>
      </c>
    </row>
    <row r="592" spans="1:13" ht="12.75" hidden="1" customHeight="1" x14ac:dyDescent="0.3">
      <c r="A592" s="111">
        <v>46165</v>
      </c>
      <c r="B592" s="113" t="s">
        <v>2049</v>
      </c>
      <c r="C592" s="113" t="s">
        <v>1525</v>
      </c>
      <c r="D592" s="113" t="str">
        <f>IFERROR(VLOOKUP(C592,SKUs!$A$6:$F$1971,6,FALSE()),"")</f>
        <v>POLO BASICA FEM.</v>
      </c>
      <c r="E592" s="113">
        <v>28</v>
      </c>
      <c r="F592" s="113">
        <f>IFERROR(IF(OR(B592="",E592=""),"",E592*VLOOKUP(B592,Configurações!$I$5:$J$15,2,FALSE())),"")</f>
        <v>28</v>
      </c>
      <c r="G592" s="113" t="s">
        <v>1424</v>
      </c>
      <c r="H592" s="113" t="s">
        <v>2057</v>
      </c>
      <c r="I592" s="113"/>
      <c r="J592" s="113"/>
      <c r="K592" s="113" t="s">
        <v>2051</v>
      </c>
      <c r="L592" s="113"/>
      <c r="M592" s="113" t="s">
        <v>1517</v>
      </c>
    </row>
    <row r="593" spans="1:13" ht="12.75" hidden="1" customHeight="1" x14ac:dyDescent="0.3">
      <c r="A593" s="111">
        <v>46165</v>
      </c>
      <c r="B593" s="113" t="s">
        <v>2049</v>
      </c>
      <c r="C593" s="113" t="s">
        <v>1526</v>
      </c>
      <c r="D593" s="113" t="str">
        <f>IFERROR(VLOOKUP(C593,SKUs!$A$6:$F$1971,6,FALSE()),"")</f>
        <v>POLO BASICA FEM.</v>
      </c>
      <c r="E593" s="113">
        <v>35</v>
      </c>
      <c r="F593" s="113">
        <f>IFERROR(IF(OR(B593="",E593=""),"",E593*VLOOKUP(B593,Configurações!$I$5:$J$15,2,FALSE())),"")</f>
        <v>35</v>
      </c>
      <c r="G593" s="113" t="s">
        <v>1424</v>
      </c>
      <c r="H593" s="113" t="s">
        <v>2057</v>
      </c>
      <c r="I593" s="113"/>
      <c r="J593" s="113"/>
      <c r="K593" s="113" t="s">
        <v>2051</v>
      </c>
      <c r="L593" s="113"/>
      <c r="M593" s="113" t="s">
        <v>1517</v>
      </c>
    </row>
    <row r="594" spans="1:13" ht="12.75" hidden="1" customHeight="1" x14ac:dyDescent="0.3">
      <c r="A594" s="111">
        <v>46165</v>
      </c>
      <c r="B594" s="113" t="s">
        <v>2049</v>
      </c>
      <c r="C594" s="113" t="s">
        <v>1527</v>
      </c>
      <c r="D594" s="113" t="str">
        <f>IFERROR(VLOOKUP(C594,SKUs!$A$6:$F$1971,6,FALSE()),"")</f>
        <v>CAMISETA FIO EGIPCIO MASC.</v>
      </c>
      <c r="E594" s="113">
        <v>3</v>
      </c>
      <c r="F594" s="113">
        <f>IFERROR(IF(OR(B594="",E594=""),"",E594*VLOOKUP(B594,Configurações!$I$5:$J$15,2,FALSE())),"")</f>
        <v>3</v>
      </c>
      <c r="G594" s="113" t="s">
        <v>1424</v>
      </c>
      <c r="H594" s="113" t="s">
        <v>2057</v>
      </c>
      <c r="I594" s="113"/>
      <c r="J594" s="113"/>
      <c r="K594" s="113" t="s">
        <v>2051</v>
      </c>
      <c r="L594" s="113"/>
      <c r="M594" s="113" t="s">
        <v>1520</v>
      </c>
    </row>
    <row r="595" spans="1:13" ht="12.75" hidden="1" customHeight="1" x14ac:dyDescent="0.3">
      <c r="A595" s="111">
        <v>46165</v>
      </c>
      <c r="B595" s="113" t="s">
        <v>2049</v>
      </c>
      <c r="C595" s="113" t="s">
        <v>1528</v>
      </c>
      <c r="D595" s="113" t="str">
        <f>IFERROR(VLOOKUP(C595,SKUs!$A$6:$F$1971,6,FALSE()),"")</f>
        <v>CAMISETA FIO EGIPCIO MASC.</v>
      </c>
      <c r="E595" s="113">
        <v>2</v>
      </c>
      <c r="F595" s="113">
        <f>IFERROR(IF(OR(B595="",E595=""),"",E595*VLOOKUP(B595,Configurações!$I$5:$J$15,2,FALSE())),"")</f>
        <v>2</v>
      </c>
      <c r="G595" s="113" t="s">
        <v>1424</v>
      </c>
      <c r="H595" s="113" t="s">
        <v>2057</v>
      </c>
      <c r="I595" s="113"/>
      <c r="J595" s="113"/>
      <c r="K595" s="113" t="s">
        <v>2051</v>
      </c>
      <c r="L595" s="113"/>
      <c r="M595" s="113" t="s">
        <v>1523</v>
      </c>
    </row>
    <row r="596" spans="1:13" ht="12.75" hidden="1" customHeight="1" x14ac:dyDescent="0.3">
      <c r="A596" s="111">
        <v>46165</v>
      </c>
      <c r="B596" s="113" t="s">
        <v>2049</v>
      </c>
      <c r="C596" s="113" t="s">
        <v>1529</v>
      </c>
      <c r="D596" s="113" t="str">
        <f>IFERROR(VLOOKUP(C596,SKUs!$A$6:$F$1971,6,FALSE()),"")</f>
        <v>CAMISETA FIO EGIPCIO MASC.</v>
      </c>
      <c r="E596" s="113">
        <v>1</v>
      </c>
      <c r="F596" s="113">
        <f>IFERROR(IF(OR(B596="",E596=""),"",E596*VLOOKUP(B596,Configurações!$I$5:$J$15,2,FALSE())),"")</f>
        <v>1</v>
      </c>
      <c r="G596" s="113" t="s">
        <v>1424</v>
      </c>
      <c r="H596" s="113" t="s">
        <v>2057</v>
      </c>
      <c r="I596" s="113"/>
      <c r="J596" s="113"/>
      <c r="K596" s="113" t="s">
        <v>2051</v>
      </c>
      <c r="L596" s="113"/>
      <c r="M596" s="113" t="s">
        <v>1523</v>
      </c>
    </row>
    <row r="597" spans="1:13" ht="12.75" hidden="1" customHeight="1" x14ac:dyDescent="0.3">
      <c r="A597" s="111">
        <v>46165</v>
      </c>
      <c r="B597" s="113" t="s">
        <v>2049</v>
      </c>
      <c r="C597" s="113" t="s">
        <v>1494</v>
      </c>
      <c r="D597" s="113" t="str">
        <f>IFERROR(VLOOKUP(C597,SKUs!$A$6:$F$1971,6,FALSE()),"")</f>
        <v>CAMISETA FIO EGIPCIO MASC.</v>
      </c>
      <c r="E597" s="113">
        <v>60</v>
      </c>
      <c r="F597" s="113">
        <f>IFERROR(IF(OR(B597="",E597=""),"",E597*VLOOKUP(B597,Configurações!$I$5:$J$15,2,FALSE())),"")</f>
        <v>60</v>
      </c>
      <c r="G597" s="113" t="s">
        <v>1424</v>
      </c>
      <c r="H597" s="113" t="s">
        <v>2057</v>
      </c>
      <c r="I597" s="113"/>
      <c r="J597" s="113"/>
      <c r="K597" s="113" t="s">
        <v>2051</v>
      </c>
      <c r="L597" s="113"/>
      <c r="M597" s="113" t="s">
        <v>1530</v>
      </c>
    </row>
    <row r="598" spans="1:13" ht="12.75" hidden="1" customHeight="1" x14ac:dyDescent="0.3">
      <c r="A598" s="111">
        <v>46165</v>
      </c>
      <c r="B598" s="113" t="s">
        <v>2049</v>
      </c>
      <c r="C598" s="113" t="s">
        <v>1495</v>
      </c>
      <c r="D598" s="113" t="str">
        <f>IFERROR(VLOOKUP(C598,SKUs!$A$6:$F$1971,6,FALSE()),"")</f>
        <v>CAMISETA FIO EGIPCIO MASC.</v>
      </c>
      <c r="E598" s="113">
        <v>50</v>
      </c>
      <c r="F598" s="113">
        <f>IFERROR(IF(OR(B598="",E598=""),"",E598*VLOOKUP(B598,Configurações!$I$5:$J$15,2,FALSE())),"")</f>
        <v>50</v>
      </c>
      <c r="G598" s="113" t="s">
        <v>1424</v>
      </c>
      <c r="H598" s="113" t="s">
        <v>2057</v>
      </c>
      <c r="I598" s="113"/>
      <c r="J598" s="113"/>
      <c r="K598" s="113" t="s">
        <v>2051</v>
      </c>
      <c r="L598" s="113"/>
      <c r="M598" s="113" t="s">
        <v>1531</v>
      </c>
    </row>
    <row r="599" spans="1:13" ht="12.75" hidden="1" customHeight="1" x14ac:dyDescent="0.3">
      <c r="A599" s="111">
        <v>46165</v>
      </c>
      <c r="B599" s="113" t="s">
        <v>2049</v>
      </c>
      <c r="C599" s="113" t="s">
        <v>1532</v>
      </c>
      <c r="D599" s="113" t="str">
        <f>IFERROR(VLOOKUP(C599,SKUs!$A$6:$F$1971,6,FALSE()),"")</f>
        <v>POLO PIQUET PAN MASC.</v>
      </c>
      <c r="E599" s="113">
        <v>11</v>
      </c>
      <c r="F599" s="113">
        <f>IFERROR(IF(OR(B599="",E599=""),"",E599*VLOOKUP(B599,Configurações!$I$5:$J$15,2,FALSE())),"")</f>
        <v>11</v>
      </c>
      <c r="G599" s="113" t="s">
        <v>1424</v>
      </c>
      <c r="H599" s="113" t="s">
        <v>2057</v>
      </c>
      <c r="I599" s="113"/>
      <c r="J599" s="113"/>
      <c r="K599" s="113" t="s">
        <v>2051</v>
      </c>
      <c r="L599" s="113"/>
      <c r="M599" s="113" t="s">
        <v>1533</v>
      </c>
    </row>
    <row r="600" spans="1:13" ht="12.75" hidden="1" customHeight="1" x14ac:dyDescent="0.3">
      <c r="A600" s="111">
        <v>46165</v>
      </c>
      <c r="B600" s="113" t="s">
        <v>2049</v>
      </c>
      <c r="C600" s="113" t="s">
        <v>1534</v>
      </c>
      <c r="D600" s="113" t="str">
        <f>IFERROR(VLOOKUP(C600,SKUs!$A$6:$F$1971,6,FALSE()),"")</f>
        <v>POLO PIQUET PAN MASC.</v>
      </c>
      <c r="E600" s="113">
        <v>30</v>
      </c>
      <c r="F600" s="113">
        <f>IFERROR(IF(OR(B600="",E600=""),"",E600*VLOOKUP(B600,Configurações!$I$5:$J$15,2,FALSE())),"")</f>
        <v>30</v>
      </c>
      <c r="G600" s="113" t="s">
        <v>1424</v>
      </c>
      <c r="H600" s="113" t="s">
        <v>2057</v>
      </c>
      <c r="I600" s="113"/>
      <c r="J600" s="113"/>
      <c r="K600" s="113" t="s">
        <v>2051</v>
      </c>
      <c r="L600" s="113"/>
      <c r="M600" s="113" t="s">
        <v>1533</v>
      </c>
    </row>
    <row r="601" spans="1:13" ht="12.75" hidden="1" customHeight="1" x14ac:dyDescent="0.3">
      <c r="A601" s="111">
        <v>46165</v>
      </c>
      <c r="B601" s="113" t="s">
        <v>2049</v>
      </c>
      <c r="C601" s="113" t="s">
        <v>1535</v>
      </c>
      <c r="D601" s="113" t="str">
        <f>IFERROR(VLOOKUP(C601,SKUs!$A$6:$F$1971,6,FALSE()),"")</f>
        <v>POLO PIQUET OUT. ROSA FEM.</v>
      </c>
      <c r="E601" s="113">
        <v>23</v>
      </c>
      <c r="F601" s="113">
        <f>IFERROR(IF(OR(B601="",E601=""),"",E601*VLOOKUP(B601,Configurações!$I$5:$J$15,2,FALSE())),"")</f>
        <v>23</v>
      </c>
      <c r="G601" s="113" t="s">
        <v>1424</v>
      </c>
      <c r="H601" s="113" t="s">
        <v>2057</v>
      </c>
      <c r="I601" s="113"/>
      <c r="J601" s="113"/>
      <c r="K601" s="113" t="s">
        <v>2051</v>
      </c>
      <c r="L601" s="113"/>
      <c r="M601" s="113" t="s">
        <v>1536</v>
      </c>
    </row>
    <row r="602" spans="1:13" ht="12.75" hidden="1" customHeight="1" x14ac:dyDescent="0.3">
      <c r="A602" s="111">
        <v>46165</v>
      </c>
      <c r="B602" s="113" t="s">
        <v>2049</v>
      </c>
      <c r="C602" s="113" t="s">
        <v>1537</v>
      </c>
      <c r="D602" s="113" t="str">
        <f>IFERROR(VLOOKUP(C602,SKUs!$A$6:$F$1971,6,FALSE()),"")</f>
        <v>POLO PIQUET OUT. ROSA FEM.</v>
      </c>
      <c r="E602" s="113">
        <v>2</v>
      </c>
      <c r="F602" s="113">
        <f>IFERROR(IF(OR(B602="",E602=""),"",E602*VLOOKUP(B602,Configurações!$I$5:$J$15,2,FALSE())),"")</f>
        <v>2</v>
      </c>
      <c r="G602" s="113" t="s">
        <v>1424</v>
      </c>
      <c r="H602" s="113" t="s">
        <v>2057</v>
      </c>
      <c r="I602" s="113"/>
      <c r="J602" s="113"/>
      <c r="K602" s="113" t="s">
        <v>2051</v>
      </c>
      <c r="L602" s="113"/>
      <c r="M602" s="113" t="s">
        <v>1536</v>
      </c>
    </row>
    <row r="603" spans="1:13" ht="12.75" hidden="1" customHeight="1" x14ac:dyDescent="0.3">
      <c r="A603" s="111">
        <v>46165</v>
      </c>
      <c r="B603" s="113" t="s">
        <v>2049</v>
      </c>
      <c r="C603" s="113" t="s">
        <v>1538</v>
      </c>
      <c r="D603" s="113" t="str">
        <f>IFERROR(VLOOKUP(C603,SKUs!$A$6:$F$1971,6,FALSE()),"")</f>
        <v>POLO PIQUET OUT. ROSA MASC.</v>
      </c>
      <c r="E603" s="113">
        <v>53</v>
      </c>
      <c r="F603" s="113">
        <f>IFERROR(IF(OR(B603="",E603=""),"",E603*VLOOKUP(B603,Configurações!$I$5:$J$15,2,FALSE())),"")</f>
        <v>53</v>
      </c>
      <c r="G603" s="113" t="s">
        <v>1424</v>
      </c>
      <c r="H603" s="113" t="s">
        <v>2057</v>
      </c>
      <c r="I603" s="113"/>
      <c r="J603" s="113"/>
      <c r="K603" s="113" t="s">
        <v>2051</v>
      </c>
      <c r="L603" s="113"/>
      <c r="M603" s="113" t="s">
        <v>1539</v>
      </c>
    </row>
    <row r="604" spans="1:13" ht="12.75" hidden="1" customHeight="1" x14ac:dyDescent="0.3">
      <c r="A604" s="111">
        <v>46165</v>
      </c>
      <c r="B604" s="113" t="s">
        <v>2049</v>
      </c>
      <c r="C604" s="113" t="s">
        <v>1456</v>
      </c>
      <c r="D604" s="113" t="str">
        <f>IFERROR(VLOOKUP(C604,SKUs!$A$6:$F$1971,6,FALSE()),"")</f>
        <v>POLO BASICA MASC.</v>
      </c>
      <c r="E604" s="113">
        <v>37</v>
      </c>
      <c r="F604" s="113">
        <f>IFERROR(IF(OR(B604="",E604=""),"",E604*VLOOKUP(B604,Configurações!$I$5:$J$15,2,FALSE())),"")</f>
        <v>37</v>
      </c>
      <c r="G604" s="113" t="s">
        <v>1424</v>
      </c>
      <c r="H604" s="113" t="s">
        <v>2057</v>
      </c>
      <c r="I604" s="113"/>
      <c r="J604" s="113"/>
      <c r="K604" s="113" t="s">
        <v>2051</v>
      </c>
      <c r="L604" s="113"/>
      <c r="M604" s="113" t="s">
        <v>1458</v>
      </c>
    </row>
    <row r="605" spans="1:13" ht="12.75" hidden="1" customHeight="1" x14ac:dyDescent="0.3">
      <c r="A605" s="111">
        <v>46165</v>
      </c>
      <c r="B605" s="113" t="s">
        <v>2049</v>
      </c>
      <c r="C605" s="113" t="s">
        <v>1540</v>
      </c>
      <c r="D605" s="113" t="str">
        <f>IFERROR(VLOOKUP(C605,SKUs!$A$6:$F$1971,6,FALSE()),"")</f>
        <v>CAMISETA FIO EGIPCIO MASC.</v>
      </c>
      <c r="E605" s="113">
        <v>65</v>
      </c>
      <c r="F605" s="113">
        <f>IFERROR(IF(OR(B605="",E605=""),"",E605*VLOOKUP(B605,Configurações!$I$5:$J$15,2,FALSE())),"")</f>
        <v>65</v>
      </c>
      <c r="G605" s="113" t="s">
        <v>1424</v>
      </c>
      <c r="H605" s="113" t="s">
        <v>2057</v>
      </c>
      <c r="I605" s="113"/>
      <c r="J605" s="113"/>
      <c r="K605" s="113" t="s">
        <v>2051</v>
      </c>
      <c r="L605" s="113"/>
      <c r="M605" s="113" t="s">
        <v>1541</v>
      </c>
    </row>
    <row r="606" spans="1:13" ht="12.75" hidden="1" customHeight="1" x14ac:dyDescent="0.3">
      <c r="A606" s="111">
        <v>46165</v>
      </c>
      <c r="B606" s="113" t="s">
        <v>2049</v>
      </c>
      <c r="C606" s="113" t="s">
        <v>1495</v>
      </c>
      <c r="D606" s="113" t="str">
        <f>IFERROR(VLOOKUP(C606,SKUs!$A$6:$F$1971,6,FALSE()),"")</f>
        <v>CAMISETA FIO EGIPCIO MASC.</v>
      </c>
      <c r="E606" s="113">
        <v>62</v>
      </c>
      <c r="F606" s="113">
        <f>IFERROR(IF(OR(B606="",E606=""),"",E606*VLOOKUP(B606,Configurações!$I$5:$J$15,2,FALSE())),"")</f>
        <v>62</v>
      </c>
      <c r="G606" s="113" t="s">
        <v>1424</v>
      </c>
      <c r="H606" s="113" t="s">
        <v>2057</v>
      </c>
      <c r="I606" s="113"/>
      <c r="J606" s="113"/>
      <c r="K606" s="113" t="s">
        <v>2051</v>
      </c>
      <c r="L606" s="113"/>
      <c r="M606" s="113" t="s">
        <v>1542</v>
      </c>
    </row>
    <row r="607" spans="1:13" ht="12.75" hidden="1" customHeight="1" x14ac:dyDescent="0.3">
      <c r="A607" s="111">
        <v>46165</v>
      </c>
      <c r="B607" s="113" t="s">
        <v>2049</v>
      </c>
      <c r="C607" s="113" t="s">
        <v>1492</v>
      </c>
      <c r="D607" s="113" t="str">
        <f>IFERROR(VLOOKUP(C607,SKUs!$A$6:$F$1971,6,FALSE()),"")</f>
        <v>CAMISETA FIO EGIPCIO MASC.</v>
      </c>
      <c r="E607" s="113">
        <v>59</v>
      </c>
      <c r="F607" s="113">
        <f>IFERROR(IF(OR(B607="",E607=""),"",E607*VLOOKUP(B607,Configurações!$I$5:$J$15,2,FALSE())),"")</f>
        <v>59</v>
      </c>
      <c r="G607" s="113" t="s">
        <v>1424</v>
      </c>
      <c r="H607" s="113" t="s">
        <v>2057</v>
      </c>
      <c r="I607" s="113"/>
      <c r="J607" s="113"/>
      <c r="K607" s="113" t="s">
        <v>2051</v>
      </c>
      <c r="L607" s="113"/>
      <c r="M607" s="113" t="s">
        <v>1543</v>
      </c>
    </row>
    <row r="608" spans="1:13" ht="12.75" hidden="1" customHeight="1" x14ac:dyDescent="0.3">
      <c r="A608" s="111">
        <v>46165</v>
      </c>
      <c r="B608" s="113" t="s">
        <v>2049</v>
      </c>
      <c r="C608" s="113" t="s">
        <v>1495</v>
      </c>
      <c r="D608" s="113" t="str">
        <f>IFERROR(VLOOKUP(C608,SKUs!$A$6:$F$1971,6,FALSE()),"")</f>
        <v>CAMISETA FIO EGIPCIO MASC.</v>
      </c>
      <c r="E608" s="113">
        <v>59</v>
      </c>
      <c r="F608" s="113">
        <f>IFERROR(IF(OR(B608="",E608=""),"",E608*VLOOKUP(B608,Configurações!$I$5:$J$15,2,FALSE())),"")</f>
        <v>59</v>
      </c>
      <c r="G608" s="113" t="s">
        <v>1424</v>
      </c>
      <c r="H608" s="113" t="s">
        <v>2057</v>
      </c>
      <c r="I608" s="113"/>
      <c r="J608" s="113"/>
      <c r="K608" s="113" t="s">
        <v>2051</v>
      </c>
      <c r="L608" s="113"/>
      <c r="M608" s="113" t="s">
        <v>1544</v>
      </c>
    </row>
    <row r="609" spans="1:13" ht="12.75" hidden="1" customHeight="1" x14ac:dyDescent="0.3">
      <c r="A609" s="111">
        <v>46165</v>
      </c>
      <c r="B609" s="113" t="s">
        <v>2049</v>
      </c>
      <c r="C609" s="113" t="s">
        <v>1492</v>
      </c>
      <c r="D609" s="113" t="str">
        <f>IFERROR(VLOOKUP(C609,SKUs!$A$6:$F$1971,6,FALSE()),"")</f>
        <v>CAMISETA FIO EGIPCIO MASC.</v>
      </c>
      <c r="E609" s="113">
        <v>28</v>
      </c>
      <c r="F609" s="113">
        <f>IFERROR(IF(OR(B609="",E609=""),"",E609*VLOOKUP(B609,Configurações!$I$5:$J$15,2,FALSE())),"")</f>
        <v>28</v>
      </c>
      <c r="G609" s="113" t="s">
        <v>1424</v>
      </c>
      <c r="H609" s="113" t="s">
        <v>2057</v>
      </c>
      <c r="I609" s="113"/>
      <c r="J609" s="113"/>
      <c r="K609" s="113" t="s">
        <v>2051</v>
      </c>
      <c r="L609" s="113"/>
      <c r="M609" s="113" t="s">
        <v>1530</v>
      </c>
    </row>
    <row r="610" spans="1:13" ht="12.75" hidden="1" customHeight="1" x14ac:dyDescent="0.3">
      <c r="A610" s="111">
        <v>46165</v>
      </c>
      <c r="B610" s="113" t="s">
        <v>2049</v>
      </c>
      <c r="C610" s="113" t="s">
        <v>1496</v>
      </c>
      <c r="D610" s="113" t="str">
        <f>IFERROR(VLOOKUP(C610,SKUs!$A$6:$F$1971,6,FALSE()),"")</f>
        <v>CAMISETA FIO EGIPCIO MASC.</v>
      </c>
      <c r="E610" s="113">
        <v>34</v>
      </c>
      <c r="F610" s="113">
        <f>IFERROR(IF(OR(B610="",E610=""),"",E610*VLOOKUP(B610,Configurações!$I$5:$J$15,2,FALSE())),"")</f>
        <v>34</v>
      </c>
      <c r="G610" s="113" t="s">
        <v>1424</v>
      </c>
      <c r="H610" s="113" t="s">
        <v>2057</v>
      </c>
      <c r="I610" s="113"/>
      <c r="J610" s="113"/>
      <c r="K610" s="113" t="s">
        <v>2051</v>
      </c>
      <c r="L610" s="113"/>
      <c r="M610" s="113" t="s">
        <v>1530</v>
      </c>
    </row>
    <row r="611" spans="1:13" ht="12.75" hidden="1" customHeight="1" x14ac:dyDescent="0.3">
      <c r="A611" s="111">
        <v>46165</v>
      </c>
      <c r="B611" s="113" t="s">
        <v>2049</v>
      </c>
      <c r="C611" s="113" t="s">
        <v>1518</v>
      </c>
      <c r="D611" s="113" t="str">
        <f>IFERROR(VLOOKUP(C611,SKUs!$A$6:$F$1971,6,FALSE()),"")</f>
        <v>CAMISETA FIO EGIPCIO MASC.</v>
      </c>
      <c r="E611" s="113">
        <v>57</v>
      </c>
      <c r="F611" s="113">
        <f>IFERROR(IF(OR(B611="",E611=""),"",E611*VLOOKUP(B611,Configurações!$I$5:$J$15,2,FALSE())),"")</f>
        <v>57</v>
      </c>
      <c r="G611" s="113" t="s">
        <v>1424</v>
      </c>
      <c r="H611" s="113" t="s">
        <v>2057</v>
      </c>
      <c r="I611" s="113"/>
      <c r="J611" s="113"/>
      <c r="K611" s="113" t="s">
        <v>2051</v>
      </c>
      <c r="L611" s="113"/>
      <c r="M611" s="113" t="s">
        <v>1545</v>
      </c>
    </row>
    <row r="612" spans="1:13" ht="12.75" hidden="1" customHeight="1" x14ac:dyDescent="0.3">
      <c r="A612" s="111">
        <v>46165</v>
      </c>
      <c r="B612" s="113" t="s">
        <v>2049</v>
      </c>
      <c r="C612" s="113" t="s">
        <v>1527</v>
      </c>
      <c r="D612" s="113" t="str">
        <f>IFERROR(VLOOKUP(C612,SKUs!$A$6:$F$1971,6,FALSE()),"")</f>
        <v>CAMISETA FIO EGIPCIO MASC.</v>
      </c>
      <c r="E612" s="113">
        <v>6</v>
      </c>
      <c r="F612" s="113">
        <f>IFERROR(IF(OR(B612="",E612=""),"",E612*VLOOKUP(B612,Configurações!$I$5:$J$15,2,FALSE())),"")</f>
        <v>6</v>
      </c>
      <c r="G612" s="113" t="s">
        <v>1424</v>
      </c>
      <c r="H612" s="113" t="s">
        <v>2057</v>
      </c>
      <c r="I612" s="113"/>
      <c r="J612" s="113"/>
      <c r="K612" s="113" t="s">
        <v>2051</v>
      </c>
      <c r="L612" s="113"/>
      <c r="M612" s="113" t="s">
        <v>1520</v>
      </c>
    </row>
    <row r="613" spans="1:13" ht="12.75" hidden="1" customHeight="1" x14ac:dyDescent="0.3">
      <c r="A613" s="111">
        <v>46165</v>
      </c>
      <c r="B613" s="113" t="s">
        <v>2049</v>
      </c>
      <c r="C613" s="113" t="s">
        <v>1448</v>
      </c>
      <c r="D613" s="113" t="str">
        <f>IFERROR(VLOOKUP(C613,SKUs!$A$6:$F$1971,6,FALSE()),"")</f>
        <v>POLO PIQUET FEM.</v>
      </c>
      <c r="E613" s="113">
        <v>9</v>
      </c>
      <c r="F613" s="113">
        <f>IFERROR(IF(OR(B613="",E613=""),"",E613*VLOOKUP(B613,Configurações!$I$5:$J$15,2,FALSE())),"")</f>
        <v>9</v>
      </c>
      <c r="G613" s="113" t="s">
        <v>1424</v>
      </c>
      <c r="H613" s="113" t="s">
        <v>2057</v>
      </c>
      <c r="I613" s="113"/>
      <c r="J613" s="113"/>
      <c r="K613" s="113" t="s">
        <v>2051</v>
      </c>
      <c r="L613" s="113"/>
      <c r="M613" s="113" t="s">
        <v>1449</v>
      </c>
    </row>
    <row r="614" spans="1:13" ht="12.75" hidden="1" customHeight="1" x14ac:dyDescent="0.3">
      <c r="A614" s="111">
        <v>46165</v>
      </c>
      <c r="B614" s="113" t="s">
        <v>2049</v>
      </c>
      <c r="C614" s="113" t="s">
        <v>1452</v>
      </c>
      <c r="D614" s="113" t="str">
        <f>IFERROR(VLOOKUP(C614,SKUs!$A$6:$F$1971,6,FALSE()),"")</f>
        <v>POLO PIQUET MESCLA FEM.</v>
      </c>
      <c r="E614" s="113">
        <v>1</v>
      </c>
      <c r="F614" s="113">
        <f>IFERROR(IF(OR(B614="",E614=""),"",E614*VLOOKUP(B614,Configurações!$I$5:$J$15,2,FALSE())),"")</f>
        <v>1</v>
      </c>
      <c r="G614" s="113" t="s">
        <v>1424</v>
      </c>
      <c r="H614" s="113" t="s">
        <v>2057</v>
      </c>
      <c r="I614" s="113"/>
      <c r="J614" s="113"/>
      <c r="K614" s="113" t="s">
        <v>2051</v>
      </c>
      <c r="L614" s="113"/>
      <c r="M614" s="113" t="s">
        <v>1449</v>
      </c>
    </row>
    <row r="615" spans="1:13" ht="12.75" hidden="1" customHeight="1" x14ac:dyDescent="0.3">
      <c r="A615" s="111">
        <v>46165</v>
      </c>
      <c r="B615" s="113" t="s">
        <v>2049</v>
      </c>
      <c r="C615" s="113" t="s">
        <v>1453</v>
      </c>
      <c r="D615" s="113" t="str">
        <f>IFERROR(VLOOKUP(C615,SKUs!$A$6:$F$1971,6,FALSE()),"")</f>
        <v>POLO PIQUET MESCLA FEM.</v>
      </c>
      <c r="E615" s="113">
        <v>4</v>
      </c>
      <c r="F615" s="113">
        <f>IFERROR(IF(OR(B615="",E615=""),"",E615*VLOOKUP(B615,Configurações!$I$5:$J$15,2,FALSE())),"")</f>
        <v>4</v>
      </c>
      <c r="G615" s="113" t="s">
        <v>1424</v>
      </c>
      <c r="H615" s="113" t="s">
        <v>2057</v>
      </c>
      <c r="I615" s="113"/>
      <c r="J615" s="113"/>
      <c r="K615" s="113" t="s">
        <v>2051</v>
      </c>
      <c r="L615" s="113"/>
      <c r="M615" s="113" t="s">
        <v>1449</v>
      </c>
    </row>
    <row r="616" spans="1:13" ht="12.75" hidden="1" customHeight="1" x14ac:dyDescent="0.3">
      <c r="A616" s="111">
        <v>46165</v>
      </c>
      <c r="B616" s="113" t="s">
        <v>2049</v>
      </c>
      <c r="C616" s="113" t="s">
        <v>1454</v>
      </c>
      <c r="D616" s="113" t="str">
        <f>IFERROR(VLOOKUP(C616,SKUs!$A$6:$F$1971,6,FALSE()),"")</f>
        <v>POLO PIQUET MESCLA FEM.</v>
      </c>
      <c r="E616" s="113">
        <v>3</v>
      </c>
      <c r="F616" s="113">
        <f>IFERROR(IF(OR(B616="",E616=""),"",E616*VLOOKUP(B616,Configurações!$I$5:$J$15,2,FALSE())),"")</f>
        <v>3</v>
      </c>
      <c r="G616" s="113" t="s">
        <v>1424</v>
      </c>
      <c r="H616" s="113" t="s">
        <v>2057</v>
      </c>
      <c r="I616" s="113"/>
      <c r="J616" s="113"/>
      <c r="K616" s="113" t="s">
        <v>2051</v>
      </c>
      <c r="L616" s="113"/>
      <c r="M616" s="113" t="s">
        <v>1449</v>
      </c>
    </row>
    <row r="617" spans="1:13" ht="12.75" hidden="1" customHeight="1" x14ac:dyDescent="0.3">
      <c r="A617" s="111">
        <v>46165</v>
      </c>
      <c r="B617" s="113" t="s">
        <v>2049</v>
      </c>
      <c r="C617" s="113" t="s">
        <v>1455</v>
      </c>
      <c r="D617" s="113" t="str">
        <f>IFERROR(VLOOKUP(C617,SKUs!$A$6:$F$1971,6,FALSE()),"")</f>
        <v>POLO PIQUET MESCLA FEM.</v>
      </c>
      <c r="E617" s="113">
        <v>4</v>
      </c>
      <c r="F617" s="113">
        <f>IFERROR(IF(OR(B617="",E617=""),"",E617*VLOOKUP(B617,Configurações!$I$5:$J$15,2,FALSE())),"")</f>
        <v>4</v>
      </c>
      <c r="G617" s="113" t="s">
        <v>1424</v>
      </c>
      <c r="H617" s="113" t="s">
        <v>2057</v>
      </c>
      <c r="I617" s="113"/>
      <c r="J617" s="113"/>
      <c r="K617" s="113" t="s">
        <v>2051</v>
      </c>
      <c r="L617" s="113"/>
      <c r="M617" s="113" t="s">
        <v>1449</v>
      </c>
    </row>
    <row r="618" spans="1:13" ht="12.75" hidden="1" customHeight="1" x14ac:dyDescent="0.3">
      <c r="A618" s="111">
        <v>46165</v>
      </c>
      <c r="B618" s="113" t="s">
        <v>2049</v>
      </c>
      <c r="C618" s="113" t="s">
        <v>1443</v>
      </c>
      <c r="D618" s="113" t="str">
        <f>IFERROR(VLOOKUP(C618,SKUs!$A$6:$F$1971,6,FALSE()),"")</f>
        <v>POLO PIQUET MESCLA MASC.</v>
      </c>
      <c r="E618" s="113">
        <v>20</v>
      </c>
      <c r="F618" s="113">
        <f>IFERROR(IF(OR(B618="",E618=""),"",E618*VLOOKUP(B618,Configurações!$I$5:$J$15,2,FALSE())),"")</f>
        <v>20</v>
      </c>
      <c r="G618" s="113" t="s">
        <v>1424</v>
      </c>
      <c r="H618" s="113" t="s">
        <v>2057</v>
      </c>
      <c r="I618" s="113"/>
      <c r="J618" s="113"/>
      <c r="K618" s="113" t="s">
        <v>2051</v>
      </c>
      <c r="L618" s="113"/>
      <c r="M618" s="113" t="s">
        <v>1547</v>
      </c>
    </row>
    <row r="619" spans="1:13" ht="12.75" hidden="1" customHeight="1" x14ac:dyDescent="0.3">
      <c r="A619" s="111">
        <v>46165</v>
      </c>
      <c r="B619" s="113" t="s">
        <v>2049</v>
      </c>
      <c r="C619" s="113" t="s">
        <v>1447</v>
      </c>
      <c r="D619" s="113" t="str">
        <f>IFERROR(VLOOKUP(C619,SKUs!$A$6:$F$1971,6,FALSE()),"")</f>
        <v>POLO PIQUET MESCLA MASC.</v>
      </c>
      <c r="E619" s="113">
        <v>3</v>
      </c>
      <c r="F619" s="113">
        <f>IFERROR(IF(OR(B619="",E619=""),"",E619*VLOOKUP(B619,Configurações!$I$5:$J$15,2,FALSE())),"")</f>
        <v>3</v>
      </c>
      <c r="G619" s="113" t="s">
        <v>1424</v>
      </c>
      <c r="H619" s="113" t="s">
        <v>2057</v>
      </c>
      <c r="I619" s="113"/>
      <c r="J619" s="113"/>
      <c r="K619" s="113" t="s">
        <v>2051</v>
      </c>
      <c r="L619" s="113"/>
      <c r="M619" s="113" t="s">
        <v>1547</v>
      </c>
    </row>
    <row r="620" spans="1:13" ht="12.75" hidden="1" customHeight="1" x14ac:dyDescent="0.3">
      <c r="A620" s="111">
        <v>46165</v>
      </c>
      <c r="B620" s="113" t="s">
        <v>2049</v>
      </c>
      <c r="C620" s="113" t="s">
        <v>1548</v>
      </c>
      <c r="D620" s="113" t="str">
        <f>IFERROR(VLOOKUP(C620,SKUs!$A$6:$F$1971,6,FALSE()),"")</f>
        <v>POLO PIQUET MESCLA MASC.</v>
      </c>
      <c r="E620" s="113">
        <v>50</v>
      </c>
      <c r="F620" s="113">
        <f>IFERROR(IF(OR(B620="",E620=""),"",E620*VLOOKUP(B620,Configurações!$I$5:$J$15,2,FALSE())),"")</f>
        <v>50</v>
      </c>
      <c r="G620" s="113" t="s">
        <v>1424</v>
      </c>
      <c r="H620" s="113" t="s">
        <v>2057</v>
      </c>
      <c r="I620" s="113"/>
      <c r="J620" s="113"/>
      <c r="K620" s="113" t="s">
        <v>2051</v>
      </c>
      <c r="L620" s="113"/>
      <c r="M620" s="113" t="s">
        <v>1549</v>
      </c>
    </row>
    <row r="621" spans="1:13" ht="12.75" hidden="1" customHeight="1" x14ac:dyDescent="0.3">
      <c r="A621" s="111">
        <v>46165</v>
      </c>
      <c r="B621" s="113" t="s">
        <v>2049</v>
      </c>
      <c r="C621" s="113" t="s">
        <v>1548</v>
      </c>
      <c r="D621" s="113" t="str">
        <f>IFERROR(VLOOKUP(C621,SKUs!$A$6:$F$1971,6,FALSE()),"")</f>
        <v>POLO PIQUET MESCLA MASC.</v>
      </c>
      <c r="E621" s="113">
        <v>56</v>
      </c>
      <c r="F621" s="113">
        <f>IFERROR(IF(OR(B621="",E621=""),"",E621*VLOOKUP(B621,Configurações!$I$5:$J$15,2,FALSE())),"")</f>
        <v>56</v>
      </c>
      <c r="G621" s="113" t="s">
        <v>1424</v>
      </c>
      <c r="H621" s="113" t="s">
        <v>2057</v>
      </c>
      <c r="I621" s="113"/>
      <c r="J621" s="113"/>
      <c r="K621" s="113" t="s">
        <v>2051</v>
      </c>
      <c r="L621" s="113"/>
      <c r="M621" s="113" t="s">
        <v>1550</v>
      </c>
    </row>
    <row r="622" spans="1:13" ht="12.75" hidden="1" customHeight="1" x14ac:dyDescent="0.3">
      <c r="A622" s="111">
        <v>46165</v>
      </c>
      <c r="B622" s="113" t="s">
        <v>2049</v>
      </c>
      <c r="C622" s="113" t="s">
        <v>1548</v>
      </c>
      <c r="D622" s="113" t="str">
        <f>IFERROR(VLOOKUP(C622,SKUs!$A$6:$F$1971,6,FALSE()),"")</f>
        <v>POLO PIQUET MESCLA MASC.</v>
      </c>
      <c r="E622" s="113">
        <v>17</v>
      </c>
      <c r="F622" s="113">
        <f>IFERROR(IF(OR(B622="",E622=""),"",E622*VLOOKUP(B622,Configurações!$I$5:$J$15,2,FALSE())),"")</f>
        <v>17</v>
      </c>
      <c r="G622" s="113" t="s">
        <v>1424</v>
      </c>
      <c r="H622" s="113" t="s">
        <v>2057</v>
      </c>
      <c r="I622" s="113"/>
      <c r="J622" s="113"/>
      <c r="K622" s="113" t="s">
        <v>2051</v>
      </c>
      <c r="L622" s="113"/>
      <c r="M622" s="113" t="s">
        <v>1551</v>
      </c>
    </row>
    <row r="623" spans="1:13" ht="12.75" hidden="1" customHeight="1" x14ac:dyDescent="0.3">
      <c r="A623" s="111">
        <v>46165</v>
      </c>
      <c r="B623" s="113" t="s">
        <v>2049</v>
      </c>
      <c r="C623" s="113" t="s">
        <v>1552</v>
      </c>
      <c r="D623" s="113" t="str">
        <f>IFERROR(VLOOKUP(C623,SKUs!$A$6:$F$1971,6,FALSE()),"")</f>
        <v>POLO PIQUET MESCLA MASC.</v>
      </c>
      <c r="E623" s="113">
        <v>40</v>
      </c>
      <c r="F623" s="113">
        <f>IFERROR(IF(OR(B623="",E623=""),"",E623*VLOOKUP(B623,Configurações!$I$5:$J$15,2,FALSE())),"")</f>
        <v>40</v>
      </c>
      <c r="G623" s="113" t="s">
        <v>1424</v>
      </c>
      <c r="H623" s="113" t="s">
        <v>2057</v>
      </c>
      <c r="I623" s="113"/>
      <c r="J623" s="113"/>
      <c r="K623" s="113" t="s">
        <v>2051</v>
      </c>
      <c r="L623" s="113"/>
      <c r="M623" s="113" t="s">
        <v>1551</v>
      </c>
    </row>
    <row r="624" spans="1:13" ht="12.75" hidden="1" customHeight="1" x14ac:dyDescent="0.3">
      <c r="A624" s="111">
        <v>46165</v>
      </c>
      <c r="B624" s="113" t="s">
        <v>2049</v>
      </c>
      <c r="C624" s="113" t="s">
        <v>1552</v>
      </c>
      <c r="D624" s="113" t="str">
        <f>IFERROR(VLOOKUP(C624,SKUs!$A$6:$F$1971,6,FALSE()),"")</f>
        <v>POLO PIQUET MESCLA MASC.</v>
      </c>
      <c r="E624" s="113">
        <v>36</v>
      </c>
      <c r="F624" s="113">
        <f>IFERROR(IF(OR(B624="",E624=""),"",E624*VLOOKUP(B624,Configurações!$I$5:$J$15,2,FALSE())),"")</f>
        <v>36</v>
      </c>
      <c r="G624" s="113" t="s">
        <v>1424</v>
      </c>
      <c r="H624" s="113" t="s">
        <v>2057</v>
      </c>
      <c r="I624" s="113"/>
      <c r="J624" s="113"/>
      <c r="K624" s="113" t="s">
        <v>2051</v>
      </c>
      <c r="L624" s="113"/>
      <c r="M624" s="113" t="s">
        <v>1553</v>
      </c>
    </row>
    <row r="625" spans="1:13" ht="12.75" hidden="1" customHeight="1" x14ac:dyDescent="0.3">
      <c r="A625" s="111">
        <v>46165</v>
      </c>
      <c r="B625" s="113" t="s">
        <v>2049</v>
      </c>
      <c r="C625" s="113" t="s">
        <v>1554</v>
      </c>
      <c r="D625" s="113" t="str">
        <f>IFERROR(VLOOKUP(C625,SKUs!$A$6:$F$1971,6,FALSE()),"")</f>
        <v>POLO BASICA MASC.</v>
      </c>
      <c r="E625" s="113">
        <v>54</v>
      </c>
      <c r="F625" s="113">
        <f>IFERROR(IF(OR(B625="",E625=""),"",E625*VLOOKUP(B625,Configurações!$I$5:$J$15,2,FALSE())),"")</f>
        <v>54</v>
      </c>
      <c r="G625" s="113" t="s">
        <v>1424</v>
      </c>
      <c r="H625" s="113" t="s">
        <v>2057</v>
      </c>
      <c r="I625" s="113"/>
      <c r="J625" s="113"/>
      <c r="K625" s="113" t="s">
        <v>2051</v>
      </c>
      <c r="L625" s="113"/>
      <c r="M625" s="113" t="s">
        <v>1555</v>
      </c>
    </row>
    <row r="626" spans="1:13" ht="12.75" hidden="1" customHeight="1" x14ac:dyDescent="0.3">
      <c r="A626" s="111">
        <v>46165</v>
      </c>
      <c r="B626" s="113" t="s">
        <v>2049</v>
      </c>
      <c r="C626" s="113" t="s">
        <v>1556</v>
      </c>
      <c r="D626" s="113" t="str">
        <f>IFERROR(VLOOKUP(C626,SKUs!$A$6:$F$1971,6,FALSE()),"")</f>
        <v>POLO BASICA MASC.</v>
      </c>
      <c r="E626" s="113">
        <v>6</v>
      </c>
      <c r="F626" s="113">
        <f>IFERROR(IF(OR(B626="",E626=""),"",E626*VLOOKUP(B626,Configurações!$I$5:$J$15,2,FALSE())),"")</f>
        <v>6</v>
      </c>
      <c r="G626" s="113" t="s">
        <v>1424</v>
      </c>
      <c r="H626" s="113" t="s">
        <v>2057</v>
      </c>
      <c r="I626" s="113"/>
      <c r="J626" s="113"/>
      <c r="K626" s="113" t="s">
        <v>2051</v>
      </c>
      <c r="L626" s="113"/>
      <c r="M626" s="113" t="s">
        <v>1555</v>
      </c>
    </row>
    <row r="627" spans="1:13" ht="12.75" hidden="1" customHeight="1" x14ac:dyDescent="0.3">
      <c r="A627" s="111">
        <v>46165</v>
      </c>
      <c r="B627" s="113" t="s">
        <v>2049</v>
      </c>
      <c r="C627" s="113" t="s">
        <v>1557</v>
      </c>
      <c r="D627" s="113" t="str">
        <f>IFERROR(VLOOKUP(C627,SKUs!$A$6:$F$1971,6,FALSE()),"")</f>
        <v>POLO BASICA MASC.</v>
      </c>
      <c r="E627" s="113">
        <v>5</v>
      </c>
      <c r="F627" s="113">
        <f>IFERROR(IF(OR(B627="",E627=""),"",E627*VLOOKUP(B627,Configurações!$I$5:$J$15,2,FALSE())),"")</f>
        <v>5</v>
      </c>
      <c r="G627" s="113" t="s">
        <v>1424</v>
      </c>
      <c r="H627" s="113" t="s">
        <v>2057</v>
      </c>
      <c r="I627" s="113"/>
      <c r="J627" s="113"/>
      <c r="K627" s="113" t="s">
        <v>2051</v>
      </c>
      <c r="L627" s="113"/>
      <c r="M627" s="113" t="s">
        <v>1555</v>
      </c>
    </row>
    <row r="628" spans="1:13" ht="12.75" hidden="1" customHeight="1" x14ac:dyDescent="0.3">
      <c r="A628" s="111">
        <v>46165</v>
      </c>
      <c r="B628" s="113" t="s">
        <v>2049</v>
      </c>
      <c r="C628" s="113" t="s">
        <v>1558</v>
      </c>
      <c r="D628" s="113" t="str">
        <f>IFERROR(VLOOKUP(C628,SKUs!$A$6:$F$1971,6,FALSE()),"")</f>
        <v>POLO BASICA FEM.</v>
      </c>
      <c r="E628" s="113">
        <v>1</v>
      </c>
      <c r="F628" s="113">
        <f>IFERROR(IF(OR(B628="",E628=""),"",E628*VLOOKUP(B628,Configurações!$I$5:$J$15,2,FALSE())),"")</f>
        <v>1</v>
      </c>
      <c r="G628" s="113" t="s">
        <v>1424</v>
      </c>
      <c r="H628" s="113" t="s">
        <v>2057</v>
      </c>
      <c r="I628" s="113"/>
      <c r="J628" s="113"/>
      <c r="K628" s="113" t="s">
        <v>2051</v>
      </c>
      <c r="L628" s="113"/>
      <c r="M628" s="113" t="s">
        <v>1559</v>
      </c>
    </row>
    <row r="629" spans="1:13" ht="12.75" hidden="1" customHeight="1" x14ac:dyDescent="0.3">
      <c r="A629" s="111">
        <v>46165</v>
      </c>
      <c r="B629" s="113" t="s">
        <v>2049</v>
      </c>
      <c r="C629" s="113" t="s">
        <v>1560</v>
      </c>
      <c r="D629" s="113" t="str">
        <f>IFERROR(VLOOKUP(C629,SKUs!$A$6:$F$1971,6,FALSE()),"")</f>
        <v>POLO BASICA FEM.</v>
      </c>
      <c r="E629" s="113">
        <v>43</v>
      </c>
      <c r="F629" s="113">
        <f>IFERROR(IF(OR(B629="",E629=""),"",E629*VLOOKUP(B629,Configurações!$I$5:$J$15,2,FALSE())),"")</f>
        <v>43</v>
      </c>
      <c r="G629" s="113" t="s">
        <v>1424</v>
      </c>
      <c r="H629" s="113" t="s">
        <v>2057</v>
      </c>
      <c r="I629" s="113"/>
      <c r="J629" s="113"/>
      <c r="K629" s="113" t="s">
        <v>2051</v>
      </c>
      <c r="L629" s="113"/>
      <c r="M629" s="113" t="s">
        <v>1559</v>
      </c>
    </row>
    <row r="630" spans="1:13" ht="12.75" hidden="1" customHeight="1" x14ac:dyDescent="0.3">
      <c r="A630" s="111">
        <v>46165</v>
      </c>
      <c r="B630" s="113" t="s">
        <v>2049</v>
      </c>
      <c r="C630" s="113" t="s">
        <v>1525</v>
      </c>
      <c r="D630" s="113" t="str">
        <f>IFERROR(VLOOKUP(C630,SKUs!$A$6:$F$1971,6,FALSE()),"")</f>
        <v>POLO BASICA FEM.</v>
      </c>
      <c r="E630" s="113">
        <v>15</v>
      </c>
      <c r="F630" s="113">
        <f>IFERROR(IF(OR(B630="",E630=""),"",E630*VLOOKUP(B630,Configurações!$I$5:$J$15,2,FALSE())),"")</f>
        <v>15</v>
      </c>
      <c r="G630" s="113" t="s">
        <v>1424</v>
      </c>
      <c r="H630" s="113" t="s">
        <v>2057</v>
      </c>
      <c r="I630" s="113"/>
      <c r="J630" s="113"/>
      <c r="K630" s="113" t="s">
        <v>2051</v>
      </c>
      <c r="L630" s="113"/>
      <c r="M630" s="113" t="s">
        <v>1561</v>
      </c>
    </row>
    <row r="631" spans="1:13" ht="12.75" hidden="1" customHeight="1" x14ac:dyDescent="0.3">
      <c r="A631" s="111">
        <v>46165</v>
      </c>
      <c r="B631" s="113" t="s">
        <v>2049</v>
      </c>
      <c r="C631" s="113" t="s">
        <v>1526</v>
      </c>
      <c r="D631" s="113" t="str">
        <f>IFERROR(VLOOKUP(C631,SKUs!$A$6:$F$1971,6,FALSE()),"")</f>
        <v>POLO BASICA FEM.</v>
      </c>
      <c r="E631" s="113">
        <v>60</v>
      </c>
      <c r="F631" s="113">
        <f>IFERROR(IF(OR(B631="",E631=""),"",E631*VLOOKUP(B631,Configurações!$I$5:$J$15,2,FALSE())),"")</f>
        <v>60</v>
      </c>
      <c r="G631" s="113" t="s">
        <v>1424</v>
      </c>
      <c r="H631" s="113" t="s">
        <v>2057</v>
      </c>
      <c r="I631" s="113"/>
      <c r="J631" s="113"/>
      <c r="K631" s="113" t="s">
        <v>2051</v>
      </c>
      <c r="L631" s="113"/>
      <c r="M631" s="113" t="s">
        <v>1561</v>
      </c>
    </row>
    <row r="632" spans="1:13" ht="12.75" hidden="1" customHeight="1" x14ac:dyDescent="0.3">
      <c r="A632" s="111">
        <v>46165</v>
      </c>
      <c r="B632" s="113" t="s">
        <v>2049</v>
      </c>
      <c r="C632" s="113" t="s">
        <v>1525</v>
      </c>
      <c r="D632" s="113" t="str">
        <f>IFERROR(VLOOKUP(C632,SKUs!$A$6:$F$1971,6,FALSE()),"")</f>
        <v>POLO BASICA FEM.</v>
      </c>
      <c r="E632" s="113">
        <v>46</v>
      </c>
      <c r="F632" s="113">
        <f>IFERROR(IF(OR(B632="",E632=""),"",E632*VLOOKUP(B632,Configurações!$I$5:$J$15,2,FALSE())),"")</f>
        <v>46</v>
      </c>
      <c r="G632" s="113" t="s">
        <v>1424</v>
      </c>
      <c r="H632" s="113" t="s">
        <v>2057</v>
      </c>
      <c r="I632" s="113"/>
      <c r="J632" s="113"/>
      <c r="K632" s="113" t="s">
        <v>2051</v>
      </c>
      <c r="L632" s="113"/>
      <c r="M632" s="113" t="s">
        <v>1562</v>
      </c>
    </row>
    <row r="633" spans="1:13" ht="12.75" hidden="1" customHeight="1" x14ac:dyDescent="0.3">
      <c r="A633" s="111">
        <v>46165</v>
      </c>
      <c r="B633" s="113" t="s">
        <v>2049</v>
      </c>
      <c r="C633" s="113" t="s">
        <v>1563</v>
      </c>
      <c r="D633" s="113" t="str">
        <f>IFERROR(VLOOKUP(C633,SKUs!$A$6:$F$1971,6,FALSE()),"")</f>
        <v>CAMISETA BY SIDE WALK + BTG FIO EGIPCIO MASC.</v>
      </c>
      <c r="E633" s="113">
        <v>59</v>
      </c>
      <c r="F633" s="113">
        <f>IFERROR(IF(OR(B633="",E633=""),"",E633*VLOOKUP(B633,Configurações!$I$5:$J$15,2,FALSE())),"")</f>
        <v>59</v>
      </c>
      <c r="G633" s="113" t="s">
        <v>1424</v>
      </c>
      <c r="H633" s="113" t="s">
        <v>2057</v>
      </c>
      <c r="I633" s="113"/>
      <c r="J633" s="113"/>
      <c r="K633" s="113" t="s">
        <v>2051</v>
      </c>
      <c r="L633" s="113"/>
      <c r="M633" s="113" t="s">
        <v>1565</v>
      </c>
    </row>
    <row r="634" spans="1:13" ht="12.75" hidden="1" customHeight="1" x14ac:dyDescent="0.3">
      <c r="A634" s="111">
        <v>46165</v>
      </c>
      <c r="B634" s="113" t="s">
        <v>2049</v>
      </c>
      <c r="C634" s="113" t="s">
        <v>1566</v>
      </c>
      <c r="D634" s="113" t="str">
        <f>IFERROR(VLOOKUP(C634,SKUs!$A$6:$F$1971,6,FALSE()),"")</f>
        <v>CAMISETA BY SIDE WALK + BTG FIO EGIPCIO MASC.</v>
      </c>
      <c r="E634" s="113">
        <v>22</v>
      </c>
      <c r="F634" s="113">
        <f>IFERROR(IF(OR(B634="",E634=""),"",E634*VLOOKUP(B634,Configurações!$I$5:$J$15,2,FALSE())),"")</f>
        <v>22</v>
      </c>
      <c r="G634" s="113" t="s">
        <v>1424</v>
      </c>
      <c r="H634" s="113" t="s">
        <v>2057</v>
      </c>
      <c r="I634" s="113"/>
      <c r="J634" s="113"/>
      <c r="K634" s="113" t="s">
        <v>2051</v>
      </c>
      <c r="L634" s="113"/>
      <c r="M634" s="113" t="s">
        <v>1565</v>
      </c>
    </row>
    <row r="635" spans="1:13" ht="12.75" hidden="1" customHeight="1" x14ac:dyDescent="0.3">
      <c r="A635" s="111">
        <v>46165</v>
      </c>
      <c r="B635" s="113" t="s">
        <v>2049</v>
      </c>
      <c r="C635" s="113" t="s">
        <v>1567</v>
      </c>
      <c r="D635" s="113" t="str">
        <f>IFERROR(VLOOKUP(C635,SKUs!$A$6:$F$1971,6,FALSE()),"")</f>
        <v>POLO PIQUET MESCLA P&amp;F MASC.</v>
      </c>
      <c r="E635" s="113">
        <v>33</v>
      </c>
      <c r="F635" s="113">
        <f>IFERROR(IF(OR(B635="",E635=""),"",E635*VLOOKUP(B635,Configurações!$I$5:$J$15,2,FALSE())),"")</f>
        <v>33</v>
      </c>
      <c r="G635" s="113" t="s">
        <v>1424</v>
      </c>
      <c r="H635" s="113" t="s">
        <v>2057</v>
      </c>
      <c r="I635" s="113"/>
      <c r="J635" s="113"/>
      <c r="K635" s="113" t="s">
        <v>2051</v>
      </c>
      <c r="L635" s="113"/>
      <c r="M635" s="113" t="s">
        <v>1569</v>
      </c>
    </row>
    <row r="636" spans="1:13" ht="12.75" hidden="1" customHeight="1" x14ac:dyDescent="0.3">
      <c r="A636" s="111">
        <v>46165</v>
      </c>
      <c r="B636" s="113" t="s">
        <v>2049</v>
      </c>
      <c r="C636" s="113" t="s">
        <v>1570</v>
      </c>
      <c r="D636" s="113" t="str">
        <f>IFERROR(VLOOKUP(C636,SKUs!$A$6:$F$1971,6,FALSE()),"")</f>
        <v>POLO PIQUET MESCLA P&amp;F MASC.</v>
      </c>
      <c r="E636" s="113">
        <v>24</v>
      </c>
      <c r="F636" s="113">
        <f>IFERROR(IF(OR(B636="",E636=""),"",E636*VLOOKUP(B636,Configurações!$I$5:$J$15,2,FALSE())),"")</f>
        <v>24</v>
      </c>
      <c r="G636" s="113" t="s">
        <v>1424</v>
      </c>
      <c r="H636" s="113" t="s">
        <v>2057</v>
      </c>
      <c r="I636" s="113"/>
      <c r="J636" s="113"/>
      <c r="K636" s="113" t="s">
        <v>2051</v>
      </c>
      <c r="L636" s="113"/>
      <c r="M636" s="113" t="s">
        <v>1571</v>
      </c>
    </row>
    <row r="637" spans="1:13" ht="12.75" hidden="1" customHeight="1" x14ac:dyDescent="0.3">
      <c r="A637" s="111">
        <v>46165</v>
      </c>
      <c r="B637" s="113" t="s">
        <v>2049</v>
      </c>
      <c r="C637" s="113" t="s">
        <v>1572</v>
      </c>
      <c r="D637" s="113" t="str">
        <f>IFERROR(VLOOKUP(C637,SKUs!$A$6:$F$1971,6,FALSE()),"")</f>
        <v>POLO PIQUET MESCLA P&amp;F MASC.</v>
      </c>
      <c r="E637" s="113">
        <v>20</v>
      </c>
      <c r="F637" s="113">
        <f>IFERROR(IF(OR(B637="",E637=""),"",E637*VLOOKUP(B637,Configurações!$I$5:$J$15,2,FALSE())),"")</f>
        <v>20</v>
      </c>
      <c r="G637" s="113" t="s">
        <v>1424</v>
      </c>
      <c r="H637" s="113" t="s">
        <v>2057</v>
      </c>
      <c r="I637" s="113"/>
      <c r="J637" s="113"/>
      <c r="K637" s="113" t="s">
        <v>2051</v>
      </c>
      <c r="L637" s="113"/>
      <c r="M637" s="113" t="s">
        <v>1571</v>
      </c>
    </row>
    <row r="638" spans="1:13" ht="12.75" hidden="1" customHeight="1" x14ac:dyDescent="0.3">
      <c r="A638" s="111">
        <v>46165</v>
      </c>
      <c r="B638" s="113" t="s">
        <v>2049</v>
      </c>
      <c r="C638" s="113" t="s">
        <v>1572</v>
      </c>
      <c r="D638" s="113" t="str">
        <f>IFERROR(VLOOKUP(C638,SKUs!$A$6:$F$1971,6,FALSE()),"")</f>
        <v>POLO PIQUET MESCLA P&amp;F MASC.</v>
      </c>
      <c r="E638" s="113">
        <v>55</v>
      </c>
      <c r="F638" s="113">
        <f>IFERROR(IF(OR(B638="",E638=""),"",E638*VLOOKUP(B638,Configurações!$I$5:$J$15,2,FALSE())),"")</f>
        <v>55</v>
      </c>
      <c r="G638" s="113" t="s">
        <v>1424</v>
      </c>
      <c r="H638" s="113" t="s">
        <v>2057</v>
      </c>
      <c r="I638" s="113"/>
      <c r="J638" s="113"/>
      <c r="K638" s="113" t="s">
        <v>2051</v>
      </c>
      <c r="L638" s="113"/>
      <c r="M638" s="113" t="s">
        <v>1573</v>
      </c>
    </row>
    <row r="639" spans="1:13" ht="12.75" hidden="1" customHeight="1" x14ac:dyDescent="0.3">
      <c r="A639" s="111">
        <v>46165</v>
      </c>
      <c r="B639" s="113" t="s">
        <v>2049</v>
      </c>
      <c r="C639" s="113" t="s">
        <v>1535</v>
      </c>
      <c r="D639" s="113" t="str">
        <f>IFERROR(VLOOKUP(C639,SKUs!$A$6:$F$1971,6,FALSE()),"")</f>
        <v>POLO PIQUET OUT. ROSA FEM.</v>
      </c>
      <c r="E639" s="113">
        <v>31</v>
      </c>
      <c r="F639" s="113">
        <f>IFERROR(IF(OR(B639="",E639=""),"",E639*VLOOKUP(B639,Configurações!$I$5:$J$15,2,FALSE())),"")</f>
        <v>31</v>
      </c>
      <c r="G639" s="113" t="s">
        <v>1424</v>
      </c>
      <c r="H639" s="113" t="s">
        <v>2057</v>
      </c>
      <c r="I639" s="113"/>
      <c r="J639" s="113"/>
      <c r="K639" s="113" t="s">
        <v>2051</v>
      </c>
      <c r="L639" s="113"/>
      <c r="M639" s="113" t="s">
        <v>1574</v>
      </c>
    </row>
    <row r="640" spans="1:13" ht="12.75" hidden="1" customHeight="1" x14ac:dyDescent="0.3">
      <c r="A640" s="111">
        <v>46165</v>
      </c>
      <c r="B640" s="113" t="s">
        <v>2049</v>
      </c>
      <c r="C640" s="113" t="s">
        <v>1537</v>
      </c>
      <c r="D640" s="113" t="str">
        <f>IFERROR(VLOOKUP(C640,SKUs!$A$6:$F$1971,6,FALSE()),"")</f>
        <v>POLO PIQUET OUT. ROSA FEM.</v>
      </c>
      <c r="E640" s="113">
        <v>25</v>
      </c>
      <c r="F640" s="113">
        <f>IFERROR(IF(OR(B640="",E640=""),"",E640*VLOOKUP(B640,Configurações!$I$5:$J$15,2,FALSE())),"")</f>
        <v>25</v>
      </c>
      <c r="G640" s="113" t="s">
        <v>1424</v>
      </c>
      <c r="H640" s="113" t="s">
        <v>2057</v>
      </c>
      <c r="I640" s="113"/>
      <c r="J640" s="113"/>
      <c r="K640" s="113" t="s">
        <v>2051</v>
      </c>
      <c r="L640" s="113"/>
      <c r="M640" s="113" t="s">
        <v>1574</v>
      </c>
    </row>
    <row r="641" spans="1:13" ht="12.75" hidden="1" customHeight="1" x14ac:dyDescent="0.3">
      <c r="A641" s="111">
        <v>46165</v>
      </c>
      <c r="B641" s="113" t="s">
        <v>2049</v>
      </c>
      <c r="C641" s="113" t="s">
        <v>1575</v>
      </c>
      <c r="D641" s="113" t="str">
        <f>IFERROR(VLOOKUP(C641,SKUs!$A$6:$F$1971,6,FALSE()),"")</f>
        <v>POLO PIQUET OUT. ROSA FEM.</v>
      </c>
      <c r="E641" s="113">
        <v>63</v>
      </c>
      <c r="F641" s="113">
        <f>IFERROR(IF(OR(B641="",E641=""),"",E641*VLOOKUP(B641,Configurações!$I$5:$J$15,2,FALSE())),"")</f>
        <v>63</v>
      </c>
      <c r="G641" s="113" t="s">
        <v>1424</v>
      </c>
      <c r="H641" s="113" t="s">
        <v>2057</v>
      </c>
      <c r="I641" s="113"/>
      <c r="J641" s="113"/>
      <c r="K641" s="113" t="s">
        <v>2051</v>
      </c>
      <c r="L641" s="113"/>
      <c r="M641" s="113" t="s">
        <v>1576</v>
      </c>
    </row>
    <row r="642" spans="1:13" ht="12.75" hidden="1" customHeight="1" x14ac:dyDescent="0.3">
      <c r="A642" s="111">
        <v>46165</v>
      </c>
      <c r="B642" s="113" t="s">
        <v>2049</v>
      </c>
      <c r="C642" s="113" t="s">
        <v>1577</v>
      </c>
      <c r="D642" s="113" t="str">
        <f>IFERROR(VLOOKUP(C642,SKUs!$A$6:$F$1971,6,FALSE()),"")</f>
        <v>POLO PIQUET OUT. ROSA MASC.</v>
      </c>
      <c r="E642" s="113">
        <v>23</v>
      </c>
      <c r="F642" s="113">
        <f>IFERROR(IF(OR(B642="",E642=""),"",E642*VLOOKUP(B642,Configurações!$I$5:$J$15,2,FALSE())),"")</f>
        <v>23</v>
      </c>
      <c r="G642" s="113" t="s">
        <v>1424</v>
      </c>
      <c r="H642" s="113" t="s">
        <v>2057</v>
      </c>
      <c r="I642" s="113"/>
      <c r="J642" s="113"/>
      <c r="K642" s="113" t="s">
        <v>2051</v>
      </c>
      <c r="L642" s="113"/>
      <c r="M642" s="113" t="s">
        <v>1578</v>
      </c>
    </row>
    <row r="643" spans="1:13" ht="12.75" hidden="1" customHeight="1" x14ac:dyDescent="0.3">
      <c r="A643" s="111">
        <v>46165</v>
      </c>
      <c r="B643" s="113" t="s">
        <v>2049</v>
      </c>
      <c r="C643" s="113" t="s">
        <v>1579</v>
      </c>
      <c r="D643" s="113" t="str">
        <f>IFERROR(VLOOKUP(C643,SKUs!$A$6:$F$1971,6,FALSE()),"")</f>
        <v>POLO PIQUET OUT. ROSA MASC.</v>
      </c>
      <c r="E643" s="113">
        <v>39</v>
      </c>
      <c r="F643" s="113">
        <f>IFERROR(IF(OR(B643="",E643=""),"",E643*VLOOKUP(B643,Configurações!$I$5:$J$15,2,FALSE())),"")</f>
        <v>39</v>
      </c>
      <c r="G643" s="113" t="s">
        <v>1424</v>
      </c>
      <c r="H643" s="113" t="s">
        <v>2057</v>
      </c>
      <c r="I643" s="113"/>
      <c r="J643" s="113"/>
      <c r="K643" s="113" t="s">
        <v>2051</v>
      </c>
      <c r="L643" s="113"/>
      <c r="M643" s="113" t="s">
        <v>1578</v>
      </c>
    </row>
    <row r="644" spans="1:13" ht="12.75" hidden="1" customHeight="1" x14ac:dyDescent="0.3">
      <c r="A644" s="111">
        <v>46165</v>
      </c>
      <c r="B644" s="113" t="s">
        <v>2049</v>
      </c>
      <c r="C644" s="113" t="s">
        <v>1580</v>
      </c>
      <c r="D644" s="113" t="str">
        <f>IFERROR(VLOOKUP(C644,SKUs!$A$6:$F$1971,6,FALSE()),"")</f>
        <v>POLO PIQUET PAN FEM.</v>
      </c>
      <c r="E644" s="113">
        <v>60</v>
      </c>
      <c r="F644" s="113">
        <f>IFERROR(IF(OR(B644="",E644=""),"",E644*VLOOKUP(B644,Configurações!$I$5:$J$15,2,FALSE())),"")</f>
        <v>60</v>
      </c>
      <c r="G644" s="113" t="s">
        <v>1424</v>
      </c>
      <c r="H644" s="113" t="s">
        <v>2057</v>
      </c>
      <c r="I644" s="113"/>
      <c r="J644" s="113"/>
      <c r="K644" s="113" t="s">
        <v>2051</v>
      </c>
      <c r="L644" s="113"/>
      <c r="M644" s="113" t="s">
        <v>1581</v>
      </c>
    </row>
    <row r="645" spans="1:13" ht="12.75" hidden="1" customHeight="1" x14ac:dyDescent="0.3">
      <c r="A645" s="111">
        <v>46165</v>
      </c>
      <c r="B645" s="113" t="s">
        <v>2049</v>
      </c>
      <c r="C645" s="113" t="s">
        <v>1428</v>
      </c>
      <c r="D645" s="113" t="str">
        <f>IFERROR(VLOOKUP(C645,SKUs!$A$6:$F$1971,6,FALSE()),"")</f>
        <v>POLO PIQUET PAN FEM.</v>
      </c>
      <c r="E645" s="113">
        <v>20</v>
      </c>
      <c r="F645" s="113">
        <f>IFERROR(IF(OR(B645="",E645=""),"",E645*VLOOKUP(B645,Configurações!$I$5:$J$15,2,FALSE())),"")</f>
        <v>20</v>
      </c>
      <c r="G645" s="113" t="s">
        <v>1424</v>
      </c>
      <c r="H645" s="113" t="s">
        <v>2057</v>
      </c>
      <c r="I645" s="113"/>
      <c r="J645" s="113"/>
      <c r="K645" s="113" t="s">
        <v>2051</v>
      </c>
      <c r="L645" s="113"/>
      <c r="M645" s="113" t="s">
        <v>1581</v>
      </c>
    </row>
    <row r="646" spans="1:13" ht="12.75" hidden="1" customHeight="1" x14ac:dyDescent="0.3">
      <c r="A646" s="111">
        <v>46165</v>
      </c>
      <c r="B646" s="113" t="s">
        <v>2049</v>
      </c>
      <c r="C646" s="113" t="s">
        <v>1428</v>
      </c>
      <c r="D646" s="113" t="str">
        <f>IFERROR(VLOOKUP(C646,SKUs!$A$6:$F$1971,6,FALSE()),"")</f>
        <v>POLO PIQUET PAN FEM.</v>
      </c>
      <c r="E646" s="113">
        <v>10</v>
      </c>
      <c r="F646" s="113">
        <f>IFERROR(IF(OR(B646="",E646=""),"",E646*VLOOKUP(B646,Configurações!$I$5:$J$15,2,FALSE())),"")</f>
        <v>10</v>
      </c>
      <c r="G646" s="113" t="s">
        <v>1424</v>
      </c>
      <c r="H646" s="113" t="s">
        <v>2057</v>
      </c>
      <c r="I646" s="113"/>
      <c r="J646" s="113"/>
      <c r="K646" s="113" t="s">
        <v>2051</v>
      </c>
      <c r="L646" s="113"/>
      <c r="M646" s="113" t="s">
        <v>1582</v>
      </c>
    </row>
    <row r="647" spans="1:13" ht="12.75" hidden="1" customHeight="1" x14ac:dyDescent="0.3">
      <c r="A647" s="111">
        <v>46165</v>
      </c>
      <c r="B647" s="113" t="s">
        <v>2049</v>
      </c>
      <c r="C647" s="113" t="s">
        <v>1583</v>
      </c>
      <c r="D647" s="113" t="str">
        <f>IFERROR(VLOOKUP(C647,SKUs!$A$6:$F$1971,6,FALSE()),"")</f>
        <v>POLO PIQUET PAN FEM.</v>
      </c>
      <c r="E647" s="113">
        <v>42</v>
      </c>
      <c r="F647" s="113">
        <f>IFERROR(IF(OR(B647="",E647=""),"",E647*VLOOKUP(B647,Configurações!$I$5:$J$15,2,FALSE())),"")</f>
        <v>42</v>
      </c>
      <c r="G647" s="113" t="s">
        <v>1424</v>
      </c>
      <c r="H647" s="113" t="s">
        <v>2057</v>
      </c>
      <c r="I647" s="113"/>
      <c r="J647" s="113"/>
      <c r="K647" s="113" t="s">
        <v>2051</v>
      </c>
      <c r="L647" s="113"/>
      <c r="M647" s="113" t="s">
        <v>1582</v>
      </c>
    </row>
    <row r="648" spans="1:13" ht="12.75" hidden="1" customHeight="1" x14ac:dyDescent="0.3">
      <c r="A648" s="111">
        <v>46165</v>
      </c>
      <c r="B648" s="113" t="s">
        <v>2049</v>
      </c>
      <c r="C648" s="113" t="s">
        <v>1584</v>
      </c>
      <c r="D648" s="113" t="str">
        <f>IFERROR(VLOOKUP(C648,SKUs!$A$6:$F$1971,6,FALSE()),"")</f>
        <v>POLO PIQUET RISCOS MASC.</v>
      </c>
      <c r="E648" s="113">
        <v>65</v>
      </c>
      <c r="F648" s="113">
        <f>IFERROR(IF(OR(B648="",E648=""),"",E648*VLOOKUP(B648,Configurações!$I$5:$J$15,2,FALSE())),"")</f>
        <v>65</v>
      </c>
      <c r="G648" s="113" t="s">
        <v>1424</v>
      </c>
      <c r="H648" s="113" t="s">
        <v>2057</v>
      </c>
      <c r="I648" s="113"/>
      <c r="J648" s="113"/>
      <c r="K648" s="113" t="s">
        <v>2051</v>
      </c>
      <c r="L648" s="113"/>
      <c r="M648" s="113" t="s">
        <v>1586</v>
      </c>
    </row>
    <row r="649" spans="1:13" ht="12.75" hidden="1" customHeight="1" x14ac:dyDescent="0.3">
      <c r="A649" s="111">
        <v>46165</v>
      </c>
      <c r="B649" s="113" t="s">
        <v>2049</v>
      </c>
      <c r="C649" s="113" t="s">
        <v>1584</v>
      </c>
      <c r="D649" s="113" t="str">
        <f>IFERROR(VLOOKUP(C649,SKUs!$A$6:$F$1971,6,FALSE()),"")</f>
        <v>POLO PIQUET RISCOS MASC.</v>
      </c>
      <c r="E649" s="113">
        <v>46</v>
      </c>
      <c r="F649" s="113">
        <f>IFERROR(IF(OR(B649="",E649=""),"",E649*VLOOKUP(B649,Configurações!$I$5:$J$15,2,FALSE())),"")</f>
        <v>46</v>
      </c>
      <c r="G649" s="113" t="s">
        <v>1424</v>
      </c>
      <c r="H649" s="113" t="s">
        <v>2057</v>
      </c>
      <c r="I649" s="113"/>
      <c r="J649" s="113"/>
      <c r="K649" s="113" t="s">
        <v>2051</v>
      </c>
      <c r="L649" s="113"/>
      <c r="M649" s="113" t="s">
        <v>1587</v>
      </c>
    </row>
    <row r="650" spans="1:13" ht="12.75" hidden="1" customHeight="1" x14ac:dyDescent="0.3">
      <c r="A650" s="111">
        <v>46165</v>
      </c>
      <c r="B650" s="113" t="s">
        <v>2049</v>
      </c>
      <c r="C650" s="113" t="s">
        <v>1588</v>
      </c>
      <c r="D650" s="113" t="str">
        <f>IFERROR(VLOOKUP(C650,SKUs!$A$6:$F$1971,6,FALSE()),"")</f>
        <v>POLO PIQUET RISCOS MASC.</v>
      </c>
      <c r="E650" s="113">
        <v>10</v>
      </c>
      <c r="F650" s="113">
        <f>IFERROR(IF(OR(B650="",E650=""),"",E650*VLOOKUP(B650,Configurações!$I$5:$J$15,2,FALSE())),"")</f>
        <v>10</v>
      </c>
      <c r="G650" s="113" t="s">
        <v>1424</v>
      </c>
      <c r="H650" s="113" t="s">
        <v>2057</v>
      </c>
      <c r="I650" s="113"/>
      <c r="J650" s="113"/>
      <c r="K650" s="113" t="s">
        <v>2051</v>
      </c>
      <c r="L650" s="113"/>
      <c r="M650" s="113" t="s">
        <v>1587</v>
      </c>
    </row>
    <row r="651" spans="1:13" ht="12.75" hidden="1" customHeight="1" x14ac:dyDescent="0.3">
      <c r="A651" s="111">
        <v>46165</v>
      </c>
      <c r="B651" s="113" t="s">
        <v>2049</v>
      </c>
      <c r="C651" s="113" t="s">
        <v>1589</v>
      </c>
      <c r="D651" s="113" t="str">
        <f>IFERROR(VLOOKUP(C651,SKUs!$A$6:$F$1971,6,FALSE()),"")</f>
        <v>POLO PIQUET RISCOS MASC.</v>
      </c>
      <c r="E651" s="113">
        <v>70</v>
      </c>
      <c r="F651" s="113">
        <f>IFERROR(IF(OR(B651="",E651=""),"",E651*VLOOKUP(B651,Configurações!$I$5:$J$15,2,FALSE())),"")</f>
        <v>70</v>
      </c>
      <c r="G651" s="113" t="s">
        <v>1424</v>
      </c>
      <c r="H651" s="113" t="s">
        <v>2057</v>
      </c>
      <c r="I651" s="113"/>
      <c r="J651" s="113"/>
      <c r="K651" s="113" t="s">
        <v>2051</v>
      </c>
      <c r="L651" s="113"/>
      <c r="M651" s="113" t="s">
        <v>1590</v>
      </c>
    </row>
    <row r="652" spans="1:13" ht="12.75" hidden="1" customHeight="1" x14ac:dyDescent="0.3">
      <c r="A652" s="111">
        <v>46165</v>
      </c>
      <c r="B652" s="113" t="s">
        <v>2049</v>
      </c>
      <c r="C652" s="113" t="s">
        <v>1591</v>
      </c>
      <c r="D652" s="113" t="str">
        <f>IFERROR(VLOOKUP(C652,SKUs!$A$6:$F$1971,6,FALSE()),"")</f>
        <v>POLO PIQUET RISCOS MASC.</v>
      </c>
      <c r="E652" s="113">
        <v>30</v>
      </c>
      <c r="F652" s="113">
        <f>IFERROR(IF(OR(B652="",E652=""),"",E652*VLOOKUP(B652,Configurações!$I$5:$J$15,2,FALSE())),"")</f>
        <v>30</v>
      </c>
      <c r="G652" s="113" t="s">
        <v>1424</v>
      </c>
      <c r="H652" s="113" t="s">
        <v>2057</v>
      </c>
      <c r="I652" s="113"/>
      <c r="J652" s="113"/>
      <c r="K652" s="113" t="s">
        <v>2051</v>
      </c>
      <c r="L652" s="113"/>
      <c r="M652" s="113" t="s">
        <v>1592</v>
      </c>
    </row>
    <row r="653" spans="1:13" ht="12.75" hidden="1" customHeight="1" x14ac:dyDescent="0.3">
      <c r="A653" s="111">
        <v>46167</v>
      </c>
      <c r="B653" s="113" t="s">
        <v>2049</v>
      </c>
      <c r="C653" s="113" t="s">
        <v>1593</v>
      </c>
      <c r="D653" s="113" t="str">
        <f>IFERROR(VLOOKUP(C653,SKUs!$A$6:$F$1971,6,FALSE()),"")</f>
        <v>SACOLA QUADRADA - BTG</v>
      </c>
      <c r="E653" s="113">
        <v>300</v>
      </c>
      <c r="F653" s="113">
        <f>IFERROR(IF(OR(B653="",E653=""),"",E653*VLOOKUP(B653,Configurações!$I$5:$J$15,2,FALSE())),"")</f>
        <v>300</v>
      </c>
      <c r="G653" s="113" t="s">
        <v>1424</v>
      </c>
      <c r="H653" s="113" t="s">
        <v>2058</v>
      </c>
      <c r="I653" s="113"/>
      <c r="J653" s="113"/>
      <c r="K653" s="113" t="s">
        <v>2051</v>
      </c>
      <c r="L653" s="113"/>
      <c r="M653" s="113" t="s">
        <v>1595</v>
      </c>
    </row>
    <row r="654" spans="1:13" ht="12.75" hidden="1" customHeight="1" x14ac:dyDescent="0.3">
      <c r="A654" s="111">
        <v>46167</v>
      </c>
      <c r="B654" s="113" t="s">
        <v>2049</v>
      </c>
      <c r="C654" s="113" t="s">
        <v>1593</v>
      </c>
      <c r="D654" s="113" t="str">
        <f>IFERROR(VLOOKUP(C654,SKUs!$A$6:$F$1971,6,FALSE()),"")</f>
        <v>SACOLA QUADRADA - BTG</v>
      </c>
      <c r="E654" s="113">
        <v>250</v>
      </c>
      <c r="F654" s="113">
        <f>IFERROR(IF(OR(B654="",E654=""),"",E654*VLOOKUP(B654,Configurações!$I$5:$J$15,2,FALSE())),"")</f>
        <v>250</v>
      </c>
      <c r="G654" s="113" t="s">
        <v>1424</v>
      </c>
      <c r="H654" s="113" t="s">
        <v>2058</v>
      </c>
      <c r="I654" s="113"/>
      <c r="J654" s="113"/>
      <c r="K654" s="113" t="s">
        <v>2051</v>
      </c>
      <c r="L654" s="113"/>
      <c r="M654" s="113" t="s">
        <v>1596</v>
      </c>
    </row>
    <row r="655" spans="1:13" ht="12.75" hidden="1" customHeight="1" x14ac:dyDescent="0.3">
      <c r="A655" s="111">
        <v>46167</v>
      </c>
      <c r="B655" s="113" t="s">
        <v>2049</v>
      </c>
      <c r="C655" s="113" t="s">
        <v>1597</v>
      </c>
      <c r="D655" s="113" t="str">
        <f>IFERROR(VLOOKUP(C655,SKUs!$A$6:$F$1971,6,FALSE()),"")</f>
        <v>POLO PIQUET MASC.</v>
      </c>
      <c r="E655" s="113">
        <v>2</v>
      </c>
      <c r="F655" s="113">
        <f>IFERROR(IF(OR(B655="",E655=""),"",E655*VLOOKUP(B655,Configurações!$I$5:$J$15,2,FALSE())),"")</f>
        <v>2</v>
      </c>
      <c r="G655" s="113" t="s">
        <v>1424</v>
      </c>
      <c r="H655" s="113" t="s">
        <v>2058</v>
      </c>
      <c r="I655" s="113"/>
      <c r="J655" s="113"/>
      <c r="K655" s="113" t="s">
        <v>2051</v>
      </c>
      <c r="L655" s="113"/>
      <c r="M655" s="113" t="s">
        <v>1598</v>
      </c>
    </row>
    <row r="656" spans="1:13" ht="12.75" hidden="1" customHeight="1" x14ac:dyDescent="0.3">
      <c r="A656" s="111">
        <v>46167</v>
      </c>
      <c r="B656" s="113" t="s">
        <v>2049</v>
      </c>
      <c r="C656" s="113" t="s">
        <v>1599</v>
      </c>
      <c r="D656" s="113" t="str">
        <f>IFERROR(VLOOKUP(C656,SKUs!$A$6:$F$1971,6,FALSE()),"")</f>
        <v>POLO PIQUET MASC.</v>
      </c>
      <c r="E656" s="113">
        <v>48</v>
      </c>
      <c r="F656" s="113">
        <f>IFERROR(IF(OR(B656="",E656=""),"",E656*VLOOKUP(B656,Configurações!$I$5:$J$15,2,FALSE())),"")</f>
        <v>48</v>
      </c>
      <c r="G656" s="113" t="s">
        <v>1424</v>
      </c>
      <c r="H656" s="113" t="s">
        <v>2058</v>
      </c>
      <c r="I656" s="113"/>
      <c r="J656" s="113"/>
      <c r="K656" s="113" t="s">
        <v>2051</v>
      </c>
      <c r="L656" s="113"/>
      <c r="M656" s="113" t="s">
        <v>1598</v>
      </c>
    </row>
    <row r="657" spans="1:13" ht="12.75" hidden="1" customHeight="1" x14ac:dyDescent="0.3">
      <c r="A657" s="111">
        <v>46167</v>
      </c>
      <c r="B657" s="113" t="s">
        <v>2049</v>
      </c>
      <c r="C657" s="113" t="s">
        <v>1600</v>
      </c>
      <c r="D657" s="113" t="str">
        <f>IFERROR(VLOOKUP(C657,SKUs!$A$6:$F$1971,6,FALSE()),"")</f>
        <v>POLO PIQUET MASC.</v>
      </c>
      <c r="E657" s="113">
        <v>14</v>
      </c>
      <c r="F657" s="113">
        <f>IFERROR(IF(OR(B657="",E657=""),"",E657*VLOOKUP(B657,Configurações!$I$5:$J$15,2,FALSE())),"")</f>
        <v>14</v>
      </c>
      <c r="G657" s="113" t="s">
        <v>1424</v>
      </c>
      <c r="H657" s="113" t="s">
        <v>2058</v>
      </c>
      <c r="I657" s="113"/>
      <c r="J657" s="113"/>
      <c r="K657" s="113" t="s">
        <v>2051</v>
      </c>
      <c r="L657" s="113"/>
      <c r="M657" s="113" t="s">
        <v>1601</v>
      </c>
    </row>
    <row r="658" spans="1:13" ht="12.75" hidden="1" customHeight="1" x14ac:dyDescent="0.3">
      <c r="A658" s="111">
        <v>46167</v>
      </c>
      <c r="B658" s="113" t="s">
        <v>2049</v>
      </c>
      <c r="C658" s="113" t="s">
        <v>1602</v>
      </c>
      <c r="D658" s="113" t="str">
        <f>IFERROR(VLOOKUP(C658,SKUs!$A$6:$F$1971,6,FALSE()),"")</f>
        <v>POLO PIQUET MASC.</v>
      </c>
      <c r="E658" s="113">
        <v>30</v>
      </c>
      <c r="F658" s="113">
        <f>IFERROR(IF(OR(B658="",E658=""),"",E658*VLOOKUP(B658,Configurações!$I$5:$J$15,2,FALSE())),"")</f>
        <v>30</v>
      </c>
      <c r="G658" s="113" t="s">
        <v>1424</v>
      </c>
      <c r="H658" s="113" t="s">
        <v>2058</v>
      </c>
      <c r="I658" s="113"/>
      <c r="J658" s="113"/>
      <c r="K658" s="113" t="s">
        <v>2051</v>
      </c>
      <c r="L658" s="113"/>
      <c r="M658" s="113" t="s">
        <v>1601</v>
      </c>
    </row>
    <row r="659" spans="1:13" ht="12.75" hidden="1" customHeight="1" x14ac:dyDescent="0.3">
      <c r="A659" s="111">
        <v>46167</v>
      </c>
      <c r="B659" s="113" t="s">
        <v>2049</v>
      </c>
      <c r="C659" s="113" t="s">
        <v>1603</v>
      </c>
      <c r="D659" s="113" t="str">
        <f>IFERROR(VLOOKUP(C659,SKUs!$A$6:$F$1971,6,FALSE()),"")</f>
        <v>POLO PIQUET RISCOS MASC.</v>
      </c>
      <c r="E659" s="113">
        <v>60</v>
      </c>
      <c r="F659" s="113">
        <f>IFERROR(IF(OR(B659="",E659=""),"",E659*VLOOKUP(B659,Configurações!$I$5:$J$15,2,FALSE())),"")</f>
        <v>60</v>
      </c>
      <c r="G659" s="113" t="s">
        <v>1424</v>
      </c>
      <c r="H659" s="113" t="s">
        <v>2058</v>
      </c>
      <c r="I659" s="113"/>
      <c r="J659" s="113"/>
      <c r="K659" s="113" t="s">
        <v>2051</v>
      </c>
      <c r="L659" s="113"/>
      <c r="M659" s="113" t="s">
        <v>1604</v>
      </c>
    </row>
    <row r="660" spans="1:13" ht="12.75" hidden="1" customHeight="1" x14ac:dyDescent="0.3">
      <c r="A660" s="111">
        <v>46167</v>
      </c>
      <c r="B660" s="113" t="s">
        <v>2049</v>
      </c>
      <c r="C660" s="113" t="s">
        <v>1605</v>
      </c>
      <c r="D660" s="113" t="str">
        <f>IFERROR(VLOOKUP(C660,SKUs!$A$6:$F$1971,6,FALSE()),"")</f>
        <v>POLO PIQUET RISCOS MASC.</v>
      </c>
      <c r="E660" s="113">
        <v>2</v>
      </c>
      <c r="F660" s="113">
        <f>IFERROR(IF(OR(B660="",E660=""),"",E660*VLOOKUP(B660,Configurações!$I$5:$J$15,2,FALSE())),"")</f>
        <v>2</v>
      </c>
      <c r="G660" s="113" t="s">
        <v>1424</v>
      </c>
      <c r="H660" s="113" t="s">
        <v>2058</v>
      </c>
      <c r="I660" s="113"/>
      <c r="J660" s="113"/>
      <c r="K660" s="113" t="s">
        <v>2051</v>
      </c>
      <c r="L660" s="113"/>
      <c r="M660" s="113" t="s">
        <v>1604</v>
      </c>
    </row>
    <row r="661" spans="1:13" ht="12.75" hidden="1" customHeight="1" x14ac:dyDescent="0.3">
      <c r="A661" s="111">
        <v>46167</v>
      </c>
      <c r="B661" s="113" t="s">
        <v>2049</v>
      </c>
      <c r="C661" s="113" t="s">
        <v>1606</v>
      </c>
      <c r="D661" s="113" t="str">
        <f>IFERROR(VLOOKUP(C661,SKUs!$A$6:$F$1971,6,FALSE()),"")</f>
        <v>POLO PIQUET RISCOS MASC.</v>
      </c>
      <c r="E661" s="113">
        <v>9</v>
      </c>
      <c r="F661" s="113">
        <f>IFERROR(IF(OR(B661="",E661=""),"",E661*VLOOKUP(B661,Configurações!$I$5:$J$15,2,FALSE())),"")</f>
        <v>9</v>
      </c>
      <c r="G661" s="113" t="s">
        <v>1424</v>
      </c>
      <c r="H661" s="113" t="s">
        <v>2058</v>
      </c>
      <c r="I661" s="113"/>
      <c r="J661" s="113"/>
      <c r="K661" s="113" t="s">
        <v>2051</v>
      </c>
      <c r="L661" s="113"/>
      <c r="M661" s="113" t="s">
        <v>1604</v>
      </c>
    </row>
    <row r="662" spans="1:13" ht="12.75" hidden="1" customHeight="1" x14ac:dyDescent="0.3">
      <c r="A662" s="111">
        <v>46167</v>
      </c>
      <c r="B662" s="113" t="s">
        <v>2049</v>
      </c>
      <c r="C662" s="113" t="s">
        <v>1607</v>
      </c>
      <c r="D662" s="113" t="str">
        <f>IFERROR(VLOOKUP(C662,SKUs!$A$6:$F$1971,6,FALSE()),"")</f>
        <v>POLO PIQUET RISCOS MASC.</v>
      </c>
      <c r="E662" s="113">
        <v>4</v>
      </c>
      <c r="F662" s="113">
        <f>IFERROR(IF(OR(B662="",E662=""),"",E662*VLOOKUP(B662,Configurações!$I$5:$J$15,2,FALSE())),"")</f>
        <v>4</v>
      </c>
      <c r="G662" s="113" t="s">
        <v>1424</v>
      </c>
      <c r="H662" s="113" t="s">
        <v>2058</v>
      </c>
      <c r="I662" s="113"/>
      <c r="J662" s="113"/>
      <c r="K662" s="113" t="s">
        <v>2051</v>
      </c>
      <c r="L662" s="113"/>
      <c r="M662" s="113" t="s">
        <v>1604</v>
      </c>
    </row>
    <row r="663" spans="1:13" ht="12.75" hidden="1" customHeight="1" x14ac:dyDescent="0.3">
      <c r="A663" s="111">
        <v>46167</v>
      </c>
      <c r="B663" s="113" t="s">
        <v>2049</v>
      </c>
      <c r="C663" s="113" t="s">
        <v>1605</v>
      </c>
      <c r="D663" s="113" t="str">
        <f>IFERROR(VLOOKUP(C663,SKUs!$A$6:$F$1971,6,FALSE()),"")</f>
        <v>POLO PIQUET RISCOS MASC.</v>
      </c>
      <c r="E663" s="113">
        <v>80</v>
      </c>
      <c r="F663" s="113">
        <f>IFERROR(IF(OR(B663="",E663=""),"",E663*VLOOKUP(B663,Configurações!$I$5:$J$15,2,FALSE())),"")</f>
        <v>80</v>
      </c>
      <c r="G663" s="113" t="s">
        <v>1424</v>
      </c>
      <c r="H663" s="113" t="s">
        <v>2058</v>
      </c>
      <c r="I663" s="113"/>
      <c r="J663" s="113"/>
      <c r="K663" s="113" t="s">
        <v>2051</v>
      </c>
      <c r="L663" s="113"/>
      <c r="M663" s="113" t="s">
        <v>1608</v>
      </c>
    </row>
    <row r="664" spans="1:13" ht="12.75" hidden="1" customHeight="1" x14ac:dyDescent="0.3">
      <c r="A664" s="111">
        <v>46167</v>
      </c>
      <c r="B664" s="113" t="s">
        <v>2049</v>
      </c>
      <c r="C664" s="113" t="s">
        <v>1605</v>
      </c>
      <c r="D664" s="113" t="str">
        <f>IFERROR(VLOOKUP(C664,SKUs!$A$6:$F$1971,6,FALSE()),"")</f>
        <v>POLO PIQUET RISCOS MASC.</v>
      </c>
      <c r="E664" s="113">
        <v>60</v>
      </c>
      <c r="F664" s="113">
        <f>IFERROR(IF(OR(B664="",E664=""),"",E664*VLOOKUP(B664,Configurações!$I$5:$J$15,2,FALSE())),"")</f>
        <v>60</v>
      </c>
      <c r="G664" s="113" t="s">
        <v>1424</v>
      </c>
      <c r="H664" s="113" t="s">
        <v>2058</v>
      </c>
      <c r="I664" s="113"/>
      <c r="J664" s="113"/>
      <c r="K664" s="113" t="s">
        <v>2051</v>
      </c>
      <c r="L664" s="113"/>
      <c r="M664" s="113" t="s">
        <v>1609</v>
      </c>
    </row>
    <row r="665" spans="1:13" ht="12.75" hidden="1" customHeight="1" x14ac:dyDescent="0.3">
      <c r="A665" s="111">
        <v>46167</v>
      </c>
      <c r="B665" s="113" t="s">
        <v>2049</v>
      </c>
      <c r="C665" s="113" t="s">
        <v>1605</v>
      </c>
      <c r="D665" s="113" t="str">
        <f>IFERROR(VLOOKUP(C665,SKUs!$A$6:$F$1971,6,FALSE()),"")</f>
        <v>POLO PIQUET RISCOS MASC.</v>
      </c>
      <c r="E665" s="113">
        <v>43</v>
      </c>
      <c r="F665" s="113">
        <f>IFERROR(IF(OR(B665="",E665=""),"",E665*VLOOKUP(B665,Configurações!$I$5:$J$15,2,FALSE())),"")</f>
        <v>43</v>
      </c>
      <c r="G665" s="113" t="s">
        <v>1424</v>
      </c>
      <c r="H665" s="113" t="s">
        <v>2058</v>
      </c>
      <c r="I665" s="113"/>
      <c r="J665" s="113"/>
      <c r="K665" s="113" t="s">
        <v>2051</v>
      </c>
      <c r="L665" s="113"/>
      <c r="M665" s="113" t="s">
        <v>1610</v>
      </c>
    </row>
    <row r="666" spans="1:13" ht="12.75" hidden="1" customHeight="1" x14ac:dyDescent="0.3">
      <c r="A666" s="111">
        <v>46167</v>
      </c>
      <c r="B666" s="113" t="s">
        <v>2049</v>
      </c>
      <c r="C666" s="113" t="s">
        <v>1607</v>
      </c>
      <c r="D666" s="113" t="str">
        <f>IFERROR(VLOOKUP(C666,SKUs!$A$6:$F$1971,6,FALSE()),"")</f>
        <v>POLO PIQUET RISCOS MASC.</v>
      </c>
      <c r="E666" s="113">
        <v>20</v>
      </c>
      <c r="F666" s="113">
        <f>IFERROR(IF(OR(B666="",E666=""),"",E666*VLOOKUP(B666,Configurações!$I$5:$J$15,2,FALSE())),"")</f>
        <v>20</v>
      </c>
      <c r="G666" s="113" t="s">
        <v>1424</v>
      </c>
      <c r="H666" s="113" t="s">
        <v>2058</v>
      </c>
      <c r="I666" s="113"/>
      <c r="J666" s="113"/>
      <c r="K666" s="113" t="s">
        <v>2051</v>
      </c>
      <c r="L666" s="113"/>
      <c r="M666" s="113" t="s">
        <v>1611</v>
      </c>
    </row>
    <row r="667" spans="1:13" ht="12.75" hidden="1" customHeight="1" x14ac:dyDescent="0.3">
      <c r="A667" s="111">
        <v>46167</v>
      </c>
      <c r="B667" s="113" t="s">
        <v>2049</v>
      </c>
      <c r="C667" s="113" t="s">
        <v>1606</v>
      </c>
      <c r="D667" s="113" t="str">
        <f>IFERROR(VLOOKUP(C667,SKUs!$A$6:$F$1971,6,FALSE()),"")</f>
        <v>POLO PIQUET RISCOS MASC.</v>
      </c>
      <c r="E667" s="113">
        <v>24</v>
      </c>
      <c r="F667" s="113">
        <f>IFERROR(IF(OR(B667="",E667=""),"",E667*VLOOKUP(B667,Configurações!$I$5:$J$15,2,FALSE())),"")</f>
        <v>24</v>
      </c>
      <c r="G667" s="113" t="s">
        <v>1424</v>
      </c>
      <c r="H667" s="113" t="s">
        <v>2058</v>
      </c>
      <c r="I667" s="113"/>
      <c r="J667" s="113"/>
      <c r="K667" s="113" t="s">
        <v>2051</v>
      </c>
      <c r="L667" s="113"/>
      <c r="M667" s="113" t="s">
        <v>1611</v>
      </c>
    </row>
    <row r="668" spans="1:13" ht="12.75" hidden="1" customHeight="1" x14ac:dyDescent="0.3">
      <c r="A668" s="111">
        <v>46167</v>
      </c>
      <c r="B668" s="113" t="s">
        <v>2049</v>
      </c>
      <c r="C668" s="113" t="s">
        <v>1612</v>
      </c>
      <c r="D668" s="113" t="str">
        <f>IFERROR(VLOOKUP(C668,SKUs!$A$6:$F$1971,6,FALSE()),"")</f>
        <v>POLO PIQUET RISCOS MASC.</v>
      </c>
      <c r="E668" s="113">
        <v>30</v>
      </c>
      <c r="F668" s="113">
        <f>IFERROR(IF(OR(B668="",E668=""),"",E668*VLOOKUP(B668,Configurações!$I$5:$J$15,2,FALSE())),"")</f>
        <v>30</v>
      </c>
      <c r="G668" s="113" t="s">
        <v>1424</v>
      </c>
      <c r="H668" s="113" t="s">
        <v>2058</v>
      </c>
      <c r="I668" s="113"/>
      <c r="J668" s="113"/>
      <c r="K668" s="113" t="s">
        <v>2051</v>
      </c>
      <c r="L668" s="113"/>
      <c r="M668" s="113" t="s">
        <v>1613</v>
      </c>
    </row>
    <row r="669" spans="1:13" ht="12.75" hidden="1" customHeight="1" x14ac:dyDescent="0.3">
      <c r="A669" s="111">
        <v>46167</v>
      </c>
      <c r="B669" s="113" t="s">
        <v>2049</v>
      </c>
      <c r="C669" s="113" t="s">
        <v>1600</v>
      </c>
      <c r="D669" s="113" t="str">
        <f>IFERROR(VLOOKUP(C669,SKUs!$A$6:$F$1971,6,FALSE()),"")</f>
        <v>POLO PIQUET MASC.</v>
      </c>
      <c r="E669" s="113">
        <v>90</v>
      </c>
      <c r="F669" s="113">
        <f>IFERROR(IF(OR(B669="",E669=""),"",E669*VLOOKUP(B669,Configurações!$I$5:$J$15,2,FALSE())),"")</f>
        <v>90</v>
      </c>
      <c r="G669" s="113" t="s">
        <v>1424</v>
      </c>
      <c r="H669" s="113" t="s">
        <v>2058</v>
      </c>
      <c r="I669" s="113"/>
      <c r="J669" s="113"/>
      <c r="K669" s="113" t="s">
        <v>2051</v>
      </c>
      <c r="L669" s="113"/>
      <c r="M669" s="113" t="s">
        <v>1614</v>
      </c>
    </row>
    <row r="670" spans="1:13" ht="12.75" hidden="1" customHeight="1" x14ac:dyDescent="0.3">
      <c r="A670" s="111">
        <v>46167</v>
      </c>
      <c r="B670" s="113" t="s">
        <v>2049</v>
      </c>
      <c r="C670" s="113" t="s">
        <v>1597</v>
      </c>
      <c r="D670" s="113" t="str">
        <f>IFERROR(VLOOKUP(C670,SKUs!$A$6:$F$1971,6,FALSE()),"")</f>
        <v>POLO PIQUET MASC.</v>
      </c>
      <c r="E670" s="113">
        <v>20</v>
      </c>
      <c r="F670" s="113">
        <f>IFERROR(IF(OR(B670="",E670=""),"",E670*VLOOKUP(B670,Configurações!$I$5:$J$15,2,FALSE())),"")</f>
        <v>20</v>
      </c>
      <c r="G670" s="113" t="s">
        <v>1424</v>
      </c>
      <c r="H670" s="113" t="s">
        <v>2058</v>
      </c>
      <c r="I670" s="113"/>
      <c r="J670" s="113"/>
      <c r="K670" s="113" t="s">
        <v>2051</v>
      </c>
      <c r="L670" s="113"/>
      <c r="M670" s="113" t="s">
        <v>1615</v>
      </c>
    </row>
    <row r="671" spans="1:13" ht="12.75" hidden="1" customHeight="1" x14ac:dyDescent="0.3">
      <c r="A671" s="111">
        <v>46167</v>
      </c>
      <c r="B671" s="113" t="s">
        <v>2049</v>
      </c>
      <c r="C671" s="113" t="s">
        <v>1602</v>
      </c>
      <c r="D671" s="113" t="str">
        <f>IFERROR(VLOOKUP(C671,SKUs!$A$6:$F$1971,6,FALSE()),"")</f>
        <v>POLO PIQUET MASC.</v>
      </c>
      <c r="E671" s="113">
        <v>20</v>
      </c>
      <c r="F671" s="113">
        <f>IFERROR(IF(OR(B671="",E671=""),"",E671*VLOOKUP(B671,Configurações!$I$5:$J$15,2,FALSE())),"")</f>
        <v>20</v>
      </c>
      <c r="G671" s="113" t="s">
        <v>1424</v>
      </c>
      <c r="H671" s="113" t="s">
        <v>2058</v>
      </c>
      <c r="I671" s="113"/>
      <c r="J671" s="113"/>
      <c r="K671" s="113" t="s">
        <v>2051</v>
      </c>
      <c r="L671" s="113"/>
      <c r="M671" s="113" t="s">
        <v>1615</v>
      </c>
    </row>
    <row r="672" spans="1:13" ht="12.75" hidden="1" customHeight="1" x14ac:dyDescent="0.3">
      <c r="A672" s="111">
        <v>46167</v>
      </c>
      <c r="B672" s="113" t="s">
        <v>2049</v>
      </c>
      <c r="C672" s="113" t="s">
        <v>1616</v>
      </c>
      <c r="D672" s="113" t="str">
        <f>IFERROR(VLOOKUP(C672,SKUs!$A$6:$F$1971,6,FALSE()),"")</f>
        <v>POLO PIQUET MASC.</v>
      </c>
      <c r="E672" s="113">
        <v>20</v>
      </c>
      <c r="F672" s="113">
        <f>IFERROR(IF(OR(B672="",E672=""),"",E672*VLOOKUP(B672,Configurações!$I$5:$J$15,2,FALSE())),"")</f>
        <v>20</v>
      </c>
      <c r="G672" s="113" t="s">
        <v>1424</v>
      </c>
      <c r="H672" s="113" t="s">
        <v>2058</v>
      </c>
      <c r="I672" s="113"/>
      <c r="J672" s="113"/>
      <c r="K672" s="113" t="s">
        <v>2051</v>
      </c>
      <c r="L672" s="113"/>
      <c r="M672" s="113" t="s">
        <v>1615</v>
      </c>
    </row>
    <row r="673" spans="1:13" ht="12.75" hidden="1" customHeight="1" x14ac:dyDescent="0.3">
      <c r="A673" s="111">
        <v>46167</v>
      </c>
      <c r="B673" s="113" t="s">
        <v>2049</v>
      </c>
      <c r="C673" s="113" t="s">
        <v>1617</v>
      </c>
      <c r="D673" s="113" t="str">
        <f>IFERROR(VLOOKUP(C673,SKUs!$A$6:$F$1971,6,FALSE()),"")</f>
        <v>POLO PIQUET RISCOS MASC.</v>
      </c>
      <c r="E673" s="113">
        <v>15</v>
      </c>
      <c r="F673" s="113">
        <f>IFERROR(IF(OR(B673="",E673=""),"",E673*VLOOKUP(B673,Configurações!$I$5:$J$15,2,FALSE())),"")</f>
        <v>15</v>
      </c>
      <c r="G673" s="113" t="s">
        <v>1424</v>
      </c>
      <c r="H673" s="113" t="s">
        <v>2058</v>
      </c>
      <c r="I673" s="113"/>
      <c r="J673" s="113"/>
      <c r="K673" s="113" t="s">
        <v>2051</v>
      </c>
      <c r="L673" s="113"/>
      <c r="M673" s="113" t="s">
        <v>1618</v>
      </c>
    </row>
    <row r="674" spans="1:13" ht="12.75" hidden="1" customHeight="1" x14ac:dyDescent="0.3">
      <c r="A674" s="111">
        <v>46167</v>
      </c>
      <c r="B674" s="113" t="s">
        <v>2049</v>
      </c>
      <c r="C674" s="113" t="s">
        <v>1619</v>
      </c>
      <c r="D674" s="113" t="str">
        <f>IFERROR(VLOOKUP(C674,SKUs!$A$6:$F$1971,6,FALSE()),"")</f>
        <v>POLO PIQUET RISCOS MASC.</v>
      </c>
      <c r="E674" s="113">
        <v>52</v>
      </c>
      <c r="F674" s="113">
        <f>IFERROR(IF(OR(B674="",E674=""),"",E674*VLOOKUP(B674,Configurações!$I$5:$J$15,2,FALSE())),"")</f>
        <v>52</v>
      </c>
      <c r="G674" s="113" t="s">
        <v>1424</v>
      </c>
      <c r="H674" s="113" t="s">
        <v>2058</v>
      </c>
      <c r="I674" s="113"/>
      <c r="J674" s="113"/>
      <c r="K674" s="113" t="s">
        <v>2051</v>
      </c>
      <c r="L674" s="113"/>
      <c r="M674" s="113" t="s">
        <v>1618</v>
      </c>
    </row>
    <row r="675" spans="1:13" ht="12.75" hidden="1" customHeight="1" x14ac:dyDescent="0.3">
      <c r="A675" s="111">
        <v>46167</v>
      </c>
      <c r="B675" s="113" t="s">
        <v>2049</v>
      </c>
      <c r="C675" s="113" t="s">
        <v>1620</v>
      </c>
      <c r="D675" s="113" t="str">
        <f>IFERROR(VLOOKUP(C675,SKUs!$A$6:$F$1971,6,FALSE()),"")</f>
        <v>CAMISETA FIO EGIPCIO PAN MASC.</v>
      </c>
      <c r="E675" s="113">
        <v>28</v>
      </c>
      <c r="F675" s="113">
        <f>IFERROR(IF(OR(B675="",E675=""),"",E675*VLOOKUP(B675,Configurações!$I$5:$J$15,2,FALSE())),"")</f>
        <v>28</v>
      </c>
      <c r="G675" s="113" t="s">
        <v>1424</v>
      </c>
      <c r="H675" s="113" t="s">
        <v>2058</v>
      </c>
      <c r="I675" s="113"/>
      <c r="J675" s="113"/>
      <c r="K675" s="113" t="s">
        <v>2051</v>
      </c>
      <c r="L675" s="113"/>
      <c r="M675" s="113" t="s">
        <v>1622</v>
      </c>
    </row>
    <row r="676" spans="1:13" ht="12.75" hidden="1" customHeight="1" x14ac:dyDescent="0.3">
      <c r="A676" s="111">
        <v>46167</v>
      </c>
      <c r="B676" s="113" t="s">
        <v>2049</v>
      </c>
      <c r="C676" s="113" t="s">
        <v>1623</v>
      </c>
      <c r="D676" s="113" t="str">
        <f>IFERROR(VLOOKUP(C676,SKUs!$A$6:$F$1971,6,FALSE()),"")</f>
        <v>CAMISETA FIO EGIPCIO PAN MASC.</v>
      </c>
      <c r="E676" s="113">
        <v>13</v>
      </c>
      <c r="F676" s="113">
        <f>IFERROR(IF(OR(B676="",E676=""),"",E676*VLOOKUP(B676,Configurações!$I$5:$J$15,2,FALSE())),"")</f>
        <v>13</v>
      </c>
      <c r="G676" s="113" t="s">
        <v>1424</v>
      </c>
      <c r="H676" s="113" t="s">
        <v>2058</v>
      </c>
      <c r="I676" s="113"/>
      <c r="J676" s="113"/>
      <c r="K676" s="113" t="s">
        <v>2051</v>
      </c>
      <c r="L676" s="113"/>
      <c r="M676" s="113" t="s">
        <v>1622</v>
      </c>
    </row>
    <row r="677" spans="1:13" ht="12.75" hidden="1" customHeight="1" x14ac:dyDescent="0.3">
      <c r="A677" s="111">
        <v>46167</v>
      </c>
      <c r="B677" s="113" t="s">
        <v>2049</v>
      </c>
      <c r="C677" s="113" t="s">
        <v>1624</v>
      </c>
      <c r="D677" s="113" t="str">
        <f>IFERROR(VLOOKUP(C677,SKUs!$A$6:$F$1971,6,FALSE()),"")</f>
        <v>CAMISETA FIO EGIPCIO PAN MASC.</v>
      </c>
      <c r="E677" s="113">
        <v>5</v>
      </c>
      <c r="F677" s="113">
        <f>IFERROR(IF(OR(B677="",E677=""),"",E677*VLOOKUP(B677,Configurações!$I$5:$J$15,2,FALSE())),"")</f>
        <v>5</v>
      </c>
      <c r="G677" s="113" t="s">
        <v>1424</v>
      </c>
      <c r="H677" s="113" t="s">
        <v>2058</v>
      </c>
      <c r="I677" s="113"/>
      <c r="J677" s="113"/>
      <c r="K677" s="113" t="s">
        <v>2051</v>
      </c>
      <c r="L677" s="113"/>
      <c r="M677" s="113" t="s">
        <v>1622</v>
      </c>
    </row>
    <row r="678" spans="1:13" ht="12.75" hidden="1" customHeight="1" x14ac:dyDescent="0.3">
      <c r="A678" s="111">
        <v>46167</v>
      </c>
      <c r="B678" s="113" t="s">
        <v>2049</v>
      </c>
      <c r="C678" s="113" t="s">
        <v>1625</v>
      </c>
      <c r="D678" s="113" t="str">
        <f>IFERROR(VLOOKUP(C678,SKUs!$A$6:$F$1971,6,FALSE()),"")</f>
        <v>CAMISETA FIO EGIPCIO PAN MASC.</v>
      </c>
      <c r="E678" s="113">
        <v>25</v>
      </c>
      <c r="F678" s="113">
        <f>IFERROR(IF(OR(B678="",E678=""),"",E678*VLOOKUP(B678,Configurações!$I$5:$J$15,2,FALSE())),"")</f>
        <v>25</v>
      </c>
      <c r="G678" s="113" t="s">
        <v>1424</v>
      </c>
      <c r="H678" s="113" t="s">
        <v>2058</v>
      </c>
      <c r="I678" s="113"/>
      <c r="J678" s="113"/>
      <c r="K678" s="113" t="s">
        <v>2051</v>
      </c>
      <c r="L678" s="113"/>
      <c r="M678" s="113" t="s">
        <v>1622</v>
      </c>
    </row>
    <row r="679" spans="1:13" ht="12.75" hidden="1" customHeight="1" x14ac:dyDescent="0.3">
      <c r="A679" s="111">
        <v>46167</v>
      </c>
      <c r="B679" s="113" t="s">
        <v>2049</v>
      </c>
      <c r="C679" s="113" t="s">
        <v>1626</v>
      </c>
      <c r="D679" s="113" t="str">
        <f>IFERROR(VLOOKUP(C679,SKUs!$A$6:$F$1971,6,FALSE()),"")</f>
        <v>CAMISETA FIO EGIPCIO PAN MASC.</v>
      </c>
      <c r="E679" s="113">
        <v>15</v>
      </c>
      <c r="F679" s="113">
        <f>IFERROR(IF(OR(B679="",E679=""),"",E679*VLOOKUP(B679,Configurações!$I$5:$J$15,2,FALSE())),"")</f>
        <v>15</v>
      </c>
      <c r="G679" s="113" t="s">
        <v>1424</v>
      </c>
      <c r="H679" s="113" t="s">
        <v>2058</v>
      </c>
      <c r="I679" s="113"/>
      <c r="J679" s="113"/>
      <c r="K679" s="113" t="s">
        <v>2051</v>
      </c>
      <c r="L679" s="113"/>
      <c r="M679" s="113" t="s">
        <v>1622</v>
      </c>
    </row>
    <row r="680" spans="1:13" ht="12.75" hidden="1" customHeight="1" x14ac:dyDescent="0.3">
      <c r="A680" s="111">
        <v>46167</v>
      </c>
      <c r="B680" s="113" t="s">
        <v>2049</v>
      </c>
      <c r="C680" s="113" t="s">
        <v>1627</v>
      </c>
      <c r="D680" s="113" t="str">
        <f>IFERROR(VLOOKUP(C680,SKUs!$A$6:$F$1971,6,FALSE()),"")</f>
        <v>POLO EM COTTON -BTG MASC.</v>
      </c>
      <c r="E680" s="113">
        <v>50</v>
      </c>
      <c r="F680" s="113">
        <f>IFERROR(IF(OR(B680="",E680=""),"",E680*VLOOKUP(B680,Configurações!$I$5:$J$15,2,FALSE())),"")</f>
        <v>50</v>
      </c>
      <c r="G680" s="113" t="s">
        <v>1424</v>
      </c>
      <c r="H680" s="113" t="s">
        <v>2058</v>
      </c>
      <c r="I680" s="113"/>
      <c r="J680" s="113"/>
      <c r="K680" s="113" t="s">
        <v>2051</v>
      </c>
      <c r="L680" s="113"/>
      <c r="M680" s="113" t="s">
        <v>1629</v>
      </c>
    </row>
    <row r="681" spans="1:13" ht="12.75" hidden="1" customHeight="1" x14ac:dyDescent="0.3">
      <c r="A681" s="111">
        <v>46167</v>
      </c>
      <c r="B681" s="113" t="s">
        <v>2049</v>
      </c>
      <c r="C681" s="113" t="s">
        <v>1630</v>
      </c>
      <c r="D681" s="113" t="str">
        <f>IFERROR(VLOOKUP(C681,SKUs!$A$6:$F$1971,6,FALSE()),"")</f>
        <v>POLO EM COTTON -BTG MASC.</v>
      </c>
      <c r="E681" s="113">
        <v>50</v>
      </c>
      <c r="F681" s="113">
        <f>IFERROR(IF(OR(B681="",E681=""),"",E681*VLOOKUP(B681,Configurações!$I$5:$J$15,2,FALSE())),"")</f>
        <v>50</v>
      </c>
      <c r="G681" s="113" t="s">
        <v>1424</v>
      </c>
      <c r="H681" s="113" t="s">
        <v>2058</v>
      </c>
      <c r="I681" s="113"/>
      <c r="J681" s="113"/>
      <c r="K681" s="113" t="s">
        <v>2051</v>
      </c>
      <c r="L681" s="113"/>
      <c r="M681" s="113" t="s">
        <v>1631</v>
      </c>
    </row>
    <row r="682" spans="1:13" ht="12.75" hidden="1" customHeight="1" x14ac:dyDescent="0.3">
      <c r="A682" s="111">
        <v>46167</v>
      </c>
      <c r="B682" s="113" t="s">
        <v>2049</v>
      </c>
      <c r="C682" s="113" t="s">
        <v>1630</v>
      </c>
      <c r="D682" s="113" t="str">
        <f>IFERROR(VLOOKUP(C682,SKUs!$A$6:$F$1971,6,FALSE()),"")</f>
        <v>POLO EM COTTON -BTG MASC.</v>
      </c>
      <c r="E682" s="113">
        <v>26</v>
      </c>
      <c r="F682" s="113">
        <f>IFERROR(IF(OR(B682="",E682=""),"",E682*VLOOKUP(B682,Configurações!$I$5:$J$15,2,FALSE())),"")</f>
        <v>26</v>
      </c>
      <c r="G682" s="113" t="s">
        <v>1424</v>
      </c>
      <c r="H682" s="113" t="s">
        <v>2058</v>
      </c>
      <c r="I682" s="113"/>
      <c r="J682" s="113"/>
      <c r="K682" s="113" t="s">
        <v>2051</v>
      </c>
      <c r="L682" s="113"/>
      <c r="M682" s="113" t="s">
        <v>801</v>
      </c>
    </row>
    <row r="683" spans="1:13" ht="12.75" hidden="1" customHeight="1" x14ac:dyDescent="0.3">
      <c r="A683" s="111">
        <v>46167</v>
      </c>
      <c r="B683" s="113" t="s">
        <v>2049</v>
      </c>
      <c r="C683" s="113" t="s">
        <v>1632</v>
      </c>
      <c r="D683" s="113" t="str">
        <f>IFERROR(VLOOKUP(C683,SKUs!$A$6:$F$1971,6,FALSE()),"")</f>
        <v>POLO EM COTTON -BTG MASC.</v>
      </c>
      <c r="E683" s="113">
        <v>9</v>
      </c>
      <c r="F683" s="113">
        <f>IFERROR(IF(OR(B683="",E683=""),"",E683*VLOOKUP(B683,Configurações!$I$5:$J$15,2,FALSE())),"")</f>
        <v>9</v>
      </c>
      <c r="G683" s="113" t="s">
        <v>1424</v>
      </c>
      <c r="H683" s="113" t="s">
        <v>2058</v>
      </c>
      <c r="I683" s="113"/>
      <c r="J683" s="113"/>
      <c r="K683" s="113" t="s">
        <v>2051</v>
      </c>
      <c r="L683" s="113"/>
      <c r="M683" s="113" t="s">
        <v>1633</v>
      </c>
    </row>
    <row r="684" spans="1:13" ht="12.75" hidden="1" customHeight="1" x14ac:dyDescent="0.3">
      <c r="A684" s="111">
        <v>46167</v>
      </c>
      <c r="B684" s="113" t="s">
        <v>2049</v>
      </c>
      <c r="C684" s="113" t="s">
        <v>1634</v>
      </c>
      <c r="D684" s="113" t="str">
        <f>IFERROR(VLOOKUP(C684,SKUs!$A$6:$F$1971,6,FALSE()),"")</f>
        <v>POLO PIQUET MASC.</v>
      </c>
      <c r="E684" s="113">
        <v>30</v>
      </c>
      <c r="F684" s="113">
        <f>IFERROR(IF(OR(B684="",E684=""),"",E684*VLOOKUP(B684,Configurações!$I$5:$J$15,2,FALSE())),"")</f>
        <v>30</v>
      </c>
      <c r="G684" s="113" t="s">
        <v>1424</v>
      </c>
      <c r="H684" s="113" t="s">
        <v>2058</v>
      </c>
      <c r="I684" s="113"/>
      <c r="J684" s="113"/>
      <c r="K684" s="113" t="s">
        <v>2051</v>
      </c>
      <c r="L684" s="113"/>
      <c r="M684" s="113" t="s">
        <v>1636</v>
      </c>
    </row>
    <row r="685" spans="1:13" ht="12.75" hidden="1" customHeight="1" x14ac:dyDescent="0.3">
      <c r="A685" s="111">
        <v>46167</v>
      </c>
      <c r="B685" s="113" t="s">
        <v>2049</v>
      </c>
      <c r="C685" s="113" t="s">
        <v>1637</v>
      </c>
      <c r="D685" s="113" t="str">
        <f>IFERROR(VLOOKUP(C685,SKUs!$A$6:$F$1971,6,FALSE()),"")</f>
        <v>POLO PIQUET MASC.</v>
      </c>
      <c r="E685" s="113">
        <v>25</v>
      </c>
      <c r="F685" s="113">
        <f>IFERROR(IF(OR(B685="",E685=""),"",E685*VLOOKUP(B685,Configurações!$I$5:$J$15,2,FALSE())),"")</f>
        <v>25</v>
      </c>
      <c r="G685" s="113" t="s">
        <v>1424</v>
      </c>
      <c r="H685" s="113" t="s">
        <v>2058</v>
      </c>
      <c r="I685" s="113"/>
      <c r="J685" s="113"/>
      <c r="K685" s="113" t="s">
        <v>2051</v>
      </c>
      <c r="L685" s="113"/>
      <c r="M685" s="113" t="s">
        <v>1638</v>
      </c>
    </row>
    <row r="686" spans="1:13" ht="12.75" hidden="1" customHeight="1" x14ac:dyDescent="0.3">
      <c r="A686" s="111">
        <v>46167</v>
      </c>
      <c r="B686" s="113" t="s">
        <v>2049</v>
      </c>
      <c r="C686" s="113" t="s">
        <v>1639</v>
      </c>
      <c r="D686" s="113" t="str">
        <f>IFERROR(VLOOKUP(C686,SKUs!$A$6:$F$1971,6,FALSE()),"")</f>
        <v>CAMISETA FIO EGIPCIO MASC.</v>
      </c>
      <c r="E686" s="113">
        <v>90</v>
      </c>
      <c r="F686" s="113">
        <f>IFERROR(IF(OR(B686="",E686=""),"",E686*VLOOKUP(B686,Configurações!$I$5:$J$15,2,FALSE())),"")</f>
        <v>90</v>
      </c>
      <c r="G686" s="113" t="s">
        <v>1424</v>
      </c>
      <c r="H686" s="113" t="s">
        <v>2058</v>
      </c>
      <c r="I686" s="113"/>
      <c r="J686" s="113"/>
      <c r="K686" s="113" t="s">
        <v>2051</v>
      </c>
      <c r="L686" s="113"/>
      <c r="M686" s="113" t="s">
        <v>1640</v>
      </c>
    </row>
    <row r="687" spans="1:13" ht="12.75" hidden="1" customHeight="1" x14ac:dyDescent="0.3">
      <c r="A687" s="111">
        <v>46167</v>
      </c>
      <c r="B687" s="113" t="s">
        <v>2049</v>
      </c>
      <c r="C687" s="113" t="s">
        <v>1627</v>
      </c>
      <c r="D687" s="113" t="str">
        <f>IFERROR(VLOOKUP(C687,SKUs!$A$6:$F$1971,6,FALSE()),"")</f>
        <v>POLO EM COTTON -BTG MASC.</v>
      </c>
      <c r="E687" s="113">
        <v>11</v>
      </c>
      <c r="F687" s="113">
        <f>IFERROR(IF(OR(B687="",E687=""),"",E687*VLOOKUP(B687,Configurações!$I$5:$J$15,2,FALSE())),"")</f>
        <v>11</v>
      </c>
      <c r="G687" s="113" t="s">
        <v>1424</v>
      </c>
      <c r="H687" s="113" t="s">
        <v>2058</v>
      </c>
      <c r="I687" s="113"/>
      <c r="J687" s="113"/>
      <c r="K687" s="113" t="s">
        <v>2051</v>
      </c>
      <c r="L687" s="113"/>
      <c r="M687" s="113" t="s">
        <v>1641</v>
      </c>
    </row>
    <row r="688" spans="1:13" ht="12.75" hidden="1" customHeight="1" x14ac:dyDescent="0.3">
      <c r="A688" s="111">
        <v>46167</v>
      </c>
      <c r="B688" s="113" t="s">
        <v>2049</v>
      </c>
      <c r="C688" s="113" t="s">
        <v>1642</v>
      </c>
      <c r="D688" s="113" t="str">
        <f>IFERROR(VLOOKUP(C688,SKUs!$A$6:$F$1971,6,FALSE()),"")</f>
        <v>POLO EM COTTON -BTG MASC.</v>
      </c>
      <c r="E688" s="113">
        <v>26</v>
      </c>
      <c r="F688" s="113">
        <f>IFERROR(IF(OR(B688="",E688=""),"",E688*VLOOKUP(B688,Configurações!$I$5:$J$15,2,FALSE())),"")</f>
        <v>26</v>
      </c>
      <c r="G688" s="113" t="s">
        <v>1424</v>
      </c>
      <c r="H688" s="113" t="s">
        <v>2058</v>
      </c>
      <c r="I688" s="113"/>
      <c r="J688" s="113"/>
      <c r="K688" s="113" t="s">
        <v>2051</v>
      </c>
      <c r="L688" s="113"/>
      <c r="M688" s="113" t="s">
        <v>1641</v>
      </c>
    </row>
    <row r="689" spans="1:13" ht="12.75" hidden="1" customHeight="1" x14ac:dyDescent="0.3">
      <c r="A689" s="111">
        <v>46167</v>
      </c>
      <c r="B689" s="113" t="s">
        <v>2049</v>
      </c>
      <c r="C689" s="113" t="s">
        <v>1643</v>
      </c>
      <c r="D689" s="113" t="str">
        <f>IFERROR(VLOOKUP(C689,SKUs!$A$6:$F$1971,6,FALSE()),"")</f>
        <v>POLO EM COTTON -BTG MASC.</v>
      </c>
      <c r="E689" s="113">
        <v>57</v>
      </c>
      <c r="F689" s="113">
        <f>IFERROR(IF(OR(B689="",E689=""),"",E689*VLOOKUP(B689,Configurações!$I$5:$J$15,2,FALSE())),"")</f>
        <v>57</v>
      </c>
      <c r="G689" s="113" t="s">
        <v>1424</v>
      </c>
      <c r="H689" s="113" t="s">
        <v>2058</v>
      </c>
      <c r="I689" s="113"/>
      <c r="J689" s="113"/>
      <c r="K689" s="113" t="s">
        <v>2051</v>
      </c>
      <c r="L689" s="113"/>
      <c r="M689" s="113" t="s">
        <v>1644</v>
      </c>
    </row>
    <row r="690" spans="1:13" ht="12.75" hidden="1" customHeight="1" x14ac:dyDescent="0.3">
      <c r="A690" s="111">
        <v>46167</v>
      </c>
      <c r="B690" s="113" t="s">
        <v>2049</v>
      </c>
      <c r="C690" s="113" t="s">
        <v>1643</v>
      </c>
      <c r="D690" s="113" t="str">
        <f>IFERROR(VLOOKUP(C690,SKUs!$A$6:$F$1971,6,FALSE()),"")</f>
        <v>POLO EM COTTON -BTG MASC.</v>
      </c>
      <c r="E690" s="113">
        <v>10</v>
      </c>
      <c r="F690" s="113">
        <f>IFERROR(IF(OR(B690="",E690=""),"",E690*VLOOKUP(B690,Configurações!$I$5:$J$15,2,FALSE())),"")</f>
        <v>10</v>
      </c>
      <c r="G690" s="113" t="s">
        <v>1424</v>
      </c>
      <c r="H690" s="113" t="s">
        <v>2058</v>
      </c>
      <c r="I690" s="113"/>
      <c r="J690" s="113"/>
      <c r="K690" s="113" t="s">
        <v>2051</v>
      </c>
      <c r="L690" s="113"/>
      <c r="M690" s="113" t="s">
        <v>1645</v>
      </c>
    </row>
    <row r="691" spans="1:13" ht="12.75" hidden="1" customHeight="1" x14ac:dyDescent="0.3">
      <c r="A691" s="111">
        <v>46167</v>
      </c>
      <c r="B691" s="113" t="s">
        <v>2049</v>
      </c>
      <c r="C691" s="113" t="s">
        <v>1630</v>
      </c>
      <c r="D691" s="113" t="str">
        <f>IFERROR(VLOOKUP(C691,SKUs!$A$6:$F$1971,6,FALSE()),"")</f>
        <v>POLO EM COTTON -BTG MASC.</v>
      </c>
      <c r="E691" s="113">
        <v>40</v>
      </c>
      <c r="F691" s="113">
        <f>IFERROR(IF(OR(B691="",E691=""),"",E691*VLOOKUP(B691,Configurações!$I$5:$J$15,2,FALSE())),"")</f>
        <v>40</v>
      </c>
      <c r="G691" s="113" t="s">
        <v>1424</v>
      </c>
      <c r="H691" s="113" t="s">
        <v>2058</v>
      </c>
      <c r="I691" s="113"/>
      <c r="J691" s="113"/>
      <c r="K691" s="113" t="s">
        <v>2051</v>
      </c>
      <c r="L691" s="113"/>
      <c r="M691" s="113" t="s">
        <v>1645</v>
      </c>
    </row>
    <row r="692" spans="1:13" ht="12.75" hidden="1" customHeight="1" x14ac:dyDescent="0.3">
      <c r="A692" s="111">
        <v>46167</v>
      </c>
      <c r="B692" s="113" t="s">
        <v>2049</v>
      </c>
      <c r="C692" s="113" t="s">
        <v>1630</v>
      </c>
      <c r="D692" s="113" t="str">
        <f>IFERROR(VLOOKUP(C692,SKUs!$A$6:$F$1971,6,FALSE()),"")</f>
        <v>POLO EM COTTON -BTG MASC.</v>
      </c>
      <c r="E692" s="113">
        <v>30</v>
      </c>
      <c r="F692" s="113">
        <f>IFERROR(IF(OR(B692="",E692=""),"",E692*VLOOKUP(B692,Configurações!$I$5:$J$15,2,FALSE())),"")</f>
        <v>30</v>
      </c>
      <c r="G692" s="113" t="s">
        <v>1424</v>
      </c>
      <c r="H692" s="113" t="s">
        <v>2058</v>
      </c>
      <c r="I692" s="113"/>
      <c r="J692" s="113"/>
      <c r="K692" s="113" t="s">
        <v>2051</v>
      </c>
      <c r="L692" s="113"/>
      <c r="M692" s="113" t="s">
        <v>1646</v>
      </c>
    </row>
    <row r="693" spans="1:13" ht="12.75" hidden="1" customHeight="1" x14ac:dyDescent="0.3">
      <c r="A693" s="111">
        <v>46167</v>
      </c>
      <c r="B693" s="113" t="s">
        <v>2049</v>
      </c>
      <c r="C693" s="113" t="s">
        <v>1647</v>
      </c>
      <c r="D693" s="113" t="str">
        <f>IFERROR(VLOOKUP(C693,SKUs!$A$6:$F$1971,6,FALSE()),"")</f>
        <v>CAMISETA FIO EGIPCIO FEM.</v>
      </c>
      <c r="E693" s="113">
        <v>3</v>
      </c>
      <c r="F693" s="113">
        <f>IFERROR(IF(OR(B693="",E693=""),"",E693*VLOOKUP(B693,Configurações!$I$5:$J$15,2,FALSE())),"")</f>
        <v>3</v>
      </c>
      <c r="G693" s="113" t="s">
        <v>1424</v>
      </c>
      <c r="H693" s="113" t="s">
        <v>2058</v>
      </c>
      <c r="I693" s="113"/>
      <c r="J693" s="113"/>
      <c r="K693" s="113" t="s">
        <v>2051</v>
      </c>
      <c r="L693" s="113"/>
      <c r="M693" s="113" t="s">
        <v>1648</v>
      </c>
    </row>
    <row r="694" spans="1:13" ht="12.75" hidden="1" customHeight="1" x14ac:dyDescent="0.3">
      <c r="A694" s="111">
        <v>46167</v>
      </c>
      <c r="B694" s="113" t="s">
        <v>2049</v>
      </c>
      <c r="C694" s="113" t="s">
        <v>1649</v>
      </c>
      <c r="D694" s="113" t="str">
        <f>IFERROR(VLOOKUP(C694,SKUs!$A$6:$F$1971,6,FALSE()),"")</f>
        <v>CAMISETA FIO EGIPCIO PAN FEM.</v>
      </c>
      <c r="E694" s="113">
        <v>15</v>
      </c>
      <c r="F694" s="113">
        <f>IFERROR(IF(OR(B694="",E694=""),"",E694*VLOOKUP(B694,Configurações!$I$5:$J$15,2,FALSE())),"")</f>
        <v>15</v>
      </c>
      <c r="G694" s="113" t="s">
        <v>1424</v>
      </c>
      <c r="H694" s="113" t="s">
        <v>2058</v>
      </c>
      <c r="I694" s="113"/>
      <c r="J694" s="113"/>
      <c r="K694" s="113" t="s">
        <v>2051</v>
      </c>
      <c r="L694" s="113"/>
      <c r="M694" s="113" t="s">
        <v>1648</v>
      </c>
    </row>
    <row r="695" spans="1:13" ht="12.75" hidden="1" customHeight="1" x14ac:dyDescent="0.3">
      <c r="A695" s="111">
        <v>46167</v>
      </c>
      <c r="B695" s="113" t="s">
        <v>2049</v>
      </c>
      <c r="C695" s="113" t="s">
        <v>1652</v>
      </c>
      <c r="D695" s="113" t="str">
        <f>IFERROR(VLOOKUP(C695,SKUs!$A$6:$F$1971,6,FALSE()),"")</f>
        <v>CAMISETA FIO EGIPCIO PAN FEM.</v>
      </c>
      <c r="E695" s="113">
        <v>34</v>
      </c>
      <c r="F695" s="113">
        <f>IFERROR(IF(OR(B695="",E695=""),"",E695*VLOOKUP(B695,Configurações!$I$5:$J$15,2,FALSE())),"")</f>
        <v>34</v>
      </c>
      <c r="G695" s="113" t="s">
        <v>1424</v>
      </c>
      <c r="H695" s="113" t="s">
        <v>2058</v>
      </c>
      <c r="I695" s="113"/>
      <c r="J695" s="113"/>
      <c r="K695" s="113" t="s">
        <v>2051</v>
      </c>
      <c r="L695" s="113"/>
      <c r="M695" s="113" t="s">
        <v>1648</v>
      </c>
    </row>
    <row r="696" spans="1:13" ht="12.75" hidden="1" customHeight="1" x14ac:dyDescent="0.3">
      <c r="A696" s="111">
        <v>46167</v>
      </c>
      <c r="B696" s="113" t="s">
        <v>2049</v>
      </c>
      <c r="C696" s="113" t="s">
        <v>1653</v>
      </c>
      <c r="D696" s="113" t="str">
        <f>IFERROR(VLOOKUP(C696,SKUs!$A$6:$F$1971,6,FALSE()),"")</f>
        <v>CAMISETA FIO EGIPCIO PAN FEM.</v>
      </c>
      <c r="E696" s="113">
        <v>21</v>
      </c>
      <c r="F696" s="113">
        <f>IFERROR(IF(OR(B696="",E696=""),"",E696*VLOOKUP(B696,Configurações!$I$5:$J$15,2,FALSE())),"")</f>
        <v>21</v>
      </c>
      <c r="G696" s="113" t="s">
        <v>1424</v>
      </c>
      <c r="H696" s="113" t="s">
        <v>2058</v>
      </c>
      <c r="I696" s="113"/>
      <c r="J696" s="113"/>
      <c r="K696" s="113" t="s">
        <v>2051</v>
      </c>
      <c r="L696" s="113"/>
      <c r="M696" s="113" t="s">
        <v>1648</v>
      </c>
    </row>
    <row r="697" spans="1:13" ht="12.75" hidden="1" customHeight="1" x14ac:dyDescent="0.3">
      <c r="A697" s="111">
        <v>46167</v>
      </c>
      <c r="B697" s="113" t="s">
        <v>2049</v>
      </c>
      <c r="C697" s="113" t="s">
        <v>1654</v>
      </c>
      <c r="D697" s="113" t="str">
        <f>IFERROR(VLOOKUP(C697,SKUs!$A$6:$F$1971,6,FALSE()),"")</f>
        <v>CAMISETA FIO EGIPCIO PAN FEM.</v>
      </c>
      <c r="E697" s="113">
        <v>12</v>
      </c>
      <c r="F697" s="113">
        <f>IFERROR(IF(OR(B697="",E697=""),"",E697*VLOOKUP(B697,Configurações!$I$5:$J$15,2,FALSE())),"")</f>
        <v>12</v>
      </c>
      <c r="G697" s="113" t="s">
        <v>1424</v>
      </c>
      <c r="H697" s="113" t="s">
        <v>2058</v>
      </c>
      <c r="I697" s="113"/>
      <c r="J697" s="113"/>
      <c r="K697" s="113" t="s">
        <v>2051</v>
      </c>
      <c r="L697" s="113"/>
      <c r="M697" s="113" t="s">
        <v>1648</v>
      </c>
    </row>
    <row r="698" spans="1:13" ht="12.75" hidden="1" customHeight="1" x14ac:dyDescent="0.3">
      <c r="A698" s="111">
        <v>46167</v>
      </c>
      <c r="B698" s="113" t="s">
        <v>2049</v>
      </c>
      <c r="C698" s="113" t="s">
        <v>1655</v>
      </c>
      <c r="D698" s="113" t="str">
        <f>IFERROR(VLOOKUP(C698,SKUs!$A$6:$F$1971,6,FALSE()),"")</f>
        <v>CAMISETA FIO EGIPCIO PAN MASC.</v>
      </c>
      <c r="E698" s="113">
        <v>22</v>
      </c>
      <c r="F698" s="113">
        <f>IFERROR(IF(OR(B698="",E698=""),"",E698*VLOOKUP(B698,Configurações!$I$5:$J$15,2,FALSE())),"")</f>
        <v>22</v>
      </c>
      <c r="G698" s="113" t="s">
        <v>1424</v>
      </c>
      <c r="H698" s="113" t="s">
        <v>2058</v>
      </c>
      <c r="I698" s="113"/>
      <c r="J698" s="113"/>
      <c r="K698" s="113" t="s">
        <v>2051</v>
      </c>
      <c r="L698" s="113"/>
      <c r="M698" s="113" t="s">
        <v>1656</v>
      </c>
    </row>
    <row r="699" spans="1:13" ht="12.75" hidden="1" customHeight="1" x14ac:dyDescent="0.3">
      <c r="A699" s="111">
        <v>46167</v>
      </c>
      <c r="B699" s="113" t="s">
        <v>2049</v>
      </c>
      <c r="C699" s="113" t="s">
        <v>1657</v>
      </c>
      <c r="D699" s="113" t="str">
        <f>IFERROR(VLOOKUP(C699,SKUs!$A$6:$F$1971,6,FALSE()),"")</f>
        <v>CAMISETA FIO EGIPCIO PAN MASC.</v>
      </c>
      <c r="E699" s="113">
        <v>52</v>
      </c>
      <c r="F699" s="113">
        <f>IFERROR(IF(OR(B699="",E699=""),"",E699*VLOOKUP(B699,Configurações!$I$5:$J$15,2,FALSE())),"")</f>
        <v>52</v>
      </c>
      <c r="G699" s="113" t="s">
        <v>1424</v>
      </c>
      <c r="H699" s="113" t="s">
        <v>2058</v>
      </c>
      <c r="I699" s="113"/>
      <c r="J699" s="113"/>
      <c r="K699" s="113" t="s">
        <v>2051</v>
      </c>
      <c r="L699" s="113"/>
      <c r="M699" s="113" t="s">
        <v>1656</v>
      </c>
    </row>
    <row r="700" spans="1:13" ht="12.75" hidden="1" customHeight="1" x14ac:dyDescent="0.3">
      <c r="A700" s="111">
        <v>46167</v>
      </c>
      <c r="B700" s="113" t="s">
        <v>2049</v>
      </c>
      <c r="C700" s="113" t="s">
        <v>1658</v>
      </c>
      <c r="D700" s="113" t="str">
        <f>IFERROR(VLOOKUP(C700,SKUs!$A$6:$F$1971,6,FALSE()),"")</f>
        <v>CAMISETA FIO EGIPCIO PAN MASC.</v>
      </c>
      <c r="E700" s="113">
        <v>21</v>
      </c>
      <c r="F700" s="113">
        <f>IFERROR(IF(OR(B700="",E700=""),"",E700*VLOOKUP(B700,Configurações!$I$5:$J$15,2,FALSE())),"")</f>
        <v>21</v>
      </c>
      <c r="G700" s="113" t="s">
        <v>1424</v>
      </c>
      <c r="H700" s="113" t="s">
        <v>2058</v>
      </c>
      <c r="I700" s="113"/>
      <c r="J700" s="113"/>
      <c r="K700" s="113" t="s">
        <v>2051</v>
      </c>
      <c r="L700" s="113"/>
      <c r="M700" s="113" t="s">
        <v>1659</v>
      </c>
    </row>
    <row r="701" spans="1:13" ht="12.75" hidden="1" customHeight="1" x14ac:dyDescent="0.3">
      <c r="A701" s="111">
        <v>46167</v>
      </c>
      <c r="B701" s="113" t="s">
        <v>2049</v>
      </c>
      <c r="C701" s="113" t="s">
        <v>1660</v>
      </c>
      <c r="D701" s="113" t="str">
        <f>IFERROR(VLOOKUP(C701,SKUs!$A$6:$F$1971,6,FALSE()),"")</f>
        <v>CAMISETA FIO EGIPCIO PAN MASC.</v>
      </c>
      <c r="E701" s="113">
        <v>49</v>
      </c>
      <c r="F701" s="113">
        <f>IFERROR(IF(OR(B701="",E701=""),"",E701*VLOOKUP(B701,Configurações!$I$5:$J$15,2,FALSE())),"")</f>
        <v>49</v>
      </c>
      <c r="G701" s="113" t="s">
        <v>1424</v>
      </c>
      <c r="H701" s="113" t="s">
        <v>2058</v>
      </c>
      <c r="I701" s="113"/>
      <c r="J701" s="113"/>
      <c r="K701" s="113" t="s">
        <v>2051</v>
      </c>
      <c r="L701" s="113"/>
      <c r="M701" s="113" t="s">
        <v>1659</v>
      </c>
    </row>
    <row r="702" spans="1:13" ht="12.75" hidden="1" customHeight="1" x14ac:dyDescent="0.3">
      <c r="A702" s="111">
        <v>46167</v>
      </c>
      <c r="B702" s="113" t="s">
        <v>2049</v>
      </c>
      <c r="C702" s="113" t="s">
        <v>1661</v>
      </c>
      <c r="D702" s="113" t="str">
        <f>IFERROR(VLOOKUP(C702,SKUs!$A$6:$F$1971,6,FALSE()),"")</f>
        <v>CAMISETA FIO EGIPCIO PAN MASC.</v>
      </c>
      <c r="E702" s="113">
        <v>1</v>
      </c>
      <c r="F702" s="113">
        <f>IFERROR(IF(OR(B702="",E702=""),"",E702*VLOOKUP(B702,Configurações!$I$5:$J$15,2,FALSE())),"")</f>
        <v>1</v>
      </c>
      <c r="G702" s="113" t="s">
        <v>1424</v>
      </c>
      <c r="H702" s="113" t="s">
        <v>2058</v>
      </c>
      <c r="I702" s="113"/>
      <c r="J702" s="113"/>
      <c r="K702" s="113" t="s">
        <v>2051</v>
      </c>
      <c r="L702" s="113"/>
      <c r="M702" s="113" t="s">
        <v>1659</v>
      </c>
    </row>
    <row r="703" spans="1:13" ht="12.75" hidden="1" customHeight="1" x14ac:dyDescent="0.3">
      <c r="A703" s="111">
        <v>46167</v>
      </c>
      <c r="B703" s="113" t="s">
        <v>2049</v>
      </c>
      <c r="C703" s="113" t="s">
        <v>1662</v>
      </c>
      <c r="D703" s="113" t="str">
        <f>IFERROR(VLOOKUP(C703,SKUs!$A$6:$F$1971,6,FALSE()),"")</f>
        <v>CAMISETA FIO EGIPCIO PAN MASC.</v>
      </c>
      <c r="E703" s="113">
        <v>12</v>
      </c>
      <c r="F703" s="113">
        <f>IFERROR(IF(OR(B703="",E703=""),"",E703*VLOOKUP(B703,Configurações!$I$5:$J$15,2,FALSE())),"")</f>
        <v>12</v>
      </c>
      <c r="G703" s="113" t="s">
        <v>1424</v>
      </c>
      <c r="H703" s="113" t="s">
        <v>2058</v>
      </c>
      <c r="I703" s="113"/>
      <c r="J703" s="113"/>
      <c r="K703" s="113" t="s">
        <v>2051</v>
      </c>
      <c r="L703" s="113"/>
      <c r="M703" s="113" t="s">
        <v>1659</v>
      </c>
    </row>
    <row r="704" spans="1:13" ht="12.75" hidden="1" customHeight="1" x14ac:dyDescent="0.3">
      <c r="A704" s="111">
        <v>46167</v>
      </c>
      <c r="B704" s="113" t="s">
        <v>2049</v>
      </c>
      <c r="C704" s="113" t="s">
        <v>1663</v>
      </c>
      <c r="D704" s="113" t="str">
        <f>IFERROR(VLOOKUP(C704,SKUs!$A$6:$F$1971,6,FALSE()),"")</f>
        <v>CAMISETA FIO EGIPCIO PAN FEM.</v>
      </c>
      <c r="E704" s="113">
        <v>4</v>
      </c>
      <c r="F704" s="113">
        <f>IFERROR(IF(OR(B704="",E704=""),"",E704*VLOOKUP(B704,Configurações!$I$5:$J$15,2,FALSE())),"")</f>
        <v>4</v>
      </c>
      <c r="G704" s="113" t="s">
        <v>1424</v>
      </c>
      <c r="H704" s="113" t="s">
        <v>2058</v>
      </c>
      <c r="I704" s="113"/>
      <c r="J704" s="113"/>
      <c r="K704" s="113" t="s">
        <v>2051</v>
      </c>
      <c r="L704" s="113"/>
      <c r="M704" s="113" t="s">
        <v>1664</v>
      </c>
    </row>
    <row r="705" spans="1:13" ht="12.75" hidden="1" customHeight="1" x14ac:dyDescent="0.3">
      <c r="A705" s="111">
        <v>46167</v>
      </c>
      <c r="B705" s="113" t="s">
        <v>2049</v>
      </c>
      <c r="C705" s="113" t="s">
        <v>1665</v>
      </c>
      <c r="D705" s="113" t="str">
        <f>IFERROR(VLOOKUP(C705,SKUs!$A$6:$F$1971,6,FALSE()),"")</f>
        <v>CAMISETA FIO EGIPCIO PAN FEM.</v>
      </c>
      <c r="E705" s="113">
        <v>16</v>
      </c>
      <c r="F705" s="113">
        <f>IFERROR(IF(OR(B705="",E705=""),"",E705*VLOOKUP(B705,Configurações!$I$5:$J$15,2,FALSE())),"")</f>
        <v>16</v>
      </c>
      <c r="G705" s="113" t="s">
        <v>1424</v>
      </c>
      <c r="H705" s="113" t="s">
        <v>2058</v>
      </c>
      <c r="I705" s="113"/>
      <c r="J705" s="113"/>
      <c r="K705" s="113" t="s">
        <v>2051</v>
      </c>
      <c r="L705" s="113"/>
      <c r="M705" s="113" t="s">
        <v>1664</v>
      </c>
    </row>
    <row r="706" spans="1:13" ht="12.75" hidden="1" customHeight="1" x14ac:dyDescent="0.3">
      <c r="A706" s="111">
        <v>46167</v>
      </c>
      <c r="B706" s="113" t="s">
        <v>2049</v>
      </c>
      <c r="C706" s="113" t="s">
        <v>1666</v>
      </c>
      <c r="D706" s="113" t="str">
        <f>IFERROR(VLOOKUP(C706,SKUs!$A$6:$F$1971,6,FALSE()),"")</f>
        <v>CAMISETA FIO EGIPCIO PAN FEM.</v>
      </c>
      <c r="E706" s="113">
        <v>4</v>
      </c>
      <c r="F706" s="113">
        <f>IFERROR(IF(OR(B706="",E706=""),"",E706*VLOOKUP(B706,Configurações!$I$5:$J$15,2,FALSE())),"")</f>
        <v>4</v>
      </c>
      <c r="G706" s="113" t="s">
        <v>1424</v>
      </c>
      <c r="H706" s="113" t="s">
        <v>2058</v>
      </c>
      <c r="I706" s="113"/>
      <c r="J706" s="113"/>
      <c r="K706" s="113" t="s">
        <v>2051</v>
      </c>
      <c r="L706" s="113"/>
      <c r="M706" s="113" t="s">
        <v>1664</v>
      </c>
    </row>
    <row r="707" spans="1:13" ht="12.75" hidden="1" customHeight="1" x14ac:dyDescent="0.3">
      <c r="A707" s="111">
        <v>46167</v>
      </c>
      <c r="B707" s="113" t="s">
        <v>2049</v>
      </c>
      <c r="C707" s="113" t="s">
        <v>1667</v>
      </c>
      <c r="D707" s="113" t="str">
        <f>IFERROR(VLOOKUP(C707,SKUs!$A$6:$F$1971,6,FALSE()),"")</f>
        <v>CAMISETA FIO EGIPCIO PAN FEM.</v>
      </c>
      <c r="E707" s="113">
        <v>10</v>
      </c>
      <c r="F707" s="113">
        <f>IFERROR(IF(OR(B707="",E707=""),"",E707*VLOOKUP(B707,Configurações!$I$5:$J$15,2,FALSE())),"")</f>
        <v>10</v>
      </c>
      <c r="G707" s="113" t="s">
        <v>1424</v>
      </c>
      <c r="H707" s="113" t="s">
        <v>2058</v>
      </c>
      <c r="I707" s="113"/>
      <c r="J707" s="113"/>
      <c r="K707" s="113" t="s">
        <v>2051</v>
      </c>
      <c r="L707" s="113"/>
      <c r="M707" s="113" t="s">
        <v>1664</v>
      </c>
    </row>
    <row r="708" spans="1:13" ht="12.75" hidden="1" customHeight="1" x14ac:dyDescent="0.3">
      <c r="A708" s="111">
        <v>46167</v>
      </c>
      <c r="B708" s="113" t="s">
        <v>2049</v>
      </c>
      <c r="C708" s="113" t="s">
        <v>1668</v>
      </c>
      <c r="D708" s="113" t="str">
        <f>IFERROR(VLOOKUP(C708,SKUs!$A$6:$F$1971,6,FALSE()),"")</f>
        <v>POLO BASICA MASC.</v>
      </c>
      <c r="E708" s="113">
        <v>35</v>
      </c>
      <c r="F708" s="113">
        <f>IFERROR(IF(OR(B708="",E708=""),"",E708*VLOOKUP(B708,Configurações!$I$5:$J$15,2,FALSE())),"")</f>
        <v>35</v>
      </c>
      <c r="G708" s="113" t="s">
        <v>1424</v>
      </c>
      <c r="H708" s="113" t="s">
        <v>2058</v>
      </c>
      <c r="I708" s="113"/>
      <c r="J708" s="113"/>
      <c r="K708" s="113" t="s">
        <v>2051</v>
      </c>
      <c r="L708" s="113"/>
      <c r="M708" s="113" t="s">
        <v>1669</v>
      </c>
    </row>
    <row r="709" spans="1:13" ht="12.75" hidden="1" customHeight="1" x14ac:dyDescent="0.3">
      <c r="A709" s="111">
        <v>46167</v>
      </c>
      <c r="B709" s="113" t="s">
        <v>2049</v>
      </c>
      <c r="C709" s="113" t="s">
        <v>1670</v>
      </c>
      <c r="D709" s="113" t="str">
        <f>IFERROR(VLOOKUP(C709,SKUs!$A$6:$F$1971,6,FALSE()),"")</f>
        <v>POLO BASICA MASC.</v>
      </c>
      <c r="E709" s="113">
        <v>17</v>
      </c>
      <c r="F709" s="113">
        <f>IFERROR(IF(OR(B709="",E709=""),"",E709*VLOOKUP(B709,Configurações!$I$5:$J$15,2,FALSE())),"")</f>
        <v>17</v>
      </c>
      <c r="G709" s="113" t="s">
        <v>1424</v>
      </c>
      <c r="H709" s="113" t="s">
        <v>2058</v>
      </c>
      <c r="I709" s="113"/>
      <c r="J709" s="113"/>
      <c r="K709" s="113" t="s">
        <v>2051</v>
      </c>
      <c r="L709" s="113"/>
      <c r="M709" s="113" t="s">
        <v>1669</v>
      </c>
    </row>
    <row r="710" spans="1:13" ht="12.75" hidden="1" customHeight="1" x14ac:dyDescent="0.3">
      <c r="A710" s="111">
        <v>46167</v>
      </c>
      <c r="B710" s="113" t="s">
        <v>2049</v>
      </c>
      <c r="C710" s="113" t="s">
        <v>1670</v>
      </c>
      <c r="D710" s="113" t="str">
        <f>IFERROR(VLOOKUP(C710,SKUs!$A$6:$F$1971,6,FALSE()),"")</f>
        <v>POLO BASICA MASC.</v>
      </c>
      <c r="E710" s="113">
        <v>50</v>
      </c>
      <c r="F710" s="113">
        <f>IFERROR(IF(OR(B710="",E710=""),"",E710*VLOOKUP(B710,Configurações!$I$5:$J$15,2,FALSE())),"")</f>
        <v>50</v>
      </c>
      <c r="G710" s="113" t="s">
        <v>1424</v>
      </c>
      <c r="H710" s="113" t="s">
        <v>2058</v>
      </c>
      <c r="I710" s="113"/>
      <c r="J710" s="113"/>
      <c r="K710" s="113" t="s">
        <v>2051</v>
      </c>
      <c r="L710" s="113"/>
      <c r="M710" s="113" t="s">
        <v>957</v>
      </c>
    </row>
    <row r="711" spans="1:13" ht="12.75" hidden="1" customHeight="1" x14ac:dyDescent="0.3">
      <c r="A711" s="111">
        <v>46167</v>
      </c>
      <c r="B711" s="113" t="s">
        <v>2049</v>
      </c>
      <c r="C711" s="113" t="s">
        <v>1671</v>
      </c>
      <c r="D711" s="113" t="str">
        <f>IFERROR(VLOOKUP(C711,SKUs!$A$6:$F$1971,6,FALSE()),"")</f>
        <v>POLO BASICA MASC.</v>
      </c>
      <c r="E711" s="113">
        <v>20</v>
      </c>
      <c r="F711" s="113">
        <f>IFERROR(IF(OR(B711="",E711=""),"",E711*VLOOKUP(B711,Configurações!$I$5:$J$15,2,FALSE())),"")</f>
        <v>20</v>
      </c>
      <c r="G711" s="113" t="s">
        <v>1424</v>
      </c>
      <c r="H711" s="113" t="s">
        <v>2058</v>
      </c>
      <c r="I711" s="113"/>
      <c r="J711" s="113"/>
      <c r="K711" s="113" t="s">
        <v>2051</v>
      </c>
      <c r="L711" s="113"/>
      <c r="M711" s="113" t="s">
        <v>1672</v>
      </c>
    </row>
    <row r="712" spans="1:13" ht="12.75" hidden="1" customHeight="1" x14ac:dyDescent="0.3">
      <c r="A712" s="111">
        <v>46167</v>
      </c>
      <c r="B712" s="113" t="s">
        <v>2049</v>
      </c>
      <c r="C712" s="113" t="s">
        <v>1668</v>
      </c>
      <c r="D712" s="113" t="str">
        <f>IFERROR(VLOOKUP(C712,SKUs!$A$6:$F$1971,6,FALSE()),"")</f>
        <v>POLO BASICA MASC.</v>
      </c>
      <c r="E712" s="113">
        <v>10</v>
      </c>
      <c r="F712" s="113">
        <f>IFERROR(IF(OR(B712="",E712=""),"",E712*VLOOKUP(B712,Configurações!$I$5:$J$15,2,FALSE())),"")</f>
        <v>10</v>
      </c>
      <c r="G712" s="113" t="s">
        <v>1424</v>
      </c>
      <c r="H712" s="113" t="s">
        <v>2058</v>
      </c>
      <c r="I712" s="113"/>
      <c r="J712" s="113"/>
      <c r="K712" s="113" t="s">
        <v>2051</v>
      </c>
      <c r="L712" s="113"/>
      <c r="M712" s="113" t="s">
        <v>1672</v>
      </c>
    </row>
    <row r="713" spans="1:13" ht="12.75" hidden="1" customHeight="1" x14ac:dyDescent="0.3">
      <c r="A713" s="111">
        <v>46167</v>
      </c>
      <c r="B713" s="113" t="s">
        <v>2049</v>
      </c>
      <c r="C713" s="113" t="s">
        <v>1668</v>
      </c>
      <c r="D713" s="113" t="str">
        <f>IFERROR(VLOOKUP(C713,SKUs!$A$6:$F$1971,6,FALSE()),"")</f>
        <v>POLO BASICA MASC.</v>
      </c>
      <c r="E713" s="113">
        <v>55</v>
      </c>
      <c r="F713" s="113">
        <f>IFERROR(IF(OR(B713="",E713=""),"",E713*VLOOKUP(B713,Configurações!$I$5:$J$15,2,FALSE())),"")</f>
        <v>55</v>
      </c>
      <c r="G713" s="113" t="s">
        <v>1424</v>
      </c>
      <c r="H713" s="113" t="s">
        <v>2058</v>
      </c>
      <c r="I713" s="113"/>
      <c r="J713" s="113"/>
      <c r="K713" s="113" t="s">
        <v>2051</v>
      </c>
      <c r="L713" s="113"/>
      <c r="M713" s="113" t="s">
        <v>1673</v>
      </c>
    </row>
    <row r="714" spans="1:13" ht="12.75" hidden="1" customHeight="1" x14ac:dyDescent="0.3">
      <c r="A714" s="111">
        <v>46167</v>
      </c>
      <c r="B714" s="113" t="s">
        <v>2049</v>
      </c>
      <c r="C714" s="113" t="s">
        <v>1630</v>
      </c>
      <c r="D714" s="113" t="str">
        <f>IFERROR(VLOOKUP(C714,SKUs!$A$6:$F$1971,6,FALSE()),"")</f>
        <v>POLO EM COTTON -BTG MASC.</v>
      </c>
      <c r="E714" s="113">
        <v>45</v>
      </c>
      <c r="F714" s="113">
        <f>IFERROR(IF(OR(B714="",E714=""),"",E714*VLOOKUP(B714,Configurações!$I$5:$J$15,2,FALSE())),"")</f>
        <v>45</v>
      </c>
      <c r="G714" s="113" t="s">
        <v>1424</v>
      </c>
      <c r="H714" s="113" t="s">
        <v>2058</v>
      </c>
      <c r="I714" s="113"/>
      <c r="J714" s="113"/>
      <c r="K714" s="113" t="s">
        <v>2051</v>
      </c>
      <c r="L714" s="113"/>
      <c r="M714" s="113" t="s">
        <v>1674</v>
      </c>
    </row>
    <row r="715" spans="1:13" ht="12.75" hidden="1" customHeight="1" x14ac:dyDescent="0.3">
      <c r="A715" s="111">
        <v>46167</v>
      </c>
      <c r="B715" s="113" t="s">
        <v>2049</v>
      </c>
      <c r="C715" s="113" t="s">
        <v>1675</v>
      </c>
      <c r="D715" s="113" t="str">
        <f>IFERROR(VLOOKUP(C715,SKUs!$A$6:$F$1971,6,FALSE()),"")</f>
        <v>LANCHEIRA TERMICA</v>
      </c>
      <c r="E715" s="113">
        <v>12</v>
      </c>
      <c r="F715" s="113">
        <f>IFERROR(IF(OR(B715="",E715=""),"",E715*VLOOKUP(B715,Configurações!$I$5:$J$15,2,FALSE())),"")</f>
        <v>12</v>
      </c>
      <c r="G715" s="113" t="s">
        <v>1424</v>
      </c>
      <c r="H715" s="113" t="s">
        <v>2058</v>
      </c>
      <c r="I715" s="113"/>
      <c r="J715" s="113"/>
      <c r="K715" s="113" t="s">
        <v>2051</v>
      </c>
      <c r="L715" s="113"/>
      <c r="M715" s="113" t="s">
        <v>1678</v>
      </c>
    </row>
    <row r="716" spans="1:13" ht="12.75" hidden="1" customHeight="1" x14ac:dyDescent="0.3">
      <c r="A716" s="111">
        <v>46167</v>
      </c>
      <c r="B716" s="113" t="s">
        <v>2049</v>
      </c>
      <c r="C716" s="113" t="s">
        <v>1675</v>
      </c>
      <c r="D716" s="113" t="str">
        <f>IFERROR(VLOOKUP(C716,SKUs!$A$6:$F$1971,6,FALSE()),"")</f>
        <v>LANCHEIRA TERMICA</v>
      </c>
      <c r="E716" s="113">
        <v>12</v>
      </c>
      <c r="F716" s="113">
        <f>IFERROR(IF(OR(B716="",E716=""),"",E716*VLOOKUP(B716,Configurações!$I$5:$J$15,2,FALSE())),"")</f>
        <v>12</v>
      </c>
      <c r="G716" s="113" t="s">
        <v>1424</v>
      </c>
      <c r="H716" s="113" t="s">
        <v>2058</v>
      </c>
      <c r="I716" s="113"/>
      <c r="J716" s="113"/>
      <c r="K716" s="113" t="s">
        <v>2051</v>
      </c>
      <c r="L716" s="113"/>
      <c r="M716" s="113" t="s">
        <v>1679</v>
      </c>
    </row>
    <row r="717" spans="1:13" ht="12.75" hidden="1" customHeight="1" x14ac:dyDescent="0.3">
      <c r="A717" s="111">
        <v>46167</v>
      </c>
      <c r="B717" s="113" t="s">
        <v>2049</v>
      </c>
      <c r="C717" s="113" t="s">
        <v>1675</v>
      </c>
      <c r="D717" s="113" t="str">
        <f>IFERROR(VLOOKUP(C717,SKUs!$A$6:$F$1971,6,FALSE()),"")</f>
        <v>LANCHEIRA TERMICA</v>
      </c>
      <c r="E717" s="113">
        <v>12</v>
      </c>
      <c r="F717" s="113">
        <f>IFERROR(IF(OR(B717="",E717=""),"",E717*VLOOKUP(B717,Configurações!$I$5:$J$15,2,FALSE())),"")</f>
        <v>12</v>
      </c>
      <c r="G717" s="113" t="s">
        <v>1424</v>
      </c>
      <c r="H717" s="113" t="s">
        <v>2058</v>
      </c>
      <c r="I717" s="113"/>
      <c r="J717" s="113"/>
      <c r="K717" s="113" t="s">
        <v>2051</v>
      </c>
      <c r="L717" s="113"/>
      <c r="M717" s="113" t="s">
        <v>1680</v>
      </c>
    </row>
    <row r="718" spans="1:13" ht="12.75" hidden="1" customHeight="1" x14ac:dyDescent="0.3">
      <c r="A718" s="111">
        <v>46167</v>
      </c>
      <c r="B718" s="113" t="s">
        <v>2049</v>
      </c>
      <c r="C718" s="113" t="s">
        <v>1675</v>
      </c>
      <c r="D718" s="113" t="str">
        <f>IFERROR(VLOOKUP(C718,SKUs!$A$6:$F$1971,6,FALSE()),"")</f>
        <v>LANCHEIRA TERMICA</v>
      </c>
      <c r="E718" s="113">
        <v>9</v>
      </c>
      <c r="F718" s="113">
        <f>IFERROR(IF(OR(B718="",E718=""),"",E718*VLOOKUP(B718,Configurações!$I$5:$J$15,2,FALSE())),"")</f>
        <v>9</v>
      </c>
      <c r="G718" s="113" t="s">
        <v>1424</v>
      </c>
      <c r="H718" s="113" t="s">
        <v>2058</v>
      </c>
      <c r="I718" s="113"/>
      <c r="J718" s="113"/>
      <c r="K718" s="113" t="s">
        <v>2051</v>
      </c>
      <c r="L718" s="113"/>
      <c r="M718" s="113" t="s">
        <v>1681</v>
      </c>
    </row>
    <row r="719" spans="1:13" ht="12.75" hidden="1" customHeight="1" x14ac:dyDescent="0.3">
      <c r="A719" s="111">
        <v>46167</v>
      </c>
      <c r="B719" s="113" t="s">
        <v>2049</v>
      </c>
      <c r="C719" s="113" t="s">
        <v>1682</v>
      </c>
      <c r="D719" s="113" t="str">
        <f>IFERROR(VLOOKUP(C719,SKUs!$A$6:$F$1971,6,FALSE()),"")</f>
        <v>ALMOFADA DUO- FOM</v>
      </c>
      <c r="E719" s="113">
        <v>6</v>
      </c>
      <c r="F719" s="113">
        <f>IFERROR(IF(OR(B719="",E719=""),"",E719*VLOOKUP(B719,Configurações!$I$5:$J$15,2,FALSE())),"")</f>
        <v>6</v>
      </c>
      <c r="G719" s="113" t="s">
        <v>1424</v>
      </c>
      <c r="H719" s="113" t="s">
        <v>2058</v>
      </c>
      <c r="I719" s="113"/>
      <c r="J719" s="113"/>
      <c r="K719" s="113" t="s">
        <v>2051</v>
      </c>
      <c r="L719" s="113"/>
      <c r="M719" s="113" t="s">
        <v>1683</v>
      </c>
    </row>
    <row r="720" spans="1:13" ht="12.75" hidden="1" customHeight="1" x14ac:dyDescent="0.3">
      <c r="A720" s="111">
        <v>46167</v>
      </c>
      <c r="B720" s="113" t="s">
        <v>2049</v>
      </c>
      <c r="C720" s="113" t="s">
        <v>1682</v>
      </c>
      <c r="D720" s="113" t="str">
        <f>IFERROR(VLOOKUP(C720,SKUs!$A$6:$F$1971,6,FALSE()),"")</f>
        <v>ALMOFADA DUO- FOM</v>
      </c>
      <c r="E720" s="113">
        <v>6</v>
      </c>
      <c r="F720" s="113">
        <f>IFERROR(IF(OR(B720="",E720=""),"",E720*VLOOKUP(B720,Configurações!$I$5:$J$15,2,FALSE())),"")</f>
        <v>6</v>
      </c>
      <c r="G720" s="113" t="s">
        <v>1424</v>
      </c>
      <c r="H720" s="113" t="s">
        <v>2058</v>
      </c>
      <c r="I720" s="113"/>
      <c r="J720" s="113"/>
      <c r="K720" s="113" t="s">
        <v>2051</v>
      </c>
      <c r="L720" s="113"/>
      <c r="M720" s="113" t="s">
        <v>1684</v>
      </c>
    </row>
    <row r="721" spans="1:13" ht="12.75" hidden="1" customHeight="1" x14ac:dyDescent="0.3">
      <c r="A721" s="111">
        <v>46167</v>
      </c>
      <c r="B721" s="113" t="s">
        <v>2049</v>
      </c>
      <c r="C721" s="113" t="s">
        <v>1682</v>
      </c>
      <c r="D721" s="113" t="str">
        <f>IFERROR(VLOOKUP(C721,SKUs!$A$6:$F$1971,6,FALSE()),"")</f>
        <v>ALMOFADA DUO- FOM</v>
      </c>
      <c r="E721" s="113">
        <v>5</v>
      </c>
      <c r="F721" s="113">
        <f>IFERROR(IF(OR(B721="",E721=""),"",E721*VLOOKUP(B721,Configurações!$I$5:$J$15,2,FALSE())),"")</f>
        <v>5</v>
      </c>
      <c r="G721" s="113" t="s">
        <v>1424</v>
      </c>
      <c r="H721" s="113" t="s">
        <v>2058</v>
      </c>
      <c r="I721" s="113"/>
      <c r="J721" s="113"/>
      <c r="K721" s="113" t="s">
        <v>2051</v>
      </c>
      <c r="L721" s="113"/>
      <c r="M721" s="113" t="s">
        <v>1685</v>
      </c>
    </row>
    <row r="722" spans="1:13" ht="12.75" hidden="1" customHeight="1" x14ac:dyDescent="0.3">
      <c r="A722" s="111">
        <v>46167</v>
      </c>
      <c r="B722" s="113" t="s">
        <v>2049</v>
      </c>
      <c r="C722" s="113" t="s">
        <v>1686</v>
      </c>
      <c r="D722" s="113" t="str">
        <f>IFERROR(VLOOKUP(C722,SKUs!$A$6:$F$1971,6,FALSE()),"")</f>
        <v>LEGGING BTG</v>
      </c>
      <c r="E722" s="113">
        <v>7</v>
      </c>
      <c r="F722" s="113">
        <f>IFERROR(IF(OR(B722="",E722=""),"",E722*VLOOKUP(B722,Configurações!$I$5:$J$15,2,FALSE())),"")</f>
        <v>7</v>
      </c>
      <c r="G722" s="113" t="s">
        <v>1424</v>
      </c>
      <c r="H722" s="113" t="s">
        <v>2058</v>
      </c>
      <c r="I722" s="113"/>
      <c r="J722" s="113"/>
      <c r="K722" s="113" t="s">
        <v>2051</v>
      </c>
      <c r="L722" s="113"/>
      <c r="M722" s="113" t="s">
        <v>1687</v>
      </c>
    </row>
    <row r="723" spans="1:13" ht="12.75" hidden="1" customHeight="1" x14ac:dyDescent="0.3">
      <c r="A723" s="111">
        <v>46167</v>
      </c>
      <c r="B723" s="113" t="s">
        <v>2049</v>
      </c>
      <c r="C723" s="113" t="s">
        <v>1688</v>
      </c>
      <c r="D723" s="113" t="str">
        <f>IFERROR(VLOOKUP(C723,SKUs!$A$6:$F$1971,6,FALSE()),"")</f>
        <v>LEGGING BTG</v>
      </c>
      <c r="E723" s="113">
        <v>32</v>
      </c>
      <c r="F723" s="113">
        <f>IFERROR(IF(OR(B723="",E723=""),"",E723*VLOOKUP(B723,Configurações!$I$5:$J$15,2,FALSE())),"")</f>
        <v>32</v>
      </c>
      <c r="G723" s="113" t="s">
        <v>1424</v>
      </c>
      <c r="H723" s="113" t="s">
        <v>2058</v>
      </c>
      <c r="I723" s="113"/>
      <c r="J723" s="113"/>
      <c r="K723" s="113" t="s">
        <v>2051</v>
      </c>
      <c r="L723" s="113"/>
      <c r="M723" s="113" t="s">
        <v>1687</v>
      </c>
    </row>
    <row r="724" spans="1:13" ht="12.75" hidden="1" customHeight="1" x14ac:dyDescent="0.3">
      <c r="A724" s="111">
        <v>46167</v>
      </c>
      <c r="B724" s="113" t="s">
        <v>2049</v>
      </c>
      <c r="C724" s="113" t="s">
        <v>1689</v>
      </c>
      <c r="D724" s="113" t="str">
        <f>IFERROR(VLOOKUP(C724,SKUs!$A$6:$F$1971,6,FALSE()),"")</f>
        <v>LEGGING BTG</v>
      </c>
      <c r="E724" s="113">
        <v>7</v>
      </c>
      <c r="F724" s="113">
        <f>IFERROR(IF(OR(B724="",E724=""),"",E724*VLOOKUP(B724,Configurações!$I$5:$J$15,2,FALSE())),"")</f>
        <v>7</v>
      </c>
      <c r="G724" s="113" t="s">
        <v>1424</v>
      </c>
      <c r="H724" s="113" t="s">
        <v>2058</v>
      </c>
      <c r="I724" s="113"/>
      <c r="J724" s="113"/>
      <c r="K724" s="113" t="s">
        <v>2051</v>
      </c>
      <c r="L724" s="113"/>
      <c r="M724" s="113" t="s">
        <v>1687</v>
      </c>
    </row>
    <row r="725" spans="1:13" ht="12.75" hidden="1" customHeight="1" x14ac:dyDescent="0.3">
      <c r="A725" s="111">
        <v>46167</v>
      </c>
      <c r="B725" s="113" t="s">
        <v>2049</v>
      </c>
      <c r="C725" s="113" t="s">
        <v>1690</v>
      </c>
      <c r="D725" s="113" t="str">
        <f>IFERROR(VLOOKUP(C725,SKUs!$A$6:$F$1971,6,FALSE()),"")</f>
        <v>CABIDES</v>
      </c>
      <c r="E725" s="113">
        <v>89</v>
      </c>
      <c r="F725" s="113">
        <f>IFERROR(IF(OR(B725="",E725=""),"",E725*VLOOKUP(B725,Configurações!$I$5:$J$15,2,FALSE())),"")</f>
        <v>89</v>
      </c>
      <c r="G725" s="113" t="s">
        <v>1424</v>
      </c>
      <c r="H725" s="113" t="s">
        <v>2058</v>
      </c>
      <c r="I725" s="113"/>
      <c r="J725" s="113"/>
      <c r="K725" s="113" t="s">
        <v>2051</v>
      </c>
      <c r="L725" s="113"/>
      <c r="M725" s="113" t="s">
        <v>1692</v>
      </c>
    </row>
    <row r="726" spans="1:13" ht="12.75" hidden="1" customHeight="1" x14ac:dyDescent="0.3">
      <c r="A726" s="111">
        <v>46167</v>
      </c>
      <c r="B726" s="113" t="s">
        <v>2049</v>
      </c>
      <c r="C726" s="113" t="s">
        <v>1693</v>
      </c>
      <c r="D726" s="113" t="str">
        <f>IFERROR(VLOOKUP(C726,SKUs!$A$6:$F$1971,6,FALSE()),"")</f>
        <v>GARRAFA INOX - BTG</v>
      </c>
      <c r="E726" s="113">
        <v>2</v>
      </c>
      <c r="F726" s="113">
        <f>IFERROR(IF(OR(B726="",E726=""),"",E726*VLOOKUP(B726,Configurações!$I$5:$J$15,2,FALSE())),"")</f>
        <v>2</v>
      </c>
      <c r="G726" s="113" t="s">
        <v>1424</v>
      </c>
      <c r="H726" s="113" t="s">
        <v>2058</v>
      </c>
      <c r="I726" s="113"/>
      <c r="J726" s="113"/>
      <c r="K726" s="113" t="s">
        <v>2051</v>
      </c>
      <c r="L726" s="113"/>
      <c r="M726" s="113" t="s">
        <v>1694</v>
      </c>
    </row>
    <row r="727" spans="1:13" ht="12.75" hidden="1" customHeight="1" x14ac:dyDescent="0.3">
      <c r="A727" s="111">
        <v>46167</v>
      </c>
      <c r="B727" s="113" t="s">
        <v>2049</v>
      </c>
      <c r="C727" s="113" t="s">
        <v>1695</v>
      </c>
      <c r="D727" s="113" t="str">
        <f>IFERROR(VLOOKUP(C727,SKUs!$A$6:$F$1971,6,FALSE()),"")</f>
        <v>GARRAFA STANLEY</v>
      </c>
      <c r="E727" s="113">
        <v>1</v>
      </c>
      <c r="F727" s="113">
        <f>IFERROR(IF(OR(B727="",E727=""),"",E727*VLOOKUP(B727,Configurações!$I$5:$J$15,2,FALSE())),"")</f>
        <v>1</v>
      </c>
      <c r="G727" s="113" t="s">
        <v>1424</v>
      </c>
      <c r="H727" s="113" t="s">
        <v>2058</v>
      </c>
      <c r="I727" s="113"/>
      <c r="J727" s="113"/>
      <c r="K727" s="113" t="s">
        <v>2051</v>
      </c>
      <c r="L727" s="113"/>
      <c r="M727" s="113" t="s">
        <v>1694</v>
      </c>
    </row>
    <row r="728" spans="1:13" ht="12.75" hidden="1" customHeight="1" x14ac:dyDescent="0.3">
      <c r="A728" s="111">
        <v>46167</v>
      </c>
      <c r="B728" s="113" t="s">
        <v>2049</v>
      </c>
      <c r="C728" s="113" t="s">
        <v>1698</v>
      </c>
      <c r="D728" s="113" t="str">
        <f>IFERROR(VLOOKUP(C728,SKUs!$A$6:$F$1971,6,FALSE()),"")</f>
        <v>GARRAFA STANLEY</v>
      </c>
      <c r="E728" s="113">
        <v>1</v>
      </c>
      <c r="F728" s="113">
        <f>IFERROR(IF(OR(B728="",E728=""),"",E728*VLOOKUP(B728,Configurações!$I$5:$J$15,2,FALSE())),"")</f>
        <v>1</v>
      </c>
      <c r="G728" s="113" t="s">
        <v>1424</v>
      </c>
      <c r="H728" s="113" t="s">
        <v>2058</v>
      </c>
      <c r="I728" s="113"/>
      <c r="J728" s="113"/>
      <c r="K728" s="113" t="s">
        <v>2051</v>
      </c>
      <c r="L728" s="113"/>
      <c r="M728" s="113" t="s">
        <v>1694</v>
      </c>
    </row>
    <row r="729" spans="1:13" ht="12.75" hidden="1" customHeight="1" x14ac:dyDescent="0.3">
      <c r="A729" s="111">
        <v>46167</v>
      </c>
      <c r="B729" s="113" t="s">
        <v>2049</v>
      </c>
      <c r="C729" s="113" t="s">
        <v>1699</v>
      </c>
      <c r="D729" s="113" t="str">
        <f>IFERROR(VLOOKUP(C729,SKUs!$A$6:$F$1971,6,FALSE()),"")</f>
        <v>COPO CEFÉ P</v>
      </c>
      <c r="E729" s="113">
        <v>1</v>
      </c>
      <c r="F729" s="113">
        <f>IFERROR(IF(OR(B729="",E729=""),"",E729*VLOOKUP(B729,Configurações!$I$5:$J$15,2,FALSE())),"")</f>
        <v>1</v>
      </c>
      <c r="G729" s="113" t="s">
        <v>1424</v>
      </c>
      <c r="H729" s="113" t="s">
        <v>2058</v>
      </c>
      <c r="I729" s="113"/>
      <c r="J729" s="113"/>
      <c r="K729" s="113" t="s">
        <v>2051</v>
      </c>
      <c r="L729" s="113"/>
      <c r="M729" s="113" t="s">
        <v>1694</v>
      </c>
    </row>
    <row r="730" spans="1:13" ht="12.75" hidden="1" customHeight="1" x14ac:dyDescent="0.3">
      <c r="A730" s="111">
        <v>46167</v>
      </c>
      <c r="B730" s="113" t="s">
        <v>2049</v>
      </c>
      <c r="C730" s="113" t="s">
        <v>1701</v>
      </c>
      <c r="D730" s="113" t="str">
        <f>IFERROR(VLOOKUP(C730,SKUs!$A$6:$F$1971,6,FALSE()),"")</f>
        <v>GARRAFA TERMICA EM INOX</v>
      </c>
      <c r="E730" s="113">
        <v>1</v>
      </c>
      <c r="F730" s="113">
        <f>IFERROR(IF(OR(B730="",E730=""),"",E730*VLOOKUP(B730,Configurações!$I$5:$J$15,2,FALSE())),"")</f>
        <v>1</v>
      </c>
      <c r="G730" s="113" t="s">
        <v>1424</v>
      </c>
      <c r="H730" s="113" t="s">
        <v>2058</v>
      </c>
      <c r="I730" s="113"/>
      <c r="J730" s="113"/>
      <c r="K730" s="113" t="s">
        <v>2051</v>
      </c>
      <c r="L730" s="113"/>
      <c r="M730" s="113" t="s">
        <v>1694</v>
      </c>
    </row>
    <row r="731" spans="1:13" ht="12.75" hidden="1" customHeight="1" x14ac:dyDescent="0.3">
      <c r="A731" s="111">
        <v>46167</v>
      </c>
      <c r="B731" s="113" t="s">
        <v>2049</v>
      </c>
      <c r="C731" s="113" t="s">
        <v>1702</v>
      </c>
      <c r="D731" s="113" t="str">
        <f>IFERROR(VLOOKUP(C731,SKUs!$A$6:$F$1971,6,FALSE()),"")</f>
        <v>COPO TERMOCUP EM INOX</v>
      </c>
      <c r="E731" s="113">
        <v>3</v>
      </c>
      <c r="F731" s="113">
        <f>IFERROR(IF(OR(B731="",E731=""),"",E731*VLOOKUP(B731,Configurações!$I$5:$J$15,2,FALSE())),"")</f>
        <v>3</v>
      </c>
      <c r="G731" s="113" t="s">
        <v>1424</v>
      </c>
      <c r="H731" s="113" t="s">
        <v>2058</v>
      </c>
      <c r="I731" s="113"/>
      <c r="J731" s="113"/>
      <c r="K731" s="113" t="s">
        <v>2051</v>
      </c>
      <c r="L731" s="113"/>
      <c r="M731" s="113" t="s">
        <v>1694</v>
      </c>
    </row>
    <row r="732" spans="1:13" ht="12.75" hidden="1" customHeight="1" x14ac:dyDescent="0.3">
      <c r="A732" s="111">
        <v>46167</v>
      </c>
      <c r="B732" s="113" t="s">
        <v>2049</v>
      </c>
      <c r="C732" s="113" t="s">
        <v>1704</v>
      </c>
      <c r="D732" s="113" t="str">
        <f>IFERROR(VLOOKUP(C732,SKUs!$A$6:$F$1971,6,FALSE()),"")</f>
        <v>COPO TERMOCUP EM INOX</v>
      </c>
      <c r="E732" s="113">
        <v>3</v>
      </c>
      <c r="F732" s="113">
        <f>IFERROR(IF(OR(B732="",E732=""),"",E732*VLOOKUP(B732,Configurações!$I$5:$J$15,2,FALSE())),"")</f>
        <v>3</v>
      </c>
      <c r="G732" s="113" t="s">
        <v>1424</v>
      </c>
      <c r="H732" s="113" t="s">
        <v>2058</v>
      </c>
      <c r="I732" s="113"/>
      <c r="J732" s="113"/>
      <c r="K732" s="113" t="s">
        <v>2051</v>
      </c>
      <c r="L732" s="113"/>
      <c r="M732" s="113" t="s">
        <v>1694</v>
      </c>
    </row>
    <row r="733" spans="1:13" ht="12.75" hidden="1" customHeight="1" x14ac:dyDescent="0.3">
      <c r="A733" s="111">
        <v>46167</v>
      </c>
      <c r="B733" s="113" t="s">
        <v>2049</v>
      </c>
      <c r="C733" s="113" t="s">
        <v>1705</v>
      </c>
      <c r="D733" s="113" t="str">
        <f>IFERROR(VLOOKUP(C733,SKUs!$A$6:$F$1971,6,FALSE()),"")</f>
        <v>COPO BEERCUP EM INOX</v>
      </c>
      <c r="E733" s="113">
        <v>2</v>
      </c>
      <c r="F733" s="113">
        <f>IFERROR(IF(OR(B733="",E733=""),"",E733*VLOOKUP(B733,Configurações!$I$5:$J$15,2,FALSE())),"")</f>
        <v>2</v>
      </c>
      <c r="G733" s="113" t="s">
        <v>1424</v>
      </c>
      <c r="H733" s="113" t="s">
        <v>2058</v>
      </c>
      <c r="I733" s="113"/>
      <c r="J733" s="113"/>
      <c r="K733" s="113" t="s">
        <v>2051</v>
      </c>
      <c r="L733" s="113"/>
      <c r="M733" s="113" t="s">
        <v>1694</v>
      </c>
    </row>
    <row r="734" spans="1:13" ht="12.75" hidden="1" customHeight="1" x14ac:dyDescent="0.3">
      <c r="A734" s="111">
        <v>46167</v>
      </c>
      <c r="B734" s="113" t="s">
        <v>2049</v>
      </c>
      <c r="C734" s="113" t="s">
        <v>1707</v>
      </c>
      <c r="D734" s="113" t="str">
        <f>IFERROR(VLOOKUP(C734,SKUs!$A$6:$F$1971,6,FALSE()),"")</f>
        <v>COPO STANLEY</v>
      </c>
      <c r="E734" s="113">
        <v>6</v>
      </c>
      <c r="F734" s="113">
        <f>IFERROR(IF(OR(B734="",E734=""),"",E734*VLOOKUP(B734,Configurações!$I$5:$J$15,2,FALSE())),"")</f>
        <v>6</v>
      </c>
      <c r="G734" s="113" t="s">
        <v>1424</v>
      </c>
      <c r="H734" s="113" t="s">
        <v>2058</v>
      </c>
      <c r="I734" s="113"/>
      <c r="J734" s="113"/>
      <c r="K734" s="113" t="s">
        <v>2051</v>
      </c>
      <c r="L734" s="113"/>
      <c r="M734" s="113" t="s">
        <v>1694</v>
      </c>
    </row>
    <row r="735" spans="1:13" ht="12.75" hidden="1" customHeight="1" x14ac:dyDescent="0.3">
      <c r="A735" s="111">
        <v>46167</v>
      </c>
      <c r="B735" s="113" t="s">
        <v>2049</v>
      </c>
      <c r="C735" s="113" t="s">
        <v>1710</v>
      </c>
      <c r="D735" s="113" t="str">
        <f>IFERROR(VLOOKUP(C735,SKUs!$A$6:$F$1971,6,FALSE()),"")</f>
        <v>MOCHILA RV</v>
      </c>
      <c r="E735" s="113">
        <v>15</v>
      </c>
      <c r="F735" s="113">
        <f>IFERROR(IF(OR(B735="",E735=""),"",E735*VLOOKUP(B735,Configurações!$I$5:$J$15,2,FALSE())),"")</f>
        <v>15</v>
      </c>
      <c r="G735" s="113" t="s">
        <v>1424</v>
      </c>
      <c r="H735" s="113" t="s">
        <v>2058</v>
      </c>
      <c r="I735" s="113"/>
      <c r="J735" s="113"/>
      <c r="K735" s="113" t="s">
        <v>2051</v>
      </c>
      <c r="L735" s="113"/>
      <c r="M735" s="113" t="s">
        <v>1711</v>
      </c>
    </row>
    <row r="736" spans="1:13" ht="12.75" hidden="1" customHeight="1" x14ac:dyDescent="0.3">
      <c r="A736" s="111">
        <v>46167</v>
      </c>
      <c r="B736" s="113" t="s">
        <v>2049</v>
      </c>
      <c r="C736" s="113" t="s">
        <v>1712</v>
      </c>
      <c r="D736" s="113" t="str">
        <f>IFERROR(VLOOKUP(C736,SKUs!$A$6:$F$1971,6,FALSE()),"")</f>
        <v>LEGGING BTG</v>
      </c>
      <c r="E736" s="113">
        <v>32</v>
      </c>
      <c r="F736" s="113">
        <f>IFERROR(IF(OR(B736="",E736=""),"",E736*VLOOKUP(B736,Configurações!$I$5:$J$15,2,FALSE())),"")</f>
        <v>32</v>
      </c>
      <c r="G736" s="113" t="s">
        <v>1424</v>
      </c>
      <c r="H736" s="113" t="s">
        <v>2058</v>
      </c>
      <c r="I736" s="113"/>
      <c r="J736" s="113"/>
      <c r="K736" s="113" t="s">
        <v>2051</v>
      </c>
      <c r="L736" s="113"/>
      <c r="M736" s="113" t="s">
        <v>1380</v>
      </c>
    </row>
    <row r="737" spans="1:13" ht="12.75" hidden="1" customHeight="1" x14ac:dyDescent="0.3">
      <c r="A737" s="111">
        <v>46167</v>
      </c>
      <c r="B737" s="113" t="s">
        <v>2049</v>
      </c>
      <c r="C737" s="113" t="s">
        <v>1713</v>
      </c>
      <c r="D737" s="113" t="str">
        <f>IFERROR(VLOOKUP(C737,SKUs!$A$6:$F$1971,6,FALSE()),"")</f>
        <v>BERMUDA BTG - FEM.</v>
      </c>
      <c r="E737" s="113">
        <v>5</v>
      </c>
      <c r="F737" s="113">
        <f>IFERROR(IF(OR(B737="",E737=""),"",E737*VLOOKUP(B737,Configurações!$I$5:$J$15,2,FALSE())),"")</f>
        <v>5</v>
      </c>
      <c r="G737" s="113" t="s">
        <v>1424</v>
      </c>
      <c r="H737" s="113" t="s">
        <v>2058</v>
      </c>
      <c r="I737" s="113"/>
      <c r="J737" s="113"/>
      <c r="K737" s="113" t="s">
        <v>2051</v>
      </c>
      <c r="L737" s="113"/>
      <c r="M737" s="113" t="s">
        <v>1715</v>
      </c>
    </row>
    <row r="738" spans="1:13" ht="12.75" hidden="1" customHeight="1" x14ac:dyDescent="0.3">
      <c r="A738" s="111">
        <v>46167</v>
      </c>
      <c r="B738" s="113" t="s">
        <v>2049</v>
      </c>
      <c r="C738" s="113" t="s">
        <v>1716</v>
      </c>
      <c r="D738" s="113" t="str">
        <f>IFERROR(VLOOKUP(C738,SKUs!$A$6:$F$1971,6,FALSE()),"")</f>
        <v>BERMUDA BTG - FEM.</v>
      </c>
      <c r="E738" s="113">
        <v>29</v>
      </c>
      <c r="F738" s="113">
        <f>IFERROR(IF(OR(B738="",E738=""),"",E738*VLOOKUP(B738,Configurações!$I$5:$J$15,2,FALSE())),"")</f>
        <v>29</v>
      </c>
      <c r="G738" s="113" t="s">
        <v>1424</v>
      </c>
      <c r="H738" s="113" t="s">
        <v>2058</v>
      </c>
      <c r="I738" s="113"/>
      <c r="J738" s="113"/>
      <c r="K738" s="113" t="s">
        <v>2051</v>
      </c>
      <c r="L738" s="113"/>
      <c r="M738" s="113" t="s">
        <v>1715</v>
      </c>
    </row>
    <row r="739" spans="1:13" ht="12.75" hidden="1" customHeight="1" x14ac:dyDescent="0.3">
      <c r="A739" s="111">
        <v>46167</v>
      </c>
      <c r="B739" s="113" t="s">
        <v>2049</v>
      </c>
      <c r="C739" s="113" t="s">
        <v>1717</v>
      </c>
      <c r="D739" s="113" t="str">
        <f>IFERROR(VLOOKUP(C739,SKUs!$A$6:$F$1971,6,FALSE()),"")</f>
        <v>BERMUDA BTG - FEM.</v>
      </c>
      <c r="E739" s="113">
        <v>30</v>
      </c>
      <c r="F739" s="113">
        <f>IFERROR(IF(OR(B739="",E739=""),"",E739*VLOOKUP(B739,Configurações!$I$5:$J$15,2,FALSE())),"")</f>
        <v>30</v>
      </c>
      <c r="G739" s="113" t="s">
        <v>1424</v>
      </c>
      <c r="H739" s="113" t="s">
        <v>2058</v>
      </c>
      <c r="I739" s="113"/>
      <c r="J739" s="113"/>
      <c r="K739" s="113" t="s">
        <v>2051</v>
      </c>
      <c r="L739" s="113"/>
      <c r="M739" s="113" t="s">
        <v>1715</v>
      </c>
    </row>
    <row r="740" spans="1:13" ht="12.75" hidden="1" customHeight="1" x14ac:dyDescent="0.3">
      <c r="A740" s="111">
        <v>46167</v>
      </c>
      <c r="B740" s="113" t="s">
        <v>2049</v>
      </c>
      <c r="C740" s="113" t="s">
        <v>1718</v>
      </c>
      <c r="D740" s="113" t="str">
        <f>IFERROR(VLOOKUP(C740,SKUs!$A$6:$F$1971,6,FALSE()),"")</f>
        <v>BERMUDA BTG - FEM.</v>
      </c>
      <c r="E740" s="113">
        <v>5</v>
      </c>
      <c r="F740" s="113">
        <f>IFERROR(IF(OR(B740="",E740=""),"",E740*VLOOKUP(B740,Configurações!$I$5:$J$15,2,FALSE())),"")</f>
        <v>5</v>
      </c>
      <c r="G740" s="113" t="s">
        <v>1424</v>
      </c>
      <c r="H740" s="113" t="s">
        <v>2058</v>
      </c>
      <c r="I740" s="113"/>
      <c r="J740" s="113"/>
      <c r="K740" s="113" t="s">
        <v>2051</v>
      </c>
      <c r="L740" s="113"/>
      <c r="M740" s="113" t="s">
        <v>1715</v>
      </c>
    </row>
    <row r="741" spans="1:13" ht="12.75" hidden="1" customHeight="1" x14ac:dyDescent="0.3">
      <c r="A741" s="111">
        <v>46167</v>
      </c>
      <c r="B741" s="113" t="s">
        <v>2049</v>
      </c>
      <c r="C741" s="113" t="s">
        <v>1719</v>
      </c>
      <c r="D741" s="113" t="str">
        <f>IFERROR(VLOOKUP(C741,SKUs!$A$6:$F$1971,6,FALSE()),"")</f>
        <v>MANTA PARA VIAGEM</v>
      </c>
      <c r="E741" s="113">
        <v>12</v>
      </c>
      <c r="F741" s="113">
        <f>IFERROR(IF(OR(B741="",E741=""),"",E741*VLOOKUP(B741,Configurações!$I$5:$J$15,2,FALSE())),"")</f>
        <v>12</v>
      </c>
      <c r="G741" s="113" t="s">
        <v>1424</v>
      </c>
      <c r="H741" s="113" t="s">
        <v>2058</v>
      </c>
      <c r="I741" s="113"/>
      <c r="J741" s="113"/>
      <c r="K741" s="113" t="s">
        <v>2051</v>
      </c>
      <c r="L741" s="113"/>
      <c r="M741" s="113" t="s">
        <v>1722</v>
      </c>
    </row>
    <row r="742" spans="1:13" ht="12.75" hidden="1" customHeight="1" x14ac:dyDescent="0.3">
      <c r="A742" s="111">
        <v>46167</v>
      </c>
      <c r="B742" s="113" t="s">
        <v>2049</v>
      </c>
      <c r="C742" s="113" t="s">
        <v>1723</v>
      </c>
      <c r="D742" s="113" t="str">
        <f>IFERROR(VLOOKUP(C742,SKUs!$A$6:$F$1971,6,FALSE()),"")</f>
        <v>JAQUETA CAPUZ EMBUTIDO</v>
      </c>
      <c r="E742" s="113">
        <v>1</v>
      </c>
      <c r="F742" s="113">
        <f>IFERROR(IF(OR(B742="",E742=""),"",E742*VLOOKUP(B742,Configurações!$I$5:$J$15,2,FALSE())),"")</f>
        <v>1</v>
      </c>
      <c r="G742" s="113" t="s">
        <v>1424</v>
      </c>
      <c r="H742" s="113" t="s">
        <v>2058</v>
      </c>
      <c r="I742" s="113"/>
      <c r="J742" s="113"/>
      <c r="K742" s="113" t="s">
        <v>2051</v>
      </c>
      <c r="L742" s="113"/>
      <c r="M742" s="113" t="s">
        <v>1724</v>
      </c>
    </row>
    <row r="743" spans="1:13" ht="12.75" hidden="1" customHeight="1" x14ac:dyDescent="0.3">
      <c r="A743" s="111">
        <v>46167</v>
      </c>
      <c r="B743" s="113" t="s">
        <v>2049</v>
      </c>
      <c r="C743" s="113" t="s">
        <v>1725</v>
      </c>
      <c r="D743" s="113" t="str">
        <f>IFERROR(VLOOKUP(C743,SKUs!$A$6:$F$1971,6,FALSE()),"")</f>
        <v>JAQUETA CAPUZ EMBUTIDO</v>
      </c>
      <c r="E743" s="113">
        <v>2</v>
      </c>
      <c r="F743" s="113">
        <f>IFERROR(IF(OR(B743="",E743=""),"",E743*VLOOKUP(B743,Configurações!$I$5:$J$15,2,FALSE())),"")</f>
        <v>2</v>
      </c>
      <c r="G743" s="113" t="s">
        <v>1424</v>
      </c>
      <c r="H743" s="113" t="s">
        <v>2058</v>
      </c>
      <c r="I743" s="113"/>
      <c r="J743" s="113"/>
      <c r="K743" s="113" t="s">
        <v>2051</v>
      </c>
      <c r="L743" s="113"/>
      <c r="M743" s="113" t="s">
        <v>1724</v>
      </c>
    </row>
    <row r="744" spans="1:13" ht="12.75" hidden="1" customHeight="1" x14ac:dyDescent="0.3">
      <c r="A744" s="111">
        <v>46167</v>
      </c>
      <c r="B744" s="113" t="s">
        <v>2049</v>
      </c>
      <c r="C744" s="113" t="s">
        <v>1726</v>
      </c>
      <c r="D744" s="113" t="str">
        <f>IFERROR(VLOOKUP(C744,SKUs!$A$6:$F$1971,6,FALSE()),"")</f>
        <v>JAQUETA CAPUZ EMBUTIDO</v>
      </c>
      <c r="E744" s="113">
        <v>2</v>
      </c>
      <c r="F744" s="113">
        <f>IFERROR(IF(OR(B744="",E744=""),"",E744*VLOOKUP(B744,Configurações!$I$5:$J$15,2,FALSE())),"")</f>
        <v>2</v>
      </c>
      <c r="G744" s="113" t="s">
        <v>1424</v>
      </c>
      <c r="H744" s="113" t="s">
        <v>2058</v>
      </c>
      <c r="I744" s="113"/>
      <c r="J744" s="113"/>
      <c r="K744" s="113" t="s">
        <v>2051</v>
      </c>
      <c r="L744" s="113"/>
      <c r="M744" s="113" t="s">
        <v>1724</v>
      </c>
    </row>
    <row r="745" spans="1:13" ht="12.75" hidden="1" customHeight="1" x14ac:dyDescent="0.3">
      <c r="A745" s="111">
        <v>46167</v>
      </c>
      <c r="B745" s="113" t="s">
        <v>2049</v>
      </c>
      <c r="C745" s="113" t="s">
        <v>1727</v>
      </c>
      <c r="D745" s="113" t="str">
        <f>IFERROR(VLOOKUP(C745,SKUs!$A$6:$F$1971,6,FALSE()),"")</f>
        <v>JAQUETA CAPUZ EMBUTIDO</v>
      </c>
      <c r="E745" s="113">
        <v>1</v>
      </c>
      <c r="F745" s="113">
        <f>IFERROR(IF(OR(B745="",E745=""),"",E745*VLOOKUP(B745,Configurações!$I$5:$J$15,2,FALSE())),"")</f>
        <v>1</v>
      </c>
      <c r="G745" s="113" t="s">
        <v>1424</v>
      </c>
      <c r="H745" s="113" t="s">
        <v>2058</v>
      </c>
      <c r="I745" s="113"/>
      <c r="J745" s="113"/>
      <c r="K745" s="113" t="s">
        <v>2051</v>
      </c>
      <c r="L745" s="113"/>
      <c r="M745" s="113" t="s">
        <v>1724</v>
      </c>
    </row>
    <row r="746" spans="1:13" ht="12.75" hidden="1" customHeight="1" x14ac:dyDescent="0.3">
      <c r="A746" s="111">
        <v>46167</v>
      </c>
      <c r="B746" s="113" t="s">
        <v>2049</v>
      </c>
      <c r="C746" s="113" t="s">
        <v>1728</v>
      </c>
      <c r="D746" s="113" t="str">
        <f>IFERROR(VLOOKUP(C746,SKUs!$A$6:$F$1971,6,FALSE()),"")</f>
        <v>JAQUETA PUFFER CAPUZ</v>
      </c>
      <c r="E746" s="113">
        <v>1</v>
      </c>
      <c r="F746" s="113">
        <f>IFERROR(IF(OR(B746="",E746=""),"",E746*VLOOKUP(B746,Configurações!$I$5:$J$15,2,FALSE())),"")</f>
        <v>1</v>
      </c>
      <c r="G746" s="113" t="s">
        <v>1424</v>
      </c>
      <c r="H746" s="113" t="s">
        <v>2058</v>
      </c>
      <c r="I746" s="113"/>
      <c r="J746" s="113"/>
      <c r="K746" s="113" t="s">
        <v>2051</v>
      </c>
      <c r="L746" s="113"/>
      <c r="M746" s="113" t="s">
        <v>1724</v>
      </c>
    </row>
    <row r="747" spans="1:13" ht="12.75" hidden="1" customHeight="1" x14ac:dyDescent="0.3">
      <c r="A747" s="111">
        <v>46167</v>
      </c>
      <c r="B747" s="113" t="s">
        <v>2049</v>
      </c>
      <c r="C747" s="113" t="s">
        <v>1729</v>
      </c>
      <c r="D747" s="113" t="str">
        <f>IFERROR(VLOOKUP(C747,SKUs!$A$6:$F$1971,6,FALSE()),"")</f>
        <v>JAQUETA PUFFER CAPUZ</v>
      </c>
      <c r="E747" s="113">
        <v>1</v>
      </c>
      <c r="F747" s="113">
        <f>IFERROR(IF(OR(B747="",E747=""),"",E747*VLOOKUP(B747,Configurações!$I$5:$J$15,2,FALSE())),"")</f>
        <v>1</v>
      </c>
      <c r="G747" s="113" t="s">
        <v>1424</v>
      </c>
      <c r="H747" s="113" t="s">
        <v>2058</v>
      </c>
      <c r="I747" s="113"/>
      <c r="J747" s="113"/>
      <c r="K747" s="113" t="s">
        <v>2051</v>
      </c>
      <c r="L747" s="113"/>
      <c r="M747" s="113" t="s">
        <v>1730</v>
      </c>
    </row>
    <row r="748" spans="1:13" ht="12.75" hidden="1" customHeight="1" x14ac:dyDescent="0.3">
      <c r="A748" s="111">
        <v>46167</v>
      </c>
      <c r="B748" s="113" t="s">
        <v>2049</v>
      </c>
      <c r="C748" s="113" t="s">
        <v>1731</v>
      </c>
      <c r="D748" s="113" t="str">
        <f>IFERROR(VLOOKUP(C748,SKUs!$A$6:$F$1971,6,FALSE()),"")</f>
        <v>JAQUETA CAPUZ FEM.</v>
      </c>
      <c r="E748" s="113">
        <v>1</v>
      </c>
      <c r="F748" s="113">
        <f>IFERROR(IF(OR(B748="",E748=""),"",E748*VLOOKUP(B748,Configurações!$I$5:$J$15,2,FALSE())),"")</f>
        <v>1</v>
      </c>
      <c r="G748" s="113" t="s">
        <v>1424</v>
      </c>
      <c r="H748" s="113" t="s">
        <v>2058</v>
      </c>
      <c r="I748" s="113"/>
      <c r="J748" s="113"/>
      <c r="K748" s="113" t="s">
        <v>2051</v>
      </c>
      <c r="L748" s="113"/>
      <c r="M748" s="113" t="s">
        <v>1730</v>
      </c>
    </row>
    <row r="749" spans="1:13" ht="12.75" hidden="1" customHeight="1" x14ac:dyDescent="0.3">
      <c r="A749" s="111">
        <v>46167</v>
      </c>
      <c r="B749" s="113" t="s">
        <v>2049</v>
      </c>
      <c r="C749" s="113" t="s">
        <v>1732</v>
      </c>
      <c r="D749" s="113" t="str">
        <f>IFERROR(VLOOKUP(C749,SKUs!$A$6:$F$1971,6,FALSE()),"")</f>
        <v>JAQUETA CAPUZ FEM.</v>
      </c>
      <c r="E749" s="113">
        <v>1</v>
      </c>
      <c r="F749" s="113">
        <f>IFERROR(IF(OR(B749="",E749=""),"",E749*VLOOKUP(B749,Configurações!$I$5:$J$15,2,FALSE())),"")</f>
        <v>1</v>
      </c>
      <c r="G749" s="113" t="s">
        <v>1424</v>
      </c>
      <c r="H749" s="113" t="s">
        <v>2058</v>
      </c>
      <c r="I749" s="113"/>
      <c r="J749" s="113"/>
      <c r="K749" s="113" t="s">
        <v>2051</v>
      </c>
      <c r="L749" s="113"/>
      <c r="M749" s="113" t="s">
        <v>1730</v>
      </c>
    </row>
    <row r="750" spans="1:13" ht="12.75" hidden="1" customHeight="1" x14ac:dyDescent="0.3">
      <c r="A750" s="111">
        <v>46167</v>
      </c>
      <c r="B750" s="113" t="s">
        <v>2049</v>
      </c>
      <c r="C750" s="113" t="s">
        <v>1733</v>
      </c>
      <c r="D750" s="113" t="str">
        <f>IFERROR(VLOOKUP(C750,SKUs!$A$6:$F$1971,6,FALSE()),"")</f>
        <v>JAQUETA CAPUZ FEM.</v>
      </c>
      <c r="E750" s="113">
        <v>1</v>
      </c>
      <c r="F750" s="113">
        <f>IFERROR(IF(OR(B750="",E750=""),"",E750*VLOOKUP(B750,Configurações!$I$5:$J$15,2,FALSE())),"")</f>
        <v>1</v>
      </c>
      <c r="G750" s="113" t="s">
        <v>1424</v>
      </c>
      <c r="H750" s="113" t="s">
        <v>2058</v>
      </c>
      <c r="I750" s="113"/>
      <c r="J750" s="113"/>
      <c r="K750" s="113" t="s">
        <v>2051</v>
      </c>
      <c r="L750" s="113"/>
      <c r="M750" s="113" t="s">
        <v>1730</v>
      </c>
    </row>
    <row r="751" spans="1:13" ht="12.75" hidden="1" customHeight="1" x14ac:dyDescent="0.3">
      <c r="A751" s="111">
        <v>46167</v>
      </c>
      <c r="B751" s="113" t="s">
        <v>2049</v>
      </c>
      <c r="C751" s="113" t="s">
        <v>1734</v>
      </c>
      <c r="D751" s="113" t="str">
        <f>IFERROR(VLOOKUP(C751,SKUs!$A$6:$F$1971,6,FALSE()),"")</f>
        <v>JAQUETA NYLON LEVE</v>
      </c>
      <c r="E751" s="113">
        <v>1</v>
      </c>
      <c r="F751" s="113">
        <f>IFERROR(IF(OR(B751="",E751=""),"",E751*VLOOKUP(B751,Configurações!$I$5:$J$15,2,FALSE())),"")</f>
        <v>1</v>
      </c>
      <c r="G751" s="113" t="s">
        <v>1424</v>
      </c>
      <c r="H751" s="113" t="s">
        <v>2058</v>
      </c>
      <c r="I751" s="113"/>
      <c r="J751" s="113"/>
      <c r="K751" s="113" t="s">
        <v>2051</v>
      </c>
      <c r="L751" s="113"/>
      <c r="M751" s="113" t="s">
        <v>1730</v>
      </c>
    </row>
    <row r="752" spans="1:13" ht="12.75" hidden="1" customHeight="1" x14ac:dyDescent="0.3">
      <c r="A752" s="111">
        <v>46167</v>
      </c>
      <c r="B752" s="113" t="s">
        <v>2049</v>
      </c>
      <c r="C752" s="113" t="s">
        <v>1735</v>
      </c>
      <c r="D752" s="113" t="str">
        <f>IFERROR(VLOOKUP(C752,SKUs!$A$6:$F$1971,6,FALSE()),"")</f>
        <v>JAQUETA NYLON LEVE</v>
      </c>
      <c r="E752" s="113">
        <v>1</v>
      </c>
      <c r="F752" s="113">
        <f>IFERROR(IF(OR(B752="",E752=""),"",E752*VLOOKUP(B752,Configurações!$I$5:$J$15,2,FALSE())),"")</f>
        <v>1</v>
      </c>
      <c r="G752" s="113" t="s">
        <v>1424</v>
      </c>
      <c r="H752" s="113" t="s">
        <v>2058</v>
      </c>
      <c r="I752" s="113"/>
      <c r="J752" s="113"/>
      <c r="K752" s="113" t="s">
        <v>2051</v>
      </c>
      <c r="L752" s="113"/>
      <c r="M752" s="113" t="s">
        <v>1730</v>
      </c>
    </row>
    <row r="753" spans="1:13" ht="12.75" hidden="1" customHeight="1" x14ac:dyDescent="0.3">
      <c r="A753" s="111">
        <v>46167</v>
      </c>
      <c r="B753" s="113" t="s">
        <v>2049</v>
      </c>
      <c r="C753" s="113" t="s">
        <v>1736</v>
      </c>
      <c r="D753" s="113" t="str">
        <f>IFERROR(VLOOKUP(C753,SKUs!$A$6:$F$1971,6,FALSE()),"")</f>
        <v>JAQUETA COPA FEM.</v>
      </c>
      <c r="E753" s="113">
        <v>1</v>
      </c>
      <c r="F753" s="113">
        <f>IFERROR(IF(OR(B753="",E753=""),"",E753*VLOOKUP(B753,Configurações!$I$5:$J$15,2,FALSE())),"")</f>
        <v>1</v>
      </c>
      <c r="G753" s="113" t="s">
        <v>1424</v>
      </c>
      <c r="H753" s="113" t="s">
        <v>2058</v>
      </c>
      <c r="I753" s="113"/>
      <c r="J753" s="113"/>
      <c r="K753" s="113" t="s">
        <v>2051</v>
      </c>
      <c r="L753" s="113"/>
      <c r="M753" s="113" t="s">
        <v>1737</v>
      </c>
    </row>
    <row r="754" spans="1:13" ht="12.75" hidden="1" customHeight="1" x14ac:dyDescent="0.3">
      <c r="A754" s="111">
        <v>46167</v>
      </c>
      <c r="B754" s="113" t="s">
        <v>2049</v>
      </c>
      <c r="C754" s="113" t="s">
        <v>1738</v>
      </c>
      <c r="D754" s="113" t="str">
        <f>IFERROR(VLOOKUP(C754,SKUs!$A$6:$F$1971,6,FALSE()),"")</f>
        <v>JAQUETA COPA MASC.</v>
      </c>
      <c r="E754" s="113">
        <v>1</v>
      </c>
      <c r="F754" s="113">
        <f>IFERROR(IF(OR(B754="",E754=""),"",E754*VLOOKUP(B754,Configurações!$I$5:$J$15,2,FALSE())),"")</f>
        <v>1</v>
      </c>
      <c r="G754" s="113" t="s">
        <v>1424</v>
      </c>
      <c r="H754" s="113" t="s">
        <v>2058</v>
      </c>
      <c r="I754" s="113"/>
      <c r="J754" s="113"/>
      <c r="K754" s="113" t="s">
        <v>2051</v>
      </c>
      <c r="L754" s="113"/>
      <c r="M754" s="113" t="s">
        <v>1737</v>
      </c>
    </row>
    <row r="755" spans="1:13" ht="12.75" hidden="1" customHeight="1" x14ac:dyDescent="0.3">
      <c r="A755" s="111">
        <v>46167</v>
      </c>
      <c r="B755" s="113" t="s">
        <v>2049</v>
      </c>
      <c r="C755" s="113" t="s">
        <v>1739</v>
      </c>
      <c r="D755" s="113" t="str">
        <f>IFERROR(VLOOKUP(C755,SKUs!$A$6:$F$1971,6,FALSE()),"")</f>
        <v>JAQUETA COPA FEM.</v>
      </c>
      <c r="E755" s="113">
        <v>1</v>
      </c>
      <c r="F755" s="113">
        <f>IFERROR(IF(OR(B755="",E755=""),"",E755*VLOOKUP(B755,Configurações!$I$5:$J$15,2,FALSE())),"")</f>
        <v>1</v>
      </c>
      <c r="G755" s="113" t="s">
        <v>1424</v>
      </c>
      <c r="H755" s="113" t="s">
        <v>2058</v>
      </c>
      <c r="I755" s="113"/>
      <c r="J755" s="113"/>
      <c r="K755" s="113" t="s">
        <v>2051</v>
      </c>
      <c r="L755" s="113"/>
      <c r="M755" s="113" t="s">
        <v>1737</v>
      </c>
    </row>
    <row r="756" spans="1:13" ht="12.75" hidden="1" customHeight="1" x14ac:dyDescent="0.3">
      <c r="A756" s="111">
        <v>46167</v>
      </c>
      <c r="B756" s="113" t="s">
        <v>2049</v>
      </c>
      <c r="C756" s="113" t="s">
        <v>1740</v>
      </c>
      <c r="D756" s="113" t="str">
        <f>IFERROR(VLOOKUP(C756,SKUs!$A$6:$F$1971,6,FALSE()),"")</f>
        <v>JAQUETA COPA MASC.</v>
      </c>
      <c r="E756" s="113">
        <v>1</v>
      </c>
      <c r="F756" s="113">
        <f>IFERROR(IF(OR(B756="",E756=""),"",E756*VLOOKUP(B756,Configurações!$I$5:$J$15,2,FALSE())),"")</f>
        <v>1</v>
      </c>
      <c r="G756" s="113" t="s">
        <v>1424</v>
      </c>
      <c r="H756" s="113" t="s">
        <v>2058</v>
      </c>
      <c r="I756" s="113"/>
      <c r="J756" s="113"/>
      <c r="K756" s="113" t="s">
        <v>2051</v>
      </c>
      <c r="L756" s="113"/>
      <c r="M756" s="113" t="s">
        <v>1737</v>
      </c>
    </row>
    <row r="757" spans="1:13" ht="12.75" hidden="1" customHeight="1" x14ac:dyDescent="0.3">
      <c r="A757" s="111">
        <v>46167</v>
      </c>
      <c r="B757" s="113" t="s">
        <v>2049</v>
      </c>
      <c r="C757" s="113" t="s">
        <v>1741</v>
      </c>
      <c r="D757" s="113" t="str">
        <f>IFERROR(VLOOKUP(C757,SKUs!$A$6:$F$1971,6,FALSE()),"")</f>
        <v>JAQUETA COPA FEM.</v>
      </c>
      <c r="E757" s="113">
        <v>1</v>
      </c>
      <c r="F757" s="113">
        <f>IFERROR(IF(OR(B757="",E757=""),"",E757*VLOOKUP(B757,Configurações!$I$5:$J$15,2,FALSE())),"")</f>
        <v>1</v>
      </c>
      <c r="G757" s="113" t="s">
        <v>1424</v>
      </c>
      <c r="H757" s="113" t="s">
        <v>2058</v>
      </c>
      <c r="I757" s="113"/>
      <c r="J757" s="113"/>
      <c r="K757" s="113" t="s">
        <v>2051</v>
      </c>
      <c r="L757" s="113"/>
      <c r="M757" s="113" t="s">
        <v>1737</v>
      </c>
    </row>
    <row r="758" spans="1:13" ht="12.75" hidden="1" customHeight="1" x14ac:dyDescent="0.3">
      <c r="A758" s="111">
        <v>46167</v>
      </c>
      <c r="B758" s="113" t="s">
        <v>2049</v>
      </c>
      <c r="C758" s="113" t="s">
        <v>1742</v>
      </c>
      <c r="D758" s="113" t="str">
        <f>IFERROR(VLOOKUP(C758,SKUs!$A$6:$F$1971,6,FALSE()),"")</f>
        <v>JAQUETA COPA MASC.</v>
      </c>
      <c r="E758" s="113">
        <v>1</v>
      </c>
      <c r="F758" s="113">
        <f>IFERROR(IF(OR(B758="",E758=""),"",E758*VLOOKUP(B758,Configurações!$I$5:$J$15,2,FALSE())),"")</f>
        <v>1</v>
      </c>
      <c r="G758" s="113" t="s">
        <v>1424</v>
      </c>
      <c r="H758" s="113" t="s">
        <v>2058</v>
      </c>
      <c r="I758" s="113"/>
      <c r="J758" s="113"/>
      <c r="K758" s="113" t="s">
        <v>2051</v>
      </c>
      <c r="L758" s="113"/>
      <c r="M758" s="113" t="s">
        <v>1737</v>
      </c>
    </row>
    <row r="759" spans="1:13" ht="12.75" hidden="1" customHeight="1" x14ac:dyDescent="0.3">
      <c r="A759" s="111">
        <v>46167</v>
      </c>
      <c r="B759" s="113" t="s">
        <v>2049</v>
      </c>
      <c r="C759" s="113" t="s">
        <v>1743</v>
      </c>
      <c r="D759" s="113" t="str">
        <f>IFERROR(VLOOKUP(C759,SKUs!$A$6:$F$1971,6,FALSE()),"")</f>
        <v>JAQUETA COPA FEM.</v>
      </c>
      <c r="E759" s="113">
        <v>1</v>
      </c>
      <c r="F759" s="113">
        <f>IFERROR(IF(OR(B759="",E759=""),"",E759*VLOOKUP(B759,Configurações!$I$5:$J$15,2,FALSE())),"")</f>
        <v>1</v>
      </c>
      <c r="G759" s="113" t="s">
        <v>1424</v>
      </c>
      <c r="H759" s="113" t="s">
        <v>2058</v>
      </c>
      <c r="I759" s="113"/>
      <c r="J759" s="113"/>
      <c r="K759" s="113" t="s">
        <v>2051</v>
      </c>
      <c r="L759" s="113"/>
      <c r="M759" s="113" t="s">
        <v>1737</v>
      </c>
    </row>
    <row r="760" spans="1:13" ht="12.75" hidden="1" customHeight="1" x14ac:dyDescent="0.3">
      <c r="A760" s="111">
        <v>46167</v>
      </c>
      <c r="B760" s="113" t="s">
        <v>2049</v>
      </c>
      <c r="C760" s="113" t="s">
        <v>1744</v>
      </c>
      <c r="D760" s="113" t="str">
        <f>IFERROR(VLOOKUP(C760,SKUs!$A$6:$F$1971,6,FALSE()),"")</f>
        <v>JAQUETA COPA MASC.</v>
      </c>
      <c r="E760" s="113">
        <v>1</v>
      </c>
      <c r="F760" s="113">
        <f>IFERROR(IF(OR(B760="",E760=""),"",E760*VLOOKUP(B760,Configurações!$I$5:$J$15,2,FALSE())),"")</f>
        <v>1</v>
      </c>
      <c r="G760" s="113" t="s">
        <v>1424</v>
      </c>
      <c r="H760" s="113" t="s">
        <v>2058</v>
      </c>
      <c r="I760" s="113"/>
      <c r="J760" s="113"/>
      <c r="K760" s="113" t="s">
        <v>2051</v>
      </c>
      <c r="L760" s="113"/>
      <c r="M760" s="113" t="s">
        <v>1737</v>
      </c>
    </row>
    <row r="761" spans="1:13" ht="12.75" hidden="1" customHeight="1" x14ac:dyDescent="0.3">
      <c r="A761" s="111">
        <v>46167</v>
      </c>
      <c r="B761" s="113" t="s">
        <v>2049</v>
      </c>
      <c r="C761" s="113" t="s">
        <v>1690</v>
      </c>
      <c r="D761" s="113" t="str">
        <f>IFERROR(VLOOKUP(C761,SKUs!$A$6:$F$1971,6,FALSE()),"")</f>
        <v>CABIDES</v>
      </c>
      <c r="E761" s="113">
        <v>8</v>
      </c>
      <c r="F761" s="113">
        <f>IFERROR(IF(OR(B761="",E761=""),"",E761*VLOOKUP(B761,Configurações!$I$5:$J$15,2,FALSE())),"")</f>
        <v>8</v>
      </c>
      <c r="G761" s="113" t="s">
        <v>1424</v>
      </c>
      <c r="H761" s="113" t="s">
        <v>2058</v>
      </c>
      <c r="I761" s="113"/>
      <c r="J761" s="113"/>
      <c r="K761" s="113" t="s">
        <v>2051</v>
      </c>
      <c r="L761" s="113"/>
      <c r="M761" s="113" t="s">
        <v>1737</v>
      </c>
    </row>
    <row r="762" spans="1:13" ht="12.75" hidden="1" customHeight="1" x14ac:dyDescent="0.3">
      <c r="A762" s="111">
        <v>46167</v>
      </c>
      <c r="B762" s="113" t="s">
        <v>2049</v>
      </c>
      <c r="C762" s="113" t="s">
        <v>1593</v>
      </c>
      <c r="D762" s="113" t="str">
        <f>IFERROR(VLOOKUP(C762,SKUs!$A$6:$F$1971,6,FALSE()),"")</f>
        <v>SACOLA QUADRADA - BTG</v>
      </c>
      <c r="E762" s="113">
        <v>318</v>
      </c>
      <c r="F762" s="113">
        <f>IFERROR(IF(OR(B762="",E762=""),"",E762*VLOOKUP(B762,Configurações!$I$5:$J$15,2,FALSE())),"")</f>
        <v>318</v>
      </c>
      <c r="G762" s="113" t="s">
        <v>1424</v>
      </c>
      <c r="H762" s="113" t="s">
        <v>2058</v>
      </c>
      <c r="I762" s="113"/>
      <c r="J762" s="113"/>
      <c r="K762" s="113" t="s">
        <v>2051</v>
      </c>
      <c r="L762" s="113"/>
      <c r="M762" s="113" t="s">
        <v>1746</v>
      </c>
    </row>
    <row r="763" spans="1:13" ht="12.75" hidden="1" customHeight="1" x14ac:dyDescent="0.3">
      <c r="A763" s="111">
        <v>46167</v>
      </c>
      <c r="B763" s="113" t="s">
        <v>2049</v>
      </c>
      <c r="C763" s="113" t="s">
        <v>1747</v>
      </c>
      <c r="D763" s="113" t="str">
        <f>IFERROR(VLOOKUP(C763,SKUs!$A$6:$F$1971,6,FALSE()),"")</f>
        <v>SACOLA QUADRADA - BTG</v>
      </c>
      <c r="E763" s="113">
        <v>120</v>
      </c>
      <c r="F763" s="113">
        <f>IFERROR(IF(OR(B763="",E763=""),"",E763*VLOOKUP(B763,Configurações!$I$5:$J$15,2,FALSE())),"")</f>
        <v>120</v>
      </c>
      <c r="G763" s="113" t="s">
        <v>1424</v>
      </c>
      <c r="H763" s="113" t="s">
        <v>2058</v>
      </c>
      <c r="I763" s="113"/>
      <c r="J763" s="113"/>
      <c r="K763" s="113" t="s">
        <v>2051</v>
      </c>
      <c r="L763" s="113"/>
      <c r="M763" s="113" t="s">
        <v>1748</v>
      </c>
    </row>
    <row r="764" spans="1:13" ht="12.75" hidden="1" customHeight="1" x14ac:dyDescent="0.3">
      <c r="A764" s="111">
        <v>46167</v>
      </c>
      <c r="B764" s="113" t="s">
        <v>2049</v>
      </c>
      <c r="C764" s="113" t="s">
        <v>1749</v>
      </c>
      <c r="D764" s="113" t="str">
        <f>IFERROR(VLOOKUP(C764,SKUs!$A$6:$F$1971,6,FALSE()),"")</f>
        <v>SACOLA QUADRADA - BTG</v>
      </c>
      <c r="E764" s="113">
        <v>61</v>
      </c>
      <c r="F764" s="113">
        <f>IFERROR(IF(OR(B764="",E764=""),"",E764*VLOOKUP(B764,Configurações!$I$5:$J$15,2,FALSE())),"")</f>
        <v>61</v>
      </c>
      <c r="G764" s="113" t="s">
        <v>1424</v>
      </c>
      <c r="H764" s="113" t="s">
        <v>2058</v>
      </c>
      <c r="I764" s="113"/>
      <c r="J764" s="113"/>
      <c r="K764" s="113" t="s">
        <v>2051</v>
      </c>
      <c r="L764" s="113"/>
      <c r="M764" s="113" t="s">
        <v>1750</v>
      </c>
    </row>
    <row r="765" spans="1:13" ht="12.75" hidden="1" customHeight="1" x14ac:dyDescent="0.3">
      <c r="A765" s="111">
        <v>46167</v>
      </c>
      <c r="B765" s="113" t="s">
        <v>2049</v>
      </c>
      <c r="C765" s="113" t="s">
        <v>1751</v>
      </c>
      <c r="D765" s="113" t="str">
        <f>IFERROR(VLOOKUP(C765,SKUs!$A$6:$F$1971,6,FALSE()),"")</f>
        <v>TOALHA ACADAMIA - BTG</v>
      </c>
      <c r="E765" s="113">
        <v>39</v>
      </c>
      <c r="F765" s="113">
        <f>IFERROR(IF(OR(B765="",E765=""),"",E765*VLOOKUP(B765,Configurações!$I$5:$J$15,2,FALSE())),"")</f>
        <v>39</v>
      </c>
      <c r="G765" s="113" t="s">
        <v>1424</v>
      </c>
      <c r="H765" s="113" t="s">
        <v>2058</v>
      </c>
      <c r="I765" s="113"/>
      <c r="J765" s="113"/>
      <c r="K765" s="113" t="s">
        <v>2051</v>
      </c>
      <c r="L765" s="113"/>
      <c r="M765" s="113" t="s">
        <v>1753</v>
      </c>
    </row>
    <row r="766" spans="1:13" ht="12.75" hidden="1" customHeight="1" x14ac:dyDescent="0.3">
      <c r="A766" s="111">
        <v>46167</v>
      </c>
      <c r="B766" s="113" t="s">
        <v>2049</v>
      </c>
      <c r="C766" s="113" t="s">
        <v>1751</v>
      </c>
      <c r="D766" s="113" t="str">
        <f>IFERROR(VLOOKUP(C766,SKUs!$A$6:$F$1971,6,FALSE()),"")</f>
        <v>TOALHA ACADAMIA - BTG</v>
      </c>
      <c r="E766" s="113">
        <v>42</v>
      </c>
      <c r="F766" s="113">
        <f>IFERROR(IF(OR(B766="",E766=""),"",E766*VLOOKUP(B766,Configurações!$I$5:$J$15,2,FALSE())),"")</f>
        <v>42</v>
      </c>
      <c r="G766" s="113" t="s">
        <v>1424</v>
      </c>
      <c r="H766" s="113" t="s">
        <v>2058</v>
      </c>
      <c r="I766" s="113"/>
      <c r="J766" s="113"/>
      <c r="K766" s="113" t="s">
        <v>2051</v>
      </c>
      <c r="L766" s="113"/>
      <c r="M766" s="113" t="s">
        <v>1754</v>
      </c>
    </row>
    <row r="767" spans="1:13" ht="12.75" hidden="1" customHeight="1" x14ac:dyDescent="0.3">
      <c r="A767" s="111">
        <v>46167</v>
      </c>
      <c r="B767" s="113" t="s">
        <v>2049</v>
      </c>
      <c r="C767" s="113" t="s">
        <v>1751</v>
      </c>
      <c r="D767" s="113" t="str">
        <f>IFERROR(VLOOKUP(C767,SKUs!$A$6:$F$1971,6,FALSE()),"")</f>
        <v>TOALHA ACADAMIA - BTG</v>
      </c>
      <c r="E767" s="113">
        <v>42</v>
      </c>
      <c r="F767" s="113">
        <f>IFERROR(IF(OR(B767="",E767=""),"",E767*VLOOKUP(B767,Configurações!$I$5:$J$15,2,FALSE())),"")</f>
        <v>42</v>
      </c>
      <c r="G767" s="113" t="s">
        <v>1424</v>
      </c>
      <c r="H767" s="113" t="s">
        <v>2058</v>
      </c>
      <c r="I767" s="113"/>
      <c r="J767" s="113"/>
      <c r="K767" s="113" t="s">
        <v>2051</v>
      </c>
      <c r="L767" s="113"/>
      <c r="M767" s="113" t="s">
        <v>1755</v>
      </c>
    </row>
    <row r="768" spans="1:13" ht="12.75" hidden="1" customHeight="1" x14ac:dyDescent="0.3">
      <c r="A768" s="111">
        <v>46167</v>
      </c>
      <c r="B768" s="113" t="s">
        <v>2049</v>
      </c>
      <c r="C768" s="113" t="s">
        <v>1751</v>
      </c>
      <c r="D768" s="113" t="str">
        <f>IFERROR(VLOOKUP(C768,SKUs!$A$6:$F$1971,6,FALSE()),"")</f>
        <v>TOALHA ACADAMIA - BTG</v>
      </c>
      <c r="E768" s="113">
        <v>34</v>
      </c>
      <c r="F768" s="113">
        <f>IFERROR(IF(OR(B768="",E768=""),"",E768*VLOOKUP(B768,Configurações!$I$5:$J$15,2,FALSE())),"")</f>
        <v>34</v>
      </c>
      <c r="G768" s="113" t="s">
        <v>1424</v>
      </c>
      <c r="H768" s="113" t="s">
        <v>2058</v>
      </c>
      <c r="I768" s="113"/>
      <c r="J768" s="113"/>
      <c r="K768" s="113" t="s">
        <v>2051</v>
      </c>
      <c r="L768" s="113"/>
      <c r="M768" s="113" t="s">
        <v>1756</v>
      </c>
    </row>
    <row r="769" spans="1:13" ht="12.75" hidden="1" customHeight="1" x14ac:dyDescent="0.3">
      <c r="A769" s="111">
        <v>46167</v>
      </c>
      <c r="B769" s="113" t="s">
        <v>2049</v>
      </c>
      <c r="C769" s="113" t="s">
        <v>1751</v>
      </c>
      <c r="D769" s="113" t="str">
        <f>IFERROR(VLOOKUP(C769,SKUs!$A$6:$F$1971,6,FALSE()),"")</f>
        <v>TOALHA ACADAMIA - BTG</v>
      </c>
      <c r="E769" s="113">
        <v>39</v>
      </c>
      <c r="F769" s="113">
        <f>IFERROR(IF(OR(B769="",E769=""),"",E769*VLOOKUP(B769,Configurações!$I$5:$J$15,2,FALSE())),"")</f>
        <v>39</v>
      </c>
      <c r="G769" s="113" t="s">
        <v>1424</v>
      </c>
      <c r="H769" s="113" t="s">
        <v>2058</v>
      </c>
      <c r="I769" s="113"/>
      <c r="J769" s="113"/>
      <c r="K769" s="113" t="s">
        <v>2051</v>
      </c>
      <c r="L769" s="113"/>
      <c r="M769" s="113" t="s">
        <v>1757</v>
      </c>
    </row>
    <row r="770" spans="1:13" ht="12.75" hidden="1" customHeight="1" x14ac:dyDescent="0.3">
      <c r="A770" s="111">
        <v>46167</v>
      </c>
      <c r="B770" s="113" t="s">
        <v>2049</v>
      </c>
      <c r="C770" s="113" t="s">
        <v>1751</v>
      </c>
      <c r="D770" s="113" t="str">
        <f>IFERROR(VLOOKUP(C770,SKUs!$A$6:$F$1971,6,FALSE()),"")</f>
        <v>TOALHA ACADAMIA - BTG</v>
      </c>
      <c r="E770" s="113">
        <v>42</v>
      </c>
      <c r="F770" s="113">
        <f>IFERROR(IF(OR(B770="",E770=""),"",E770*VLOOKUP(B770,Configurações!$I$5:$J$15,2,FALSE())),"")</f>
        <v>42</v>
      </c>
      <c r="G770" s="113" t="s">
        <v>1424</v>
      </c>
      <c r="H770" s="113" t="s">
        <v>2058</v>
      </c>
      <c r="I770" s="113"/>
      <c r="J770" s="113"/>
      <c r="K770" s="113" t="s">
        <v>2051</v>
      </c>
      <c r="L770" s="113"/>
      <c r="M770" s="113" t="s">
        <v>1758</v>
      </c>
    </row>
    <row r="771" spans="1:13" ht="12.75" hidden="1" customHeight="1" x14ac:dyDescent="0.3">
      <c r="A771" s="111">
        <v>46167</v>
      </c>
      <c r="B771" s="113" t="s">
        <v>2049</v>
      </c>
      <c r="C771" s="113" t="s">
        <v>1751</v>
      </c>
      <c r="D771" s="113" t="str">
        <f>IFERROR(VLOOKUP(C771,SKUs!$A$6:$F$1971,6,FALSE()),"")</f>
        <v>TOALHA ACADAMIA - BTG</v>
      </c>
      <c r="E771" s="113">
        <v>42</v>
      </c>
      <c r="F771" s="113">
        <f>IFERROR(IF(OR(B771="",E771=""),"",E771*VLOOKUP(B771,Configurações!$I$5:$J$15,2,FALSE())),"")</f>
        <v>42</v>
      </c>
      <c r="G771" s="113" t="s">
        <v>1424</v>
      </c>
      <c r="H771" s="113" t="s">
        <v>2058</v>
      </c>
      <c r="I771" s="113"/>
      <c r="J771" s="113"/>
      <c r="K771" s="113" t="s">
        <v>2051</v>
      </c>
      <c r="L771" s="113"/>
      <c r="M771" s="113" t="s">
        <v>1759</v>
      </c>
    </row>
    <row r="772" spans="1:13" ht="12.75" hidden="1" customHeight="1" x14ac:dyDescent="0.3">
      <c r="A772" s="111">
        <v>46167</v>
      </c>
      <c r="B772" s="113" t="s">
        <v>2049</v>
      </c>
      <c r="C772" s="113" t="s">
        <v>1751</v>
      </c>
      <c r="D772" s="113" t="str">
        <f>IFERROR(VLOOKUP(C772,SKUs!$A$6:$F$1971,6,FALSE()),"")</f>
        <v>TOALHA ACADAMIA - BTG</v>
      </c>
      <c r="E772" s="113">
        <v>42</v>
      </c>
      <c r="F772" s="113">
        <f>IFERROR(IF(OR(B772="",E772=""),"",E772*VLOOKUP(B772,Configurações!$I$5:$J$15,2,FALSE())),"")</f>
        <v>42</v>
      </c>
      <c r="G772" s="113" t="s">
        <v>1424</v>
      </c>
      <c r="H772" s="113" t="s">
        <v>2058</v>
      </c>
      <c r="I772" s="113"/>
      <c r="J772" s="113"/>
      <c r="K772" s="113" t="s">
        <v>2051</v>
      </c>
      <c r="L772" s="113"/>
      <c r="M772" s="113" t="s">
        <v>1760</v>
      </c>
    </row>
    <row r="773" spans="1:13" ht="12.75" hidden="1" customHeight="1" x14ac:dyDescent="0.3">
      <c r="A773" s="111">
        <v>46167</v>
      </c>
      <c r="B773" s="113" t="s">
        <v>2049</v>
      </c>
      <c r="C773" s="113" t="s">
        <v>1751</v>
      </c>
      <c r="D773" s="113" t="str">
        <f>IFERROR(VLOOKUP(C773,SKUs!$A$6:$F$1971,6,FALSE()),"")</f>
        <v>TOALHA ACADAMIA - BTG</v>
      </c>
      <c r="E773" s="113">
        <v>42</v>
      </c>
      <c r="F773" s="113">
        <f>IFERROR(IF(OR(B773="",E773=""),"",E773*VLOOKUP(B773,Configurações!$I$5:$J$15,2,FALSE())),"")</f>
        <v>42</v>
      </c>
      <c r="G773" s="113" t="s">
        <v>1424</v>
      </c>
      <c r="H773" s="113" t="s">
        <v>2058</v>
      </c>
      <c r="I773" s="113"/>
      <c r="J773" s="113"/>
      <c r="K773" s="113" t="s">
        <v>2051</v>
      </c>
      <c r="L773" s="113"/>
      <c r="M773" s="113" t="s">
        <v>1761</v>
      </c>
    </row>
    <row r="774" spans="1:13" ht="12.75" hidden="1" customHeight="1" x14ac:dyDescent="0.3">
      <c r="A774" s="111">
        <v>46167</v>
      </c>
      <c r="B774" s="113" t="s">
        <v>2049</v>
      </c>
      <c r="C774" s="113" t="s">
        <v>1751</v>
      </c>
      <c r="D774" s="113" t="str">
        <f>IFERROR(VLOOKUP(C774,SKUs!$A$6:$F$1971,6,FALSE()),"")</f>
        <v>TOALHA ACADAMIA - BTG</v>
      </c>
      <c r="E774" s="113">
        <v>39</v>
      </c>
      <c r="F774" s="113">
        <f>IFERROR(IF(OR(B774="",E774=""),"",E774*VLOOKUP(B774,Configurações!$I$5:$J$15,2,FALSE())),"")</f>
        <v>39</v>
      </c>
      <c r="G774" s="113" t="s">
        <v>1424</v>
      </c>
      <c r="H774" s="113" t="s">
        <v>2058</v>
      </c>
      <c r="I774" s="113"/>
      <c r="J774" s="113"/>
      <c r="K774" s="113" t="s">
        <v>2051</v>
      </c>
      <c r="L774" s="113"/>
      <c r="M774" s="113" t="s">
        <v>1762</v>
      </c>
    </row>
    <row r="775" spans="1:13" ht="12.75" hidden="1" customHeight="1" x14ac:dyDescent="0.3">
      <c r="A775" s="111">
        <v>46167</v>
      </c>
      <c r="B775" s="113" t="s">
        <v>2049</v>
      </c>
      <c r="C775" s="113" t="s">
        <v>1751</v>
      </c>
      <c r="D775" s="113" t="str">
        <f>IFERROR(VLOOKUP(C775,SKUs!$A$6:$F$1971,6,FALSE()),"")</f>
        <v>TOALHA ACADAMIA - BTG</v>
      </c>
      <c r="E775" s="113">
        <v>39</v>
      </c>
      <c r="F775" s="113">
        <f>IFERROR(IF(OR(B775="",E775=""),"",E775*VLOOKUP(B775,Configurações!$I$5:$J$15,2,FALSE())),"")</f>
        <v>39</v>
      </c>
      <c r="G775" s="113" t="s">
        <v>1424</v>
      </c>
      <c r="H775" s="113" t="s">
        <v>2058</v>
      </c>
      <c r="I775" s="113"/>
      <c r="J775" s="113"/>
      <c r="K775" s="113" t="s">
        <v>2051</v>
      </c>
      <c r="L775" s="113"/>
      <c r="M775" s="113" t="s">
        <v>1763</v>
      </c>
    </row>
    <row r="776" spans="1:13" ht="12.75" hidden="1" customHeight="1" x14ac:dyDescent="0.3">
      <c r="A776" s="111">
        <v>46167</v>
      </c>
      <c r="B776" s="113" t="s">
        <v>2049</v>
      </c>
      <c r="C776" s="113" t="s">
        <v>1751</v>
      </c>
      <c r="D776" s="113" t="str">
        <f>IFERROR(VLOOKUP(C776,SKUs!$A$6:$F$1971,6,FALSE()),"")</f>
        <v>TOALHA ACADAMIA - BTG</v>
      </c>
      <c r="E776" s="113">
        <v>39</v>
      </c>
      <c r="F776" s="113">
        <f>IFERROR(IF(OR(B776="",E776=""),"",E776*VLOOKUP(B776,Configurações!$I$5:$J$15,2,FALSE())),"")</f>
        <v>39</v>
      </c>
      <c r="G776" s="113" t="s">
        <v>1424</v>
      </c>
      <c r="H776" s="113" t="s">
        <v>2058</v>
      </c>
      <c r="I776" s="113"/>
      <c r="J776" s="113"/>
      <c r="K776" s="113" t="s">
        <v>2051</v>
      </c>
      <c r="L776" s="113"/>
      <c r="M776" s="113" t="s">
        <v>1764</v>
      </c>
    </row>
    <row r="777" spans="1:13" ht="12.75" hidden="1" customHeight="1" x14ac:dyDescent="0.3">
      <c r="A777" s="111">
        <v>46167</v>
      </c>
      <c r="B777" s="113" t="s">
        <v>2049</v>
      </c>
      <c r="C777" s="113" t="s">
        <v>1751</v>
      </c>
      <c r="D777" s="113" t="str">
        <f>IFERROR(VLOOKUP(C777,SKUs!$A$6:$F$1971,6,FALSE()),"")</f>
        <v>TOALHA ACADAMIA - BTG</v>
      </c>
      <c r="E777" s="113">
        <v>42</v>
      </c>
      <c r="F777" s="113">
        <f>IFERROR(IF(OR(B777="",E777=""),"",E777*VLOOKUP(B777,Configurações!$I$5:$J$15,2,FALSE())),"")</f>
        <v>42</v>
      </c>
      <c r="G777" s="113" t="s">
        <v>1424</v>
      </c>
      <c r="H777" s="113" t="s">
        <v>2058</v>
      </c>
      <c r="I777" s="113"/>
      <c r="J777" s="113"/>
      <c r="K777" s="113" t="s">
        <v>2051</v>
      </c>
      <c r="L777" s="113"/>
      <c r="M777" s="113" t="s">
        <v>1765</v>
      </c>
    </row>
    <row r="778" spans="1:13" ht="12.75" hidden="1" customHeight="1" x14ac:dyDescent="0.3">
      <c r="A778" s="111">
        <v>46167</v>
      </c>
      <c r="B778" s="113" t="s">
        <v>2049</v>
      </c>
      <c r="C778" s="113" t="s">
        <v>1751</v>
      </c>
      <c r="D778" s="113" t="str">
        <f>IFERROR(VLOOKUP(C778,SKUs!$A$6:$F$1971,6,FALSE()),"")</f>
        <v>TOALHA ACADAMIA - BTG</v>
      </c>
      <c r="E778" s="113">
        <v>30</v>
      </c>
      <c r="F778" s="113">
        <f>IFERROR(IF(OR(B778="",E778=""),"",E778*VLOOKUP(B778,Configurações!$I$5:$J$15,2,FALSE())),"")</f>
        <v>30</v>
      </c>
      <c r="G778" s="113" t="s">
        <v>1424</v>
      </c>
      <c r="H778" s="113" t="s">
        <v>2058</v>
      </c>
      <c r="I778" s="113"/>
      <c r="J778" s="113"/>
      <c r="K778" s="113" t="s">
        <v>2051</v>
      </c>
      <c r="L778" s="113"/>
      <c r="M778" s="113" t="s">
        <v>1766</v>
      </c>
    </row>
    <row r="779" spans="1:13" ht="12.75" hidden="1" customHeight="1" x14ac:dyDescent="0.3">
      <c r="A779" s="111">
        <v>46167</v>
      </c>
      <c r="B779" s="113" t="s">
        <v>2049</v>
      </c>
      <c r="C779" s="113" t="s">
        <v>1751</v>
      </c>
      <c r="D779" s="113" t="str">
        <f>IFERROR(VLOOKUP(C779,SKUs!$A$6:$F$1971,6,FALSE()),"")</f>
        <v>TOALHA ACADAMIA - BTG</v>
      </c>
      <c r="E779" s="113">
        <v>39</v>
      </c>
      <c r="F779" s="113">
        <f>IFERROR(IF(OR(B779="",E779=""),"",E779*VLOOKUP(B779,Configurações!$I$5:$J$15,2,FALSE())),"")</f>
        <v>39</v>
      </c>
      <c r="G779" s="113" t="s">
        <v>1424</v>
      </c>
      <c r="H779" s="113" t="s">
        <v>2058</v>
      </c>
      <c r="I779" s="113"/>
      <c r="J779" s="113"/>
      <c r="K779" s="113" t="s">
        <v>2051</v>
      </c>
      <c r="L779" s="113"/>
      <c r="M779" s="113" t="s">
        <v>1767</v>
      </c>
    </row>
    <row r="780" spans="1:13" ht="12.75" hidden="1" customHeight="1" x14ac:dyDescent="0.3">
      <c r="A780" s="111">
        <v>46167</v>
      </c>
      <c r="B780" s="113" t="s">
        <v>2049</v>
      </c>
      <c r="C780" s="113" t="s">
        <v>1751</v>
      </c>
      <c r="D780" s="113" t="str">
        <f>IFERROR(VLOOKUP(C780,SKUs!$A$6:$F$1971,6,FALSE()),"")</f>
        <v>TOALHA ACADAMIA - BTG</v>
      </c>
      <c r="E780" s="113">
        <v>42</v>
      </c>
      <c r="F780" s="113">
        <f>IFERROR(IF(OR(B780="",E780=""),"",E780*VLOOKUP(B780,Configurações!$I$5:$J$15,2,FALSE())),"")</f>
        <v>42</v>
      </c>
      <c r="G780" s="113" t="s">
        <v>1424</v>
      </c>
      <c r="H780" s="113" t="s">
        <v>2058</v>
      </c>
      <c r="I780" s="113"/>
      <c r="J780" s="113"/>
      <c r="K780" s="113" t="s">
        <v>2051</v>
      </c>
      <c r="L780" s="113"/>
      <c r="M780" s="113" t="s">
        <v>1768</v>
      </c>
    </row>
    <row r="781" spans="1:13" ht="12.75" hidden="1" customHeight="1" x14ac:dyDescent="0.3">
      <c r="A781" s="111">
        <v>46167</v>
      </c>
      <c r="B781" s="113" t="s">
        <v>2049</v>
      </c>
      <c r="C781" s="113" t="s">
        <v>1751</v>
      </c>
      <c r="D781" s="113" t="str">
        <f>IFERROR(VLOOKUP(C781,SKUs!$A$6:$F$1971,6,FALSE()),"")</f>
        <v>TOALHA ACADAMIA - BTG</v>
      </c>
      <c r="E781" s="113">
        <v>39</v>
      </c>
      <c r="F781" s="113">
        <f>IFERROR(IF(OR(B781="",E781=""),"",E781*VLOOKUP(B781,Configurações!$I$5:$J$15,2,FALSE())),"")</f>
        <v>39</v>
      </c>
      <c r="G781" s="113" t="s">
        <v>1424</v>
      </c>
      <c r="H781" s="113" t="s">
        <v>2058</v>
      </c>
      <c r="I781" s="113"/>
      <c r="J781" s="113"/>
      <c r="K781" s="113" t="s">
        <v>2051</v>
      </c>
      <c r="L781" s="113"/>
      <c r="M781" s="113" t="s">
        <v>1769</v>
      </c>
    </row>
    <row r="782" spans="1:13" ht="12.75" hidden="1" customHeight="1" x14ac:dyDescent="0.3">
      <c r="A782" s="111">
        <v>46167</v>
      </c>
      <c r="B782" s="113" t="s">
        <v>2049</v>
      </c>
      <c r="C782" s="113" t="s">
        <v>1751</v>
      </c>
      <c r="D782" s="113" t="str">
        <f>IFERROR(VLOOKUP(C782,SKUs!$A$6:$F$1971,6,FALSE()),"")</f>
        <v>TOALHA ACADAMIA - BTG</v>
      </c>
      <c r="E782" s="113">
        <v>42</v>
      </c>
      <c r="F782" s="113">
        <f>IFERROR(IF(OR(B782="",E782=""),"",E782*VLOOKUP(B782,Configurações!$I$5:$J$15,2,FALSE())),"")</f>
        <v>42</v>
      </c>
      <c r="G782" s="113" t="s">
        <v>1424</v>
      </c>
      <c r="H782" s="113" t="s">
        <v>2058</v>
      </c>
      <c r="I782" s="113"/>
      <c r="J782" s="113"/>
      <c r="K782" s="113" t="s">
        <v>2051</v>
      </c>
      <c r="L782" s="113"/>
      <c r="M782" s="113" t="s">
        <v>1770</v>
      </c>
    </row>
    <row r="783" spans="1:13" ht="12.75" hidden="1" customHeight="1" x14ac:dyDescent="0.3">
      <c r="A783" s="111">
        <v>46167</v>
      </c>
      <c r="B783" s="113" t="s">
        <v>2049</v>
      </c>
      <c r="C783" s="113" t="s">
        <v>1751</v>
      </c>
      <c r="D783" s="113" t="str">
        <f>IFERROR(VLOOKUP(C783,SKUs!$A$6:$F$1971,6,FALSE()),"")</f>
        <v>TOALHA ACADAMIA - BTG</v>
      </c>
      <c r="E783" s="113">
        <v>42</v>
      </c>
      <c r="F783" s="113">
        <f>IFERROR(IF(OR(B783="",E783=""),"",E783*VLOOKUP(B783,Configurações!$I$5:$J$15,2,FALSE())),"")</f>
        <v>42</v>
      </c>
      <c r="G783" s="113" t="s">
        <v>1424</v>
      </c>
      <c r="H783" s="113" t="s">
        <v>2058</v>
      </c>
      <c r="I783" s="113"/>
      <c r="J783" s="113"/>
      <c r="K783" s="113" t="s">
        <v>2051</v>
      </c>
      <c r="L783" s="113"/>
      <c r="M783" s="113" t="s">
        <v>1771</v>
      </c>
    </row>
    <row r="784" spans="1:13" ht="12.75" hidden="1" customHeight="1" x14ac:dyDescent="0.3">
      <c r="A784" s="111">
        <v>46167</v>
      </c>
      <c r="B784" s="113" t="s">
        <v>2049</v>
      </c>
      <c r="C784" s="113" t="s">
        <v>1751</v>
      </c>
      <c r="D784" s="113" t="str">
        <f>IFERROR(VLOOKUP(C784,SKUs!$A$6:$F$1971,6,FALSE()),"")</f>
        <v>TOALHA ACADAMIA - BTG</v>
      </c>
      <c r="E784" s="113">
        <v>42</v>
      </c>
      <c r="F784" s="113">
        <f>IFERROR(IF(OR(B784="",E784=""),"",E784*VLOOKUP(B784,Configurações!$I$5:$J$15,2,FALSE())),"")</f>
        <v>42</v>
      </c>
      <c r="G784" s="113" t="s">
        <v>1424</v>
      </c>
      <c r="H784" s="113" t="s">
        <v>2058</v>
      </c>
      <c r="I784" s="113"/>
      <c r="J784" s="113"/>
      <c r="K784" s="113" t="s">
        <v>2051</v>
      </c>
      <c r="L784" s="113"/>
      <c r="M784" s="113" t="s">
        <v>1772</v>
      </c>
    </row>
    <row r="785" spans="1:13" ht="12.75" hidden="1" customHeight="1" x14ac:dyDescent="0.3">
      <c r="A785" s="111">
        <v>46167</v>
      </c>
      <c r="B785" s="113" t="s">
        <v>2049</v>
      </c>
      <c r="C785" s="113" t="s">
        <v>1751</v>
      </c>
      <c r="D785" s="113" t="str">
        <f>IFERROR(VLOOKUP(C785,SKUs!$A$6:$F$1971,6,FALSE()),"")</f>
        <v>TOALHA ACADAMIA - BTG</v>
      </c>
      <c r="E785" s="113">
        <v>42</v>
      </c>
      <c r="F785" s="113">
        <f>IFERROR(IF(OR(B785="",E785=""),"",E785*VLOOKUP(B785,Configurações!$I$5:$J$15,2,FALSE())),"")</f>
        <v>42</v>
      </c>
      <c r="G785" s="113" t="s">
        <v>1424</v>
      </c>
      <c r="H785" s="113" t="s">
        <v>2058</v>
      </c>
      <c r="I785" s="113"/>
      <c r="J785" s="113"/>
      <c r="K785" s="113" t="s">
        <v>2051</v>
      </c>
      <c r="L785" s="113"/>
      <c r="M785" s="113" t="s">
        <v>1773</v>
      </c>
    </row>
    <row r="786" spans="1:13" ht="12.75" hidden="1" customHeight="1" x14ac:dyDescent="0.3">
      <c r="A786" s="111">
        <v>46167</v>
      </c>
      <c r="B786" s="113" t="s">
        <v>2049</v>
      </c>
      <c r="C786" s="113" t="s">
        <v>1751</v>
      </c>
      <c r="D786" s="113" t="str">
        <f>IFERROR(VLOOKUP(C786,SKUs!$A$6:$F$1971,6,FALSE()),"")</f>
        <v>TOALHA ACADAMIA - BTG</v>
      </c>
      <c r="E786" s="113">
        <v>42</v>
      </c>
      <c r="F786" s="113">
        <f>IFERROR(IF(OR(B786="",E786=""),"",E786*VLOOKUP(B786,Configurações!$I$5:$J$15,2,FALSE())),"")</f>
        <v>42</v>
      </c>
      <c r="G786" s="113" t="s">
        <v>1424</v>
      </c>
      <c r="H786" s="113" t="s">
        <v>2058</v>
      </c>
      <c r="I786" s="113"/>
      <c r="J786" s="113"/>
      <c r="K786" s="113" t="s">
        <v>2051</v>
      </c>
      <c r="L786" s="113"/>
      <c r="M786" s="113" t="s">
        <v>1774</v>
      </c>
    </row>
    <row r="787" spans="1:13" ht="12.75" hidden="1" customHeight="1" x14ac:dyDescent="0.3">
      <c r="A787" s="111">
        <v>46167</v>
      </c>
      <c r="B787" s="113" t="s">
        <v>2049</v>
      </c>
      <c r="C787" s="113" t="s">
        <v>1751</v>
      </c>
      <c r="D787" s="113" t="str">
        <f>IFERROR(VLOOKUP(C787,SKUs!$A$6:$F$1971,6,FALSE()),"")</f>
        <v>TOALHA ACADAMIA - BTG</v>
      </c>
      <c r="E787" s="113">
        <v>42</v>
      </c>
      <c r="F787" s="113">
        <f>IFERROR(IF(OR(B787="",E787=""),"",E787*VLOOKUP(B787,Configurações!$I$5:$J$15,2,FALSE())),"")</f>
        <v>42</v>
      </c>
      <c r="G787" s="113" t="s">
        <v>1424</v>
      </c>
      <c r="H787" s="113" t="s">
        <v>2058</v>
      </c>
      <c r="I787" s="113"/>
      <c r="J787" s="113"/>
      <c r="K787" s="113" t="s">
        <v>2051</v>
      </c>
      <c r="L787" s="113"/>
      <c r="M787" s="113" t="s">
        <v>1775</v>
      </c>
    </row>
    <row r="788" spans="1:13" ht="12.75" hidden="1" customHeight="1" x14ac:dyDescent="0.3">
      <c r="A788" s="111">
        <v>46167</v>
      </c>
      <c r="B788" s="113" t="s">
        <v>2049</v>
      </c>
      <c r="C788" s="113" t="s">
        <v>1751</v>
      </c>
      <c r="D788" s="113" t="str">
        <f>IFERROR(VLOOKUP(C788,SKUs!$A$6:$F$1971,6,FALSE()),"")</f>
        <v>TOALHA ACADAMIA - BTG</v>
      </c>
      <c r="E788" s="113">
        <v>42</v>
      </c>
      <c r="F788" s="113">
        <f>IFERROR(IF(OR(B788="",E788=""),"",E788*VLOOKUP(B788,Configurações!$I$5:$J$15,2,FALSE())),"")</f>
        <v>42</v>
      </c>
      <c r="G788" s="113" t="s">
        <v>1424</v>
      </c>
      <c r="H788" s="113" t="s">
        <v>2058</v>
      </c>
      <c r="I788" s="113"/>
      <c r="J788" s="113"/>
      <c r="K788" s="113" t="s">
        <v>2051</v>
      </c>
      <c r="L788" s="113"/>
      <c r="M788" s="113" t="s">
        <v>1776</v>
      </c>
    </row>
    <row r="789" spans="1:13" ht="12.75" hidden="1" customHeight="1" x14ac:dyDescent="0.3">
      <c r="A789" s="111">
        <v>46167</v>
      </c>
      <c r="B789" s="113" t="s">
        <v>2049</v>
      </c>
      <c r="C789" s="113" t="s">
        <v>1751</v>
      </c>
      <c r="D789" s="113" t="str">
        <f>IFERROR(VLOOKUP(C789,SKUs!$A$6:$F$1971,6,FALSE()),"")</f>
        <v>TOALHA ACADAMIA - BTG</v>
      </c>
      <c r="E789" s="113">
        <v>42</v>
      </c>
      <c r="F789" s="113">
        <f>IFERROR(IF(OR(B789="",E789=""),"",E789*VLOOKUP(B789,Configurações!$I$5:$J$15,2,FALSE())),"")</f>
        <v>42</v>
      </c>
      <c r="G789" s="113" t="s">
        <v>1424</v>
      </c>
      <c r="H789" s="113" t="s">
        <v>2058</v>
      </c>
      <c r="I789" s="113"/>
      <c r="J789" s="113"/>
      <c r="K789" s="113" t="s">
        <v>2051</v>
      </c>
      <c r="L789" s="113"/>
      <c r="M789" s="113" t="s">
        <v>1777</v>
      </c>
    </row>
    <row r="790" spans="1:13" ht="12.75" hidden="1" customHeight="1" x14ac:dyDescent="0.3">
      <c r="A790" s="111">
        <v>46167</v>
      </c>
      <c r="B790" s="113" t="s">
        <v>2049</v>
      </c>
      <c r="C790" s="113" t="s">
        <v>1751</v>
      </c>
      <c r="D790" s="113" t="str">
        <f>IFERROR(VLOOKUP(C790,SKUs!$A$6:$F$1971,6,FALSE()),"")</f>
        <v>TOALHA ACADAMIA - BTG</v>
      </c>
      <c r="E790" s="113">
        <v>42</v>
      </c>
      <c r="F790" s="113">
        <f>IFERROR(IF(OR(B790="",E790=""),"",E790*VLOOKUP(B790,Configurações!$I$5:$J$15,2,FALSE())),"")</f>
        <v>42</v>
      </c>
      <c r="G790" s="113" t="s">
        <v>1424</v>
      </c>
      <c r="H790" s="113" t="s">
        <v>2058</v>
      </c>
      <c r="I790" s="113"/>
      <c r="J790" s="113"/>
      <c r="K790" s="113" t="s">
        <v>2051</v>
      </c>
      <c r="L790" s="113"/>
      <c r="M790" s="113" t="s">
        <v>1778</v>
      </c>
    </row>
    <row r="791" spans="1:13" ht="12.75" hidden="1" customHeight="1" x14ac:dyDescent="0.3">
      <c r="A791" s="111">
        <v>46167</v>
      </c>
      <c r="B791" s="113" t="s">
        <v>2049</v>
      </c>
      <c r="C791" s="113" t="s">
        <v>1751</v>
      </c>
      <c r="D791" s="113" t="str">
        <f>IFERROR(VLOOKUP(C791,SKUs!$A$6:$F$1971,6,FALSE()),"")</f>
        <v>TOALHA ACADAMIA - BTG</v>
      </c>
      <c r="E791" s="113">
        <v>42</v>
      </c>
      <c r="F791" s="113">
        <f>IFERROR(IF(OR(B791="",E791=""),"",E791*VLOOKUP(B791,Configurações!$I$5:$J$15,2,FALSE())),"")</f>
        <v>42</v>
      </c>
      <c r="G791" s="113" t="s">
        <v>1424</v>
      </c>
      <c r="H791" s="113" t="s">
        <v>2058</v>
      </c>
      <c r="I791" s="113"/>
      <c r="J791" s="113"/>
      <c r="K791" s="113" t="s">
        <v>2051</v>
      </c>
      <c r="L791" s="113"/>
      <c r="M791" s="113" t="s">
        <v>1779</v>
      </c>
    </row>
    <row r="792" spans="1:13" ht="12.75" hidden="1" customHeight="1" x14ac:dyDescent="0.3">
      <c r="A792" s="111">
        <v>46167</v>
      </c>
      <c r="B792" s="113" t="s">
        <v>2049</v>
      </c>
      <c r="C792" s="113" t="s">
        <v>1751</v>
      </c>
      <c r="D792" s="113" t="str">
        <f>IFERROR(VLOOKUP(C792,SKUs!$A$6:$F$1971,6,FALSE()),"")</f>
        <v>TOALHA ACADAMIA - BTG</v>
      </c>
      <c r="E792" s="113">
        <v>42</v>
      </c>
      <c r="F792" s="113">
        <f>IFERROR(IF(OR(B792="",E792=""),"",E792*VLOOKUP(B792,Configurações!$I$5:$J$15,2,FALSE())),"")</f>
        <v>42</v>
      </c>
      <c r="G792" s="113" t="s">
        <v>1424</v>
      </c>
      <c r="H792" s="113" t="s">
        <v>2058</v>
      </c>
      <c r="I792" s="113"/>
      <c r="J792" s="113"/>
      <c r="K792" s="113" t="s">
        <v>2051</v>
      </c>
      <c r="L792" s="113"/>
      <c r="M792" s="113" t="s">
        <v>1781</v>
      </c>
    </row>
    <row r="793" spans="1:13" ht="12.75" hidden="1" customHeight="1" x14ac:dyDescent="0.3">
      <c r="A793" s="111">
        <v>46167</v>
      </c>
      <c r="B793" s="113" t="s">
        <v>2049</v>
      </c>
      <c r="C793" s="113" t="s">
        <v>1751</v>
      </c>
      <c r="D793" s="113" t="str">
        <f>IFERROR(VLOOKUP(C793,SKUs!$A$6:$F$1971,6,FALSE()),"")</f>
        <v>TOALHA ACADAMIA - BTG</v>
      </c>
      <c r="E793" s="113">
        <v>42</v>
      </c>
      <c r="F793" s="113">
        <f>IFERROR(IF(OR(B793="",E793=""),"",E793*VLOOKUP(B793,Configurações!$I$5:$J$15,2,FALSE())),"")</f>
        <v>42</v>
      </c>
      <c r="G793" s="113" t="s">
        <v>1424</v>
      </c>
      <c r="H793" s="113" t="s">
        <v>2058</v>
      </c>
      <c r="I793" s="113"/>
      <c r="J793" s="113"/>
      <c r="K793" s="113" t="s">
        <v>2051</v>
      </c>
      <c r="L793" s="113"/>
      <c r="M793" s="113" t="s">
        <v>1782</v>
      </c>
    </row>
    <row r="794" spans="1:13" ht="12.75" hidden="1" customHeight="1" x14ac:dyDescent="0.3">
      <c r="A794" s="111">
        <v>46167</v>
      </c>
      <c r="B794" s="113" t="s">
        <v>2049</v>
      </c>
      <c r="C794" s="113" t="s">
        <v>1751</v>
      </c>
      <c r="D794" s="113" t="str">
        <f>IFERROR(VLOOKUP(C794,SKUs!$A$6:$F$1971,6,FALSE()),"")</f>
        <v>TOALHA ACADAMIA - BTG</v>
      </c>
      <c r="E794" s="113">
        <v>42</v>
      </c>
      <c r="F794" s="113">
        <f>IFERROR(IF(OR(B794="",E794=""),"",E794*VLOOKUP(B794,Configurações!$I$5:$J$15,2,FALSE())),"")</f>
        <v>42</v>
      </c>
      <c r="G794" s="113" t="s">
        <v>1424</v>
      </c>
      <c r="H794" s="113" t="s">
        <v>2058</v>
      </c>
      <c r="I794" s="113"/>
      <c r="J794" s="113"/>
      <c r="K794" s="113" t="s">
        <v>2051</v>
      </c>
      <c r="L794" s="113"/>
      <c r="M794" s="113" t="s">
        <v>1783</v>
      </c>
    </row>
    <row r="795" spans="1:13" ht="12.75" hidden="1" customHeight="1" x14ac:dyDescent="0.3">
      <c r="A795" s="111">
        <v>46167</v>
      </c>
      <c r="B795" s="113" t="s">
        <v>2049</v>
      </c>
      <c r="C795" s="113" t="s">
        <v>1751</v>
      </c>
      <c r="D795" s="113" t="str">
        <f>IFERROR(VLOOKUP(C795,SKUs!$A$6:$F$1971,6,FALSE()),"")</f>
        <v>TOALHA ACADAMIA - BTG</v>
      </c>
      <c r="E795" s="113">
        <v>39</v>
      </c>
      <c r="F795" s="113">
        <f>IFERROR(IF(OR(B795="",E795=""),"",E795*VLOOKUP(B795,Configurações!$I$5:$J$15,2,FALSE())),"")</f>
        <v>39</v>
      </c>
      <c r="G795" s="113" t="s">
        <v>1424</v>
      </c>
      <c r="H795" s="113" t="s">
        <v>2058</v>
      </c>
      <c r="I795" s="113"/>
      <c r="J795" s="113"/>
      <c r="K795" s="113" t="s">
        <v>2051</v>
      </c>
      <c r="L795" s="113"/>
      <c r="M795" s="113" t="s">
        <v>1784</v>
      </c>
    </row>
    <row r="796" spans="1:13" ht="12.75" hidden="1" customHeight="1" x14ac:dyDescent="0.3">
      <c r="A796" s="111">
        <v>46167</v>
      </c>
      <c r="B796" s="113" t="s">
        <v>2049</v>
      </c>
      <c r="C796" s="113" t="s">
        <v>1751</v>
      </c>
      <c r="D796" s="113" t="str">
        <f>IFERROR(VLOOKUP(C796,SKUs!$A$6:$F$1971,6,FALSE()),"")</f>
        <v>TOALHA ACADAMIA - BTG</v>
      </c>
      <c r="E796" s="113">
        <v>42</v>
      </c>
      <c r="F796" s="113">
        <f>IFERROR(IF(OR(B796="",E796=""),"",E796*VLOOKUP(B796,Configurações!$I$5:$J$15,2,FALSE())),"")</f>
        <v>42</v>
      </c>
      <c r="G796" s="113" t="s">
        <v>1424</v>
      </c>
      <c r="H796" s="113" t="s">
        <v>2058</v>
      </c>
      <c r="I796" s="113"/>
      <c r="J796" s="113"/>
      <c r="K796" s="113" t="s">
        <v>2051</v>
      </c>
      <c r="L796" s="113"/>
      <c r="M796" s="113" t="s">
        <v>1785</v>
      </c>
    </row>
    <row r="797" spans="1:13" ht="12.75" hidden="1" customHeight="1" x14ac:dyDescent="0.3">
      <c r="A797" s="111">
        <v>46167</v>
      </c>
      <c r="B797" s="113" t="s">
        <v>2049</v>
      </c>
      <c r="C797" s="113" t="s">
        <v>1751</v>
      </c>
      <c r="D797" s="113" t="str">
        <f>IFERROR(VLOOKUP(C797,SKUs!$A$6:$F$1971,6,FALSE()),"")</f>
        <v>TOALHA ACADAMIA - BTG</v>
      </c>
      <c r="E797" s="113">
        <v>39</v>
      </c>
      <c r="F797" s="113">
        <f>IFERROR(IF(OR(B797="",E797=""),"",E797*VLOOKUP(B797,Configurações!$I$5:$J$15,2,FALSE())),"")</f>
        <v>39</v>
      </c>
      <c r="G797" s="113" t="s">
        <v>1424</v>
      </c>
      <c r="H797" s="113" t="s">
        <v>2058</v>
      </c>
      <c r="I797" s="113"/>
      <c r="J797" s="113"/>
      <c r="K797" s="113" t="s">
        <v>2051</v>
      </c>
      <c r="L797" s="113"/>
      <c r="M797" s="113" t="s">
        <v>1786</v>
      </c>
    </row>
    <row r="798" spans="1:13" ht="12.75" hidden="1" customHeight="1" x14ac:dyDescent="0.3">
      <c r="A798" s="111">
        <v>46167</v>
      </c>
      <c r="B798" s="113" t="s">
        <v>2049</v>
      </c>
      <c r="C798" s="113" t="s">
        <v>1751</v>
      </c>
      <c r="D798" s="113" t="str">
        <f>IFERROR(VLOOKUP(C798,SKUs!$A$6:$F$1971,6,FALSE()),"")</f>
        <v>TOALHA ACADAMIA - BTG</v>
      </c>
      <c r="E798" s="113">
        <v>42</v>
      </c>
      <c r="F798" s="113">
        <f>IFERROR(IF(OR(B798="",E798=""),"",E798*VLOOKUP(B798,Configurações!$I$5:$J$15,2,FALSE())),"")</f>
        <v>42</v>
      </c>
      <c r="G798" s="113" t="s">
        <v>1424</v>
      </c>
      <c r="H798" s="113" t="s">
        <v>2058</v>
      </c>
      <c r="I798" s="113"/>
      <c r="J798" s="113"/>
      <c r="K798" s="113" t="s">
        <v>2051</v>
      </c>
      <c r="L798" s="113"/>
      <c r="M798" s="113" t="s">
        <v>1787</v>
      </c>
    </row>
    <row r="799" spans="1:13" ht="12.75" hidden="1" customHeight="1" x14ac:dyDescent="0.3">
      <c r="A799" s="111">
        <v>46168</v>
      </c>
      <c r="B799" s="113" t="s">
        <v>2049</v>
      </c>
      <c r="C799" s="113" t="s">
        <v>1788</v>
      </c>
      <c r="D799" s="113" t="str">
        <f>IFERROR(VLOOKUP(C799,SKUs!$A$6:$F$1971,6,FALSE()),"")</f>
        <v>MOCHILA VITORINOX</v>
      </c>
      <c r="E799" s="113">
        <v>11</v>
      </c>
      <c r="F799" s="113">
        <f>IFERROR(IF(OR(B799="",E799=""),"",E799*VLOOKUP(B799,Configurações!$I$5:$J$15,2,FALSE())),"")</f>
        <v>11</v>
      </c>
      <c r="G799" s="113" t="s">
        <v>1424</v>
      </c>
      <c r="H799" s="113" t="s">
        <v>2058</v>
      </c>
      <c r="I799" s="113"/>
      <c r="J799" s="113"/>
      <c r="K799" s="113" t="s">
        <v>2051</v>
      </c>
      <c r="L799" s="113"/>
      <c r="M799" s="113" t="s">
        <v>1790</v>
      </c>
    </row>
    <row r="800" spans="1:13" ht="12.75" hidden="1" customHeight="1" x14ac:dyDescent="0.3">
      <c r="A800" s="111">
        <v>46168</v>
      </c>
      <c r="B800" s="113" t="s">
        <v>2049</v>
      </c>
      <c r="C800" s="113" t="s">
        <v>1788</v>
      </c>
      <c r="D800" s="113" t="str">
        <f>IFERROR(VLOOKUP(C800,SKUs!$A$6:$F$1971,6,FALSE()),"")</f>
        <v>MOCHILA VITORINOX</v>
      </c>
      <c r="E800" s="113">
        <v>11</v>
      </c>
      <c r="F800" s="113">
        <f>IFERROR(IF(OR(B800="",E800=""),"",E800*VLOOKUP(B800,Configurações!$I$5:$J$15,2,FALSE())),"")</f>
        <v>11</v>
      </c>
      <c r="G800" s="113" t="s">
        <v>1424</v>
      </c>
      <c r="H800" s="113" t="s">
        <v>2058</v>
      </c>
      <c r="I800" s="113"/>
      <c r="J800" s="113"/>
      <c r="K800" s="113" t="s">
        <v>2051</v>
      </c>
      <c r="L800" s="113"/>
      <c r="M800" s="113" t="s">
        <v>1791</v>
      </c>
    </row>
    <row r="801" spans="1:13" ht="12.75" hidden="1" customHeight="1" x14ac:dyDescent="0.3">
      <c r="A801" s="111">
        <v>46168</v>
      </c>
      <c r="B801" s="113" t="s">
        <v>2049</v>
      </c>
      <c r="C801" s="113" t="s">
        <v>1788</v>
      </c>
      <c r="D801" s="113" t="str">
        <f>IFERROR(VLOOKUP(C801,SKUs!$A$6:$F$1971,6,FALSE()),"")</f>
        <v>MOCHILA VITORINOX</v>
      </c>
      <c r="E801" s="113">
        <v>11</v>
      </c>
      <c r="F801" s="113">
        <f>IFERROR(IF(OR(B801="",E801=""),"",E801*VLOOKUP(B801,Configurações!$I$5:$J$15,2,FALSE())),"")</f>
        <v>11</v>
      </c>
      <c r="G801" s="113" t="s">
        <v>1424</v>
      </c>
      <c r="H801" s="113" t="s">
        <v>2058</v>
      </c>
      <c r="I801" s="113"/>
      <c r="J801" s="113"/>
      <c r="K801" s="113" t="s">
        <v>2051</v>
      </c>
      <c r="L801" s="113"/>
      <c r="M801" s="113" t="s">
        <v>1792</v>
      </c>
    </row>
    <row r="802" spans="1:13" ht="12.75" hidden="1" customHeight="1" x14ac:dyDescent="0.3">
      <c r="A802" s="111">
        <v>46168</v>
      </c>
      <c r="B802" s="113" t="s">
        <v>2049</v>
      </c>
      <c r="C802" s="113" t="s">
        <v>1788</v>
      </c>
      <c r="D802" s="113" t="str">
        <f>IFERROR(VLOOKUP(C802,SKUs!$A$6:$F$1971,6,FALSE()),"")</f>
        <v>MOCHILA VITORINOX</v>
      </c>
      <c r="E802" s="113">
        <v>11</v>
      </c>
      <c r="F802" s="113">
        <f>IFERROR(IF(OR(B802="",E802=""),"",E802*VLOOKUP(B802,Configurações!$I$5:$J$15,2,FALSE())),"")</f>
        <v>11</v>
      </c>
      <c r="G802" s="113" t="s">
        <v>1424</v>
      </c>
      <c r="H802" s="113" t="s">
        <v>2058</v>
      </c>
      <c r="I802" s="113"/>
      <c r="J802" s="113"/>
      <c r="K802" s="113" t="s">
        <v>2051</v>
      </c>
      <c r="L802" s="113"/>
      <c r="M802" s="113" t="s">
        <v>1793</v>
      </c>
    </row>
    <row r="803" spans="1:13" ht="12.75" hidden="1" customHeight="1" x14ac:dyDescent="0.3">
      <c r="A803" s="111">
        <v>46168</v>
      </c>
      <c r="B803" s="113" t="s">
        <v>2049</v>
      </c>
      <c r="C803" s="113" t="s">
        <v>1788</v>
      </c>
      <c r="D803" s="113" t="str">
        <f>IFERROR(VLOOKUP(C803,SKUs!$A$6:$F$1971,6,FALSE()),"")</f>
        <v>MOCHILA VITORINOX</v>
      </c>
      <c r="E803" s="113">
        <v>11</v>
      </c>
      <c r="F803" s="113">
        <f>IFERROR(IF(OR(B803="",E803=""),"",E803*VLOOKUP(B803,Configurações!$I$5:$J$15,2,FALSE())),"")</f>
        <v>11</v>
      </c>
      <c r="G803" s="113" t="s">
        <v>1424</v>
      </c>
      <c r="H803" s="113" t="s">
        <v>2058</v>
      </c>
      <c r="I803" s="113"/>
      <c r="J803" s="113"/>
      <c r="K803" s="113" t="s">
        <v>2051</v>
      </c>
      <c r="L803" s="113"/>
      <c r="M803" s="113" t="s">
        <v>1794</v>
      </c>
    </row>
    <row r="804" spans="1:13" ht="12.75" hidden="1" customHeight="1" x14ac:dyDescent="0.3">
      <c r="A804" s="111">
        <v>46168</v>
      </c>
      <c r="B804" s="113" t="s">
        <v>2049</v>
      </c>
      <c r="C804" s="113" t="s">
        <v>1788</v>
      </c>
      <c r="D804" s="113" t="str">
        <f>IFERROR(VLOOKUP(C804,SKUs!$A$6:$F$1971,6,FALSE()),"")</f>
        <v>MOCHILA VITORINOX</v>
      </c>
      <c r="E804" s="113">
        <v>11</v>
      </c>
      <c r="F804" s="113">
        <f>IFERROR(IF(OR(B804="",E804=""),"",E804*VLOOKUP(B804,Configurações!$I$5:$J$15,2,FALSE())),"")</f>
        <v>11</v>
      </c>
      <c r="G804" s="113" t="s">
        <v>1424</v>
      </c>
      <c r="H804" s="113" t="s">
        <v>2058</v>
      </c>
      <c r="I804" s="113"/>
      <c r="J804" s="113"/>
      <c r="K804" s="113" t="s">
        <v>2051</v>
      </c>
      <c r="L804" s="113"/>
      <c r="M804" s="113" t="s">
        <v>1796</v>
      </c>
    </row>
    <row r="805" spans="1:13" ht="12.75" hidden="1" customHeight="1" x14ac:dyDescent="0.3">
      <c r="A805" s="111">
        <v>46168</v>
      </c>
      <c r="B805" s="113" t="s">
        <v>2049</v>
      </c>
      <c r="C805" s="113" t="s">
        <v>1788</v>
      </c>
      <c r="D805" s="113" t="str">
        <f>IFERROR(VLOOKUP(C805,SKUs!$A$6:$F$1971,6,FALSE()),"")</f>
        <v>MOCHILA VITORINOX</v>
      </c>
      <c r="E805" s="113">
        <v>11</v>
      </c>
      <c r="F805" s="113">
        <f>IFERROR(IF(OR(B805="",E805=""),"",E805*VLOOKUP(B805,Configurações!$I$5:$J$15,2,FALSE())),"")</f>
        <v>11</v>
      </c>
      <c r="G805" s="113" t="s">
        <v>1424</v>
      </c>
      <c r="H805" s="113" t="s">
        <v>2058</v>
      </c>
      <c r="I805" s="113"/>
      <c r="J805" s="113"/>
      <c r="K805" s="113" t="s">
        <v>2051</v>
      </c>
      <c r="L805" s="113"/>
      <c r="M805" s="113" t="s">
        <v>1797</v>
      </c>
    </row>
    <row r="806" spans="1:13" ht="12.75" hidden="1" customHeight="1" x14ac:dyDescent="0.3">
      <c r="A806" s="111">
        <v>46168</v>
      </c>
      <c r="B806" s="113" t="s">
        <v>2049</v>
      </c>
      <c r="C806" s="113" t="s">
        <v>1788</v>
      </c>
      <c r="D806" s="113" t="str">
        <f>IFERROR(VLOOKUP(C806,SKUs!$A$6:$F$1971,6,FALSE()),"")</f>
        <v>MOCHILA VITORINOX</v>
      </c>
      <c r="E806" s="113">
        <v>11</v>
      </c>
      <c r="F806" s="113">
        <f>IFERROR(IF(OR(B806="",E806=""),"",E806*VLOOKUP(B806,Configurações!$I$5:$J$15,2,FALSE())),"")</f>
        <v>11</v>
      </c>
      <c r="G806" s="113" t="s">
        <v>1424</v>
      </c>
      <c r="H806" s="113" t="s">
        <v>2058</v>
      </c>
      <c r="I806" s="113"/>
      <c r="J806" s="113"/>
      <c r="K806" s="113" t="s">
        <v>2051</v>
      </c>
      <c r="L806" s="113"/>
      <c r="M806" s="113" t="s">
        <v>1798</v>
      </c>
    </row>
    <row r="807" spans="1:13" ht="12.75" hidden="1" customHeight="1" x14ac:dyDescent="0.3">
      <c r="A807" s="111">
        <v>46168</v>
      </c>
      <c r="B807" s="113" t="s">
        <v>2049</v>
      </c>
      <c r="C807" s="113" t="s">
        <v>1788</v>
      </c>
      <c r="D807" s="113" t="str">
        <f>IFERROR(VLOOKUP(C807,SKUs!$A$6:$F$1971,6,FALSE()),"")</f>
        <v>MOCHILA VITORINOX</v>
      </c>
      <c r="E807" s="113">
        <v>11</v>
      </c>
      <c r="F807" s="113">
        <f>IFERROR(IF(OR(B807="",E807=""),"",E807*VLOOKUP(B807,Configurações!$I$5:$J$15,2,FALSE())),"")</f>
        <v>11</v>
      </c>
      <c r="G807" s="113" t="s">
        <v>1424</v>
      </c>
      <c r="H807" s="113" t="s">
        <v>2058</v>
      </c>
      <c r="I807" s="113"/>
      <c r="J807" s="113"/>
      <c r="K807" s="113" t="s">
        <v>2051</v>
      </c>
      <c r="L807" s="113"/>
      <c r="M807" s="113" t="s">
        <v>1799</v>
      </c>
    </row>
    <row r="808" spans="1:13" ht="12.75" hidden="1" customHeight="1" x14ac:dyDescent="0.3">
      <c r="A808" s="111">
        <v>46168</v>
      </c>
      <c r="B808" s="113" t="s">
        <v>2049</v>
      </c>
      <c r="C808" s="113" t="s">
        <v>1788</v>
      </c>
      <c r="D808" s="113" t="str">
        <f>IFERROR(VLOOKUP(C808,SKUs!$A$6:$F$1971,6,FALSE()),"")</f>
        <v>MOCHILA VITORINOX</v>
      </c>
      <c r="E808" s="113">
        <v>11</v>
      </c>
      <c r="F808" s="113">
        <f>IFERROR(IF(OR(B808="",E808=""),"",E808*VLOOKUP(B808,Configurações!$I$5:$J$15,2,FALSE())),"")</f>
        <v>11</v>
      </c>
      <c r="G808" s="113" t="s">
        <v>1424</v>
      </c>
      <c r="H808" s="113" t="s">
        <v>2058</v>
      </c>
      <c r="I808" s="113"/>
      <c r="J808" s="113"/>
      <c r="K808" s="113" t="s">
        <v>2051</v>
      </c>
      <c r="L808" s="113"/>
      <c r="M808" s="113" t="s">
        <v>1800</v>
      </c>
    </row>
    <row r="809" spans="1:13" ht="12.75" hidden="1" customHeight="1" x14ac:dyDescent="0.3">
      <c r="A809" s="111">
        <v>46168</v>
      </c>
      <c r="B809" s="113" t="s">
        <v>2049</v>
      </c>
      <c r="C809" s="113" t="s">
        <v>1788</v>
      </c>
      <c r="D809" s="113" t="str">
        <f>IFERROR(VLOOKUP(C809,SKUs!$A$6:$F$1971,6,FALSE()),"")</f>
        <v>MOCHILA VITORINOX</v>
      </c>
      <c r="E809" s="113">
        <v>11</v>
      </c>
      <c r="F809" s="113">
        <f>IFERROR(IF(OR(B809="",E809=""),"",E809*VLOOKUP(B809,Configurações!$I$5:$J$15,2,FALSE())),"")</f>
        <v>11</v>
      </c>
      <c r="G809" s="113" t="s">
        <v>1424</v>
      </c>
      <c r="H809" s="113" t="s">
        <v>2058</v>
      </c>
      <c r="I809" s="113"/>
      <c r="J809" s="113"/>
      <c r="K809" s="113" t="s">
        <v>2051</v>
      </c>
      <c r="L809" s="113"/>
      <c r="M809" s="113" t="s">
        <v>1801</v>
      </c>
    </row>
    <row r="810" spans="1:13" ht="12.75" hidden="1" customHeight="1" x14ac:dyDescent="0.3">
      <c r="A810" s="111">
        <v>46168</v>
      </c>
      <c r="B810" s="113" t="s">
        <v>2049</v>
      </c>
      <c r="C810" s="113" t="s">
        <v>1788</v>
      </c>
      <c r="D810" s="113" t="str">
        <f>IFERROR(VLOOKUP(C810,SKUs!$A$6:$F$1971,6,FALSE()),"")</f>
        <v>MOCHILA VITORINOX</v>
      </c>
      <c r="E810" s="113">
        <v>11</v>
      </c>
      <c r="F810" s="113">
        <f>IFERROR(IF(OR(B810="",E810=""),"",E810*VLOOKUP(B810,Configurações!$I$5:$J$15,2,FALSE())),"")</f>
        <v>11</v>
      </c>
      <c r="G810" s="113" t="s">
        <v>1424</v>
      </c>
      <c r="H810" s="113" t="s">
        <v>2058</v>
      </c>
      <c r="I810" s="113"/>
      <c r="J810" s="113"/>
      <c r="K810" s="113" t="s">
        <v>2051</v>
      </c>
      <c r="L810" s="113"/>
      <c r="M810" s="113" t="s">
        <v>1802</v>
      </c>
    </row>
    <row r="811" spans="1:13" ht="12.75" hidden="1" customHeight="1" x14ac:dyDescent="0.3">
      <c r="A811" s="111">
        <v>46168</v>
      </c>
      <c r="B811" s="113" t="s">
        <v>2049</v>
      </c>
      <c r="C811" s="113" t="s">
        <v>1788</v>
      </c>
      <c r="D811" s="113" t="str">
        <f>IFERROR(VLOOKUP(C811,SKUs!$A$6:$F$1971,6,FALSE()),"")</f>
        <v>MOCHILA VITORINOX</v>
      </c>
      <c r="E811" s="113">
        <v>11</v>
      </c>
      <c r="F811" s="113">
        <f>IFERROR(IF(OR(B811="",E811=""),"",E811*VLOOKUP(B811,Configurações!$I$5:$J$15,2,FALSE())),"")</f>
        <v>11</v>
      </c>
      <c r="G811" s="113" t="s">
        <v>1424</v>
      </c>
      <c r="H811" s="113" t="s">
        <v>2058</v>
      </c>
      <c r="I811" s="113"/>
      <c r="J811" s="113"/>
      <c r="K811" s="113" t="s">
        <v>2051</v>
      </c>
      <c r="L811" s="113"/>
      <c r="M811" s="113" t="s">
        <v>1803</v>
      </c>
    </row>
    <row r="812" spans="1:13" ht="12.75" hidden="1" customHeight="1" x14ac:dyDescent="0.3">
      <c r="A812" s="111">
        <v>46168</v>
      </c>
      <c r="B812" s="113" t="s">
        <v>2049</v>
      </c>
      <c r="C812" s="113" t="s">
        <v>1675</v>
      </c>
      <c r="D812" s="113" t="str">
        <f>IFERROR(VLOOKUP(C812,SKUs!$A$6:$F$1971,6,FALSE()),"")</f>
        <v>LANCHEIRA TERMICA</v>
      </c>
      <c r="E812" s="113">
        <v>11</v>
      </c>
      <c r="F812" s="113">
        <f>IFERROR(IF(OR(B812="",E812=""),"",E812*VLOOKUP(B812,Configurações!$I$5:$J$15,2,FALSE())),"")</f>
        <v>11</v>
      </c>
      <c r="G812" s="113" t="s">
        <v>1424</v>
      </c>
      <c r="H812" s="113" t="s">
        <v>2058</v>
      </c>
      <c r="I812" s="113"/>
      <c r="J812" s="113"/>
      <c r="K812" s="113" t="s">
        <v>2051</v>
      </c>
      <c r="L812" s="113"/>
      <c r="M812" s="113" t="s">
        <v>1804</v>
      </c>
    </row>
    <row r="813" spans="1:13" ht="12.75" hidden="1" customHeight="1" x14ac:dyDescent="0.3">
      <c r="A813" s="114">
        <v>46168</v>
      </c>
      <c r="B813" s="113" t="s">
        <v>2049</v>
      </c>
      <c r="C813" s="113" t="s">
        <v>1675</v>
      </c>
      <c r="D813" s="113" t="str">
        <f>IFERROR(VLOOKUP(C813,SKUs!$A$6:$F$1971,6,FALSE()),"")</f>
        <v>LANCHEIRA TERMICA</v>
      </c>
      <c r="E813" s="113">
        <v>13</v>
      </c>
      <c r="F813" s="113">
        <f>IFERROR(IF(OR(B813="",E813=""),"",E813*VLOOKUP(B813,Configurações!$I$5:$J$15,2,FALSE())),"")</f>
        <v>13</v>
      </c>
      <c r="G813" s="113" t="s">
        <v>1424</v>
      </c>
      <c r="H813" s="115" t="s">
        <v>2058</v>
      </c>
      <c r="I813" s="113"/>
      <c r="J813" s="115"/>
      <c r="K813" s="113" t="s">
        <v>2051</v>
      </c>
      <c r="L813" s="113"/>
      <c r="M813" s="113" t="s">
        <v>1805</v>
      </c>
    </row>
    <row r="814" spans="1:13" ht="14.25" hidden="1" customHeight="1" x14ac:dyDescent="0.3">
      <c r="A814" s="116">
        <v>46183</v>
      </c>
      <c r="B814" s="117" t="s">
        <v>2052</v>
      </c>
      <c r="C814" s="118" t="s">
        <v>724</v>
      </c>
      <c r="D814" s="119" t="str">
        <f>IFERROR(VLOOKUP(C814,SKUs!$A$6:$F$1971,6,FALSE()),"")</f>
        <v>JAQUETA COPA MASC.</v>
      </c>
      <c r="E814" s="120">
        <v>9</v>
      </c>
      <c r="F814" s="119">
        <f>IFERROR(IF(OR(B814="",E814=""),"",E814*VLOOKUP(B814,Configurações!$I$5:$J$15,2,FALSE())),"")</f>
        <v>-9</v>
      </c>
      <c r="G814" s="119" t="s">
        <v>1424</v>
      </c>
      <c r="H814" s="121" t="s">
        <v>2059</v>
      </c>
      <c r="I814" s="122" t="s">
        <v>2057</v>
      </c>
      <c r="J814" s="121"/>
      <c r="K814" s="123" t="s">
        <v>2051</v>
      </c>
      <c r="M814" s="109" t="s">
        <v>723</v>
      </c>
    </row>
    <row r="815" spans="1:13" ht="14.25" hidden="1" customHeight="1" x14ac:dyDescent="0.3">
      <c r="A815" s="116">
        <v>46183</v>
      </c>
      <c r="B815" s="117" t="s">
        <v>2052</v>
      </c>
      <c r="C815" s="121" t="s">
        <v>1742</v>
      </c>
      <c r="D815" s="124" t="str">
        <f>IFERROR(VLOOKUP(C815,SKUs!$A$6:$F$1971,6,FALSE()),"")</f>
        <v>JAQUETA COPA MASC.</v>
      </c>
      <c r="E815" s="121">
        <v>1</v>
      </c>
      <c r="F815" s="125">
        <f>IFERROR(IF(OR(B815="",E815=""),"",E815*VLOOKUP(B815,Configurações!$I$5:$J$15,2,FALSE())),"")</f>
        <v>-1</v>
      </c>
      <c r="G815" s="119" t="s">
        <v>1424</v>
      </c>
      <c r="H815" s="121" t="s">
        <v>2059</v>
      </c>
      <c r="I815" s="122" t="s">
        <v>2057</v>
      </c>
      <c r="J815" s="121"/>
      <c r="K815" s="123" t="s">
        <v>2051</v>
      </c>
      <c r="M815" s="109" t="s">
        <v>1737</v>
      </c>
    </row>
    <row r="816" spans="1:13" ht="14.25" hidden="1" customHeight="1" x14ac:dyDescent="0.3">
      <c r="A816" s="116">
        <v>46183</v>
      </c>
      <c r="B816" s="117" t="s">
        <v>2052</v>
      </c>
      <c r="C816" s="121" t="s">
        <v>725</v>
      </c>
      <c r="D816" s="124" t="str">
        <f>IFERROR(VLOOKUP(C816,SKUs!$A$6:$F$1971,6,FALSE()),"")</f>
        <v>JAQUETA COPA MASC.</v>
      </c>
      <c r="E816" s="121">
        <v>10</v>
      </c>
      <c r="F816" s="125">
        <f>IFERROR(IF(OR(B816="",E816=""),"",E816*VLOOKUP(B816,Configurações!$I$5:$J$15,2,FALSE())),"")</f>
        <v>-10</v>
      </c>
      <c r="G816" s="119" t="s">
        <v>1424</v>
      </c>
      <c r="H816" s="121" t="s">
        <v>2059</v>
      </c>
      <c r="I816" s="122" t="s">
        <v>2057</v>
      </c>
      <c r="J816" s="121"/>
      <c r="K816" s="123" t="s">
        <v>2051</v>
      </c>
      <c r="M816" s="109" t="s">
        <v>726</v>
      </c>
    </row>
    <row r="817" spans="1:13" ht="14.25" hidden="1" customHeight="1" x14ac:dyDescent="0.3">
      <c r="A817" s="116">
        <v>46183</v>
      </c>
      <c r="B817" s="117" t="s">
        <v>2052</v>
      </c>
      <c r="C817" s="121" t="s">
        <v>753</v>
      </c>
      <c r="D817" s="124" t="str">
        <f>IFERROR(VLOOKUP(C817,SKUs!$A$6:$F$1971,6,FALSE()),"")</f>
        <v>POLO PIQUET MASC.</v>
      </c>
      <c r="E817" s="121">
        <v>5</v>
      </c>
      <c r="F817" s="125">
        <f>IFERROR(IF(OR(B817="",E817=""),"",E817*VLOOKUP(B817,Configurações!$I$5:$J$15,2,FALSE())),"")</f>
        <v>-5</v>
      </c>
      <c r="G817" s="119" t="s">
        <v>1424</v>
      </c>
      <c r="H817" s="121" t="s">
        <v>2059</v>
      </c>
      <c r="I817" s="122" t="s">
        <v>2057</v>
      </c>
      <c r="J817" s="121"/>
      <c r="K817" s="123" t="s">
        <v>2051</v>
      </c>
      <c r="M817" s="109" t="s">
        <v>757</v>
      </c>
    </row>
    <row r="818" spans="1:13" ht="14.25" hidden="1" customHeight="1" x14ac:dyDescent="0.3">
      <c r="A818" s="116">
        <v>46183</v>
      </c>
      <c r="B818" s="117" t="s">
        <v>2052</v>
      </c>
      <c r="C818" s="121" t="s">
        <v>1597</v>
      </c>
      <c r="D818" s="124" t="str">
        <f>IFERROR(VLOOKUP(C818,SKUs!$A$6:$F$1971,6,FALSE()),"")</f>
        <v>POLO PIQUET MASC.</v>
      </c>
      <c r="E818" s="121">
        <v>2</v>
      </c>
      <c r="F818" s="125">
        <f>IFERROR(IF(OR(B818="",E818=""),"",E818*VLOOKUP(B818,Configurações!$I$5:$J$15,2,FALSE())),"")</f>
        <v>-2</v>
      </c>
      <c r="G818" s="119" t="s">
        <v>1424</v>
      </c>
      <c r="H818" s="121" t="s">
        <v>2059</v>
      </c>
      <c r="I818" s="122" t="s">
        <v>2057</v>
      </c>
      <c r="J818" s="121"/>
      <c r="K818" s="123" t="s">
        <v>2051</v>
      </c>
      <c r="M818" s="109" t="s">
        <v>1598</v>
      </c>
    </row>
    <row r="819" spans="1:13" ht="14.25" hidden="1" customHeight="1" x14ac:dyDescent="0.3">
      <c r="A819" s="116">
        <v>46183</v>
      </c>
      <c r="B819" s="117" t="s">
        <v>2052</v>
      </c>
      <c r="C819" s="126" t="s">
        <v>1597</v>
      </c>
      <c r="D819" s="127" t="str">
        <f>IFERROR(VLOOKUP(C819,SKUs!$A$6:$F$1971,6,FALSE()),"")</f>
        <v>POLO PIQUET MASC.</v>
      </c>
      <c r="E819" s="121">
        <v>20</v>
      </c>
      <c r="F819" s="125">
        <f>IFERROR(IF(OR(B819="",E819=""),"",E819*VLOOKUP(B819,Configurações!$I$5:$J$15,2,FALSE())),"")</f>
        <v>-20</v>
      </c>
      <c r="G819" s="119" t="s">
        <v>1424</v>
      </c>
      <c r="H819" s="121" t="s">
        <v>2059</v>
      </c>
      <c r="I819" s="122" t="s">
        <v>2057</v>
      </c>
      <c r="J819" s="121"/>
      <c r="K819" s="123" t="s">
        <v>2051</v>
      </c>
      <c r="M819" s="109" t="s">
        <v>1615</v>
      </c>
    </row>
    <row r="820" spans="1:13" ht="14.25" hidden="1" customHeight="1" x14ac:dyDescent="0.3">
      <c r="A820" s="116">
        <v>46183</v>
      </c>
      <c r="B820" s="117" t="s">
        <v>2052</v>
      </c>
      <c r="C820" s="128" t="s">
        <v>762</v>
      </c>
      <c r="D820" s="127" t="str">
        <f>IFERROR(VLOOKUP(C820,SKUs!$A$6:$F$1971,6,FALSE()),"")</f>
        <v>POLO PIQUET MASC.</v>
      </c>
      <c r="E820" s="121">
        <v>5</v>
      </c>
      <c r="F820" s="125">
        <f>IFERROR(IF(OR(B820="",E820=""),"",E820*VLOOKUP(B820,Configurações!$I$5:$J$15,2,FALSE())),"")</f>
        <v>-5</v>
      </c>
      <c r="G820" s="119" t="s">
        <v>1424</v>
      </c>
      <c r="H820" s="121" t="s">
        <v>2059</v>
      </c>
      <c r="I820" s="122" t="s">
        <v>2057</v>
      </c>
      <c r="J820" s="121"/>
      <c r="K820" s="123" t="s">
        <v>2051</v>
      </c>
      <c r="M820" s="109" t="s">
        <v>759</v>
      </c>
    </row>
    <row r="821" spans="1:13" ht="14.25" hidden="1" customHeight="1" x14ac:dyDescent="0.3">
      <c r="A821" s="116">
        <v>46183</v>
      </c>
      <c r="B821" s="117" t="s">
        <v>2052</v>
      </c>
      <c r="C821" s="128" t="s">
        <v>1616</v>
      </c>
      <c r="D821" s="127" t="str">
        <f>IFERROR(VLOOKUP(C821,SKUs!$A$6:$F$1971,6,FALSE()),"")</f>
        <v>POLO PIQUET MASC.</v>
      </c>
      <c r="E821" s="121">
        <v>20</v>
      </c>
      <c r="F821" s="125">
        <f>IFERROR(IF(OR(B821="",E821=""),"",E821*VLOOKUP(B821,Configurações!$I$5:$J$15,2,FALSE())),"")</f>
        <v>-20</v>
      </c>
      <c r="G821" s="119" t="s">
        <v>1424</v>
      </c>
      <c r="H821" s="121" t="s">
        <v>2059</v>
      </c>
      <c r="I821" s="122" t="s">
        <v>2057</v>
      </c>
      <c r="J821" s="121"/>
      <c r="K821" s="123" t="s">
        <v>2051</v>
      </c>
      <c r="M821" s="109" t="s">
        <v>1615</v>
      </c>
    </row>
    <row r="822" spans="1:13" ht="14.25" hidden="1" customHeight="1" x14ac:dyDescent="0.3">
      <c r="A822" s="116">
        <v>46183</v>
      </c>
      <c r="B822" s="117" t="s">
        <v>2052</v>
      </c>
      <c r="C822" s="128" t="s">
        <v>763</v>
      </c>
      <c r="D822" s="127" t="str">
        <f>IFERROR(VLOOKUP(C822,SKUs!$A$6:$F$1971,6,FALSE()),"")</f>
        <v>POLO PIQUET MASC.</v>
      </c>
      <c r="E822" s="121">
        <v>8</v>
      </c>
      <c r="F822" s="125">
        <f>IFERROR(IF(OR(B822="",E822=""),"",E822*VLOOKUP(B822,Configurações!$I$5:$J$15,2,FALSE())),"")</f>
        <v>-8</v>
      </c>
      <c r="G822" s="119" t="s">
        <v>1424</v>
      </c>
      <c r="H822" s="121" t="s">
        <v>2059</v>
      </c>
      <c r="I822" s="122" t="s">
        <v>2057</v>
      </c>
      <c r="J822" s="121"/>
      <c r="K822" s="123" t="s">
        <v>2051</v>
      </c>
      <c r="M822" s="109" t="s">
        <v>759</v>
      </c>
    </row>
    <row r="823" spans="1:13" ht="14.25" hidden="1" customHeight="1" x14ac:dyDescent="0.3">
      <c r="A823" s="116">
        <v>46183</v>
      </c>
      <c r="B823" s="117" t="s">
        <v>2052</v>
      </c>
      <c r="C823" s="128" t="s">
        <v>764</v>
      </c>
      <c r="D823" s="127" t="str">
        <f>IFERROR(VLOOKUP(C823,SKUs!$A$6:$F$1971,6,FALSE()),"")</f>
        <v>POLO PIQUET MASC.</v>
      </c>
      <c r="E823" s="121">
        <v>5</v>
      </c>
      <c r="F823" s="125">
        <f>IFERROR(IF(OR(B823="",E823=""),"",E823*VLOOKUP(B823,Configurações!$I$5:$J$15,2,FALSE())),"")</f>
        <v>-5</v>
      </c>
      <c r="G823" s="119" t="s">
        <v>1424</v>
      </c>
      <c r="H823" s="121" t="s">
        <v>2059</v>
      </c>
      <c r="I823" s="122" t="s">
        <v>2057</v>
      </c>
      <c r="J823" s="121"/>
      <c r="K823" s="123" t="s">
        <v>2051</v>
      </c>
      <c r="M823" s="109" t="s">
        <v>766</v>
      </c>
    </row>
    <row r="824" spans="1:13" ht="14.25" hidden="1" customHeight="1" x14ac:dyDescent="0.3">
      <c r="A824" s="116">
        <v>46183</v>
      </c>
      <c r="B824" s="117" t="s">
        <v>2052</v>
      </c>
      <c r="C824" s="128" t="s">
        <v>770</v>
      </c>
      <c r="D824" s="127" t="str">
        <f>IFERROR(VLOOKUP(C824,SKUs!$A$6:$F$1971,6,FALSE()),"")</f>
        <v>POLO PIQUET MASC.</v>
      </c>
      <c r="E824" s="121">
        <v>5</v>
      </c>
      <c r="F824" s="125">
        <f>IFERROR(IF(OR(B824="",E824=""),"",E824*VLOOKUP(B824,Configurações!$I$5:$J$15,2,FALSE())),"")</f>
        <v>-5</v>
      </c>
      <c r="G824" s="119" t="s">
        <v>1424</v>
      </c>
      <c r="H824" s="121" t="s">
        <v>2059</v>
      </c>
      <c r="I824" s="122" t="s">
        <v>2057</v>
      </c>
      <c r="J824" s="121"/>
      <c r="K824" s="123" t="s">
        <v>2051</v>
      </c>
      <c r="M824" s="109" t="s">
        <v>766</v>
      </c>
    </row>
    <row r="825" spans="1:13" ht="14.25" hidden="1" customHeight="1" x14ac:dyDescent="0.3">
      <c r="A825" s="116">
        <v>46183</v>
      </c>
      <c r="B825" s="117" t="s">
        <v>2052</v>
      </c>
      <c r="C825" s="129" t="s">
        <v>1607</v>
      </c>
      <c r="D825" s="127" t="str">
        <f>IFERROR(VLOOKUP(C825,SKUs!$A$6:$F$1971,6,FALSE()),"")</f>
        <v>POLO PIQUET RISCOS MASC.</v>
      </c>
      <c r="E825" s="121">
        <v>4</v>
      </c>
      <c r="F825" s="125">
        <f>IFERROR(IF(OR(B825="",E825=""),"",E825*VLOOKUP(B825,Configurações!$I$5:$J$15,2,FALSE())),"")</f>
        <v>-4</v>
      </c>
      <c r="G825" s="119" t="s">
        <v>1424</v>
      </c>
      <c r="H825" s="121" t="s">
        <v>2059</v>
      </c>
      <c r="I825" s="122" t="s">
        <v>2057</v>
      </c>
      <c r="J825" s="121"/>
      <c r="K825" s="123" t="s">
        <v>2051</v>
      </c>
      <c r="M825" s="109" t="s">
        <v>1604</v>
      </c>
    </row>
    <row r="826" spans="1:13" ht="14.25" hidden="1" customHeight="1" x14ac:dyDescent="0.3">
      <c r="A826" s="116">
        <v>46183</v>
      </c>
      <c r="B826" s="117" t="s">
        <v>2052</v>
      </c>
      <c r="C826" s="130" t="s">
        <v>1607</v>
      </c>
      <c r="D826" s="127" t="str">
        <f>IFERROR(VLOOKUP(C826,SKUs!$A$6:$F$1971,6,FALSE()),"")</f>
        <v>POLO PIQUET RISCOS MASC.</v>
      </c>
      <c r="E826" s="121">
        <v>20</v>
      </c>
      <c r="F826" s="125">
        <f>IFERROR(IF(OR(B826="",E826=""),"",E826*VLOOKUP(B826,Configurações!$I$5:$J$15,2,FALSE())),"")</f>
        <v>-20</v>
      </c>
      <c r="G826" s="119" t="s">
        <v>1424</v>
      </c>
      <c r="H826" s="121" t="s">
        <v>2059</v>
      </c>
      <c r="I826" s="122" t="s">
        <v>2057</v>
      </c>
      <c r="J826" s="121"/>
      <c r="K826" s="123" t="s">
        <v>2051</v>
      </c>
      <c r="M826" s="109" t="s">
        <v>1611</v>
      </c>
    </row>
    <row r="827" spans="1:13" ht="14.25" hidden="1" customHeight="1" x14ac:dyDescent="0.3">
      <c r="A827" s="116">
        <v>46183</v>
      </c>
      <c r="B827" s="117" t="s">
        <v>2052</v>
      </c>
      <c r="C827" s="128" t="s">
        <v>771</v>
      </c>
      <c r="D827" s="127" t="str">
        <f>IFERROR(VLOOKUP(C827,SKUs!$A$6:$F$1971,6,FALSE()),"")</f>
        <v>POLO PIQUET MASC.</v>
      </c>
      <c r="E827" s="121">
        <v>5</v>
      </c>
      <c r="F827" s="125">
        <f>IFERROR(IF(OR(B827="",E827=""),"",E827*VLOOKUP(B827,Configurações!$I$5:$J$15,2,FALSE())),"")</f>
        <v>-5</v>
      </c>
      <c r="G827" s="119" t="s">
        <v>1424</v>
      </c>
      <c r="H827" s="121" t="s">
        <v>2059</v>
      </c>
      <c r="I827" s="122" t="s">
        <v>2057</v>
      </c>
      <c r="J827" s="121"/>
      <c r="K827" s="123" t="s">
        <v>2051</v>
      </c>
      <c r="M827" s="109" t="s">
        <v>766</v>
      </c>
    </row>
    <row r="828" spans="1:13" ht="14.25" hidden="1" customHeight="1" x14ac:dyDescent="0.3">
      <c r="A828" s="116">
        <v>46183</v>
      </c>
      <c r="B828" s="117" t="s">
        <v>2052</v>
      </c>
      <c r="C828" s="128" t="s">
        <v>1612</v>
      </c>
      <c r="D828" s="127" t="str">
        <f>IFERROR(VLOOKUP(C828,SKUs!$A$6:$F$1971,6,FALSE()),"")</f>
        <v>POLO PIQUET RISCOS MASC.</v>
      </c>
      <c r="E828" s="121">
        <v>30</v>
      </c>
      <c r="F828" s="125">
        <f>IFERROR(IF(OR(B828="",E828=""),"",E828*VLOOKUP(B828,Configurações!$I$5:$J$15,2,FALSE())),"")</f>
        <v>-30</v>
      </c>
      <c r="G828" s="119" t="s">
        <v>1424</v>
      </c>
      <c r="H828" s="121" t="s">
        <v>2059</v>
      </c>
      <c r="I828" s="122" t="s">
        <v>2057</v>
      </c>
      <c r="J828" s="121"/>
      <c r="K828" s="123" t="s">
        <v>2051</v>
      </c>
      <c r="M828" s="109" t="s">
        <v>1613</v>
      </c>
    </row>
    <row r="829" spans="1:13" ht="14.25" hidden="1" customHeight="1" x14ac:dyDescent="0.3">
      <c r="A829" s="116">
        <v>46183</v>
      </c>
      <c r="B829" s="117" t="s">
        <v>2052</v>
      </c>
      <c r="C829" s="131" t="s">
        <v>772</v>
      </c>
      <c r="D829" s="127" t="str">
        <f>IFERROR(VLOOKUP(C829,SKUs!$A$6:$F$1971,6,FALSE()),"")</f>
        <v>POLO PIQUET MASC.</v>
      </c>
      <c r="E829" s="121">
        <v>5</v>
      </c>
      <c r="F829" s="125">
        <f>IFERROR(IF(OR(B829="",E829=""),"",E829*VLOOKUP(B829,Configurações!$I$5:$J$15,2,FALSE())),"")</f>
        <v>-5</v>
      </c>
      <c r="G829" s="119" t="s">
        <v>1424</v>
      </c>
      <c r="H829" s="121" t="s">
        <v>2059</v>
      </c>
      <c r="I829" s="122" t="s">
        <v>2057</v>
      </c>
      <c r="J829" s="121"/>
      <c r="K829" s="123" t="s">
        <v>2051</v>
      </c>
      <c r="M829" s="109" t="s">
        <v>773</v>
      </c>
    </row>
    <row r="830" spans="1:13" ht="14.25" hidden="1" customHeight="1" x14ac:dyDescent="0.3">
      <c r="A830" s="116">
        <v>46183</v>
      </c>
      <c r="B830" s="117" t="s">
        <v>2052</v>
      </c>
      <c r="C830" s="131" t="s">
        <v>774</v>
      </c>
      <c r="D830" s="127" t="str">
        <f>IFERROR(VLOOKUP(C830,SKUs!$A$6:$F$1971,6,FALSE()),"")</f>
        <v>POLO PIQUET MASC.</v>
      </c>
      <c r="E830" s="121">
        <v>10</v>
      </c>
      <c r="F830" s="125">
        <f>IFERROR(IF(OR(B830="",E830=""),"",E830*VLOOKUP(B830,Configurações!$I$5:$J$15,2,FALSE())),"")</f>
        <v>-10</v>
      </c>
      <c r="G830" s="119" t="s">
        <v>1424</v>
      </c>
      <c r="H830" s="121" t="s">
        <v>2059</v>
      </c>
      <c r="I830" s="122" t="s">
        <v>2057</v>
      </c>
      <c r="J830" s="121"/>
      <c r="K830" s="123" t="s">
        <v>2051</v>
      </c>
      <c r="M830" s="109" t="s">
        <v>773</v>
      </c>
    </row>
    <row r="831" spans="1:13" ht="14.25" hidden="1" customHeight="1" x14ac:dyDescent="0.3">
      <c r="A831" s="116">
        <v>46183</v>
      </c>
      <c r="B831" s="117" t="s">
        <v>2052</v>
      </c>
      <c r="C831" s="131" t="s">
        <v>775</v>
      </c>
      <c r="D831" s="127" t="str">
        <f>IFERROR(VLOOKUP(C831,SKUs!$A$6:$F$1971,6,FALSE()),"")</f>
        <v>POLO PIQUET MASC.</v>
      </c>
      <c r="E831" s="121">
        <v>28</v>
      </c>
      <c r="F831" s="125">
        <f>IFERROR(IF(OR(B831="",E831=""),"",E831*VLOOKUP(B831,Configurações!$I$5:$J$15,2,FALSE())),"")</f>
        <v>-28</v>
      </c>
      <c r="G831" s="119" t="s">
        <v>1424</v>
      </c>
      <c r="H831" s="121" t="s">
        <v>2059</v>
      </c>
      <c r="I831" s="122" t="s">
        <v>2057</v>
      </c>
      <c r="J831" s="121"/>
      <c r="K831" s="123" t="s">
        <v>2051</v>
      </c>
      <c r="M831" s="109" t="s">
        <v>773</v>
      </c>
    </row>
    <row r="832" spans="1:13" ht="14.25" hidden="1" customHeight="1" x14ac:dyDescent="0.3">
      <c r="A832" s="116">
        <v>46183</v>
      </c>
      <c r="B832" s="117" t="s">
        <v>2052</v>
      </c>
      <c r="C832" s="131" t="s">
        <v>776</v>
      </c>
      <c r="D832" s="127" t="str">
        <f>IFERROR(VLOOKUP(C832,SKUs!$A$6:$F$1971,6,FALSE()),"")</f>
        <v>POLO PIQUET MASC.</v>
      </c>
      <c r="E832" s="121">
        <v>15</v>
      </c>
      <c r="F832" s="125">
        <f>IFERROR(IF(OR(B832="",E832=""),"",E832*VLOOKUP(B832,Configurações!$I$5:$J$15,2,FALSE())),"")</f>
        <v>-15</v>
      </c>
      <c r="G832" s="119" t="s">
        <v>1424</v>
      </c>
      <c r="H832" s="121" t="s">
        <v>2059</v>
      </c>
      <c r="I832" s="122" t="s">
        <v>2057</v>
      </c>
      <c r="J832" s="121"/>
      <c r="K832" s="123" t="s">
        <v>2051</v>
      </c>
      <c r="M832" s="109" t="s">
        <v>773</v>
      </c>
    </row>
    <row r="833" spans="1:13" ht="14.25" hidden="1" customHeight="1" x14ac:dyDescent="0.3">
      <c r="A833" s="116">
        <v>46183</v>
      </c>
      <c r="B833" s="117" t="s">
        <v>2052</v>
      </c>
      <c r="C833" s="131" t="s">
        <v>777</v>
      </c>
      <c r="D833" s="127" t="str">
        <f>IFERROR(VLOOKUP(C833,SKUs!$A$6:$F$1971,6,FALSE()),"")</f>
        <v>POLO PIQUET MASC.</v>
      </c>
      <c r="E833" s="121">
        <v>10</v>
      </c>
      <c r="F833" s="125">
        <f>IFERROR(IF(OR(B833="",E833=""),"",E833*VLOOKUP(B833,Configurações!$I$5:$J$15,2,FALSE())),"")</f>
        <v>-10</v>
      </c>
      <c r="G833" s="119" t="s">
        <v>1424</v>
      </c>
      <c r="H833" s="121" t="s">
        <v>2059</v>
      </c>
      <c r="I833" s="122" t="s">
        <v>2057</v>
      </c>
      <c r="J833" s="121"/>
      <c r="K833" s="123" t="s">
        <v>2051</v>
      </c>
      <c r="M833" s="109" t="s">
        <v>773</v>
      </c>
    </row>
    <row r="834" spans="1:13" ht="14.25" hidden="1" customHeight="1" x14ac:dyDescent="0.3">
      <c r="A834" s="116">
        <v>46183</v>
      </c>
      <c r="B834" s="117" t="s">
        <v>2052</v>
      </c>
      <c r="C834" s="132" t="s">
        <v>778</v>
      </c>
      <c r="D834" s="124" t="str">
        <f>IFERROR(VLOOKUP(C834,SKUs!$A$6:$F$1971,6,FALSE()),"")</f>
        <v>POLO PIQUET MASC.</v>
      </c>
      <c r="E834" s="121">
        <v>8</v>
      </c>
      <c r="F834" s="125">
        <f>IFERROR(IF(OR(B834="",E834=""),"",E834*VLOOKUP(B834,Configurações!$I$5:$J$15,2,FALSE())),"")</f>
        <v>-8</v>
      </c>
      <c r="G834" s="119" t="s">
        <v>1424</v>
      </c>
      <c r="H834" s="121" t="s">
        <v>2059</v>
      </c>
      <c r="I834" s="122" t="s">
        <v>2057</v>
      </c>
      <c r="J834" s="121"/>
      <c r="K834" s="123" t="s">
        <v>2051</v>
      </c>
      <c r="M834" s="109" t="s">
        <v>773</v>
      </c>
    </row>
    <row r="835" spans="1:13" ht="14.25" hidden="1" customHeight="1" x14ac:dyDescent="0.3">
      <c r="A835" s="116">
        <v>46183</v>
      </c>
      <c r="B835" s="117" t="s">
        <v>2052</v>
      </c>
      <c r="C835" s="133" t="s">
        <v>779</v>
      </c>
      <c r="D835" s="127" t="str">
        <f>IFERROR(VLOOKUP(C835,SKUs!$A$6:$F$1971,6,FALSE()),"")</f>
        <v>POLO PIQUET MASC.</v>
      </c>
      <c r="E835" s="121">
        <v>7</v>
      </c>
      <c r="F835" s="125">
        <f>IFERROR(IF(OR(B835="",E835=""),"",E835*VLOOKUP(B835,Configurações!$I$5:$J$15,2,FALSE())),"")</f>
        <v>-7</v>
      </c>
      <c r="G835" s="119" t="s">
        <v>1424</v>
      </c>
      <c r="H835" s="121" t="s">
        <v>2059</v>
      </c>
      <c r="I835" s="122" t="s">
        <v>2057</v>
      </c>
      <c r="J835" s="121"/>
      <c r="K835" s="123" t="s">
        <v>2051</v>
      </c>
      <c r="M835" s="109" t="s">
        <v>781</v>
      </c>
    </row>
    <row r="836" spans="1:13" ht="14.25" hidden="1" customHeight="1" x14ac:dyDescent="0.3">
      <c r="A836" s="116">
        <v>46183</v>
      </c>
      <c r="B836" s="117" t="s">
        <v>2052</v>
      </c>
      <c r="C836" s="131" t="s">
        <v>782</v>
      </c>
      <c r="D836" s="127" t="str">
        <f>IFERROR(VLOOKUP(C836,SKUs!$A$6:$F$1971,6,FALSE()),"")</f>
        <v>POLO PIQUET MASC.</v>
      </c>
      <c r="E836" s="121">
        <v>7</v>
      </c>
      <c r="F836" s="125">
        <f>IFERROR(IF(OR(B836="",E836=""),"",E836*VLOOKUP(B836,Configurações!$I$5:$J$15,2,FALSE())),"")</f>
        <v>-7</v>
      </c>
      <c r="G836" s="119" t="s">
        <v>1424</v>
      </c>
      <c r="H836" s="121" t="s">
        <v>2059</v>
      </c>
      <c r="I836" s="122" t="s">
        <v>2057</v>
      </c>
      <c r="J836" s="121"/>
      <c r="K836" s="123" t="s">
        <v>2051</v>
      </c>
      <c r="M836" s="109" t="s">
        <v>781</v>
      </c>
    </row>
    <row r="837" spans="1:13" ht="14.25" hidden="1" customHeight="1" x14ac:dyDescent="0.3">
      <c r="A837" s="116">
        <v>46183</v>
      </c>
      <c r="B837" s="117" t="s">
        <v>2052</v>
      </c>
      <c r="C837" s="133" t="s">
        <v>1634</v>
      </c>
      <c r="D837" s="127" t="str">
        <f>IFERROR(VLOOKUP(C837,SKUs!$A$6:$F$1971,6,FALSE()),"")</f>
        <v>POLO PIQUET MASC.</v>
      </c>
      <c r="E837" s="121">
        <v>30</v>
      </c>
      <c r="F837" s="125">
        <f>IFERROR(IF(OR(B837="",E837=""),"",E837*VLOOKUP(B837,Configurações!$I$5:$J$15,2,FALSE())),"")</f>
        <v>-30</v>
      </c>
      <c r="G837" s="119" t="s">
        <v>1424</v>
      </c>
      <c r="H837" s="121" t="s">
        <v>2059</v>
      </c>
      <c r="I837" s="122" t="s">
        <v>2057</v>
      </c>
      <c r="J837" s="121"/>
      <c r="K837" s="123" t="s">
        <v>2051</v>
      </c>
      <c r="M837" s="109" t="s">
        <v>1636</v>
      </c>
    </row>
    <row r="838" spans="1:13" ht="14.25" hidden="1" customHeight="1" x14ac:dyDescent="0.3">
      <c r="A838" s="116">
        <v>46183</v>
      </c>
      <c r="B838" s="117" t="s">
        <v>2052</v>
      </c>
      <c r="C838" s="131" t="s">
        <v>785</v>
      </c>
      <c r="D838" s="127" t="str">
        <f>IFERROR(VLOOKUP(C838,SKUs!$A$6:$F$1971,6,FALSE()),"")</f>
        <v>POLO PIQUET MASC.</v>
      </c>
      <c r="E838" s="121">
        <v>1</v>
      </c>
      <c r="F838" s="125">
        <f>IFERROR(IF(OR(B838="",E838=""),"",E838*VLOOKUP(B838,Configurações!$I$5:$J$15,2,FALSE())),"")</f>
        <v>-1</v>
      </c>
      <c r="G838" s="119" t="s">
        <v>1424</v>
      </c>
      <c r="H838" s="121" t="s">
        <v>2059</v>
      </c>
      <c r="I838" s="122" t="s">
        <v>2057</v>
      </c>
      <c r="J838" s="121"/>
      <c r="K838" s="123" t="s">
        <v>2051</v>
      </c>
      <c r="M838" s="109" t="s">
        <v>781</v>
      </c>
    </row>
    <row r="839" spans="1:13" ht="14.25" hidden="1" customHeight="1" x14ac:dyDescent="0.3">
      <c r="A839" s="116">
        <v>46183</v>
      </c>
      <c r="B839" s="117" t="s">
        <v>2052</v>
      </c>
      <c r="C839" s="129" t="s">
        <v>786</v>
      </c>
      <c r="D839" s="127" t="str">
        <f>IFERROR(VLOOKUP(C839,SKUs!$A$6:$F$1971,6,FALSE()),"")</f>
        <v>POLO PIQUET MASC.</v>
      </c>
      <c r="E839" s="121">
        <v>8</v>
      </c>
      <c r="F839" s="125">
        <f>IFERROR(IF(OR(B839="",E839=""),"",E839*VLOOKUP(B839,Configurações!$I$5:$J$15,2,FALSE())),"")</f>
        <v>-8</v>
      </c>
      <c r="G839" s="119" t="s">
        <v>1424</v>
      </c>
      <c r="H839" s="121" t="s">
        <v>2059</v>
      </c>
      <c r="I839" s="122" t="s">
        <v>2057</v>
      </c>
      <c r="J839" s="121"/>
      <c r="K839" s="123" t="s">
        <v>2051</v>
      </c>
      <c r="M839" s="109" t="s">
        <v>781</v>
      </c>
    </row>
    <row r="840" spans="1:13" ht="14.25" hidden="1" customHeight="1" x14ac:dyDescent="0.3">
      <c r="A840" s="116">
        <v>46183</v>
      </c>
      <c r="B840" s="117" t="s">
        <v>2052</v>
      </c>
      <c r="C840" s="131" t="s">
        <v>787</v>
      </c>
      <c r="D840" s="127" t="str">
        <f>IFERROR(VLOOKUP(C840,SKUs!$A$6:$F$1971,6,FALSE()),"")</f>
        <v>POLO PIMA MASC.</v>
      </c>
      <c r="E840" s="121">
        <v>5</v>
      </c>
      <c r="F840" s="125">
        <f>IFERROR(IF(OR(B840="",E840=""),"",E840*VLOOKUP(B840,Configurações!$I$5:$J$15,2,FALSE())),"")</f>
        <v>-5</v>
      </c>
      <c r="G840" s="119" t="s">
        <v>1424</v>
      </c>
      <c r="H840" s="121" t="s">
        <v>2059</v>
      </c>
      <c r="I840" s="122" t="s">
        <v>2057</v>
      </c>
      <c r="J840" s="121"/>
      <c r="K840" s="123" t="s">
        <v>2051</v>
      </c>
      <c r="M840" s="109" t="s">
        <v>790</v>
      </c>
    </row>
    <row r="841" spans="1:13" ht="14.25" hidden="1" customHeight="1" x14ac:dyDescent="0.3">
      <c r="A841" s="116">
        <v>46183</v>
      </c>
      <c r="B841" s="117" t="s">
        <v>2052</v>
      </c>
      <c r="C841" s="131" t="s">
        <v>791</v>
      </c>
      <c r="D841" s="127" t="str">
        <f>IFERROR(VLOOKUP(C841,SKUs!$A$6:$F$1971,6,FALSE()),"")</f>
        <v>POLO PIMA MASC.</v>
      </c>
      <c r="E841" s="121">
        <v>14</v>
      </c>
      <c r="F841" s="125">
        <f>IFERROR(IF(OR(B841="",E841=""),"",E841*VLOOKUP(B841,Configurações!$I$5:$J$15,2,FALSE())),"")</f>
        <v>-14</v>
      </c>
      <c r="G841" s="119" t="s">
        <v>1424</v>
      </c>
      <c r="H841" s="121" t="s">
        <v>2059</v>
      </c>
      <c r="I841" s="122" t="s">
        <v>2057</v>
      </c>
      <c r="J841" s="121"/>
      <c r="K841" s="123" t="s">
        <v>2051</v>
      </c>
      <c r="M841" s="109" t="s">
        <v>790</v>
      </c>
    </row>
    <row r="842" spans="1:13" ht="14.25" hidden="1" customHeight="1" x14ac:dyDescent="0.3">
      <c r="A842" s="116">
        <v>46183</v>
      </c>
      <c r="B842" s="117" t="s">
        <v>2052</v>
      </c>
      <c r="C842" s="133" t="s">
        <v>792</v>
      </c>
      <c r="D842" s="127" t="str">
        <f>IFERROR(VLOOKUP(C842,SKUs!$A$6:$F$1971,6,FALSE()),"")</f>
        <v>POLO PIMA MASC.</v>
      </c>
      <c r="E842" s="121">
        <v>24</v>
      </c>
      <c r="F842" s="125">
        <f>IFERROR(IF(OR(B842="",E842=""),"",E842*VLOOKUP(B842,Configurações!$I$5:$J$15,2,FALSE())),"")</f>
        <v>-24</v>
      </c>
      <c r="G842" s="119" t="s">
        <v>1424</v>
      </c>
      <c r="H842" s="121" t="s">
        <v>2059</v>
      </c>
      <c r="I842" s="122" t="s">
        <v>2057</v>
      </c>
      <c r="J842" s="121"/>
      <c r="K842" s="123" t="s">
        <v>2051</v>
      </c>
      <c r="M842" s="109" t="s">
        <v>790</v>
      </c>
    </row>
    <row r="843" spans="1:13" ht="14.25" hidden="1" customHeight="1" x14ac:dyDescent="0.3">
      <c r="A843" s="116">
        <v>46183</v>
      </c>
      <c r="B843" s="117" t="s">
        <v>2052</v>
      </c>
      <c r="C843" s="131" t="s">
        <v>793</v>
      </c>
      <c r="D843" s="127" t="str">
        <f>IFERROR(VLOOKUP(C843,SKUs!$A$6:$F$1971,6,FALSE()),"")</f>
        <v>POLO PIMA MASC.</v>
      </c>
      <c r="E843" s="121">
        <v>4</v>
      </c>
      <c r="F843" s="125">
        <f>IFERROR(IF(OR(B843="",E843=""),"",E843*VLOOKUP(B843,Configurações!$I$5:$J$15,2,FALSE())),"")</f>
        <v>-4</v>
      </c>
      <c r="G843" s="119" t="s">
        <v>1424</v>
      </c>
      <c r="H843" s="121" t="s">
        <v>2059</v>
      </c>
      <c r="I843" s="122" t="s">
        <v>2057</v>
      </c>
      <c r="J843" s="121"/>
      <c r="K843" s="123" t="s">
        <v>2051</v>
      </c>
      <c r="M843" s="109" t="s">
        <v>790</v>
      </c>
    </row>
    <row r="844" spans="1:13" ht="14.25" hidden="1" customHeight="1" x14ac:dyDescent="0.3">
      <c r="A844" s="116">
        <v>46183</v>
      </c>
      <c r="B844" s="117" t="s">
        <v>2052</v>
      </c>
      <c r="C844" s="131" t="s">
        <v>794</v>
      </c>
      <c r="D844" s="127" t="str">
        <f>IFERROR(VLOOKUP(C844,SKUs!$A$6:$F$1971,6,FALSE()),"")</f>
        <v>POLO PIMA MASC.</v>
      </c>
      <c r="E844" s="121">
        <v>13</v>
      </c>
      <c r="F844" s="125">
        <f>IFERROR(IF(OR(B844="",E844=""),"",E844*VLOOKUP(B844,Configurações!$I$5:$J$15,2,FALSE())),"")</f>
        <v>-13</v>
      </c>
      <c r="G844" s="119" t="s">
        <v>1424</v>
      </c>
      <c r="H844" s="121" t="s">
        <v>2059</v>
      </c>
      <c r="I844" s="122" t="s">
        <v>2057</v>
      </c>
      <c r="J844" s="121"/>
      <c r="K844" s="123" t="s">
        <v>2051</v>
      </c>
      <c r="M844" s="109" t="s">
        <v>790</v>
      </c>
    </row>
    <row r="845" spans="1:13" ht="14.25" hidden="1" customHeight="1" x14ac:dyDescent="0.3">
      <c r="A845" s="116">
        <v>46183</v>
      </c>
      <c r="B845" s="117" t="s">
        <v>2052</v>
      </c>
      <c r="C845" s="129" t="s">
        <v>795</v>
      </c>
      <c r="D845" s="127" t="str">
        <f>IFERROR(VLOOKUP(C845,SKUs!$A$6:$F$1971,6,FALSE()),"")</f>
        <v>POLO PIMA MASC.</v>
      </c>
      <c r="E845" s="121">
        <v>7</v>
      </c>
      <c r="F845" s="125">
        <f>IFERROR(IF(OR(B845="",E845=""),"",E845*VLOOKUP(B845,Configurações!$I$5:$J$15,2,FALSE())),"")</f>
        <v>-7</v>
      </c>
      <c r="G845" s="119" t="s">
        <v>1424</v>
      </c>
      <c r="H845" s="121" t="s">
        <v>2059</v>
      </c>
      <c r="I845" s="122" t="s">
        <v>2057</v>
      </c>
      <c r="J845" s="121"/>
      <c r="K845" s="123" t="s">
        <v>2051</v>
      </c>
      <c r="M845" s="109" t="s">
        <v>790</v>
      </c>
    </row>
    <row r="846" spans="1:13" ht="14.25" hidden="1" customHeight="1" x14ac:dyDescent="0.3">
      <c r="A846" s="116">
        <v>46183</v>
      </c>
      <c r="B846" s="117" t="s">
        <v>2052</v>
      </c>
      <c r="C846" s="131" t="s">
        <v>796</v>
      </c>
      <c r="D846" s="127" t="str">
        <f>IFERROR(VLOOKUP(C846,SKUs!$A$6:$F$1971,6,FALSE()),"")</f>
        <v>POLO COTTON MASC.</v>
      </c>
      <c r="E846" s="121">
        <v>5</v>
      </c>
      <c r="F846" s="125">
        <f>IFERROR(IF(OR(B846="",E846=""),"",E846*VLOOKUP(B846,Configurações!$I$5:$J$15,2,FALSE())),"")</f>
        <v>-5</v>
      </c>
      <c r="G846" s="119" t="s">
        <v>1424</v>
      </c>
      <c r="H846" s="121" t="s">
        <v>2059</v>
      </c>
      <c r="I846" s="122" t="s">
        <v>2057</v>
      </c>
      <c r="J846" s="121"/>
      <c r="K846" s="123" t="s">
        <v>2051</v>
      </c>
      <c r="M846" s="109" t="s">
        <v>799</v>
      </c>
    </row>
    <row r="847" spans="1:13" ht="14.25" hidden="1" customHeight="1" x14ac:dyDescent="0.3">
      <c r="A847" s="116">
        <v>46183</v>
      </c>
      <c r="B847" s="117" t="s">
        <v>2052</v>
      </c>
      <c r="C847" s="131" t="s">
        <v>804</v>
      </c>
      <c r="D847" s="127" t="str">
        <f>IFERROR(VLOOKUP(C847,SKUs!$A$6:$F$1971,6,FALSE()),"")</f>
        <v>POLO COTTON MASC.</v>
      </c>
      <c r="E847" s="121">
        <v>6</v>
      </c>
      <c r="F847" s="125">
        <f>IFERROR(IF(OR(B847="",E847=""),"",E847*VLOOKUP(B847,Configurações!$I$5:$J$15,2,FALSE())),"")</f>
        <v>-6</v>
      </c>
      <c r="G847" s="119" t="s">
        <v>1424</v>
      </c>
      <c r="H847" s="121" t="s">
        <v>2059</v>
      </c>
      <c r="I847" s="122" t="s">
        <v>2057</v>
      </c>
      <c r="J847" s="121"/>
      <c r="K847" s="123" t="s">
        <v>2051</v>
      </c>
      <c r="M847" s="109" t="s">
        <v>799</v>
      </c>
    </row>
    <row r="848" spans="1:13" ht="14.25" hidden="1" customHeight="1" x14ac:dyDescent="0.3">
      <c r="A848" s="116">
        <v>46183</v>
      </c>
      <c r="B848" s="117" t="s">
        <v>2052</v>
      </c>
      <c r="C848" s="129" t="s">
        <v>804</v>
      </c>
      <c r="D848" s="127" t="str">
        <f>IFERROR(VLOOKUP(C848,SKUs!$A$6:$F$1971,6,FALSE()),"")</f>
        <v>POLO COTTON MASC.</v>
      </c>
      <c r="E848" s="121">
        <v>6</v>
      </c>
      <c r="F848" s="125">
        <f>IFERROR(IF(OR(B848="",E848=""),"",E848*VLOOKUP(B848,Configurações!$I$5:$J$15,2,FALSE())),"")</f>
        <v>-6</v>
      </c>
      <c r="G848" s="119" t="s">
        <v>1424</v>
      </c>
      <c r="H848" s="121" t="s">
        <v>2059</v>
      </c>
      <c r="I848" s="122" t="s">
        <v>2057</v>
      </c>
      <c r="J848" s="121"/>
      <c r="K848" s="123" t="s">
        <v>2051</v>
      </c>
      <c r="M848" s="109" t="s">
        <v>801</v>
      </c>
    </row>
    <row r="849" spans="1:13" ht="14.25" hidden="1" customHeight="1" x14ac:dyDescent="0.3">
      <c r="A849" s="116">
        <v>46183</v>
      </c>
      <c r="B849" s="117" t="s">
        <v>2052</v>
      </c>
      <c r="C849" s="131" t="s">
        <v>1632</v>
      </c>
      <c r="D849" s="127" t="str">
        <f>IFERROR(VLOOKUP(C849,SKUs!$A$6:$F$1971,6,FALSE()),"")</f>
        <v>POLO EM COTTON -BTG MASC.</v>
      </c>
      <c r="E849" s="121">
        <v>9</v>
      </c>
      <c r="F849" s="125">
        <f>IFERROR(IF(OR(B849="",E849=""),"",E849*VLOOKUP(B849,Configurações!$I$5:$J$15,2,FALSE())),"")</f>
        <v>-9</v>
      </c>
      <c r="G849" s="119" t="s">
        <v>1424</v>
      </c>
      <c r="H849" s="121" t="s">
        <v>2059</v>
      </c>
      <c r="I849" s="122" t="s">
        <v>2057</v>
      </c>
      <c r="J849" s="121"/>
      <c r="K849" s="123" t="s">
        <v>2051</v>
      </c>
      <c r="M849" s="109" t="s">
        <v>1633</v>
      </c>
    </row>
    <row r="850" spans="1:13" ht="14.25" hidden="1" customHeight="1" x14ac:dyDescent="0.3">
      <c r="A850" s="116">
        <v>46183</v>
      </c>
      <c r="B850" s="117" t="s">
        <v>2052</v>
      </c>
      <c r="C850" s="129" t="s">
        <v>805</v>
      </c>
      <c r="D850" s="127" t="str">
        <f>IFERROR(VLOOKUP(C850,SKUs!$A$6:$F$1971,6,FALSE()),"")</f>
        <v>POLO COTTON MASC.</v>
      </c>
      <c r="E850" s="121">
        <v>2</v>
      </c>
      <c r="F850" s="125">
        <f>IFERROR(IF(OR(B850="",E850=""),"",E850*VLOOKUP(B850,Configurações!$I$5:$J$15,2,FALSE())),"")</f>
        <v>-2</v>
      </c>
      <c r="G850" s="119" t="s">
        <v>1424</v>
      </c>
      <c r="H850" s="121" t="s">
        <v>2059</v>
      </c>
      <c r="I850" s="122" t="s">
        <v>2057</v>
      </c>
      <c r="J850" s="121"/>
      <c r="K850" s="123" t="s">
        <v>2051</v>
      </c>
      <c r="M850" s="109" t="s">
        <v>799</v>
      </c>
    </row>
    <row r="851" spans="1:13" ht="14.25" hidden="1" customHeight="1" x14ac:dyDescent="0.3">
      <c r="A851" s="116">
        <v>46183</v>
      </c>
      <c r="B851" s="117" t="s">
        <v>2052</v>
      </c>
      <c r="C851" s="131" t="s">
        <v>805</v>
      </c>
      <c r="D851" s="127" t="str">
        <f>IFERROR(VLOOKUP(C851,SKUs!$A$6:$F$1971,6,FALSE()),"")</f>
        <v>POLO COTTON MASC.</v>
      </c>
      <c r="E851" s="121">
        <v>5</v>
      </c>
      <c r="F851" s="125">
        <f>IFERROR(IF(OR(B851="",E851=""),"",E851*VLOOKUP(B851,Configurações!$I$5:$J$15,2,FALSE())),"")</f>
        <v>-5</v>
      </c>
      <c r="G851" s="119" t="s">
        <v>1424</v>
      </c>
      <c r="H851" s="121" t="s">
        <v>2059</v>
      </c>
      <c r="I851" s="122" t="s">
        <v>2057</v>
      </c>
      <c r="J851" s="121"/>
      <c r="K851" s="123" t="s">
        <v>2051</v>
      </c>
      <c r="M851" s="109" t="s">
        <v>801</v>
      </c>
    </row>
    <row r="852" spans="1:13" ht="14.25" hidden="1" customHeight="1" x14ac:dyDescent="0.3">
      <c r="A852" s="116">
        <v>46183</v>
      </c>
      <c r="B852" s="117" t="s">
        <v>2052</v>
      </c>
      <c r="C852" s="132" t="s">
        <v>1642</v>
      </c>
      <c r="D852" s="124" t="str">
        <f>IFERROR(VLOOKUP(C852,SKUs!$A$6:$F$1971,6,FALSE()),"")</f>
        <v>POLO EM COTTON -BTG MASC.</v>
      </c>
      <c r="E852" s="121">
        <v>26</v>
      </c>
      <c r="F852" s="125">
        <f>IFERROR(IF(OR(B852="",E852=""),"",E852*VLOOKUP(B852,Configurações!$I$5:$J$15,2,FALSE())),"")</f>
        <v>-26</v>
      </c>
      <c r="G852" s="119" t="s">
        <v>1424</v>
      </c>
      <c r="H852" s="121" t="s">
        <v>2059</v>
      </c>
      <c r="I852" s="122" t="s">
        <v>2057</v>
      </c>
      <c r="J852" s="121"/>
      <c r="K852" s="123" t="s">
        <v>2051</v>
      </c>
      <c r="M852" s="109" t="s">
        <v>1641</v>
      </c>
    </row>
    <row r="853" spans="1:13" ht="14.25" hidden="1" customHeight="1" x14ac:dyDescent="0.3">
      <c r="A853" s="116">
        <v>46183</v>
      </c>
      <c r="B853" s="117" t="s">
        <v>2052</v>
      </c>
      <c r="C853" s="131" t="s">
        <v>806</v>
      </c>
      <c r="D853" s="127" t="str">
        <f>IFERROR(VLOOKUP(C853,SKUs!$A$6:$F$1971,6,FALSE()),"")</f>
        <v>POLO PIMA MASC.</v>
      </c>
      <c r="E853" s="121">
        <v>5</v>
      </c>
      <c r="F853" s="125">
        <f>IFERROR(IF(OR(B853="",E853=""),"",E853*VLOOKUP(B853,Configurações!$I$5:$J$15,2,FALSE())),"")</f>
        <v>-5</v>
      </c>
      <c r="G853" s="119" t="s">
        <v>1424</v>
      </c>
      <c r="H853" s="121" t="s">
        <v>2059</v>
      </c>
      <c r="I853" s="122" t="s">
        <v>2057</v>
      </c>
      <c r="J853" s="121"/>
      <c r="K853" s="123" t="s">
        <v>2051</v>
      </c>
      <c r="M853" s="109" t="s">
        <v>808</v>
      </c>
    </row>
    <row r="854" spans="1:13" ht="14.25" hidden="1" customHeight="1" x14ac:dyDescent="0.3">
      <c r="A854" s="116">
        <v>46183</v>
      </c>
      <c r="B854" s="117" t="s">
        <v>2052</v>
      </c>
      <c r="C854" s="131" t="s">
        <v>809</v>
      </c>
      <c r="D854" s="127" t="str">
        <f>IFERROR(VLOOKUP(C854,SKUs!$A$6:$F$1971,6,FALSE()),"")</f>
        <v>POLO PIMA MASC.</v>
      </c>
      <c r="E854" s="121">
        <v>4</v>
      </c>
      <c r="F854" s="125">
        <f>IFERROR(IF(OR(B854="",E854=""),"",E854*VLOOKUP(B854,Configurações!$I$5:$J$15,2,FALSE())),"")</f>
        <v>-4</v>
      </c>
      <c r="G854" s="119" t="s">
        <v>1424</v>
      </c>
      <c r="H854" s="121" t="s">
        <v>2059</v>
      </c>
      <c r="I854" s="122" t="s">
        <v>2057</v>
      </c>
      <c r="J854" s="121"/>
      <c r="K854" s="123" t="s">
        <v>2051</v>
      </c>
      <c r="M854" s="109" t="s">
        <v>808</v>
      </c>
    </row>
    <row r="855" spans="1:13" ht="14.25" hidden="1" customHeight="1" x14ac:dyDescent="0.3">
      <c r="A855" s="116">
        <v>46183</v>
      </c>
      <c r="B855" s="117" t="s">
        <v>2052</v>
      </c>
      <c r="C855" s="121" t="s">
        <v>810</v>
      </c>
      <c r="D855" s="124" t="str">
        <f>IFERROR(VLOOKUP(C855,SKUs!$A$6:$F$1971,6,FALSE()),"")</f>
        <v>POLO PIMA MASC.</v>
      </c>
      <c r="E855" s="121">
        <v>9</v>
      </c>
      <c r="F855" s="125">
        <f>IFERROR(IF(OR(B855="",E855=""),"",E855*VLOOKUP(B855,Configurações!$I$5:$J$15,2,FALSE())),"")</f>
        <v>-9</v>
      </c>
      <c r="G855" s="119" t="s">
        <v>1424</v>
      </c>
      <c r="H855" s="121" t="s">
        <v>2059</v>
      </c>
      <c r="I855" s="122" t="s">
        <v>2057</v>
      </c>
      <c r="J855" s="121"/>
      <c r="K855" s="123" t="s">
        <v>2051</v>
      </c>
      <c r="M855" s="109" t="s">
        <v>808</v>
      </c>
    </row>
    <row r="856" spans="1:13" ht="14.25" hidden="1" customHeight="1" x14ac:dyDescent="0.3">
      <c r="A856" s="116">
        <v>46183</v>
      </c>
      <c r="B856" s="117" t="s">
        <v>2052</v>
      </c>
      <c r="C856" s="121" t="s">
        <v>811</v>
      </c>
      <c r="D856" s="124" t="str">
        <f>IFERROR(VLOOKUP(C856,SKUs!$A$6:$F$1971,6,FALSE()),"")</f>
        <v>POLO PIMA MASC.</v>
      </c>
      <c r="E856" s="121">
        <v>10</v>
      </c>
      <c r="F856" s="125">
        <f>IFERROR(IF(OR(B856="",E856=""),"",E856*VLOOKUP(B856,Configurações!$I$5:$J$15,2,FALSE())),"")</f>
        <v>-10</v>
      </c>
      <c r="G856" s="119" t="s">
        <v>1424</v>
      </c>
      <c r="H856" s="121" t="s">
        <v>2059</v>
      </c>
      <c r="I856" s="122" t="s">
        <v>2057</v>
      </c>
      <c r="J856" s="121"/>
      <c r="K856" s="123" t="s">
        <v>2051</v>
      </c>
      <c r="M856" s="109" t="s">
        <v>808</v>
      </c>
    </row>
    <row r="857" spans="1:13" ht="14.25" hidden="1" customHeight="1" x14ac:dyDescent="0.3">
      <c r="A857" s="116">
        <v>46183</v>
      </c>
      <c r="B857" s="117" t="s">
        <v>2052</v>
      </c>
      <c r="C857" s="121" t="s">
        <v>812</v>
      </c>
      <c r="D857" s="124" t="str">
        <f>IFERROR(VLOOKUP(C857,SKUs!$A$6:$F$1971,6,FALSE()),"")</f>
        <v>POLO PIMA MASC.</v>
      </c>
      <c r="E857" s="121">
        <v>10</v>
      </c>
      <c r="F857" s="125">
        <f>IFERROR(IF(OR(B857="",E857=""),"",E857*VLOOKUP(B857,Configurações!$I$5:$J$15,2,FALSE())),"")</f>
        <v>-10</v>
      </c>
      <c r="G857" s="119" t="s">
        <v>1424</v>
      </c>
      <c r="H857" s="121" t="s">
        <v>2059</v>
      </c>
      <c r="I857" s="122" t="s">
        <v>2057</v>
      </c>
      <c r="J857" s="121"/>
      <c r="K857" s="123" t="s">
        <v>2051</v>
      </c>
      <c r="M857" s="109" t="s">
        <v>808</v>
      </c>
    </row>
    <row r="858" spans="1:13" ht="14.25" hidden="1" customHeight="1" x14ac:dyDescent="0.3">
      <c r="A858" s="116">
        <v>46183</v>
      </c>
      <c r="B858" s="117" t="s">
        <v>2052</v>
      </c>
      <c r="C858" s="121" t="s">
        <v>813</v>
      </c>
      <c r="D858" s="124" t="str">
        <f>IFERROR(VLOOKUP(C858,SKUs!$A$6:$F$1971,6,FALSE()),"")</f>
        <v>POLO PIMA MASC.</v>
      </c>
      <c r="E858" s="121">
        <v>3</v>
      </c>
      <c r="F858" s="125">
        <f>IFERROR(IF(OR(B858="",E858=""),"",E858*VLOOKUP(B858,Configurações!$I$5:$J$15,2,FALSE())),"")</f>
        <v>-3</v>
      </c>
      <c r="G858" s="119" t="s">
        <v>1424</v>
      </c>
      <c r="H858" s="121" t="s">
        <v>2059</v>
      </c>
      <c r="I858" s="122" t="s">
        <v>2057</v>
      </c>
      <c r="J858" s="121"/>
      <c r="K858" s="123" t="s">
        <v>2051</v>
      </c>
      <c r="M858" s="109" t="s">
        <v>808</v>
      </c>
    </row>
    <row r="859" spans="1:13" ht="14.25" hidden="1" customHeight="1" x14ac:dyDescent="0.3">
      <c r="A859" s="116">
        <v>46183</v>
      </c>
      <c r="B859" s="117" t="s">
        <v>2052</v>
      </c>
      <c r="C859" s="121" t="s">
        <v>821</v>
      </c>
      <c r="D859" s="124" t="str">
        <f>IFERROR(VLOOKUP(C859,SKUs!$A$6:$F$1971,6,FALSE()),"")</f>
        <v>POLO PIQUET FEM.</v>
      </c>
      <c r="E859" s="121">
        <v>10</v>
      </c>
      <c r="F859" s="125">
        <f>IFERROR(IF(OR(B859="",E859=""),"",E859*VLOOKUP(B859,Configurações!$I$5:$J$15,2,FALSE())),"")</f>
        <v>-10</v>
      </c>
      <c r="G859" s="119" t="s">
        <v>1424</v>
      </c>
      <c r="H859" s="121" t="s">
        <v>2059</v>
      </c>
      <c r="I859" s="122" t="s">
        <v>2057</v>
      </c>
      <c r="J859" s="121"/>
      <c r="K859" s="123" t="s">
        <v>2051</v>
      </c>
      <c r="M859" s="109" t="s">
        <v>823</v>
      </c>
    </row>
    <row r="860" spans="1:13" ht="14.25" hidden="1" customHeight="1" x14ac:dyDescent="0.3">
      <c r="A860" s="116">
        <v>46183</v>
      </c>
      <c r="B860" s="117" t="s">
        <v>2052</v>
      </c>
      <c r="C860" s="121" t="s">
        <v>824</v>
      </c>
      <c r="D860" s="124" t="str">
        <f>IFERROR(VLOOKUP(C860,SKUs!$A$6:$F$1971,6,FALSE()),"")</f>
        <v>POLO PIQUET FEM.</v>
      </c>
      <c r="E860" s="121">
        <v>13</v>
      </c>
      <c r="F860" s="125">
        <f>IFERROR(IF(OR(B860="",E860=""),"",E860*VLOOKUP(B860,Configurações!$I$5:$J$15,2,FALSE())),"")</f>
        <v>-13</v>
      </c>
      <c r="G860" s="119" t="s">
        <v>1424</v>
      </c>
      <c r="H860" s="121" t="s">
        <v>2059</v>
      </c>
      <c r="I860" s="122" t="s">
        <v>2057</v>
      </c>
      <c r="J860" s="121"/>
      <c r="K860" s="123" t="s">
        <v>2051</v>
      </c>
      <c r="M860" s="109" t="s">
        <v>823</v>
      </c>
    </row>
    <row r="861" spans="1:13" ht="14.25" hidden="1" customHeight="1" x14ac:dyDescent="0.3">
      <c r="A861" s="116">
        <v>46183</v>
      </c>
      <c r="B861" s="117" t="s">
        <v>2052</v>
      </c>
      <c r="C861" s="121" t="s">
        <v>825</v>
      </c>
      <c r="D861" s="124" t="str">
        <f>IFERROR(VLOOKUP(C861,SKUs!$A$6:$F$1971,6,FALSE()),"")</f>
        <v>POLO PIQUET FEM.</v>
      </c>
      <c r="E861" s="121">
        <v>15</v>
      </c>
      <c r="F861" s="125">
        <f>IFERROR(IF(OR(B861="",E861=""),"",E861*VLOOKUP(B861,Configurações!$I$5:$J$15,2,FALSE())),"")</f>
        <v>-15</v>
      </c>
      <c r="G861" s="119" t="s">
        <v>1424</v>
      </c>
      <c r="H861" s="121" t="s">
        <v>2059</v>
      </c>
      <c r="I861" s="122" t="s">
        <v>2057</v>
      </c>
      <c r="J861" s="121"/>
      <c r="K861" s="123" t="s">
        <v>2051</v>
      </c>
      <c r="M861" s="109" t="s">
        <v>823</v>
      </c>
    </row>
    <row r="862" spans="1:13" ht="14.25" hidden="1" customHeight="1" x14ac:dyDescent="0.3">
      <c r="A862" s="116">
        <v>46183</v>
      </c>
      <c r="B862" s="117" t="s">
        <v>2052</v>
      </c>
      <c r="C862" s="121" t="s">
        <v>826</v>
      </c>
      <c r="D862" s="124" t="str">
        <f>IFERROR(VLOOKUP(C862,SKUs!$A$6:$F$1971,6,FALSE()),"")</f>
        <v>POLO PIQUET FEM.</v>
      </c>
      <c r="E862" s="121">
        <v>9</v>
      </c>
      <c r="F862" s="125">
        <f>IFERROR(IF(OR(B862="",E862=""),"",E862*VLOOKUP(B862,Configurações!$I$5:$J$15,2,FALSE())),"")</f>
        <v>-9</v>
      </c>
      <c r="G862" s="119" t="s">
        <v>1424</v>
      </c>
      <c r="H862" s="121" t="s">
        <v>2059</v>
      </c>
      <c r="I862" s="122" t="s">
        <v>2057</v>
      </c>
      <c r="J862" s="121"/>
      <c r="K862" s="123" t="s">
        <v>2051</v>
      </c>
      <c r="M862" s="109" t="s">
        <v>823</v>
      </c>
    </row>
    <row r="863" spans="1:13" ht="14.25" hidden="1" customHeight="1" x14ac:dyDescent="0.3">
      <c r="A863" s="116">
        <v>46183</v>
      </c>
      <c r="B863" s="117" t="s">
        <v>2052</v>
      </c>
      <c r="C863" s="121" t="s">
        <v>827</v>
      </c>
      <c r="D863" s="124" t="str">
        <f>IFERROR(VLOOKUP(C863,SKUs!$A$6:$F$1971,6,FALSE()),"")</f>
        <v>POLO PIQUET FEM.</v>
      </c>
      <c r="E863" s="121">
        <v>5</v>
      </c>
      <c r="F863" s="125">
        <f>IFERROR(IF(OR(B863="",E863=""),"",E863*VLOOKUP(B863,Configurações!$I$5:$J$15,2,FALSE())),"")</f>
        <v>-5</v>
      </c>
      <c r="G863" s="119" t="s">
        <v>1424</v>
      </c>
      <c r="H863" s="121" t="s">
        <v>2059</v>
      </c>
      <c r="I863" s="122" t="s">
        <v>2057</v>
      </c>
      <c r="J863" s="121"/>
      <c r="K863" s="123" t="s">
        <v>2051</v>
      </c>
      <c r="M863" s="109" t="s">
        <v>823</v>
      </c>
    </row>
    <row r="864" spans="1:13" ht="14.25" hidden="1" customHeight="1" x14ac:dyDescent="0.3">
      <c r="A864" s="116">
        <v>46183</v>
      </c>
      <c r="B864" s="117" t="s">
        <v>2052</v>
      </c>
      <c r="C864" s="121" t="s">
        <v>828</v>
      </c>
      <c r="D864" s="124" t="str">
        <f>IFERROR(VLOOKUP(C864,SKUs!$A$6:$F$1971,6,FALSE()),"")</f>
        <v>POLO PIQUET FEM.</v>
      </c>
      <c r="E864" s="121">
        <v>5</v>
      </c>
      <c r="F864" s="125">
        <f>IFERROR(IF(OR(B864="",E864=""),"",E864*VLOOKUP(B864,Configurações!$I$5:$J$15,2,FALSE())),"")</f>
        <v>-5</v>
      </c>
      <c r="G864" s="119" t="s">
        <v>1424</v>
      </c>
      <c r="H864" s="121" t="s">
        <v>2059</v>
      </c>
      <c r="I864" s="122" t="s">
        <v>2057</v>
      </c>
      <c r="J864" s="121"/>
      <c r="K864" s="123" t="s">
        <v>2051</v>
      </c>
      <c r="M864" s="109" t="s">
        <v>823</v>
      </c>
    </row>
    <row r="865" spans="1:13" ht="14.25" hidden="1" customHeight="1" x14ac:dyDescent="0.3">
      <c r="A865" s="116">
        <v>46183</v>
      </c>
      <c r="B865" s="117" t="s">
        <v>2052</v>
      </c>
      <c r="C865" s="121" t="s">
        <v>829</v>
      </c>
      <c r="D865" s="124" t="str">
        <f>IFERROR(VLOOKUP(C865,SKUs!$A$6:$F$1971,6,FALSE()),"")</f>
        <v>POLO PIMA FEM.</v>
      </c>
      <c r="E865" s="121">
        <v>8</v>
      </c>
      <c r="F865" s="125">
        <f>IFERROR(IF(OR(B865="",E865=""),"",E865*VLOOKUP(B865,Configurações!$I$5:$J$15,2,FALSE())),"")</f>
        <v>-8</v>
      </c>
      <c r="G865" s="119" t="s">
        <v>1424</v>
      </c>
      <c r="H865" s="121" t="s">
        <v>2059</v>
      </c>
      <c r="I865" s="122" t="s">
        <v>2057</v>
      </c>
      <c r="J865" s="121"/>
      <c r="K865" s="123" t="s">
        <v>2051</v>
      </c>
      <c r="M865" s="109" t="s">
        <v>831</v>
      </c>
    </row>
    <row r="866" spans="1:13" ht="14.25" hidden="1" customHeight="1" x14ac:dyDescent="0.3">
      <c r="A866" s="116">
        <v>46183</v>
      </c>
      <c r="B866" s="117" t="s">
        <v>2052</v>
      </c>
      <c r="C866" s="121" t="s">
        <v>832</v>
      </c>
      <c r="D866" s="124" t="str">
        <f>IFERROR(VLOOKUP(C866,SKUs!$A$6:$F$1971,6,FALSE()),"")</f>
        <v>POLO PIMA FEM.</v>
      </c>
      <c r="E866" s="121">
        <v>11</v>
      </c>
      <c r="F866" s="125">
        <f>IFERROR(IF(OR(B866="",E866=""),"",E866*VLOOKUP(B866,Configurações!$I$5:$J$15,2,FALSE())),"")</f>
        <v>-11</v>
      </c>
      <c r="G866" s="119" t="s">
        <v>1424</v>
      </c>
      <c r="H866" s="121" t="s">
        <v>2059</v>
      </c>
      <c r="I866" s="122" t="s">
        <v>2057</v>
      </c>
      <c r="J866" s="121"/>
      <c r="K866" s="123" t="s">
        <v>2051</v>
      </c>
      <c r="M866" s="109" t="s">
        <v>831</v>
      </c>
    </row>
    <row r="867" spans="1:13" ht="14.25" hidden="1" customHeight="1" x14ac:dyDescent="0.3">
      <c r="A867" s="116">
        <v>46183</v>
      </c>
      <c r="B867" s="117" t="s">
        <v>2052</v>
      </c>
      <c r="C867" s="121" t="s">
        <v>833</v>
      </c>
      <c r="D867" s="124" t="str">
        <f>IFERROR(VLOOKUP(C867,SKUs!$A$6:$F$1971,6,FALSE()),"")</f>
        <v>POLO PIMA FEM.</v>
      </c>
      <c r="E867" s="121">
        <v>14</v>
      </c>
      <c r="F867" s="125">
        <f>IFERROR(IF(OR(B867="",E867=""),"",E867*VLOOKUP(B867,Configurações!$I$5:$J$15,2,FALSE())),"")</f>
        <v>-14</v>
      </c>
      <c r="G867" s="119" t="s">
        <v>1424</v>
      </c>
      <c r="H867" s="121" t="s">
        <v>2059</v>
      </c>
      <c r="I867" s="122" t="s">
        <v>2057</v>
      </c>
      <c r="J867" s="121"/>
      <c r="K867" s="123" t="s">
        <v>2051</v>
      </c>
      <c r="M867" s="109" t="s">
        <v>831</v>
      </c>
    </row>
    <row r="868" spans="1:13" ht="14.25" hidden="1" customHeight="1" x14ac:dyDescent="0.3">
      <c r="A868" s="116">
        <v>46183</v>
      </c>
      <c r="B868" s="117" t="s">
        <v>2052</v>
      </c>
      <c r="C868" s="121" t="s">
        <v>834</v>
      </c>
      <c r="D868" s="124" t="str">
        <f>IFERROR(VLOOKUP(C868,SKUs!$A$6:$F$1971,6,FALSE()),"")</f>
        <v>POLO PIMA FEM.</v>
      </c>
      <c r="E868" s="121">
        <v>11</v>
      </c>
      <c r="F868" s="125">
        <f>IFERROR(IF(OR(B868="",E868=""),"",E868*VLOOKUP(B868,Configurações!$I$5:$J$15,2,FALSE())),"")</f>
        <v>-11</v>
      </c>
      <c r="G868" s="119" t="s">
        <v>1424</v>
      </c>
      <c r="H868" s="121" t="s">
        <v>2059</v>
      </c>
      <c r="I868" s="122" t="s">
        <v>2057</v>
      </c>
      <c r="J868" s="121"/>
      <c r="K868" s="123" t="s">
        <v>2051</v>
      </c>
      <c r="M868" s="109" t="s">
        <v>831</v>
      </c>
    </row>
    <row r="869" spans="1:13" ht="14.25" hidden="1" customHeight="1" x14ac:dyDescent="0.3">
      <c r="A869" s="116">
        <v>46183</v>
      </c>
      <c r="B869" s="117" t="s">
        <v>2052</v>
      </c>
      <c r="C869" s="121" t="s">
        <v>835</v>
      </c>
      <c r="D869" s="124" t="str">
        <f>IFERROR(VLOOKUP(C869,SKUs!$A$6:$F$1971,6,FALSE()),"")</f>
        <v>POLO PIMA FEM.</v>
      </c>
      <c r="E869" s="121">
        <v>6</v>
      </c>
      <c r="F869" s="125">
        <f>IFERROR(IF(OR(B869="",E869=""),"",E869*VLOOKUP(B869,Configurações!$I$5:$J$15,2,FALSE())),"")</f>
        <v>-6</v>
      </c>
      <c r="G869" s="119" t="s">
        <v>1424</v>
      </c>
      <c r="H869" s="121" t="s">
        <v>2059</v>
      </c>
      <c r="I869" s="122" t="s">
        <v>2057</v>
      </c>
      <c r="J869" s="121"/>
      <c r="K869" s="123" t="s">
        <v>2051</v>
      </c>
      <c r="M869" s="109" t="s">
        <v>831</v>
      </c>
    </row>
    <row r="870" spans="1:13" ht="14.25" hidden="1" customHeight="1" x14ac:dyDescent="0.3">
      <c r="A870" s="116">
        <v>46183</v>
      </c>
      <c r="B870" s="117" t="s">
        <v>2052</v>
      </c>
      <c r="C870" s="121" t="s">
        <v>836</v>
      </c>
      <c r="D870" s="124" t="str">
        <f>IFERROR(VLOOKUP(C870,SKUs!$A$6:$F$1971,6,FALSE()),"")</f>
        <v>POLO PIMA FEM.</v>
      </c>
      <c r="E870" s="121">
        <v>4</v>
      </c>
      <c r="F870" s="125">
        <f>IFERROR(IF(OR(B870="",E870=""),"",E870*VLOOKUP(B870,Configurações!$I$5:$J$15,2,FALSE())),"")</f>
        <v>-4</v>
      </c>
      <c r="G870" s="119" t="s">
        <v>1424</v>
      </c>
      <c r="H870" s="121" t="s">
        <v>2059</v>
      </c>
      <c r="I870" s="122" t="s">
        <v>2057</v>
      </c>
      <c r="J870" s="121"/>
      <c r="K870" s="123" t="s">
        <v>2051</v>
      </c>
      <c r="M870" s="109" t="s">
        <v>831</v>
      </c>
    </row>
    <row r="871" spans="1:13" ht="14.25" hidden="1" customHeight="1" x14ac:dyDescent="0.3">
      <c r="A871" s="116">
        <v>46183</v>
      </c>
      <c r="B871" s="117" t="s">
        <v>2052</v>
      </c>
      <c r="C871" s="121" t="s">
        <v>837</v>
      </c>
      <c r="D871" s="124" t="str">
        <f>IFERROR(VLOOKUP(C871,SKUs!$A$6:$F$1971,6,FALSE()),"")</f>
        <v>CAMISETA CICLISMO UNISSEX</v>
      </c>
      <c r="E871" s="121">
        <v>8</v>
      </c>
      <c r="F871" s="125">
        <f>IFERROR(IF(OR(B871="",E871=""),"",E871*VLOOKUP(B871,Configurações!$I$5:$J$15,2,FALSE())),"")</f>
        <v>-8</v>
      </c>
      <c r="G871" s="119" t="s">
        <v>1424</v>
      </c>
      <c r="H871" s="121" t="s">
        <v>2059</v>
      </c>
      <c r="I871" s="122" t="s">
        <v>2057</v>
      </c>
      <c r="J871" s="121"/>
      <c r="K871" s="123" t="s">
        <v>2051</v>
      </c>
      <c r="M871" s="109" t="s">
        <v>839</v>
      </c>
    </row>
    <row r="872" spans="1:13" ht="14.25" hidden="1" customHeight="1" x14ac:dyDescent="0.3">
      <c r="A872" s="116">
        <v>46183</v>
      </c>
      <c r="B872" s="117" t="s">
        <v>2052</v>
      </c>
      <c r="C872" s="121" t="s">
        <v>840</v>
      </c>
      <c r="D872" s="124" t="str">
        <f>IFERROR(VLOOKUP(C872,SKUs!$A$6:$F$1971,6,FALSE()),"")</f>
        <v>CAMISETA CICLISMO UNISSEX</v>
      </c>
      <c r="E872" s="121">
        <v>10</v>
      </c>
      <c r="F872" s="125">
        <f>IFERROR(IF(OR(B872="",E872=""),"",E872*VLOOKUP(B872,Configurações!$I$5:$J$15,2,FALSE())),"")</f>
        <v>-10</v>
      </c>
      <c r="G872" s="119" t="s">
        <v>1424</v>
      </c>
      <c r="H872" s="121" t="s">
        <v>2059</v>
      </c>
      <c r="I872" s="122" t="s">
        <v>2057</v>
      </c>
      <c r="J872" s="121"/>
      <c r="K872" s="123" t="s">
        <v>2051</v>
      </c>
      <c r="M872" s="109" t="s">
        <v>839</v>
      </c>
    </row>
    <row r="873" spans="1:13" ht="14.25" hidden="1" customHeight="1" x14ac:dyDescent="0.3">
      <c r="A873" s="116">
        <v>46183</v>
      </c>
      <c r="B873" s="117" t="s">
        <v>2052</v>
      </c>
      <c r="C873" s="121" t="s">
        <v>841</v>
      </c>
      <c r="D873" s="124" t="str">
        <f>IFERROR(VLOOKUP(C873,SKUs!$A$6:$F$1971,6,FALSE()),"")</f>
        <v>CAMISETA CICLISMO UNISSEX</v>
      </c>
      <c r="E873" s="121">
        <v>11</v>
      </c>
      <c r="F873" s="125">
        <f>IFERROR(IF(OR(B873="",E873=""),"",E873*VLOOKUP(B873,Configurações!$I$5:$J$15,2,FALSE())),"")</f>
        <v>-11</v>
      </c>
      <c r="G873" s="119" t="s">
        <v>1424</v>
      </c>
      <c r="H873" s="121" t="s">
        <v>2059</v>
      </c>
      <c r="I873" s="122" t="s">
        <v>2057</v>
      </c>
      <c r="J873" s="121"/>
      <c r="K873" s="123" t="s">
        <v>2051</v>
      </c>
      <c r="M873" s="109" t="s">
        <v>839</v>
      </c>
    </row>
    <row r="874" spans="1:13" ht="14.25" hidden="1" customHeight="1" x14ac:dyDescent="0.3">
      <c r="A874" s="116">
        <v>46183</v>
      </c>
      <c r="B874" s="117" t="s">
        <v>2052</v>
      </c>
      <c r="C874" s="121" t="s">
        <v>842</v>
      </c>
      <c r="D874" s="124" t="str">
        <f>IFERROR(VLOOKUP(C874,SKUs!$A$6:$F$1971,6,FALSE()),"")</f>
        <v>CAMISETA CICLISMO UNISSEX</v>
      </c>
      <c r="E874" s="121">
        <v>11</v>
      </c>
      <c r="F874" s="125">
        <f>IFERROR(IF(OR(B874="",E874=""),"",E874*VLOOKUP(B874,Configurações!$I$5:$J$15,2,FALSE())),"")</f>
        <v>-11</v>
      </c>
      <c r="G874" s="119" t="s">
        <v>1424</v>
      </c>
      <c r="H874" s="121" t="s">
        <v>2059</v>
      </c>
      <c r="I874" s="122" t="s">
        <v>2057</v>
      </c>
      <c r="J874" s="121"/>
      <c r="K874" s="123" t="s">
        <v>2051</v>
      </c>
      <c r="M874" s="109" t="s">
        <v>839</v>
      </c>
    </row>
    <row r="875" spans="1:13" ht="14.25" hidden="1" customHeight="1" x14ac:dyDescent="0.3">
      <c r="A875" s="116">
        <v>46183</v>
      </c>
      <c r="B875" s="117" t="s">
        <v>2052</v>
      </c>
      <c r="C875" s="121" t="s">
        <v>843</v>
      </c>
      <c r="D875" s="124" t="str">
        <f>IFERROR(VLOOKUP(C875,SKUs!$A$6:$F$1971,6,FALSE()),"")</f>
        <v>CAMISETA CICLISMO UNISSEX</v>
      </c>
      <c r="E875" s="121">
        <v>10</v>
      </c>
      <c r="F875" s="125">
        <f>IFERROR(IF(OR(B875="",E875=""),"",E875*VLOOKUP(B875,Configurações!$I$5:$J$15,2,FALSE())),"")</f>
        <v>-10</v>
      </c>
      <c r="G875" s="119" t="s">
        <v>1424</v>
      </c>
      <c r="H875" s="121" t="s">
        <v>2059</v>
      </c>
      <c r="I875" s="122" t="s">
        <v>2057</v>
      </c>
      <c r="J875" s="121"/>
      <c r="K875" s="123" t="s">
        <v>2051</v>
      </c>
      <c r="M875" s="109" t="s">
        <v>839</v>
      </c>
    </row>
    <row r="876" spans="1:13" ht="14.25" hidden="1" customHeight="1" x14ac:dyDescent="0.3">
      <c r="A876" s="116">
        <v>46183</v>
      </c>
      <c r="B876" s="117" t="s">
        <v>2052</v>
      </c>
      <c r="C876" s="121" t="s">
        <v>844</v>
      </c>
      <c r="D876" s="124" t="str">
        <f>IFERROR(VLOOKUP(C876,SKUs!$A$6:$F$1971,6,FALSE()),"")</f>
        <v>CAMISETA CICLISMO UNISSEX</v>
      </c>
      <c r="E876" s="121">
        <v>8</v>
      </c>
      <c r="F876" s="125">
        <f>IFERROR(IF(OR(B876="",E876=""),"",E876*VLOOKUP(B876,Configurações!$I$5:$J$15,2,FALSE())),"")</f>
        <v>-8</v>
      </c>
      <c r="G876" s="119" t="s">
        <v>1424</v>
      </c>
      <c r="H876" s="121" t="s">
        <v>2059</v>
      </c>
      <c r="I876" s="122" t="s">
        <v>2057</v>
      </c>
      <c r="J876" s="121"/>
      <c r="K876" s="123" t="s">
        <v>2051</v>
      </c>
      <c r="M876" s="109" t="s">
        <v>839</v>
      </c>
    </row>
    <row r="877" spans="1:13" ht="14.25" hidden="1" customHeight="1" x14ac:dyDescent="0.3">
      <c r="A877" s="116">
        <v>46183</v>
      </c>
      <c r="B877" s="117" t="s">
        <v>2052</v>
      </c>
      <c r="C877" s="121" t="s">
        <v>846</v>
      </c>
      <c r="D877" s="124" t="str">
        <f>IFERROR(VLOOKUP(C877,SKUs!$A$6:$F$1971,6,FALSE()),"")</f>
        <v>CAMISETA CICLISMO UNISSEX</v>
      </c>
      <c r="E877" s="121">
        <v>8</v>
      </c>
      <c r="F877" s="125">
        <f>IFERROR(IF(OR(B877="",E877=""),"",E877*VLOOKUP(B877,Configurações!$I$5:$J$15,2,FALSE())),"")</f>
        <v>-8</v>
      </c>
      <c r="G877" s="119" t="s">
        <v>1424</v>
      </c>
      <c r="H877" s="121" t="s">
        <v>2059</v>
      </c>
      <c r="I877" s="122" t="s">
        <v>2057</v>
      </c>
      <c r="J877" s="121"/>
      <c r="K877" s="123" t="s">
        <v>2051</v>
      </c>
      <c r="M877" s="109" t="s">
        <v>839</v>
      </c>
    </row>
    <row r="878" spans="1:13" ht="14.25" hidden="1" customHeight="1" x14ac:dyDescent="0.3">
      <c r="A878" s="116">
        <v>46183</v>
      </c>
      <c r="B878" s="117" t="s">
        <v>2052</v>
      </c>
      <c r="C878" s="121" t="s">
        <v>847</v>
      </c>
      <c r="D878" s="124" t="str">
        <f>IFERROR(VLOOKUP(C878,SKUs!$A$6:$F$1971,6,FALSE()),"")</f>
        <v>CAMISETA CICLISMO UNISSEX</v>
      </c>
      <c r="E878" s="121">
        <v>11</v>
      </c>
      <c r="F878" s="125">
        <f>IFERROR(IF(OR(B878="",E878=""),"",E878*VLOOKUP(B878,Configurações!$I$5:$J$15,2,FALSE())),"")</f>
        <v>-11</v>
      </c>
      <c r="G878" s="119" t="s">
        <v>1424</v>
      </c>
      <c r="H878" s="121" t="s">
        <v>2059</v>
      </c>
      <c r="I878" s="122" t="s">
        <v>2057</v>
      </c>
      <c r="J878" s="121"/>
      <c r="K878" s="123" t="s">
        <v>2051</v>
      </c>
      <c r="M878" s="109" t="s">
        <v>839</v>
      </c>
    </row>
    <row r="879" spans="1:13" ht="14.25" hidden="1" customHeight="1" x14ac:dyDescent="0.3">
      <c r="A879" s="116">
        <v>46183</v>
      </c>
      <c r="B879" s="117" t="s">
        <v>2052</v>
      </c>
      <c r="C879" s="121" t="s">
        <v>848</v>
      </c>
      <c r="D879" s="124" t="str">
        <f>IFERROR(VLOOKUP(C879,SKUs!$A$6:$F$1971,6,FALSE()),"")</f>
        <v>CAMISETA CICLISMO UNISSEX</v>
      </c>
      <c r="E879" s="121">
        <v>12</v>
      </c>
      <c r="F879" s="125">
        <f>IFERROR(IF(OR(B879="",E879=""),"",E879*VLOOKUP(B879,Configurações!$I$5:$J$15,2,FALSE())),"")</f>
        <v>-12</v>
      </c>
      <c r="G879" s="119" t="s">
        <v>1424</v>
      </c>
      <c r="H879" s="121" t="s">
        <v>2059</v>
      </c>
      <c r="I879" s="122" t="s">
        <v>2057</v>
      </c>
      <c r="J879" s="121"/>
      <c r="K879" s="123" t="s">
        <v>2051</v>
      </c>
      <c r="M879" s="109" t="s">
        <v>839</v>
      </c>
    </row>
    <row r="880" spans="1:13" ht="14.25" hidden="1" customHeight="1" x14ac:dyDescent="0.3">
      <c r="A880" s="116">
        <v>46183</v>
      </c>
      <c r="B880" s="117" t="s">
        <v>2052</v>
      </c>
      <c r="C880" s="121" t="s">
        <v>849</v>
      </c>
      <c r="D880" s="124" t="str">
        <f>IFERROR(VLOOKUP(C880,SKUs!$A$6:$F$1971,6,FALSE()),"")</f>
        <v>CAMISETA CICLISMO UNISSEX</v>
      </c>
      <c r="E880" s="121">
        <v>11</v>
      </c>
      <c r="F880" s="125">
        <f>IFERROR(IF(OR(B880="",E880=""),"",E880*VLOOKUP(B880,Configurações!$I$5:$J$15,2,FALSE())),"")</f>
        <v>-11</v>
      </c>
      <c r="G880" s="119" t="s">
        <v>1424</v>
      </c>
      <c r="H880" s="121" t="s">
        <v>2059</v>
      </c>
      <c r="I880" s="122" t="s">
        <v>2057</v>
      </c>
      <c r="J880" s="121"/>
      <c r="K880" s="123" t="s">
        <v>2051</v>
      </c>
      <c r="M880" s="109" t="s">
        <v>839</v>
      </c>
    </row>
    <row r="881" spans="1:13" ht="14.25" hidden="1" customHeight="1" x14ac:dyDescent="0.3">
      <c r="A881" s="116">
        <v>46183</v>
      </c>
      <c r="B881" s="117" t="s">
        <v>2052</v>
      </c>
      <c r="C881" s="121" t="s">
        <v>850</v>
      </c>
      <c r="D881" s="124" t="str">
        <f>IFERROR(VLOOKUP(C881,SKUs!$A$6:$F$1971,6,FALSE()),"")</f>
        <v>CAMISETA CICLISMO UNISSEX</v>
      </c>
      <c r="E881" s="121">
        <v>10</v>
      </c>
      <c r="F881" s="125">
        <f>IFERROR(IF(OR(B881="",E881=""),"",E881*VLOOKUP(B881,Configurações!$I$5:$J$15,2,FALSE())),"")</f>
        <v>-10</v>
      </c>
      <c r="G881" s="119" t="s">
        <v>1424</v>
      </c>
      <c r="H881" s="121" t="s">
        <v>2059</v>
      </c>
      <c r="I881" s="122" t="s">
        <v>2057</v>
      </c>
      <c r="J881" s="121"/>
      <c r="K881" s="123" t="s">
        <v>2051</v>
      </c>
      <c r="M881" s="109" t="s">
        <v>839</v>
      </c>
    </row>
    <row r="882" spans="1:13" ht="14.25" hidden="1" customHeight="1" x14ac:dyDescent="0.3">
      <c r="A882" s="116">
        <v>46183</v>
      </c>
      <c r="B882" s="117" t="s">
        <v>2052</v>
      </c>
      <c r="C882" s="121" t="s">
        <v>851</v>
      </c>
      <c r="D882" s="124" t="str">
        <f>IFERROR(VLOOKUP(C882,SKUs!$A$6:$F$1971,6,FALSE()),"")</f>
        <v>CAMISETA CICLISMO UNISSEX</v>
      </c>
      <c r="E882" s="121">
        <v>11</v>
      </c>
      <c r="F882" s="125">
        <f>IFERROR(IF(OR(B882="",E882=""),"",E882*VLOOKUP(B882,Configurações!$I$5:$J$15,2,FALSE())),"")</f>
        <v>-11</v>
      </c>
      <c r="G882" s="119" t="s">
        <v>1424</v>
      </c>
      <c r="H882" s="121" t="s">
        <v>2059</v>
      </c>
      <c r="I882" s="122" t="s">
        <v>2057</v>
      </c>
      <c r="J882" s="121"/>
      <c r="K882" s="123" t="s">
        <v>2051</v>
      </c>
      <c r="M882" s="109" t="s">
        <v>839</v>
      </c>
    </row>
    <row r="883" spans="1:13" ht="14.25" hidden="1" customHeight="1" x14ac:dyDescent="0.3">
      <c r="A883" s="116">
        <v>46183</v>
      </c>
      <c r="B883" s="117" t="s">
        <v>2052</v>
      </c>
      <c r="C883" s="121" t="s">
        <v>852</v>
      </c>
      <c r="D883" s="124" t="str">
        <f>IFERROR(VLOOKUP(C883,SKUs!$A$6:$F$1971,6,FALSE()),"")</f>
        <v>CAMISETA COPA FEM.</v>
      </c>
      <c r="E883" s="121">
        <v>9</v>
      </c>
      <c r="F883" s="125">
        <f>IFERROR(IF(OR(B883="",E883=""),"",E883*VLOOKUP(B883,Configurações!$I$5:$J$15,2,FALSE())),"")</f>
        <v>-9</v>
      </c>
      <c r="G883" s="119" t="s">
        <v>1424</v>
      </c>
      <c r="H883" s="121" t="s">
        <v>2059</v>
      </c>
      <c r="I883" s="122" t="s">
        <v>2057</v>
      </c>
      <c r="J883" s="121"/>
      <c r="K883" s="123" t="s">
        <v>2051</v>
      </c>
      <c r="M883" s="109" t="s">
        <v>854</v>
      </c>
    </row>
    <row r="884" spans="1:13" ht="14.25" hidden="1" customHeight="1" x14ac:dyDescent="0.3">
      <c r="A884" s="116">
        <v>46183</v>
      </c>
      <c r="B884" s="117" t="s">
        <v>2052</v>
      </c>
      <c r="C884" s="121" t="s">
        <v>855</v>
      </c>
      <c r="D884" s="124" t="str">
        <f>IFERROR(VLOOKUP(C884,SKUs!$A$6:$F$1971,6,FALSE()),"")</f>
        <v>CAMISETA COPA FEM.</v>
      </c>
      <c r="E884" s="121">
        <v>5</v>
      </c>
      <c r="F884" s="125">
        <f>IFERROR(IF(OR(B884="",E884=""),"",E884*VLOOKUP(B884,Configurações!$I$5:$J$15,2,FALSE())),"")</f>
        <v>-5</v>
      </c>
      <c r="G884" s="119" t="s">
        <v>1424</v>
      </c>
      <c r="H884" s="121" t="s">
        <v>2059</v>
      </c>
      <c r="I884" s="122" t="s">
        <v>2057</v>
      </c>
      <c r="J884" s="121"/>
      <c r="K884" s="123" t="s">
        <v>2051</v>
      </c>
      <c r="M884" s="109" t="s">
        <v>854</v>
      </c>
    </row>
    <row r="885" spans="1:13" ht="14.25" hidden="1" customHeight="1" x14ac:dyDescent="0.3">
      <c r="A885" s="116">
        <v>46183</v>
      </c>
      <c r="B885" s="117" t="s">
        <v>2052</v>
      </c>
      <c r="C885" s="121" t="s">
        <v>856</v>
      </c>
      <c r="D885" s="124" t="str">
        <f>IFERROR(VLOOKUP(C885,SKUs!$A$6:$F$1971,6,FALSE()),"")</f>
        <v>CAMISETA COPA FEM.</v>
      </c>
      <c r="E885" s="121">
        <v>12</v>
      </c>
      <c r="F885" s="125">
        <f>IFERROR(IF(OR(B885="",E885=""),"",E885*VLOOKUP(B885,Configurações!$I$5:$J$15,2,FALSE())),"")</f>
        <v>-12</v>
      </c>
      <c r="G885" s="119" t="s">
        <v>1424</v>
      </c>
      <c r="H885" s="121" t="s">
        <v>2059</v>
      </c>
      <c r="I885" s="122" t="s">
        <v>2057</v>
      </c>
      <c r="J885" s="121"/>
      <c r="K885" s="123" t="s">
        <v>2051</v>
      </c>
      <c r="M885" s="109" t="s">
        <v>854</v>
      </c>
    </row>
    <row r="886" spans="1:13" ht="14.25" hidden="1" customHeight="1" x14ac:dyDescent="0.3">
      <c r="A886" s="116">
        <v>46183</v>
      </c>
      <c r="B886" s="117" t="s">
        <v>2052</v>
      </c>
      <c r="C886" s="121" t="s">
        <v>857</v>
      </c>
      <c r="D886" s="124" t="str">
        <f>IFERROR(VLOOKUP(C886,SKUs!$A$6:$F$1971,6,FALSE()),"")</f>
        <v>CAMISETA COPA FEM.</v>
      </c>
      <c r="E886" s="121">
        <v>6</v>
      </c>
      <c r="F886" s="125">
        <f>IFERROR(IF(OR(B886="",E886=""),"",E886*VLOOKUP(B886,Configurações!$I$5:$J$15,2,FALSE())),"")</f>
        <v>-6</v>
      </c>
      <c r="G886" s="119" t="s">
        <v>1424</v>
      </c>
      <c r="H886" s="121" t="s">
        <v>2059</v>
      </c>
      <c r="I886" s="122" t="s">
        <v>2057</v>
      </c>
      <c r="J886" s="121"/>
      <c r="K886" s="123" t="s">
        <v>2051</v>
      </c>
      <c r="M886" s="109" t="s">
        <v>854</v>
      </c>
    </row>
    <row r="887" spans="1:13" ht="14.25" hidden="1" customHeight="1" x14ac:dyDescent="0.3">
      <c r="A887" s="116">
        <v>46183</v>
      </c>
      <c r="B887" s="117" t="s">
        <v>2052</v>
      </c>
      <c r="C887" s="121" t="s">
        <v>858</v>
      </c>
      <c r="D887" s="124" t="str">
        <f>IFERROR(VLOOKUP(C887,SKUs!$A$6:$F$1971,6,FALSE()),"")</f>
        <v>CAMISETA COPA FEM.</v>
      </c>
      <c r="E887" s="121">
        <v>7</v>
      </c>
      <c r="F887" s="125">
        <f>IFERROR(IF(OR(B887="",E887=""),"",E887*VLOOKUP(B887,Configurações!$I$5:$J$15,2,FALSE())),"")</f>
        <v>-7</v>
      </c>
      <c r="G887" s="119" t="s">
        <v>1424</v>
      </c>
      <c r="H887" s="121" t="s">
        <v>2059</v>
      </c>
      <c r="I887" s="122" t="s">
        <v>2057</v>
      </c>
      <c r="J887" s="121"/>
      <c r="K887" s="123" t="s">
        <v>2051</v>
      </c>
      <c r="M887" s="109" t="s">
        <v>854</v>
      </c>
    </row>
    <row r="888" spans="1:13" ht="14.25" hidden="1" customHeight="1" x14ac:dyDescent="0.3">
      <c r="A888" s="116">
        <v>46183</v>
      </c>
      <c r="B888" s="117" t="s">
        <v>2052</v>
      </c>
      <c r="C888" s="121" t="s">
        <v>859</v>
      </c>
      <c r="D888" s="124" t="str">
        <f>IFERROR(VLOOKUP(C888,SKUs!$A$6:$F$1971,6,FALSE()),"")</f>
        <v>POLO PIQUET FEM.</v>
      </c>
      <c r="E888" s="121">
        <v>8</v>
      </c>
      <c r="F888" s="125">
        <f>IFERROR(IF(OR(B888="",E888=""),"",E888*VLOOKUP(B888,Configurações!$I$5:$J$15,2,FALSE())),"")</f>
        <v>-8</v>
      </c>
      <c r="G888" s="119" t="s">
        <v>1424</v>
      </c>
      <c r="H888" s="121" t="s">
        <v>2059</v>
      </c>
      <c r="I888" s="122" t="s">
        <v>2057</v>
      </c>
      <c r="J888" s="121"/>
      <c r="K888" s="123" t="s">
        <v>2051</v>
      </c>
      <c r="M888" s="109" t="s">
        <v>860</v>
      </c>
    </row>
    <row r="889" spans="1:13" ht="14.25" hidden="1" customHeight="1" x14ac:dyDescent="0.3">
      <c r="A889" s="116">
        <v>46183</v>
      </c>
      <c r="B889" s="117" t="s">
        <v>2052</v>
      </c>
      <c r="C889" s="121" t="s">
        <v>861</v>
      </c>
      <c r="D889" s="124" t="str">
        <f>IFERROR(VLOOKUP(C889,SKUs!$A$6:$F$1971,6,FALSE()),"")</f>
        <v>POLO PIQUET FEM.</v>
      </c>
      <c r="E889" s="121">
        <v>13</v>
      </c>
      <c r="F889" s="125">
        <f>IFERROR(IF(OR(B889="",E889=""),"",E889*VLOOKUP(B889,Configurações!$I$5:$J$15,2,FALSE())),"")</f>
        <v>-13</v>
      </c>
      <c r="G889" s="119" t="s">
        <v>1424</v>
      </c>
      <c r="H889" s="121" t="s">
        <v>2059</v>
      </c>
      <c r="I889" s="122" t="s">
        <v>2057</v>
      </c>
      <c r="J889" s="121"/>
      <c r="K889" s="123" t="s">
        <v>2051</v>
      </c>
      <c r="M889" s="109" t="s">
        <v>860</v>
      </c>
    </row>
    <row r="890" spans="1:13" ht="14.25" hidden="1" customHeight="1" x14ac:dyDescent="0.3">
      <c r="A890" s="116">
        <v>46183</v>
      </c>
      <c r="B890" s="117" t="s">
        <v>2052</v>
      </c>
      <c r="C890" s="121" t="s">
        <v>862</v>
      </c>
      <c r="D890" s="124" t="str">
        <f>IFERROR(VLOOKUP(C890,SKUs!$A$6:$F$1971,6,FALSE()),"")</f>
        <v>POLO PIQUET FEM.</v>
      </c>
      <c r="E890" s="121">
        <v>15</v>
      </c>
      <c r="F890" s="125">
        <f>IFERROR(IF(OR(B890="",E890=""),"",E890*VLOOKUP(B890,Configurações!$I$5:$J$15,2,FALSE())),"")</f>
        <v>-15</v>
      </c>
      <c r="G890" s="119" t="s">
        <v>1424</v>
      </c>
      <c r="H890" s="121" t="s">
        <v>2059</v>
      </c>
      <c r="I890" s="122" t="s">
        <v>2057</v>
      </c>
      <c r="J890" s="121"/>
      <c r="K890" s="123" t="s">
        <v>2051</v>
      </c>
      <c r="M890" s="109" t="s">
        <v>860</v>
      </c>
    </row>
    <row r="891" spans="1:13" ht="14.25" hidden="1" customHeight="1" x14ac:dyDescent="0.3">
      <c r="A891" s="116">
        <v>46183</v>
      </c>
      <c r="B891" s="117" t="s">
        <v>2052</v>
      </c>
      <c r="C891" s="121" t="s">
        <v>863</v>
      </c>
      <c r="D891" s="124" t="str">
        <f>IFERROR(VLOOKUP(C891,SKUs!$A$6:$F$1971,6,FALSE()),"")</f>
        <v>POLO PIQUET FEM.</v>
      </c>
      <c r="E891" s="121">
        <v>8</v>
      </c>
      <c r="F891" s="125">
        <f>IFERROR(IF(OR(B891="",E891=""),"",E891*VLOOKUP(B891,Configurações!$I$5:$J$15,2,FALSE())),"")</f>
        <v>-8</v>
      </c>
      <c r="G891" s="119" t="s">
        <v>1424</v>
      </c>
      <c r="H891" s="121" t="s">
        <v>2059</v>
      </c>
      <c r="I891" s="122" t="s">
        <v>2057</v>
      </c>
      <c r="J891" s="121"/>
      <c r="K891" s="123" t="s">
        <v>2051</v>
      </c>
      <c r="M891" s="109" t="s">
        <v>860</v>
      </c>
    </row>
    <row r="892" spans="1:13" ht="14.25" hidden="1" customHeight="1" x14ac:dyDescent="0.3">
      <c r="A892" s="116">
        <v>46183</v>
      </c>
      <c r="B892" s="117" t="s">
        <v>2052</v>
      </c>
      <c r="C892" s="121" t="s">
        <v>864</v>
      </c>
      <c r="D892" s="124" t="str">
        <f>IFERROR(VLOOKUP(C892,SKUs!$A$6:$F$1971,6,FALSE()),"")</f>
        <v>POLO PIQUET FEM.</v>
      </c>
      <c r="E892" s="121">
        <v>4</v>
      </c>
      <c r="F892" s="125">
        <f>IFERROR(IF(OR(B892="",E892=""),"",E892*VLOOKUP(B892,Configurações!$I$5:$J$15,2,FALSE())),"")</f>
        <v>-4</v>
      </c>
      <c r="G892" s="119" t="s">
        <v>1424</v>
      </c>
      <c r="H892" s="121" t="s">
        <v>2059</v>
      </c>
      <c r="I892" s="122" t="s">
        <v>2057</v>
      </c>
      <c r="J892" s="121"/>
      <c r="K892" s="123" t="s">
        <v>2051</v>
      </c>
      <c r="M892" s="109" t="s">
        <v>860</v>
      </c>
    </row>
    <row r="893" spans="1:13" ht="14.25" hidden="1" customHeight="1" x14ac:dyDescent="0.3">
      <c r="A893" s="116">
        <v>46183</v>
      </c>
      <c r="B893" s="117" t="s">
        <v>2052</v>
      </c>
      <c r="C893" s="121" t="s">
        <v>865</v>
      </c>
      <c r="D893" s="124" t="str">
        <f>IFERROR(VLOOKUP(C893,SKUs!$A$6:$F$1971,6,FALSE()),"")</f>
        <v>POLO PIQUET FEM.</v>
      </c>
      <c r="E893" s="121">
        <v>5</v>
      </c>
      <c r="F893" s="125">
        <f>IFERROR(IF(OR(B893="",E893=""),"",E893*VLOOKUP(B893,Configurações!$I$5:$J$15,2,FALSE())),"")</f>
        <v>-5</v>
      </c>
      <c r="G893" s="119" t="s">
        <v>1424</v>
      </c>
      <c r="H893" s="121" t="s">
        <v>2059</v>
      </c>
      <c r="I893" s="122" t="s">
        <v>2057</v>
      </c>
      <c r="J893" s="121"/>
      <c r="K893" s="123" t="s">
        <v>2051</v>
      </c>
      <c r="M893" s="109" t="s">
        <v>860</v>
      </c>
    </row>
    <row r="894" spans="1:13" ht="14.25" hidden="1" customHeight="1" x14ac:dyDescent="0.3">
      <c r="A894" s="116">
        <v>46183</v>
      </c>
      <c r="B894" s="117" t="s">
        <v>2052</v>
      </c>
      <c r="C894" s="121" t="s">
        <v>875</v>
      </c>
      <c r="D894" s="124" t="str">
        <f>IFERROR(VLOOKUP(C894,SKUs!$A$6:$F$1971,6,FALSE()),"")</f>
        <v>JAQUETA COPA FEM.</v>
      </c>
      <c r="E894" s="121">
        <v>7</v>
      </c>
      <c r="F894" s="125">
        <f>IFERROR(IF(OR(B894="",E894=""),"",E894*VLOOKUP(B894,Configurações!$I$5:$J$15,2,FALSE())),"")</f>
        <v>-7</v>
      </c>
      <c r="G894" s="119" t="s">
        <v>1424</v>
      </c>
      <c r="H894" s="121" t="s">
        <v>2059</v>
      </c>
      <c r="I894" s="122" t="s">
        <v>2057</v>
      </c>
      <c r="J894" s="121"/>
      <c r="K894" s="123" t="s">
        <v>2051</v>
      </c>
      <c r="M894" s="109" t="s">
        <v>872</v>
      </c>
    </row>
    <row r="895" spans="1:13" ht="14.25" hidden="1" customHeight="1" x14ac:dyDescent="0.3">
      <c r="A895" s="116">
        <v>46183</v>
      </c>
      <c r="B895" s="117" t="s">
        <v>2052</v>
      </c>
      <c r="C895" s="121" t="s">
        <v>1739</v>
      </c>
      <c r="D895" s="124" t="str">
        <f>IFERROR(VLOOKUP(C895,SKUs!$A$6:$F$1971,6,FALSE()),"")</f>
        <v>JAQUETA COPA FEM.</v>
      </c>
      <c r="E895" s="121">
        <v>1</v>
      </c>
      <c r="F895" s="125">
        <f>IFERROR(IF(OR(B895="",E895=""),"",E895*VLOOKUP(B895,Configurações!$I$5:$J$15,2,FALSE())),"")</f>
        <v>-1</v>
      </c>
      <c r="G895" s="119" t="s">
        <v>1424</v>
      </c>
      <c r="H895" s="121" t="s">
        <v>2059</v>
      </c>
      <c r="I895" s="122" t="s">
        <v>2057</v>
      </c>
      <c r="J895" s="121"/>
      <c r="K895" s="123" t="s">
        <v>2051</v>
      </c>
      <c r="M895" s="109" t="s">
        <v>1737</v>
      </c>
    </row>
    <row r="896" spans="1:13" ht="14.25" hidden="1" customHeight="1" x14ac:dyDescent="0.3">
      <c r="A896" s="116">
        <v>46183</v>
      </c>
      <c r="B896" s="117" t="s">
        <v>2052</v>
      </c>
      <c r="C896" s="121" t="s">
        <v>876</v>
      </c>
      <c r="D896" s="124" t="str">
        <f>IFERROR(VLOOKUP(C896,SKUs!$A$6:$F$1971,6,FALSE()),"")</f>
        <v>JAQUETA COPA FEM.</v>
      </c>
      <c r="E896" s="121">
        <v>1</v>
      </c>
      <c r="F896" s="125">
        <f>IFERROR(IF(OR(B896="",E896=""),"",E896*VLOOKUP(B896,Configurações!$I$5:$J$15,2,FALSE())),"")</f>
        <v>-1</v>
      </c>
      <c r="G896" s="119" t="s">
        <v>1424</v>
      </c>
      <c r="H896" s="121" t="s">
        <v>2059</v>
      </c>
      <c r="I896" s="122" t="s">
        <v>2057</v>
      </c>
      <c r="J896" s="121"/>
      <c r="K896" s="123" t="s">
        <v>2051</v>
      </c>
      <c r="M896" s="109" t="s">
        <v>872</v>
      </c>
    </row>
    <row r="897" spans="1:13" ht="14.25" hidden="1" customHeight="1" x14ac:dyDescent="0.3">
      <c r="A897" s="116">
        <v>46183</v>
      </c>
      <c r="B897" s="117" t="s">
        <v>2052</v>
      </c>
      <c r="C897" s="121" t="s">
        <v>877</v>
      </c>
      <c r="D897" s="124" t="str">
        <f>IFERROR(VLOOKUP(C897,SKUs!$A$6:$F$1971,6,FALSE()),"")</f>
        <v>JAQUETA COPA FEM.</v>
      </c>
      <c r="E897" s="121">
        <v>5</v>
      </c>
      <c r="F897" s="125">
        <f>IFERROR(IF(OR(B897="",E897=""),"",E897*VLOOKUP(B897,Configurações!$I$5:$J$15,2,FALSE())),"")</f>
        <v>-5</v>
      </c>
      <c r="G897" s="119" t="s">
        <v>1424</v>
      </c>
      <c r="H897" s="121" t="s">
        <v>2059</v>
      </c>
      <c r="I897" s="122" t="s">
        <v>2057</v>
      </c>
      <c r="J897" s="121"/>
      <c r="K897" s="123" t="s">
        <v>2051</v>
      </c>
      <c r="M897" s="109" t="s">
        <v>878</v>
      </c>
    </row>
    <row r="898" spans="1:13" ht="14.25" hidden="1" customHeight="1" x14ac:dyDescent="0.3">
      <c r="A898" s="116">
        <v>46183</v>
      </c>
      <c r="B898" s="117" t="s">
        <v>2052</v>
      </c>
      <c r="C898" s="121" t="s">
        <v>877</v>
      </c>
      <c r="D898" s="124" t="str">
        <f>IFERROR(VLOOKUP(C898,SKUs!$A$6:$F$1971,6,FALSE()),"")</f>
        <v>JAQUETA COPA FEM.</v>
      </c>
      <c r="E898" s="121">
        <v>3</v>
      </c>
      <c r="F898" s="125">
        <f>IFERROR(IF(OR(B898="",E898=""),"",E898*VLOOKUP(B898,Configurações!$I$5:$J$15,2,FALSE())),"")</f>
        <v>-3</v>
      </c>
      <c r="G898" s="119" t="s">
        <v>1424</v>
      </c>
      <c r="H898" s="121" t="s">
        <v>2059</v>
      </c>
      <c r="I898" s="122" t="s">
        <v>2057</v>
      </c>
      <c r="J898" s="121"/>
      <c r="K898" s="123" t="s">
        <v>2051</v>
      </c>
      <c r="M898" s="109" t="s">
        <v>879</v>
      </c>
    </row>
    <row r="899" spans="1:13" ht="14.25" hidden="1" customHeight="1" x14ac:dyDescent="0.3">
      <c r="A899" s="116">
        <v>46183</v>
      </c>
      <c r="B899" s="117" t="s">
        <v>2052</v>
      </c>
      <c r="C899" s="121" t="s">
        <v>880</v>
      </c>
      <c r="D899" s="124" t="str">
        <f>IFERROR(VLOOKUP(C899,SKUs!$A$6:$F$1971,6,FALSE()),"")</f>
        <v>JAQUETA COPA FEM.</v>
      </c>
      <c r="E899" s="121">
        <v>4</v>
      </c>
      <c r="F899" s="125">
        <f>IFERROR(IF(OR(B899="",E899=""),"",E899*VLOOKUP(B899,Configurações!$I$5:$J$15,2,FALSE())),"")</f>
        <v>-4</v>
      </c>
      <c r="G899" s="119" t="s">
        <v>1424</v>
      </c>
      <c r="H899" s="121" t="s">
        <v>2059</v>
      </c>
      <c r="I899" s="122" t="s">
        <v>2057</v>
      </c>
      <c r="J899" s="121"/>
      <c r="K899" s="123" t="s">
        <v>2051</v>
      </c>
      <c r="M899" s="109" t="s">
        <v>878</v>
      </c>
    </row>
    <row r="900" spans="1:13" ht="14.25" hidden="1" customHeight="1" x14ac:dyDescent="0.3">
      <c r="A900" s="116">
        <v>46183</v>
      </c>
      <c r="B900" s="117" t="s">
        <v>2052</v>
      </c>
      <c r="C900" s="121" t="s">
        <v>880</v>
      </c>
      <c r="D900" s="124" t="str">
        <f>IFERROR(VLOOKUP(C900,SKUs!$A$6:$F$1971,6,FALSE()),"")</f>
        <v>JAQUETA COPA FEM.</v>
      </c>
      <c r="E900" s="121">
        <v>2</v>
      </c>
      <c r="F900" s="125">
        <f>IFERROR(IF(OR(B900="",E900=""),"",E900*VLOOKUP(B900,Configurações!$I$5:$J$15,2,FALSE())),"")</f>
        <v>-2</v>
      </c>
      <c r="G900" s="119" t="s">
        <v>1424</v>
      </c>
      <c r="H900" s="121" t="s">
        <v>2059</v>
      </c>
      <c r="I900" s="122" t="s">
        <v>2057</v>
      </c>
      <c r="J900" s="121"/>
      <c r="K900" s="123" t="s">
        <v>2051</v>
      </c>
      <c r="M900" s="109" t="s">
        <v>879</v>
      </c>
    </row>
    <row r="901" spans="1:13" ht="14.25" hidden="1" customHeight="1" x14ac:dyDescent="0.3">
      <c r="A901" s="116">
        <v>46183</v>
      </c>
      <c r="B901" s="117" t="s">
        <v>2052</v>
      </c>
      <c r="C901" s="121" t="s">
        <v>881</v>
      </c>
      <c r="D901" s="124" t="str">
        <f>IFERROR(VLOOKUP(C901,SKUs!$A$6:$F$1971,6,FALSE()),"")</f>
        <v>POLO PIQUET FEM.</v>
      </c>
      <c r="E901" s="121">
        <v>10</v>
      </c>
      <c r="F901" s="125">
        <f>IFERROR(IF(OR(B901="",E901=""),"",E901*VLOOKUP(B901,Configurações!$I$5:$J$15,2,FALSE())),"")</f>
        <v>-10</v>
      </c>
      <c r="G901" s="119" t="s">
        <v>1424</v>
      </c>
      <c r="H901" s="121" t="s">
        <v>2059</v>
      </c>
      <c r="I901" s="122" t="s">
        <v>2057</v>
      </c>
      <c r="J901" s="121"/>
      <c r="K901" s="123" t="s">
        <v>2051</v>
      </c>
      <c r="M901" s="109" t="s">
        <v>882</v>
      </c>
    </row>
    <row r="902" spans="1:13" ht="14.25" hidden="1" customHeight="1" x14ac:dyDescent="0.3">
      <c r="A902" s="116">
        <v>46183</v>
      </c>
      <c r="B902" s="117" t="s">
        <v>2052</v>
      </c>
      <c r="C902" s="121" t="s">
        <v>883</v>
      </c>
      <c r="D902" s="124" t="str">
        <f>IFERROR(VLOOKUP(C902,SKUs!$A$6:$F$1971,6,FALSE()),"")</f>
        <v>POLO PIQUET FEM.</v>
      </c>
      <c r="E902" s="121">
        <v>13</v>
      </c>
      <c r="F902" s="125">
        <f>IFERROR(IF(OR(B902="",E902=""),"",E902*VLOOKUP(B902,Configurações!$I$5:$J$15,2,FALSE())),"")</f>
        <v>-13</v>
      </c>
      <c r="G902" s="119" t="s">
        <v>1424</v>
      </c>
      <c r="H902" s="121" t="s">
        <v>2059</v>
      </c>
      <c r="I902" s="122" t="s">
        <v>2057</v>
      </c>
      <c r="J902" s="121"/>
      <c r="K902" s="123" t="s">
        <v>2051</v>
      </c>
      <c r="M902" s="109" t="s">
        <v>882</v>
      </c>
    </row>
    <row r="903" spans="1:13" ht="14.25" hidden="1" customHeight="1" x14ac:dyDescent="0.3">
      <c r="A903" s="116">
        <v>46183</v>
      </c>
      <c r="B903" s="117" t="s">
        <v>2052</v>
      </c>
      <c r="C903" s="121" t="s">
        <v>884</v>
      </c>
      <c r="D903" s="124" t="str">
        <f>IFERROR(VLOOKUP(C903,SKUs!$A$6:$F$1971,6,FALSE()),"")</f>
        <v>POLO PIQUET FEM.</v>
      </c>
      <c r="E903" s="121">
        <v>15</v>
      </c>
      <c r="F903" s="125">
        <f>IFERROR(IF(OR(B903="",E903=""),"",E903*VLOOKUP(B903,Configurações!$I$5:$J$15,2,FALSE())),"")</f>
        <v>-15</v>
      </c>
      <c r="G903" s="119" t="s">
        <v>1424</v>
      </c>
      <c r="H903" s="121" t="s">
        <v>2059</v>
      </c>
      <c r="I903" s="122" t="s">
        <v>2057</v>
      </c>
      <c r="J903" s="121"/>
      <c r="K903" s="123" t="s">
        <v>2051</v>
      </c>
      <c r="M903" s="109" t="s">
        <v>882</v>
      </c>
    </row>
    <row r="904" spans="1:13" ht="14.25" hidden="1" customHeight="1" x14ac:dyDescent="0.3">
      <c r="A904" s="116">
        <v>46183</v>
      </c>
      <c r="B904" s="117" t="s">
        <v>2052</v>
      </c>
      <c r="C904" s="121" t="s">
        <v>885</v>
      </c>
      <c r="D904" s="124" t="str">
        <f>IFERROR(VLOOKUP(C904,SKUs!$A$6:$F$1971,6,FALSE()),"")</f>
        <v>POLO PIQUET FEM.</v>
      </c>
      <c r="E904" s="121">
        <v>9</v>
      </c>
      <c r="F904" s="125">
        <f>IFERROR(IF(OR(B904="",E904=""),"",E904*VLOOKUP(B904,Configurações!$I$5:$J$15,2,FALSE())),"")</f>
        <v>-9</v>
      </c>
      <c r="G904" s="119" t="s">
        <v>1424</v>
      </c>
      <c r="H904" s="121" t="s">
        <v>2059</v>
      </c>
      <c r="I904" s="122" t="s">
        <v>2057</v>
      </c>
      <c r="J904" s="121"/>
      <c r="K904" s="123" t="s">
        <v>2051</v>
      </c>
      <c r="M904" s="109" t="s">
        <v>882</v>
      </c>
    </row>
    <row r="905" spans="1:13" ht="14.25" hidden="1" customHeight="1" x14ac:dyDescent="0.3">
      <c r="A905" s="116">
        <v>46183</v>
      </c>
      <c r="B905" s="117" t="s">
        <v>2052</v>
      </c>
      <c r="C905" s="121" t="s">
        <v>886</v>
      </c>
      <c r="D905" s="124" t="str">
        <f>IFERROR(VLOOKUP(C905,SKUs!$A$6:$F$1971,6,FALSE()),"")</f>
        <v>POLO PIQUET FEM.</v>
      </c>
      <c r="E905" s="121">
        <v>5</v>
      </c>
      <c r="F905" s="125">
        <f>IFERROR(IF(OR(B905="",E905=""),"",E905*VLOOKUP(B905,Configurações!$I$5:$J$15,2,FALSE())),"")</f>
        <v>-5</v>
      </c>
      <c r="G905" s="119" t="s">
        <v>1424</v>
      </c>
      <c r="H905" s="121" t="s">
        <v>2059</v>
      </c>
      <c r="I905" s="122" t="s">
        <v>2057</v>
      </c>
      <c r="J905" s="121"/>
      <c r="K905" s="123" t="s">
        <v>2051</v>
      </c>
      <c r="M905" s="109" t="s">
        <v>882</v>
      </c>
    </row>
    <row r="906" spans="1:13" ht="14.25" hidden="1" customHeight="1" x14ac:dyDescent="0.3">
      <c r="A906" s="116">
        <v>46183</v>
      </c>
      <c r="B906" s="117" t="s">
        <v>2052</v>
      </c>
      <c r="C906" s="121" t="s">
        <v>887</v>
      </c>
      <c r="D906" s="124" t="str">
        <f>IFERROR(VLOOKUP(C906,SKUs!$A$6:$F$1971,6,FALSE()),"")</f>
        <v>POLO PIQUET FEM.</v>
      </c>
      <c r="E906" s="121">
        <v>5</v>
      </c>
      <c r="F906" s="125">
        <f>IFERROR(IF(OR(B906="",E906=""),"",E906*VLOOKUP(B906,Configurações!$I$5:$J$15,2,FALSE())),"")</f>
        <v>-5</v>
      </c>
      <c r="G906" s="119" t="s">
        <v>1424</v>
      </c>
      <c r="H906" s="121" t="s">
        <v>2059</v>
      </c>
      <c r="I906" s="122" t="s">
        <v>2057</v>
      </c>
      <c r="J906" s="121"/>
      <c r="K906" s="123" t="s">
        <v>2051</v>
      </c>
      <c r="M906" s="109" t="s">
        <v>882</v>
      </c>
    </row>
    <row r="907" spans="1:13" ht="14.25" hidden="1" customHeight="1" x14ac:dyDescent="0.3">
      <c r="A907" s="116">
        <v>46183</v>
      </c>
      <c r="B907" s="117" t="s">
        <v>2052</v>
      </c>
      <c r="C907" s="121" t="s">
        <v>888</v>
      </c>
      <c r="D907" s="124" t="str">
        <f>IFERROR(VLOOKUP(C907,SKUs!$A$6:$F$1971,6,FALSE()),"")</f>
        <v>POLO PIMA FEM.</v>
      </c>
      <c r="E907" s="121">
        <v>5</v>
      </c>
      <c r="F907" s="125">
        <f>IFERROR(IF(OR(B907="",E907=""),"",E907*VLOOKUP(B907,Configurações!$I$5:$J$15,2,FALSE())),"")</f>
        <v>-5</v>
      </c>
      <c r="G907" s="119" t="s">
        <v>1424</v>
      </c>
      <c r="H907" s="121" t="s">
        <v>2059</v>
      </c>
      <c r="I907" s="122" t="s">
        <v>2057</v>
      </c>
      <c r="J907" s="121"/>
      <c r="K907" s="123" t="s">
        <v>2051</v>
      </c>
      <c r="M907" s="109" t="s">
        <v>889</v>
      </c>
    </row>
    <row r="908" spans="1:13" ht="14.25" hidden="1" customHeight="1" x14ac:dyDescent="0.3">
      <c r="A908" s="116">
        <v>46183</v>
      </c>
      <c r="B908" s="117" t="s">
        <v>2052</v>
      </c>
      <c r="C908" s="121" t="s">
        <v>890</v>
      </c>
      <c r="D908" s="124" t="str">
        <f>IFERROR(VLOOKUP(C908,SKUs!$A$6:$F$1971,6,FALSE()),"")</f>
        <v>POLO PIMA FEM.</v>
      </c>
      <c r="E908" s="121">
        <v>10</v>
      </c>
      <c r="F908" s="125">
        <f>IFERROR(IF(OR(B908="",E908=""),"",E908*VLOOKUP(B908,Configurações!$I$5:$J$15,2,FALSE())),"")</f>
        <v>-10</v>
      </c>
      <c r="G908" s="119" t="s">
        <v>1424</v>
      </c>
      <c r="H908" s="121" t="s">
        <v>2059</v>
      </c>
      <c r="I908" s="122" t="s">
        <v>2057</v>
      </c>
      <c r="J908" s="121"/>
      <c r="K908" s="123" t="s">
        <v>2051</v>
      </c>
      <c r="M908" s="109" t="s">
        <v>889</v>
      </c>
    </row>
    <row r="909" spans="1:13" ht="14.25" hidden="1" customHeight="1" x14ac:dyDescent="0.3">
      <c r="A909" s="116">
        <v>46183</v>
      </c>
      <c r="B909" s="117" t="s">
        <v>2052</v>
      </c>
      <c r="C909" s="121" t="s">
        <v>891</v>
      </c>
      <c r="D909" s="124" t="str">
        <f>IFERROR(VLOOKUP(C909,SKUs!$A$6:$F$1971,6,FALSE()),"")</f>
        <v>POLO PIMA FEM.</v>
      </c>
      <c r="E909" s="121">
        <v>10</v>
      </c>
      <c r="F909" s="125">
        <f>IFERROR(IF(OR(B909="",E909=""),"",E909*VLOOKUP(B909,Configurações!$I$5:$J$15,2,FALSE())),"")</f>
        <v>-10</v>
      </c>
      <c r="G909" s="119" t="s">
        <v>1424</v>
      </c>
      <c r="H909" s="121" t="s">
        <v>2059</v>
      </c>
      <c r="I909" s="122" t="s">
        <v>2057</v>
      </c>
      <c r="J909" s="121"/>
      <c r="K909" s="123" t="s">
        <v>2051</v>
      </c>
      <c r="M909" s="109" t="s">
        <v>889</v>
      </c>
    </row>
    <row r="910" spans="1:13" ht="14.25" hidden="1" customHeight="1" x14ac:dyDescent="0.3">
      <c r="A910" s="116">
        <v>46183</v>
      </c>
      <c r="B910" s="117" t="s">
        <v>2052</v>
      </c>
      <c r="C910" s="121" t="s">
        <v>892</v>
      </c>
      <c r="D910" s="124" t="str">
        <f>IFERROR(VLOOKUP(C910,SKUs!$A$6:$F$1971,6,FALSE()),"")</f>
        <v>POLO PIMA FEM.</v>
      </c>
      <c r="E910" s="121">
        <v>5</v>
      </c>
      <c r="F910" s="125">
        <f>IFERROR(IF(OR(B910="",E910=""),"",E910*VLOOKUP(B910,Configurações!$I$5:$J$15,2,FALSE())),"")</f>
        <v>-5</v>
      </c>
      <c r="G910" s="119" t="s">
        <v>1424</v>
      </c>
      <c r="H910" s="121" t="s">
        <v>2059</v>
      </c>
      <c r="I910" s="122" t="s">
        <v>2057</v>
      </c>
      <c r="J910" s="121"/>
      <c r="K910" s="123" t="s">
        <v>2051</v>
      </c>
      <c r="M910" s="109" t="s">
        <v>889</v>
      </c>
    </row>
    <row r="911" spans="1:13" ht="14.25" hidden="1" customHeight="1" x14ac:dyDescent="0.3">
      <c r="A911" s="116">
        <v>46183</v>
      </c>
      <c r="B911" s="117" t="s">
        <v>2052</v>
      </c>
      <c r="C911" s="121" t="s">
        <v>893</v>
      </c>
      <c r="D911" s="124" t="str">
        <f>IFERROR(VLOOKUP(C911,SKUs!$A$6:$F$1971,6,FALSE()),"")</f>
        <v>POLO PIMA FEM.</v>
      </c>
      <c r="E911" s="121">
        <v>5</v>
      </c>
      <c r="F911" s="125">
        <f>IFERROR(IF(OR(B911="",E911=""),"",E911*VLOOKUP(B911,Configurações!$I$5:$J$15,2,FALSE())),"")</f>
        <v>-5</v>
      </c>
      <c r="G911" s="119" t="s">
        <v>1424</v>
      </c>
      <c r="H911" s="121" t="s">
        <v>2059</v>
      </c>
      <c r="I911" s="122" t="s">
        <v>2057</v>
      </c>
      <c r="J911" s="121"/>
      <c r="K911" s="123" t="s">
        <v>2051</v>
      </c>
      <c r="M911" s="109" t="s">
        <v>889</v>
      </c>
    </row>
    <row r="912" spans="1:13" ht="14.25" hidden="1" customHeight="1" x14ac:dyDescent="0.3">
      <c r="A912" s="116">
        <v>46183</v>
      </c>
      <c r="B912" s="117" t="s">
        <v>2052</v>
      </c>
      <c r="C912" s="121" t="s">
        <v>894</v>
      </c>
      <c r="D912" s="124" t="str">
        <f>IFERROR(VLOOKUP(C912,SKUs!$A$6:$F$1971,6,FALSE()),"")</f>
        <v>POLO PIMA FEM.</v>
      </c>
      <c r="E912" s="121">
        <v>5</v>
      </c>
      <c r="F912" s="125">
        <f>IFERROR(IF(OR(B912="",E912=""),"",E912*VLOOKUP(B912,Configurações!$I$5:$J$15,2,FALSE())),"")</f>
        <v>-5</v>
      </c>
      <c r="G912" s="119" t="s">
        <v>1424</v>
      </c>
      <c r="H912" s="121" t="s">
        <v>2059</v>
      </c>
      <c r="I912" s="122" t="s">
        <v>2057</v>
      </c>
      <c r="J912" s="121"/>
      <c r="K912" s="123" t="s">
        <v>2051</v>
      </c>
      <c r="M912" s="109" t="s">
        <v>889</v>
      </c>
    </row>
    <row r="913" spans="1:13" ht="14.25" hidden="1" customHeight="1" x14ac:dyDescent="0.3">
      <c r="A913" s="116">
        <v>46183</v>
      </c>
      <c r="B913" s="117" t="s">
        <v>2052</v>
      </c>
      <c r="C913" s="121" t="s">
        <v>895</v>
      </c>
      <c r="D913" s="124" t="str">
        <f>IFERROR(VLOOKUP(C913,SKUs!$A$6:$F$1971,6,FALSE()),"")</f>
        <v>CAMISETA COPA FEM.</v>
      </c>
      <c r="E913" s="121">
        <v>9</v>
      </c>
      <c r="F913" s="125">
        <f>IFERROR(IF(OR(B913="",E913=""),"",E913*VLOOKUP(B913,Configurações!$I$5:$J$15,2,FALSE())),"")</f>
        <v>-9</v>
      </c>
      <c r="G913" s="119" t="s">
        <v>1424</v>
      </c>
      <c r="H913" s="121" t="s">
        <v>2059</v>
      </c>
      <c r="I913" s="122" t="s">
        <v>2057</v>
      </c>
      <c r="J913" s="121"/>
      <c r="K913" s="123" t="s">
        <v>2051</v>
      </c>
      <c r="M913" s="109" t="s">
        <v>747</v>
      </c>
    </row>
    <row r="914" spans="1:13" ht="14.25" hidden="1" customHeight="1" x14ac:dyDescent="0.3">
      <c r="A914" s="116">
        <v>46183</v>
      </c>
      <c r="B914" s="117" t="s">
        <v>2052</v>
      </c>
      <c r="C914" s="121" t="s">
        <v>896</v>
      </c>
      <c r="D914" s="124" t="str">
        <f>IFERROR(VLOOKUP(C914,SKUs!$A$6:$F$1971,6,FALSE()),"")</f>
        <v>CAMISETA COPA FEM.</v>
      </c>
      <c r="E914" s="121">
        <v>10</v>
      </c>
      <c r="F914" s="125">
        <f>IFERROR(IF(OR(B914="",E914=""),"",E914*VLOOKUP(B914,Configurações!$I$5:$J$15,2,FALSE())),"")</f>
        <v>-10</v>
      </c>
      <c r="G914" s="119" t="s">
        <v>1424</v>
      </c>
      <c r="H914" s="121" t="s">
        <v>2059</v>
      </c>
      <c r="I914" s="122" t="s">
        <v>2057</v>
      </c>
      <c r="J914" s="121"/>
      <c r="K914" s="123" t="s">
        <v>2051</v>
      </c>
      <c r="M914" s="109" t="s">
        <v>747</v>
      </c>
    </row>
    <row r="915" spans="1:13" ht="14.25" hidden="1" customHeight="1" x14ac:dyDescent="0.3">
      <c r="A915" s="116">
        <v>46183</v>
      </c>
      <c r="B915" s="117" t="s">
        <v>2052</v>
      </c>
      <c r="C915" s="121" t="s">
        <v>897</v>
      </c>
      <c r="D915" s="124" t="str">
        <f>IFERROR(VLOOKUP(C915,SKUs!$A$6:$F$1971,6,FALSE()),"")</f>
        <v>CAMISETA COPA FEM.</v>
      </c>
      <c r="E915" s="121">
        <v>10</v>
      </c>
      <c r="F915" s="125">
        <f>IFERROR(IF(OR(B915="",E915=""),"",E915*VLOOKUP(B915,Configurações!$I$5:$J$15,2,FALSE())),"")</f>
        <v>-10</v>
      </c>
      <c r="G915" s="119" t="s">
        <v>1424</v>
      </c>
      <c r="H915" s="121" t="s">
        <v>2059</v>
      </c>
      <c r="I915" s="122" t="s">
        <v>2057</v>
      </c>
      <c r="J915" s="121"/>
      <c r="K915" s="123" t="s">
        <v>2051</v>
      </c>
      <c r="M915" s="109" t="s">
        <v>747</v>
      </c>
    </row>
    <row r="916" spans="1:13" ht="14.25" hidden="1" customHeight="1" x14ac:dyDescent="0.3">
      <c r="A916" s="116">
        <v>46183</v>
      </c>
      <c r="B916" s="117" t="s">
        <v>2052</v>
      </c>
      <c r="C916" s="121" t="s">
        <v>898</v>
      </c>
      <c r="D916" s="124" t="str">
        <f>IFERROR(VLOOKUP(C916,SKUs!$A$6:$F$1971,6,FALSE()),"")</f>
        <v>CAMISETA COPA FEM.</v>
      </c>
      <c r="E916" s="121">
        <v>10</v>
      </c>
      <c r="F916" s="125">
        <f>IFERROR(IF(OR(B916="",E916=""),"",E916*VLOOKUP(B916,Configurações!$I$5:$J$15,2,FALSE())),"")</f>
        <v>-10</v>
      </c>
      <c r="G916" s="119" t="s">
        <v>1424</v>
      </c>
      <c r="H916" s="121" t="s">
        <v>2059</v>
      </c>
      <c r="I916" s="122" t="s">
        <v>2057</v>
      </c>
      <c r="J916" s="121"/>
      <c r="K916" s="123" t="s">
        <v>2051</v>
      </c>
      <c r="M916" s="109" t="s">
        <v>747</v>
      </c>
    </row>
    <row r="917" spans="1:13" ht="14.25" hidden="1" customHeight="1" x14ac:dyDescent="0.3">
      <c r="A917" s="116">
        <v>46183</v>
      </c>
      <c r="B917" s="117" t="s">
        <v>2052</v>
      </c>
      <c r="C917" s="121" t="s">
        <v>899</v>
      </c>
      <c r="D917" s="124" t="str">
        <f>IFERROR(VLOOKUP(C917,SKUs!$A$6:$F$1971,6,FALSE()),"")</f>
        <v>CAMISETA COPA FEM.</v>
      </c>
      <c r="E917" s="121">
        <v>7</v>
      </c>
      <c r="F917" s="125">
        <f>IFERROR(IF(OR(B917="",E917=""),"",E917*VLOOKUP(B917,Configurações!$I$5:$J$15,2,FALSE())),"")</f>
        <v>-7</v>
      </c>
      <c r="G917" s="119" t="s">
        <v>1424</v>
      </c>
      <c r="H917" s="121" t="s">
        <v>2059</v>
      </c>
      <c r="I917" s="122" t="s">
        <v>2057</v>
      </c>
      <c r="J917" s="121"/>
      <c r="K917" s="123" t="s">
        <v>2051</v>
      </c>
      <c r="M917" s="109" t="s">
        <v>747</v>
      </c>
    </row>
    <row r="918" spans="1:13" ht="14.25" hidden="1" customHeight="1" x14ac:dyDescent="0.3">
      <c r="A918" s="116">
        <v>46183</v>
      </c>
      <c r="B918" s="117" t="s">
        <v>2052</v>
      </c>
      <c r="C918" s="121" t="s">
        <v>900</v>
      </c>
      <c r="D918" s="124" t="str">
        <f>IFERROR(VLOOKUP(C918,SKUs!$A$6:$F$1971,6,FALSE()),"")</f>
        <v>CAMISETA COPA FEM.</v>
      </c>
      <c r="E918" s="121">
        <v>9</v>
      </c>
      <c r="F918" s="125">
        <f>IFERROR(IF(OR(B918="",E918=""),"",E918*VLOOKUP(B918,Configurações!$I$5:$J$15,2,FALSE())),"")</f>
        <v>-9</v>
      </c>
      <c r="G918" s="119" t="s">
        <v>1424</v>
      </c>
      <c r="H918" s="121" t="s">
        <v>2059</v>
      </c>
      <c r="I918" s="122" t="s">
        <v>2057</v>
      </c>
      <c r="J918" s="121"/>
      <c r="K918" s="123" t="s">
        <v>2051</v>
      </c>
      <c r="M918" s="109" t="s">
        <v>747</v>
      </c>
    </row>
    <row r="919" spans="1:13" ht="14.25" hidden="1" customHeight="1" x14ac:dyDescent="0.3">
      <c r="A919" s="116">
        <v>46183</v>
      </c>
      <c r="B919" s="117" t="s">
        <v>2052</v>
      </c>
      <c r="C919" s="121" t="s">
        <v>901</v>
      </c>
      <c r="D919" s="124" t="str">
        <f>IFERROR(VLOOKUP(C919,SKUs!$A$6:$F$1971,6,FALSE()),"")</f>
        <v>CAMISETA COPA FEM.</v>
      </c>
      <c r="E919" s="121">
        <v>4</v>
      </c>
      <c r="F919" s="125">
        <f>IFERROR(IF(OR(B919="",E919=""),"",E919*VLOOKUP(B919,Configurações!$I$5:$J$15,2,FALSE())),"")</f>
        <v>-4</v>
      </c>
      <c r="G919" s="119" t="s">
        <v>1424</v>
      </c>
      <c r="H919" s="121" t="s">
        <v>2059</v>
      </c>
      <c r="I919" s="122" t="s">
        <v>2057</v>
      </c>
      <c r="J919" s="121"/>
      <c r="K919" s="123" t="s">
        <v>2051</v>
      </c>
      <c r="M919" s="109" t="s">
        <v>747</v>
      </c>
    </row>
    <row r="920" spans="1:13" ht="14.25" hidden="1" customHeight="1" x14ac:dyDescent="0.3">
      <c r="A920" s="116">
        <v>46183</v>
      </c>
      <c r="B920" s="117" t="s">
        <v>2052</v>
      </c>
      <c r="C920" s="121" t="s">
        <v>902</v>
      </c>
      <c r="D920" s="124" t="str">
        <f>IFERROR(VLOOKUP(C920,SKUs!$A$6:$F$1971,6,FALSE()),"")</f>
        <v>CAMISETA COPA FEM.</v>
      </c>
      <c r="E920" s="121">
        <v>5</v>
      </c>
      <c r="F920" s="125">
        <f>IFERROR(IF(OR(B920="",E920=""),"",E920*VLOOKUP(B920,Configurações!$I$5:$J$15,2,FALSE())),"")</f>
        <v>-5</v>
      </c>
      <c r="G920" s="119" t="s">
        <v>1424</v>
      </c>
      <c r="H920" s="121" t="s">
        <v>2059</v>
      </c>
      <c r="I920" s="122" t="s">
        <v>2057</v>
      </c>
      <c r="J920" s="121"/>
      <c r="K920" s="123" t="s">
        <v>2051</v>
      </c>
      <c r="M920" s="109" t="s">
        <v>747</v>
      </c>
    </row>
    <row r="921" spans="1:13" ht="14.25" hidden="1" customHeight="1" x14ac:dyDescent="0.3">
      <c r="A921" s="116">
        <v>46183</v>
      </c>
      <c r="B921" s="117" t="s">
        <v>2052</v>
      </c>
      <c r="C921" s="121" t="s">
        <v>903</v>
      </c>
      <c r="D921" s="124" t="str">
        <f>IFERROR(VLOOKUP(C921,SKUs!$A$6:$F$1971,6,FALSE()),"")</f>
        <v>CAMISETA COPA FEM.</v>
      </c>
      <c r="E921" s="121">
        <v>6</v>
      </c>
      <c r="F921" s="125">
        <f>IFERROR(IF(OR(B921="",E921=""),"",E921*VLOOKUP(B921,Configurações!$I$5:$J$15,2,FALSE())),"")</f>
        <v>-6</v>
      </c>
      <c r="G921" s="119" t="s">
        <v>1424</v>
      </c>
      <c r="H921" s="121" t="s">
        <v>2059</v>
      </c>
      <c r="I921" s="122" t="s">
        <v>2057</v>
      </c>
      <c r="J921" s="121"/>
      <c r="K921" s="123" t="s">
        <v>2051</v>
      </c>
      <c r="M921" s="109" t="s">
        <v>747</v>
      </c>
    </row>
    <row r="922" spans="1:13" ht="14.25" hidden="1" customHeight="1" x14ac:dyDescent="0.3">
      <c r="A922" s="116">
        <v>46183</v>
      </c>
      <c r="B922" s="117" t="s">
        <v>2052</v>
      </c>
      <c r="C922" s="121" t="s">
        <v>904</v>
      </c>
      <c r="D922" s="124" t="str">
        <f>IFERROR(VLOOKUP(C922,SKUs!$A$6:$F$1971,6,FALSE()),"")</f>
        <v>POLO BTG EM COTTON</v>
      </c>
      <c r="E922" s="121">
        <v>7</v>
      </c>
      <c r="F922" s="125">
        <f>IFERROR(IF(OR(B922="",E922=""),"",E922*VLOOKUP(B922,Configurações!$I$5:$J$15,2,FALSE())),"")</f>
        <v>-7</v>
      </c>
      <c r="G922" s="119" t="s">
        <v>1424</v>
      </c>
      <c r="H922" s="121" t="s">
        <v>2059</v>
      </c>
      <c r="I922" s="122" t="s">
        <v>2057</v>
      </c>
      <c r="J922" s="121"/>
      <c r="K922" s="123" t="s">
        <v>2051</v>
      </c>
      <c r="M922" s="109" t="s">
        <v>906</v>
      </c>
    </row>
    <row r="923" spans="1:13" ht="14.25" hidden="1" customHeight="1" x14ac:dyDescent="0.3">
      <c r="A923" s="116">
        <v>46183</v>
      </c>
      <c r="B923" s="117" t="s">
        <v>2052</v>
      </c>
      <c r="C923" s="121" t="s">
        <v>907</v>
      </c>
      <c r="D923" s="124" t="str">
        <f>IFERROR(VLOOKUP(C923,SKUs!$A$6:$F$1971,6,FALSE()),"")</f>
        <v>POLO BTG EM COTTON</v>
      </c>
      <c r="E923" s="121">
        <v>13</v>
      </c>
      <c r="F923" s="125">
        <f>IFERROR(IF(OR(B923="",E923=""),"",E923*VLOOKUP(B923,Configurações!$I$5:$J$15,2,FALSE())),"")</f>
        <v>-13</v>
      </c>
      <c r="G923" s="119" t="s">
        <v>1424</v>
      </c>
      <c r="H923" s="121" t="s">
        <v>2059</v>
      </c>
      <c r="I923" s="122" t="s">
        <v>2057</v>
      </c>
      <c r="J923" s="121"/>
      <c r="K923" s="123" t="s">
        <v>2051</v>
      </c>
      <c r="M923" s="109" t="s">
        <v>906</v>
      </c>
    </row>
    <row r="924" spans="1:13" ht="14.25" hidden="1" customHeight="1" x14ac:dyDescent="0.3">
      <c r="A924" s="116">
        <v>46183</v>
      </c>
      <c r="B924" s="117" t="s">
        <v>2052</v>
      </c>
      <c r="C924" s="121" t="s">
        <v>908</v>
      </c>
      <c r="D924" s="124" t="str">
        <f>IFERROR(VLOOKUP(C924,SKUs!$A$6:$F$1971,6,FALSE()),"")</f>
        <v>POLO BTG EM COTTON</v>
      </c>
      <c r="E924" s="121">
        <v>14</v>
      </c>
      <c r="F924" s="125">
        <f>IFERROR(IF(OR(B924="",E924=""),"",E924*VLOOKUP(B924,Configurações!$I$5:$J$15,2,FALSE())),"")</f>
        <v>-14</v>
      </c>
      <c r="G924" s="119" t="s">
        <v>1424</v>
      </c>
      <c r="H924" s="121" t="s">
        <v>2059</v>
      </c>
      <c r="I924" s="122" t="s">
        <v>2057</v>
      </c>
      <c r="J924" s="121"/>
      <c r="K924" s="123" t="s">
        <v>2051</v>
      </c>
      <c r="M924" s="109" t="s">
        <v>906</v>
      </c>
    </row>
    <row r="925" spans="1:13" ht="14.25" hidden="1" customHeight="1" x14ac:dyDescent="0.3">
      <c r="A925" s="116">
        <v>46183</v>
      </c>
      <c r="B925" s="117" t="s">
        <v>2052</v>
      </c>
      <c r="C925" s="121" t="s">
        <v>909</v>
      </c>
      <c r="D925" s="124" t="str">
        <f>IFERROR(VLOOKUP(C925,SKUs!$A$6:$F$1971,6,FALSE()),"")</f>
        <v>POLO BTG EM COTTON</v>
      </c>
      <c r="E925" s="121">
        <v>9</v>
      </c>
      <c r="F925" s="125">
        <f>IFERROR(IF(OR(B925="",E925=""),"",E925*VLOOKUP(B925,Configurações!$I$5:$J$15,2,FALSE())),"")</f>
        <v>-9</v>
      </c>
      <c r="G925" s="119" t="s">
        <v>1424</v>
      </c>
      <c r="H925" s="121" t="s">
        <v>2059</v>
      </c>
      <c r="I925" s="122" t="s">
        <v>2057</v>
      </c>
      <c r="J925" s="121"/>
      <c r="K925" s="123" t="s">
        <v>2051</v>
      </c>
      <c r="M925" s="109" t="s">
        <v>906</v>
      </c>
    </row>
    <row r="926" spans="1:13" ht="14.25" hidden="1" customHeight="1" x14ac:dyDescent="0.3">
      <c r="A926" s="116">
        <v>46183</v>
      </c>
      <c r="B926" s="117" t="s">
        <v>2052</v>
      </c>
      <c r="C926" s="121" t="s">
        <v>910</v>
      </c>
      <c r="D926" s="124" t="str">
        <f>IFERROR(VLOOKUP(C926,SKUs!$A$6:$F$1971,6,FALSE()),"")</f>
        <v>POLO BTG EM COTTON</v>
      </c>
      <c r="E926" s="121">
        <v>5</v>
      </c>
      <c r="F926" s="125">
        <f>IFERROR(IF(OR(B926="",E926=""),"",E926*VLOOKUP(B926,Configurações!$I$5:$J$15,2,FALSE())),"")</f>
        <v>-5</v>
      </c>
      <c r="G926" s="119" t="s">
        <v>1424</v>
      </c>
      <c r="H926" s="121" t="s">
        <v>2059</v>
      </c>
      <c r="I926" s="122" t="s">
        <v>2057</v>
      </c>
      <c r="J926" s="121"/>
      <c r="K926" s="123" t="s">
        <v>2051</v>
      </c>
      <c r="M926" s="109" t="s">
        <v>906</v>
      </c>
    </row>
    <row r="927" spans="1:13" ht="14.25" hidden="1" customHeight="1" x14ac:dyDescent="0.3">
      <c r="A927" s="116">
        <v>46183</v>
      </c>
      <c r="B927" s="117" t="s">
        <v>2052</v>
      </c>
      <c r="C927" s="121" t="s">
        <v>911</v>
      </c>
      <c r="D927" s="124" t="str">
        <f>IFERROR(VLOOKUP(C927,SKUs!$A$6:$F$1971,6,FALSE()),"")</f>
        <v>POLO BTG EM COTTON</v>
      </c>
      <c r="E927" s="121">
        <v>5</v>
      </c>
      <c r="F927" s="125">
        <f>IFERROR(IF(OR(B927="",E927=""),"",E927*VLOOKUP(B927,Configurações!$I$5:$J$15,2,FALSE())),"")</f>
        <v>-5</v>
      </c>
      <c r="G927" s="119" t="s">
        <v>1424</v>
      </c>
      <c r="H927" s="121" t="s">
        <v>2059</v>
      </c>
      <c r="I927" s="122" t="s">
        <v>2057</v>
      </c>
      <c r="J927" s="121"/>
      <c r="K927" s="123" t="s">
        <v>2051</v>
      </c>
      <c r="M927" s="109" t="s">
        <v>906</v>
      </c>
    </row>
    <row r="928" spans="1:13" ht="14.25" hidden="1" customHeight="1" x14ac:dyDescent="0.3">
      <c r="A928" s="116">
        <v>46183</v>
      </c>
      <c r="B928" s="117" t="s">
        <v>2052</v>
      </c>
      <c r="C928" s="121" t="s">
        <v>912</v>
      </c>
      <c r="D928" s="124" t="str">
        <f>IFERROR(VLOOKUP(C928,SKUs!$A$6:$F$1971,6,FALSE()),"")</f>
        <v>POLO PIQUET FEM.</v>
      </c>
      <c r="E928" s="121">
        <v>13</v>
      </c>
      <c r="F928" s="125">
        <f>IFERROR(IF(OR(B928="",E928=""),"",E928*VLOOKUP(B928,Configurações!$I$5:$J$15,2,FALSE())),"")</f>
        <v>-13</v>
      </c>
      <c r="G928" s="119" t="s">
        <v>1424</v>
      </c>
      <c r="H928" s="121" t="s">
        <v>2059</v>
      </c>
      <c r="I928" s="122" t="s">
        <v>2057</v>
      </c>
      <c r="J928" s="121"/>
      <c r="K928" s="123" t="s">
        <v>2051</v>
      </c>
      <c r="M928" s="109" t="s">
        <v>913</v>
      </c>
    </row>
    <row r="929" spans="1:13" ht="14.25" hidden="1" customHeight="1" x14ac:dyDescent="0.3">
      <c r="A929" s="116">
        <v>46183</v>
      </c>
      <c r="B929" s="117" t="s">
        <v>2052</v>
      </c>
      <c r="C929" s="121" t="s">
        <v>914</v>
      </c>
      <c r="D929" s="124" t="str">
        <f>IFERROR(VLOOKUP(C929,SKUs!$A$6:$F$1971,6,FALSE()),"")</f>
        <v>POLO PIQUET FEM.</v>
      </c>
      <c r="E929" s="121">
        <v>11</v>
      </c>
      <c r="F929" s="125">
        <f>IFERROR(IF(OR(B929="",E929=""),"",E929*VLOOKUP(B929,Configurações!$I$5:$J$15,2,FALSE())),"")</f>
        <v>-11</v>
      </c>
      <c r="G929" s="119" t="s">
        <v>1424</v>
      </c>
      <c r="H929" s="121" t="s">
        <v>2059</v>
      </c>
      <c r="I929" s="122" t="s">
        <v>2057</v>
      </c>
      <c r="J929" s="121"/>
      <c r="K929" s="123" t="s">
        <v>2051</v>
      </c>
      <c r="M929" s="109" t="s">
        <v>913</v>
      </c>
    </row>
    <row r="930" spans="1:13" ht="14.25" hidden="1" customHeight="1" x14ac:dyDescent="0.3">
      <c r="A930" s="116">
        <v>46183</v>
      </c>
      <c r="B930" s="117" t="s">
        <v>2052</v>
      </c>
      <c r="C930" s="121" t="s">
        <v>915</v>
      </c>
      <c r="D930" s="124" t="str">
        <f>IFERROR(VLOOKUP(C930,SKUs!$A$6:$F$1971,6,FALSE()),"")</f>
        <v>POLO PIQUET FEM.</v>
      </c>
      <c r="E930" s="121">
        <v>10</v>
      </c>
      <c r="F930" s="125">
        <f>IFERROR(IF(OR(B930="",E930=""),"",E930*VLOOKUP(B930,Configurações!$I$5:$J$15,2,FALSE())),"")</f>
        <v>-10</v>
      </c>
      <c r="G930" s="119" t="s">
        <v>1424</v>
      </c>
      <c r="H930" s="121" t="s">
        <v>2059</v>
      </c>
      <c r="I930" s="122" t="s">
        <v>2057</v>
      </c>
      <c r="J930" s="121"/>
      <c r="K930" s="123" t="s">
        <v>2051</v>
      </c>
      <c r="M930" s="109" t="s">
        <v>913</v>
      </c>
    </row>
    <row r="931" spans="1:13" ht="14.25" hidden="1" customHeight="1" x14ac:dyDescent="0.3">
      <c r="A931" s="116">
        <v>46183</v>
      </c>
      <c r="B931" s="117" t="s">
        <v>2052</v>
      </c>
      <c r="C931" s="121" t="s">
        <v>916</v>
      </c>
      <c r="D931" s="124" t="str">
        <f>IFERROR(VLOOKUP(C931,SKUs!$A$6:$F$1971,6,FALSE()),"")</f>
        <v>POLO PIQUET FEM.</v>
      </c>
      <c r="E931" s="121">
        <v>12</v>
      </c>
      <c r="F931" s="125">
        <f>IFERROR(IF(OR(B931="",E931=""),"",E931*VLOOKUP(B931,Configurações!$I$5:$J$15,2,FALSE())),"")</f>
        <v>-12</v>
      </c>
      <c r="G931" s="119" t="s">
        <v>1424</v>
      </c>
      <c r="H931" s="121" t="s">
        <v>2059</v>
      </c>
      <c r="I931" s="122" t="s">
        <v>2057</v>
      </c>
      <c r="J931" s="121"/>
      <c r="K931" s="123" t="s">
        <v>2051</v>
      </c>
      <c r="M931" s="109" t="s">
        <v>913</v>
      </c>
    </row>
    <row r="932" spans="1:13" ht="14.25" hidden="1" customHeight="1" x14ac:dyDescent="0.3">
      <c r="A932" s="116">
        <v>46183</v>
      </c>
      <c r="B932" s="117" t="s">
        <v>2052</v>
      </c>
      <c r="C932" s="121" t="s">
        <v>917</v>
      </c>
      <c r="D932" s="124" t="str">
        <f>IFERROR(VLOOKUP(C932,SKUs!$A$6:$F$1971,6,FALSE()),"")</f>
        <v>POLO PIQUET FEM.</v>
      </c>
      <c r="E932" s="121">
        <v>8</v>
      </c>
      <c r="F932" s="125">
        <f>IFERROR(IF(OR(B932="",E932=""),"",E932*VLOOKUP(B932,Configurações!$I$5:$J$15,2,FALSE())),"")</f>
        <v>-8</v>
      </c>
      <c r="G932" s="119" t="s">
        <v>1424</v>
      </c>
      <c r="H932" s="121" t="s">
        <v>2059</v>
      </c>
      <c r="I932" s="122" t="s">
        <v>2057</v>
      </c>
      <c r="J932" s="121"/>
      <c r="K932" s="123" t="s">
        <v>2051</v>
      </c>
      <c r="M932" s="109" t="s">
        <v>913</v>
      </c>
    </row>
    <row r="933" spans="1:13" ht="14.25" hidden="1" customHeight="1" x14ac:dyDescent="0.3">
      <c r="A933" s="116">
        <v>46183</v>
      </c>
      <c r="B933" s="117" t="s">
        <v>2052</v>
      </c>
      <c r="C933" s="121" t="s">
        <v>918</v>
      </c>
      <c r="D933" s="124" t="str">
        <f>IFERROR(VLOOKUP(C933,SKUs!$A$6:$F$1971,6,FALSE()),"")</f>
        <v>POLO PIQUET FEM.</v>
      </c>
      <c r="E933" s="121">
        <v>10</v>
      </c>
      <c r="F933" s="125">
        <f>IFERROR(IF(OR(B933="",E933=""),"",E933*VLOOKUP(B933,Configurações!$I$5:$J$15,2,FALSE())),"")</f>
        <v>-10</v>
      </c>
      <c r="G933" s="119" t="s">
        <v>1424</v>
      </c>
      <c r="H933" s="121" t="s">
        <v>2059</v>
      </c>
      <c r="I933" s="122" t="s">
        <v>2057</v>
      </c>
      <c r="J933" s="121"/>
      <c r="K933" s="123" t="s">
        <v>2051</v>
      </c>
      <c r="M933" s="109" t="s">
        <v>913</v>
      </c>
    </row>
    <row r="934" spans="1:13" ht="14.25" hidden="1" customHeight="1" x14ac:dyDescent="0.3">
      <c r="A934" s="116">
        <v>46183</v>
      </c>
      <c r="B934" s="117" t="s">
        <v>2052</v>
      </c>
      <c r="C934" s="121" t="s">
        <v>931</v>
      </c>
      <c r="D934" s="124" t="str">
        <f>IFERROR(VLOOKUP(C934,SKUs!$A$6:$F$1971,6,FALSE()),"")</f>
        <v>JAQUETA COPA FEM.</v>
      </c>
      <c r="E934" s="121">
        <v>1</v>
      </c>
      <c r="F934" s="125">
        <f>IFERROR(IF(OR(B934="",E934=""),"",E934*VLOOKUP(B934,Configurações!$I$5:$J$15,2,FALSE())),"")</f>
        <v>-1</v>
      </c>
      <c r="G934" s="119" t="s">
        <v>1424</v>
      </c>
      <c r="H934" s="121" t="s">
        <v>2059</v>
      </c>
      <c r="I934" s="122" t="s">
        <v>2057</v>
      </c>
      <c r="J934" s="121"/>
      <c r="K934" s="123" t="s">
        <v>2051</v>
      </c>
      <c r="M934" s="109" t="s">
        <v>928</v>
      </c>
    </row>
    <row r="935" spans="1:13" ht="14.25" hidden="1" customHeight="1" x14ac:dyDescent="0.3">
      <c r="A935" s="116">
        <v>46183</v>
      </c>
      <c r="B935" s="117" t="s">
        <v>2052</v>
      </c>
      <c r="C935" s="121" t="s">
        <v>937</v>
      </c>
      <c r="D935" s="124" t="str">
        <f>IFERROR(VLOOKUP(C935,SKUs!$A$6:$F$1971,6,FALSE()),"")</f>
        <v>JAQUETA COPA FEM.</v>
      </c>
      <c r="E935" s="121">
        <v>8</v>
      </c>
      <c r="F935" s="125">
        <f>IFERROR(IF(OR(B935="",E935=""),"",E935*VLOOKUP(B935,Configurações!$I$5:$J$15,2,FALSE())),"")</f>
        <v>-8</v>
      </c>
      <c r="G935" s="119" t="s">
        <v>1424</v>
      </c>
      <c r="H935" s="121" t="s">
        <v>2059</v>
      </c>
      <c r="I935" s="122" t="s">
        <v>2057</v>
      </c>
      <c r="J935" s="121"/>
      <c r="K935" s="123" t="s">
        <v>2051</v>
      </c>
      <c r="M935" s="109" t="s">
        <v>938</v>
      </c>
    </row>
    <row r="936" spans="1:13" ht="14.25" hidden="1" customHeight="1" x14ac:dyDescent="0.3">
      <c r="A936" s="116">
        <v>46183</v>
      </c>
      <c r="B936" s="117" t="s">
        <v>2052</v>
      </c>
      <c r="C936" s="121" t="s">
        <v>940</v>
      </c>
      <c r="D936" s="124" t="str">
        <f>IFERROR(VLOOKUP(C936,SKUs!$A$6:$F$1971,6,FALSE()),"")</f>
        <v>JAQUETA COPA FEM.</v>
      </c>
      <c r="E936" s="121">
        <v>7</v>
      </c>
      <c r="F936" s="125">
        <f>IFERROR(IF(OR(B936="",E936=""),"",E936*VLOOKUP(B936,Configurações!$I$5:$J$15,2,FALSE())),"")</f>
        <v>-7</v>
      </c>
      <c r="G936" s="119" t="s">
        <v>1424</v>
      </c>
      <c r="H936" s="121" t="s">
        <v>2059</v>
      </c>
      <c r="I936" s="122" t="s">
        <v>2057</v>
      </c>
      <c r="J936" s="121"/>
      <c r="K936" s="123" t="s">
        <v>2051</v>
      </c>
      <c r="M936" s="109" t="s">
        <v>879</v>
      </c>
    </row>
    <row r="937" spans="1:13" ht="14.25" hidden="1" customHeight="1" x14ac:dyDescent="0.3">
      <c r="A937" s="116">
        <v>46183</v>
      </c>
      <c r="B937" s="117" t="s">
        <v>2052</v>
      </c>
      <c r="C937" s="121" t="s">
        <v>1741</v>
      </c>
      <c r="D937" s="124" t="str">
        <f>IFERROR(VLOOKUP(C937,SKUs!$A$6:$F$1971,6,FALSE()),"")</f>
        <v>JAQUETA COPA FEM.</v>
      </c>
      <c r="E937" s="121">
        <v>1</v>
      </c>
      <c r="F937" s="125">
        <f>IFERROR(IF(OR(B937="",E937=""),"",E937*VLOOKUP(B937,Configurações!$I$5:$J$15,2,FALSE())),"")</f>
        <v>-1</v>
      </c>
      <c r="G937" s="119" t="s">
        <v>1424</v>
      </c>
      <c r="H937" s="121" t="s">
        <v>2059</v>
      </c>
      <c r="I937" s="122" t="s">
        <v>2057</v>
      </c>
      <c r="J937" s="121"/>
      <c r="K937" s="123" t="s">
        <v>2051</v>
      </c>
      <c r="M937" s="109" t="s">
        <v>1737</v>
      </c>
    </row>
    <row r="938" spans="1:13" ht="14.25" hidden="1" customHeight="1" x14ac:dyDescent="0.3">
      <c r="A938" s="116">
        <v>46183</v>
      </c>
      <c r="B938" s="117" t="s">
        <v>2052</v>
      </c>
      <c r="C938" s="121" t="s">
        <v>942</v>
      </c>
      <c r="D938" s="124" t="str">
        <f>IFERROR(VLOOKUP(C938,SKUs!$A$6:$F$1971,6,FALSE()),"")</f>
        <v>CAMISETA COPA FEM.</v>
      </c>
      <c r="E938" s="121">
        <v>9</v>
      </c>
      <c r="F938" s="125">
        <f>IFERROR(IF(OR(B938="",E938=""),"",E938*VLOOKUP(B938,Configurações!$I$5:$J$15,2,FALSE())),"")</f>
        <v>-9</v>
      </c>
      <c r="G938" s="119" t="s">
        <v>1424</v>
      </c>
      <c r="H938" s="121" t="s">
        <v>2059</v>
      </c>
      <c r="I938" s="122" t="s">
        <v>2057</v>
      </c>
      <c r="J938" s="121"/>
      <c r="K938" s="123" t="s">
        <v>2051</v>
      </c>
      <c r="M938" s="109" t="s">
        <v>943</v>
      </c>
    </row>
    <row r="939" spans="1:13" ht="14.25" hidden="1" customHeight="1" x14ac:dyDescent="0.3">
      <c r="A939" s="116">
        <v>46183</v>
      </c>
      <c r="B939" s="117" t="s">
        <v>2052</v>
      </c>
      <c r="C939" s="121" t="s">
        <v>944</v>
      </c>
      <c r="D939" s="124" t="str">
        <f>IFERROR(VLOOKUP(C939,SKUs!$A$6:$F$1971,6,FALSE()),"")</f>
        <v>CAMISETA COPA FEM.</v>
      </c>
      <c r="E939" s="121">
        <v>10</v>
      </c>
      <c r="F939" s="125">
        <f>IFERROR(IF(OR(B939="",E939=""),"",E939*VLOOKUP(B939,Configurações!$I$5:$J$15,2,FALSE())),"")</f>
        <v>-10</v>
      </c>
      <c r="G939" s="119" t="s">
        <v>1424</v>
      </c>
      <c r="H939" s="121" t="s">
        <v>2059</v>
      </c>
      <c r="I939" s="122" t="s">
        <v>2057</v>
      </c>
      <c r="J939" s="121"/>
      <c r="K939" s="123" t="s">
        <v>2051</v>
      </c>
      <c r="M939" s="109" t="s">
        <v>943</v>
      </c>
    </row>
    <row r="940" spans="1:13" ht="14.25" hidden="1" customHeight="1" x14ac:dyDescent="0.3">
      <c r="A940" s="116">
        <v>46183</v>
      </c>
      <c r="B940" s="117" t="s">
        <v>2052</v>
      </c>
      <c r="C940" s="121" t="s">
        <v>945</v>
      </c>
      <c r="D940" s="124" t="str">
        <f>IFERROR(VLOOKUP(C940,SKUs!$A$6:$F$1971,6,FALSE()),"")</f>
        <v>CAMISETA COPA FEM.</v>
      </c>
      <c r="E940" s="121">
        <v>10</v>
      </c>
      <c r="F940" s="125">
        <f>IFERROR(IF(OR(B940="",E940=""),"",E940*VLOOKUP(B940,Configurações!$I$5:$J$15,2,FALSE())),"")</f>
        <v>-10</v>
      </c>
      <c r="G940" s="119" t="s">
        <v>1424</v>
      </c>
      <c r="H940" s="121" t="s">
        <v>2059</v>
      </c>
      <c r="I940" s="122" t="s">
        <v>2057</v>
      </c>
      <c r="J940" s="121"/>
      <c r="K940" s="123" t="s">
        <v>2051</v>
      </c>
      <c r="M940" s="109" t="s">
        <v>943</v>
      </c>
    </row>
    <row r="941" spans="1:13" ht="14.25" hidden="1" customHeight="1" x14ac:dyDescent="0.3">
      <c r="A941" s="116">
        <v>46183</v>
      </c>
      <c r="B941" s="117" t="s">
        <v>2052</v>
      </c>
      <c r="C941" s="121" t="s">
        <v>946</v>
      </c>
      <c r="D941" s="124" t="str">
        <f>IFERROR(VLOOKUP(C941,SKUs!$A$6:$F$1971,6,FALSE()),"")</f>
        <v>CAMISETA COPA FEM.</v>
      </c>
      <c r="E941" s="121">
        <v>9</v>
      </c>
      <c r="F941" s="125">
        <f>IFERROR(IF(OR(B941="",E941=""),"",E941*VLOOKUP(B941,Configurações!$I$5:$J$15,2,FALSE())),"")</f>
        <v>-9</v>
      </c>
      <c r="G941" s="119" t="s">
        <v>1424</v>
      </c>
      <c r="H941" s="121" t="s">
        <v>2059</v>
      </c>
      <c r="I941" s="122" t="s">
        <v>2057</v>
      </c>
      <c r="J941" s="121"/>
      <c r="K941" s="123" t="s">
        <v>2051</v>
      </c>
      <c r="M941" s="109" t="s">
        <v>943</v>
      </c>
    </row>
    <row r="942" spans="1:13" ht="14.25" hidden="1" customHeight="1" x14ac:dyDescent="0.3">
      <c r="A942" s="116">
        <v>46183</v>
      </c>
      <c r="B942" s="117" t="s">
        <v>2052</v>
      </c>
      <c r="C942" s="121" t="s">
        <v>947</v>
      </c>
      <c r="D942" s="124" t="str">
        <f>IFERROR(VLOOKUP(C942,SKUs!$A$6:$F$1971,6,FALSE()),"")</f>
        <v>CAMISETA COPA FEM.</v>
      </c>
      <c r="E942" s="121">
        <v>10</v>
      </c>
      <c r="F942" s="125">
        <f>IFERROR(IF(OR(B942="",E942=""),"",E942*VLOOKUP(B942,Configurações!$I$5:$J$15,2,FALSE())),"")</f>
        <v>-10</v>
      </c>
      <c r="G942" s="119" t="s">
        <v>1424</v>
      </c>
      <c r="H942" s="121" t="s">
        <v>2059</v>
      </c>
      <c r="I942" s="122" t="s">
        <v>2057</v>
      </c>
      <c r="J942" s="121"/>
      <c r="K942" s="123" t="s">
        <v>2051</v>
      </c>
      <c r="M942" s="109" t="s">
        <v>943</v>
      </c>
    </row>
    <row r="943" spans="1:13" ht="14.25" hidden="1" customHeight="1" x14ac:dyDescent="0.3">
      <c r="A943" s="116">
        <v>46183</v>
      </c>
      <c r="B943" s="117" t="s">
        <v>2052</v>
      </c>
      <c r="C943" s="121" t="s">
        <v>948</v>
      </c>
      <c r="D943" s="124" t="str">
        <f>IFERROR(VLOOKUP(C943,SKUs!$A$6:$F$1971,6,FALSE()),"")</f>
        <v>CAMISETA ESPORTE FEM.</v>
      </c>
      <c r="E943" s="121">
        <v>6</v>
      </c>
      <c r="F943" s="125">
        <f>IFERROR(IF(OR(B943="",E943=""),"",E943*VLOOKUP(B943,Configurações!$I$5:$J$15,2,FALSE())),"")</f>
        <v>-6</v>
      </c>
      <c r="G943" s="119" t="s">
        <v>1424</v>
      </c>
      <c r="H943" s="121" t="s">
        <v>2059</v>
      </c>
      <c r="I943" s="122" t="s">
        <v>2057</v>
      </c>
      <c r="J943" s="121"/>
      <c r="K943" s="123" t="s">
        <v>2051</v>
      </c>
      <c r="M943" s="109" t="s">
        <v>943</v>
      </c>
    </row>
    <row r="944" spans="1:13" ht="14.25" hidden="1" customHeight="1" x14ac:dyDescent="0.3">
      <c r="A944" s="116">
        <v>46183</v>
      </c>
      <c r="B944" s="117" t="s">
        <v>2052</v>
      </c>
      <c r="C944" s="121" t="s">
        <v>951</v>
      </c>
      <c r="D944" s="124" t="str">
        <f>IFERROR(VLOOKUP(C944,SKUs!$A$6:$F$1971,6,FALSE()),"")</f>
        <v>CAMISETA ESPORTE FEM.</v>
      </c>
      <c r="E944" s="121">
        <v>2</v>
      </c>
      <c r="F944" s="125">
        <f>IFERROR(IF(OR(B944="",E944=""),"",E944*VLOOKUP(B944,Configurações!$I$5:$J$15,2,FALSE())),"")</f>
        <v>-2</v>
      </c>
      <c r="G944" s="119" t="s">
        <v>1424</v>
      </c>
      <c r="H944" s="121" t="s">
        <v>2059</v>
      </c>
      <c r="I944" s="122" t="s">
        <v>2057</v>
      </c>
      <c r="J944" s="121"/>
      <c r="K944" s="123" t="s">
        <v>2051</v>
      </c>
      <c r="M944" s="109" t="s">
        <v>943</v>
      </c>
    </row>
    <row r="945" spans="1:13" ht="14.25" hidden="1" customHeight="1" x14ac:dyDescent="0.3">
      <c r="A945" s="116">
        <v>46183</v>
      </c>
      <c r="B945" s="117" t="s">
        <v>2052</v>
      </c>
      <c r="C945" s="121" t="s">
        <v>952</v>
      </c>
      <c r="D945" s="124" t="str">
        <f>IFERROR(VLOOKUP(C945,SKUs!$A$6:$F$1971,6,FALSE()),"")</f>
        <v>CAMISETA ESPORTE FEM.</v>
      </c>
      <c r="E945" s="121">
        <v>8</v>
      </c>
      <c r="F945" s="125">
        <f>IFERROR(IF(OR(B945="",E945=""),"",E945*VLOOKUP(B945,Configurações!$I$5:$J$15,2,FALSE())),"")</f>
        <v>-8</v>
      </c>
      <c r="G945" s="119" t="s">
        <v>1424</v>
      </c>
      <c r="H945" s="121" t="s">
        <v>2059</v>
      </c>
      <c r="I945" s="122" t="s">
        <v>2057</v>
      </c>
      <c r="J945" s="121"/>
      <c r="K945" s="123" t="s">
        <v>2051</v>
      </c>
      <c r="M945" s="109" t="s">
        <v>943</v>
      </c>
    </row>
    <row r="946" spans="1:13" ht="14.25" hidden="1" customHeight="1" x14ac:dyDescent="0.3">
      <c r="A946" s="116">
        <v>46183</v>
      </c>
      <c r="B946" s="117" t="s">
        <v>2052</v>
      </c>
      <c r="C946" s="121" t="s">
        <v>953</v>
      </c>
      <c r="D946" s="124" t="str">
        <f>IFERROR(VLOOKUP(C946,SKUs!$A$6:$F$1971,6,FALSE()),"")</f>
        <v>CAMISETA ESPORTE FEM.</v>
      </c>
      <c r="E946" s="121">
        <v>7</v>
      </c>
      <c r="F946" s="125">
        <f>IFERROR(IF(OR(B946="",E946=""),"",E946*VLOOKUP(B946,Configurações!$I$5:$J$15,2,FALSE())),"")</f>
        <v>-7</v>
      </c>
      <c r="G946" s="119" t="s">
        <v>1424</v>
      </c>
      <c r="H946" s="121" t="s">
        <v>2059</v>
      </c>
      <c r="I946" s="122" t="s">
        <v>2057</v>
      </c>
      <c r="J946" s="121"/>
      <c r="K946" s="123" t="s">
        <v>2051</v>
      </c>
      <c r="M946" s="109" t="s">
        <v>943</v>
      </c>
    </row>
    <row r="947" spans="1:13" ht="14.25" hidden="1" customHeight="1" x14ac:dyDescent="0.3">
      <c r="A947" s="116">
        <v>46183</v>
      </c>
      <c r="B947" s="117" t="s">
        <v>2052</v>
      </c>
      <c r="C947" s="121" t="s">
        <v>958</v>
      </c>
      <c r="D947" s="124" t="str">
        <f>IFERROR(VLOOKUP(C947,SKUs!$A$6:$F$1971,6,FALSE()),"")</f>
        <v>POLO PIQUET OUT. ROSA INFANTIL</v>
      </c>
      <c r="E947" s="121">
        <v>9</v>
      </c>
      <c r="F947" s="125">
        <f>IFERROR(IF(OR(B947="",E947=""),"",E947*VLOOKUP(B947,Configurações!$I$5:$J$15,2,FALSE())),"")</f>
        <v>-9</v>
      </c>
      <c r="G947" s="119" t="s">
        <v>1424</v>
      </c>
      <c r="H947" s="121" t="s">
        <v>2059</v>
      </c>
      <c r="I947" s="122" t="s">
        <v>2057</v>
      </c>
      <c r="J947" s="121"/>
      <c r="K947" s="123" t="s">
        <v>2051</v>
      </c>
      <c r="M947" s="109" t="s">
        <v>959</v>
      </c>
    </row>
    <row r="948" spans="1:13" ht="14.25" hidden="1" customHeight="1" x14ac:dyDescent="0.3">
      <c r="A948" s="116">
        <v>46183</v>
      </c>
      <c r="B948" s="117" t="s">
        <v>2052</v>
      </c>
      <c r="C948" s="121" t="s">
        <v>960</v>
      </c>
      <c r="D948" s="124" t="str">
        <f>IFERROR(VLOOKUP(C948,SKUs!$A$6:$F$1971,6,FALSE()),"")</f>
        <v>POLO PIQUET OUT. ROSA INFANTIL</v>
      </c>
      <c r="E948" s="121">
        <v>8</v>
      </c>
      <c r="F948" s="125">
        <f>IFERROR(IF(OR(B948="",E948=""),"",E948*VLOOKUP(B948,Configurações!$I$5:$J$15,2,FALSE())),"")</f>
        <v>-8</v>
      </c>
      <c r="G948" s="119" t="s">
        <v>1424</v>
      </c>
      <c r="H948" s="121" t="s">
        <v>2059</v>
      </c>
      <c r="I948" s="122" t="s">
        <v>2057</v>
      </c>
      <c r="J948" s="121"/>
      <c r="K948" s="123" t="s">
        <v>2051</v>
      </c>
      <c r="M948" s="109" t="s">
        <v>959</v>
      </c>
    </row>
    <row r="949" spans="1:13" ht="14.25" hidden="1" customHeight="1" x14ac:dyDescent="0.3">
      <c r="A949" s="116">
        <v>46183</v>
      </c>
      <c r="B949" s="117" t="s">
        <v>2052</v>
      </c>
      <c r="C949" s="121" t="s">
        <v>961</v>
      </c>
      <c r="D949" s="124" t="str">
        <f>IFERROR(VLOOKUP(C949,SKUs!$A$6:$F$1971,6,FALSE()),"")</f>
        <v>POLO PIQUET OUT. ROSA INFANTIL</v>
      </c>
      <c r="E949" s="121">
        <v>8</v>
      </c>
      <c r="F949" s="125">
        <f>IFERROR(IF(OR(B949="",E949=""),"",E949*VLOOKUP(B949,Configurações!$I$5:$J$15,2,FALSE())),"")</f>
        <v>-8</v>
      </c>
      <c r="G949" s="119" t="s">
        <v>1424</v>
      </c>
      <c r="H949" s="121" t="s">
        <v>2059</v>
      </c>
      <c r="I949" s="122" t="s">
        <v>2057</v>
      </c>
      <c r="J949" s="121"/>
      <c r="K949" s="123" t="s">
        <v>2051</v>
      </c>
      <c r="M949" s="109" t="s">
        <v>959</v>
      </c>
    </row>
    <row r="950" spans="1:13" ht="14.25" hidden="1" customHeight="1" x14ac:dyDescent="0.3">
      <c r="A950" s="116">
        <v>46183</v>
      </c>
      <c r="B950" s="117" t="s">
        <v>2052</v>
      </c>
      <c r="C950" s="121" t="s">
        <v>962</v>
      </c>
      <c r="D950" s="125" t="str">
        <f>IFERROR(VLOOKUP(C950,SKUs!$A$6:$F$1971,6,FALSE()),"")</f>
        <v>POLO PIQUET OUT. ROSA INFANTIL</v>
      </c>
      <c r="E950" s="120">
        <v>9</v>
      </c>
      <c r="F950" s="119">
        <f>IFERROR(IF(OR(B950="",E950=""),"",E950*VLOOKUP(B950,Configurações!$I$5:$J$15,2,FALSE())),"")</f>
        <v>-9</v>
      </c>
      <c r="G950" s="119" t="s">
        <v>1424</v>
      </c>
      <c r="H950" s="121" t="s">
        <v>2059</v>
      </c>
      <c r="I950" s="122" t="s">
        <v>2057</v>
      </c>
      <c r="J950" s="121"/>
      <c r="K950" s="123" t="s">
        <v>2051</v>
      </c>
      <c r="M950" s="109" t="s">
        <v>959</v>
      </c>
    </row>
    <row r="951" spans="1:13" ht="14.25" hidden="1" customHeight="1" x14ac:dyDescent="0.3">
      <c r="A951" s="116">
        <v>46183</v>
      </c>
      <c r="B951" s="117" t="s">
        <v>2052</v>
      </c>
      <c r="C951" s="121" t="s">
        <v>963</v>
      </c>
      <c r="D951" s="124" t="str">
        <f>IFERROR(VLOOKUP(C951,SKUs!$A$6:$F$1971,6,FALSE()),"")</f>
        <v>POLO PIQUET OUT. ROSA INFANTIL</v>
      </c>
      <c r="E951" s="121">
        <v>6</v>
      </c>
      <c r="F951" s="125">
        <f>IFERROR(IF(OR(B951="",E951=""),"",E951*VLOOKUP(B951,Configurações!$I$5:$J$15,2,FALSE())),"")</f>
        <v>-6</v>
      </c>
      <c r="G951" s="119" t="s">
        <v>1424</v>
      </c>
      <c r="H951" s="121" t="s">
        <v>2059</v>
      </c>
      <c r="I951" s="122" t="s">
        <v>2057</v>
      </c>
      <c r="J951" s="121"/>
      <c r="K951" s="123" t="s">
        <v>2051</v>
      </c>
      <c r="M951" s="109" t="s">
        <v>959</v>
      </c>
    </row>
    <row r="952" spans="1:13" ht="14.25" hidden="1" customHeight="1" x14ac:dyDescent="0.3">
      <c r="A952" s="116">
        <v>46183</v>
      </c>
      <c r="B952" s="117" t="s">
        <v>2052</v>
      </c>
      <c r="C952" s="121" t="s">
        <v>964</v>
      </c>
      <c r="D952" s="124" t="str">
        <f>IFERROR(VLOOKUP(C952,SKUs!$A$6:$F$1971,6,FALSE()),"")</f>
        <v>POLO PIQUET OUT. ROSA INFANTIL</v>
      </c>
      <c r="E952" s="121">
        <v>2</v>
      </c>
      <c r="F952" s="125">
        <f>IFERROR(IF(OR(B952="",E952=""),"",E952*VLOOKUP(B952,Configurações!$I$5:$J$15,2,FALSE())),"")</f>
        <v>-2</v>
      </c>
      <c r="G952" s="119" t="s">
        <v>1424</v>
      </c>
      <c r="H952" s="121" t="s">
        <v>2059</v>
      </c>
      <c r="I952" s="122" t="s">
        <v>2057</v>
      </c>
      <c r="J952" s="121"/>
      <c r="K952" s="123" t="s">
        <v>2051</v>
      </c>
      <c r="M952" s="109" t="s">
        <v>959</v>
      </c>
    </row>
    <row r="953" spans="1:13" ht="14.25" hidden="1" customHeight="1" x14ac:dyDescent="0.3">
      <c r="A953" s="116">
        <v>46183</v>
      </c>
      <c r="B953" s="117" t="s">
        <v>2052</v>
      </c>
      <c r="C953" s="121" t="s">
        <v>965</v>
      </c>
      <c r="D953" s="124" t="str">
        <f>IFERROR(VLOOKUP(C953,SKUs!$A$6:$F$1971,6,FALSE()),"")</f>
        <v>POLO PIQUET MESCLA INFANTIL</v>
      </c>
      <c r="E953" s="121">
        <v>10</v>
      </c>
      <c r="F953" s="125">
        <f>IFERROR(IF(OR(B953="",E953=""),"",E953*VLOOKUP(B953,Configurações!$I$5:$J$15,2,FALSE())),"")</f>
        <v>-10</v>
      </c>
      <c r="G953" s="119" t="s">
        <v>1424</v>
      </c>
      <c r="H953" s="121" t="s">
        <v>2059</v>
      </c>
      <c r="I953" s="122" t="s">
        <v>2057</v>
      </c>
      <c r="J953" s="121"/>
      <c r="K953" s="123" t="s">
        <v>2051</v>
      </c>
      <c r="M953" s="109" t="s">
        <v>967</v>
      </c>
    </row>
    <row r="954" spans="1:13" ht="14.25" hidden="1" customHeight="1" x14ac:dyDescent="0.3">
      <c r="A954" s="116">
        <v>46183</v>
      </c>
      <c r="B954" s="117" t="s">
        <v>2052</v>
      </c>
      <c r="C954" s="121" t="s">
        <v>968</v>
      </c>
      <c r="D954" s="124" t="str">
        <f>IFERROR(VLOOKUP(C954,SKUs!$A$6:$F$1971,6,FALSE()),"")</f>
        <v>POLO PIQUET MESCLA INFANTIL</v>
      </c>
      <c r="E954" s="121">
        <v>9</v>
      </c>
      <c r="F954" s="125">
        <f>IFERROR(IF(OR(B954="",E954=""),"",E954*VLOOKUP(B954,Configurações!$I$5:$J$15,2,FALSE())),"")</f>
        <v>-9</v>
      </c>
      <c r="G954" s="119" t="s">
        <v>1424</v>
      </c>
      <c r="H954" s="121" t="s">
        <v>2059</v>
      </c>
      <c r="I954" s="122" t="s">
        <v>2057</v>
      </c>
      <c r="J954" s="121"/>
      <c r="K954" s="123" t="s">
        <v>2051</v>
      </c>
      <c r="M954" s="109" t="s">
        <v>967</v>
      </c>
    </row>
    <row r="955" spans="1:13" ht="14.25" hidden="1" customHeight="1" x14ac:dyDescent="0.3">
      <c r="A955" s="116">
        <v>46183</v>
      </c>
      <c r="B955" s="117" t="s">
        <v>2052</v>
      </c>
      <c r="C955" s="121" t="s">
        <v>969</v>
      </c>
      <c r="D955" s="124" t="str">
        <f>IFERROR(VLOOKUP(C955,SKUs!$A$6:$F$1971,6,FALSE()),"")</f>
        <v>POLO PIQUET MESCLA INFANTIL</v>
      </c>
      <c r="E955" s="121">
        <v>10</v>
      </c>
      <c r="F955" s="125">
        <f>IFERROR(IF(OR(B955="",E955=""),"",E955*VLOOKUP(B955,Configurações!$I$5:$J$15,2,FALSE())),"")</f>
        <v>-10</v>
      </c>
      <c r="G955" s="119" t="s">
        <v>1424</v>
      </c>
      <c r="H955" s="121" t="s">
        <v>2059</v>
      </c>
      <c r="I955" s="122" t="s">
        <v>2057</v>
      </c>
      <c r="J955" s="121"/>
      <c r="K955" s="123" t="s">
        <v>2051</v>
      </c>
      <c r="M955" s="109" t="s">
        <v>967</v>
      </c>
    </row>
    <row r="956" spans="1:13" ht="14.25" hidden="1" customHeight="1" x14ac:dyDescent="0.3">
      <c r="A956" s="116">
        <v>46183</v>
      </c>
      <c r="B956" s="117" t="s">
        <v>2052</v>
      </c>
      <c r="C956" s="121" t="s">
        <v>970</v>
      </c>
      <c r="D956" s="124" t="str">
        <f>IFERROR(VLOOKUP(C956,SKUs!$A$6:$F$1971,6,FALSE()),"")</f>
        <v>POLO PIQUET MESCLA INFANTIL</v>
      </c>
      <c r="E956" s="121">
        <v>10</v>
      </c>
      <c r="F956" s="125">
        <f>IFERROR(IF(OR(B956="",E956=""),"",E956*VLOOKUP(B956,Configurações!$I$5:$J$15,2,FALSE())),"")</f>
        <v>-10</v>
      </c>
      <c r="G956" s="119" t="s">
        <v>1424</v>
      </c>
      <c r="H956" s="121" t="s">
        <v>2059</v>
      </c>
      <c r="I956" s="122" t="s">
        <v>2057</v>
      </c>
      <c r="J956" s="121"/>
      <c r="K956" s="123" t="s">
        <v>2051</v>
      </c>
      <c r="M956" s="109" t="s">
        <v>967</v>
      </c>
    </row>
    <row r="957" spans="1:13" ht="14.25" hidden="1" customHeight="1" x14ac:dyDescent="0.3">
      <c r="A957" s="116">
        <v>46183</v>
      </c>
      <c r="B957" s="117" t="s">
        <v>2052</v>
      </c>
      <c r="C957" s="121" t="s">
        <v>971</v>
      </c>
      <c r="D957" s="124" t="str">
        <f>IFERROR(VLOOKUP(C957,SKUs!$A$6:$F$1971,6,FALSE()),"")</f>
        <v>POLO PIQUET MESCLA INFANTIL</v>
      </c>
      <c r="E957" s="121">
        <v>9</v>
      </c>
      <c r="F957" s="125">
        <f>IFERROR(IF(OR(B957="",E957=""),"",E957*VLOOKUP(B957,Configurações!$I$5:$J$15,2,FALSE())),"")</f>
        <v>-9</v>
      </c>
      <c r="G957" s="119" t="s">
        <v>1424</v>
      </c>
      <c r="H957" s="121" t="s">
        <v>2059</v>
      </c>
      <c r="I957" s="122" t="s">
        <v>2057</v>
      </c>
      <c r="J957" s="121"/>
      <c r="K957" s="123" t="s">
        <v>2051</v>
      </c>
      <c r="M957" s="109" t="s">
        <v>967</v>
      </c>
    </row>
    <row r="958" spans="1:13" ht="14.25" hidden="1" customHeight="1" x14ac:dyDescent="0.3">
      <c r="A958" s="116">
        <v>46183</v>
      </c>
      <c r="B958" s="117" t="s">
        <v>2052</v>
      </c>
      <c r="C958" s="121" t="s">
        <v>972</v>
      </c>
      <c r="D958" s="124" t="str">
        <f>IFERROR(VLOOKUP(C958,SKUs!$A$6:$F$1971,6,FALSE()),"")</f>
        <v>POLO PIQUET MESCLA INFANTIL</v>
      </c>
      <c r="E958" s="121">
        <v>4</v>
      </c>
      <c r="F958" s="125">
        <f>IFERROR(IF(OR(B958="",E958=""),"",E958*VLOOKUP(B958,Configurações!$I$5:$J$15,2,FALSE())),"")</f>
        <v>-4</v>
      </c>
      <c r="G958" s="119" t="s">
        <v>1424</v>
      </c>
      <c r="H958" s="121" t="s">
        <v>2059</v>
      </c>
      <c r="I958" s="122" t="s">
        <v>2057</v>
      </c>
      <c r="J958" s="121"/>
      <c r="K958" s="123" t="s">
        <v>2051</v>
      </c>
      <c r="M958" s="109" t="s">
        <v>967</v>
      </c>
    </row>
    <row r="959" spans="1:13" ht="14.25" hidden="1" customHeight="1" x14ac:dyDescent="0.3">
      <c r="A959" s="116">
        <v>46183</v>
      </c>
      <c r="B959" s="117" t="s">
        <v>2052</v>
      </c>
      <c r="C959" s="121" t="s">
        <v>973</v>
      </c>
      <c r="D959" s="124" t="str">
        <f>IFERROR(VLOOKUP(C959,SKUs!$A$6:$F$1971,6,FALSE()),"")</f>
        <v>POLO PIQUET MESCLA INFANTIL</v>
      </c>
      <c r="E959" s="121">
        <v>8</v>
      </c>
      <c r="F959" s="125">
        <f>IFERROR(IF(OR(B959="",E959=""),"",E959*VLOOKUP(B959,Configurações!$I$5:$J$15,2,FALSE())),"")</f>
        <v>-8</v>
      </c>
      <c r="G959" s="119" t="s">
        <v>1424</v>
      </c>
      <c r="H959" s="121" t="s">
        <v>2059</v>
      </c>
      <c r="I959" s="122" t="s">
        <v>2057</v>
      </c>
      <c r="J959" s="121"/>
      <c r="K959" s="123" t="s">
        <v>2051</v>
      </c>
      <c r="M959" s="109" t="s">
        <v>967</v>
      </c>
    </row>
    <row r="960" spans="1:13" ht="14.25" hidden="1" customHeight="1" x14ac:dyDescent="0.3">
      <c r="A960" s="116">
        <v>46183</v>
      </c>
      <c r="B960" s="117" t="s">
        <v>2052</v>
      </c>
      <c r="C960" s="121" t="s">
        <v>1011</v>
      </c>
      <c r="D960" s="124" t="str">
        <f>IFERROR(VLOOKUP(C960,SKUs!$A$6:$F$1971,6,FALSE()),"")</f>
        <v>POLO BASICA FEM.</v>
      </c>
      <c r="E960" s="121">
        <v>30</v>
      </c>
      <c r="F960" s="125">
        <f>IFERROR(IF(OR(B960="",E960=""),"",E960*VLOOKUP(B960,Configurações!$I$5:$J$15,2,FALSE())),"")</f>
        <v>-30</v>
      </c>
      <c r="G960" s="119" t="s">
        <v>1424</v>
      </c>
      <c r="H960" s="121" t="s">
        <v>2059</v>
      </c>
      <c r="I960" s="122" t="s">
        <v>2057</v>
      </c>
      <c r="J960" s="121"/>
      <c r="K960" s="123" t="s">
        <v>2051</v>
      </c>
      <c r="M960" s="109" t="s">
        <v>1013</v>
      </c>
    </row>
    <row r="961" spans="1:13" ht="14.25" hidden="1" customHeight="1" x14ac:dyDescent="0.3">
      <c r="A961" s="116">
        <v>46183</v>
      </c>
      <c r="B961" s="117" t="s">
        <v>2052</v>
      </c>
      <c r="C961" s="121" t="s">
        <v>1560</v>
      </c>
      <c r="D961" s="124" t="str">
        <f>IFERROR(VLOOKUP(C961,SKUs!$A$6:$F$1971,6,FALSE()),"")</f>
        <v>POLO BASICA FEM.</v>
      </c>
      <c r="E961" s="121">
        <v>30</v>
      </c>
      <c r="F961" s="125">
        <f>IFERROR(IF(OR(B961="",E961=""),"",E961*VLOOKUP(B961,Configurações!$I$5:$J$15,2,FALSE())),"")</f>
        <v>-30</v>
      </c>
      <c r="G961" s="119" t="s">
        <v>1424</v>
      </c>
      <c r="H961" s="121" t="s">
        <v>2059</v>
      </c>
      <c r="I961" s="122" t="s">
        <v>2057</v>
      </c>
      <c r="J961" s="121"/>
      <c r="K961" s="123" t="s">
        <v>2051</v>
      </c>
      <c r="M961" s="109" t="s">
        <v>1559</v>
      </c>
    </row>
    <row r="962" spans="1:13" ht="14.25" hidden="1" customHeight="1" x14ac:dyDescent="0.3">
      <c r="A962" s="116">
        <v>46183</v>
      </c>
      <c r="B962" s="117" t="s">
        <v>2052</v>
      </c>
      <c r="C962" s="121" t="s">
        <v>1020</v>
      </c>
      <c r="D962" s="124" t="str">
        <f>IFERROR(VLOOKUP(C962,SKUs!$A$6:$F$1971,6,FALSE()),"")</f>
        <v>TRICO GOLA CARECA FEM.</v>
      </c>
      <c r="E962" s="121">
        <v>3</v>
      </c>
      <c r="F962" s="125">
        <f>IFERROR(IF(OR(B962="",E962=""),"",E962*VLOOKUP(B962,Configurações!$I$5:$J$15,2,FALSE())),"")</f>
        <v>-3</v>
      </c>
      <c r="G962" s="119" t="s">
        <v>1424</v>
      </c>
      <c r="H962" s="121" t="s">
        <v>2059</v>
      </c>
      <c r="I962" s="122" t="s">
        <v>2057</v>
      </c>
      <c r="J962" s="121"/>
      <c r="K962" s="123" t="s">
        <v>2051</v>
      </c>
      <c r="M962" s="109" t="s">
        <v>1022</v>
      </c>
    </row>
    <row r="963" spans="1:13" ht="14.25" hidden="1" customHeight="1" x14ac:dyDescent="0.3">
      <c r="A963" s="116">
        <v>46183</v>
      </c>
      <c r="B963" s="117" t="s">
        <v>2052</v>
      </c>
      <c r="C963" s="121" t="s">
        <v>1023</v>
      </c>
      <c r="D963" s="124" t="str">
        <f>IFERROR(VLOOKUP(C963,SKUs!$A$6:$F$1971,6,FALSE()),"")</f>
        <v>TRICO GOLA CARECA FEM.</v>
      </c>
      <c r="E963" s="121">
        <v>4</v>
      </c>
      <c r="F963" s="125">
        <f>IFERROR(IF(OR(B963="",E963=""),"",E963*VLOOKUP(B963,Configurações!$I$5:$J$15,2,FALSE())),"")</f>
        <v>-4</v>
      </c>
      <c r="G963" s="119" t="s">
        <v>1424</v>
      </c>
      <c r="H963" s="121" t="s">
        <v>2059</v>
      </c>
      <c r="I963" s="122" t="s">
        <v>2057</v>
      </c>
      <c r="J963" s="121"/>
      <c r="K963" s="123" t="s">
        <v>2051</v>
      </c>
      <c r="M963" s="109" t="s">
        <v>1022</v>
      </c>
    </row>
    <row r="964" spans="1:13" ht="14.25" hidden="1" customHeight="1" x14ac:dyDescent="0.3">
      <c r="A964" s="116">
        <v>46183</v>
      </c>
      <c r="B964" s="117" t="s">
        <v>2052</v>
      </c>
      <c r="C964" s="121" t="s">
        <v>1089</v>
      </c>
      <c r="D964" s="124" t="str">
        <f>IFERROR(VLOOKUP(C964,SKUs!$A$6:$F$1971,6,FALSE()),"")</f>
        <v>RAQUETE FRESCOBOL</v>
      </c>
      <c r="E964" s="121">
        <v>4</v>
      </c>
      <c r="F964" s="125">
        <f>IFERROR(IF(OR(B964="",E964=""),"",E964*VLOOKUP(B964,Configurações!$I$5:$J$15,2,FALSE())),"")</f>
        <v>-4</v>
      </c>
      <c r="G964" s="119" t="s">
        <v>1424</v>
      </c>
      <c r="H964" s="121" t="s">
        <v>2059</v>
      </c>
      <c r="I964" s="122" t="s">
        <v>2057</v>
      </c>
      <c r="J964" s="121"/>
      <c r="K964" s="123" t="s">
        <v>2051</v>
      </c>
      <c r="M964" s="109" t="s">
        <v>1094</v>
      </c>
    </row>
    <row r="965" spans="1:13" ht="14.25" hidden="1" customHeight="1" x14ac:dyDescent="0.3">
      <c r="A965" s="116">
        <v>46183</v>
      </c>
      <c r="B965" s="117" t="s">
        <v>2052</v>
      </c>
      <c r="C965" s="121" t="s">
        <v>1089</v>
      </c>
      <c r="D965" s="124" t="str">
        <f>IFERROR(VLOOKUP(C965,SKUs!$A$6:$F$1971,6,FALSE()),"")</f>
        <v>RAQUETE FRESCOBOL</v>
      </c>
      <c r="E965" s="121">
        <v>2</v>
      </c>
      <c r="F965" s="125">
        <f>IFERROR(IF(OR(B965="",E965=""),"",E965*VLOOKUP(B965,Configurações!$I$5:$J$15,2,FALSE())),"")</f>
        <v>-2</v>
      </c>
      <c r="G965" s="119" t="s">
        <v>1424</v>
      </c>
      <c r="H965" s="121" t="s">
        <v>2059</v>
      </c>
      <c r="I965" s="122" t="s">
        <v>2057</v>
      </c>
      <c r="J965" s="121"/>
      <c r="K965" s="123" t="s">
        <v>2051</v>
      </c>
      <c r="M965" s="109" t="s">
        <v>1093</v>
      </c>
    </row>
    <row r="966" spans="1:13" ht="14.25" hidden="1" customHeight="1" x14ac:dyDescent="0.3">
      <c r="A966" s="116">
        <v>46183</v>
      </c>
      <c r="B966" s="117" t="s">
        <v>2052</v>
      </c>
      <c r="C966" s="121" t="s">
        <v>1095</v>
      </c>
      <c r="D966" s="124" t="str">
        <f>IFERROR(VLOOKUP(C966,SKUs!$A$6:$F$1971,6,FALSE()),"")</f>
        <v>VISEIRA BIC- ELASTICO</v>
      </c>
      <c r="E966" s="121">
        <v>10</v>
      </c>
      <c r="F966" s="125">
        <f>IFERROR(IF(OR(B966="",E966=""),"",E966*VLOOKUP(B966,Configurações!$I$5:$J$15,2,FALSE())),"")</f>
        <v>-10</v>
      </c>
      <c r="G966" s="119" t="s">
        <v>1424</v>
      </c>
      <c r="H966" s="121" t="s">
        <v>2059</v>
      </c>
      <c r="I966" s="122" t="s">
        <v>2057</v>
      </c>
      <c r="J966" s="121"/>
      <c r="K966" s="123" t="s">
        <v>2051</v>
      </c>
      <c r="M966" s="109" t="s">
        <v>1093</v>
      </c>
    </row>
    <row r="967" spans="1:13" ht="14.25" hidden="1" customHeight="1" x14ac:dyDescent="0.3">
      <c r="A967" s="116">
        <v>46183</v>
      </c>
      <c r="B967" s="117" t="s">
        <v>2052</v>
      </c>
      <c r="C967" s="121" t="s">
        <v>1098</v>
      </c>
      <c r="D967" s="124" t="str">
        <f>IFERROR(VLOOKUP(C967,SKUs!$A$6:$F$1971,6,FALSE()),"")</f>
        <v>VISEIRA BIC- ELASTICO</v>
      </c>
      <c r="E967" s="121">
        <v>12</v>
      </c>
      <c r="F967" s="125">
        <f>IFERROR(IF(OR(B967="",E967=""),"",E967*VLOOKUP(B967,Configurações!$I$5:$J$15,2,FALSE())),"")</f>
        <v>-12</v>
      </c>
      <c r="G967" s="119" t="s">
        <v>1424</v>
      </c>
      <c r="H967" s="121" t="s">
        <v>2059</v>
      </c>
      <c r="I967" s="122" t="s">
        <v>2057</v>
      </c>
      <c r="J967" s="121"/>
      <c r="K967" s="123" t="s">
        <v>2051</v>
      </c>
      <c r="M967" s="109" t="s">
        <v>1093</v>
      </c>
    </row>
    <row r="968" spans="1:13" ht="14.25" hidden="1" customHeight="1" x14ac:dyDescent="0.3">
      <c r="A968" s="116">
        <v>46183</v>
      </c>
      <c r="B968" s="117" t="s">
        <v>2052</v>
      </c>
      <c r="C968" s="121" t="s">
        <v>1675</v>
      </c>
      <c r="D968" s="124" t="str">
        <f>IFERROR(VLOOKUP(C968,SKUs!$A$6:$F$1971,6,FALSE()),"")</f>
        <v>LANCHEIRA TERMICA</v>
      </c>
      <c r="E968" s="121">
        <v>12</v>
      </c>
      <c r="F968" s="125">
        <f>IFERROR(IF(OR(B968="",E968=""),"",E968*VLOOKUP(B968,Configurações!$I$5:$J$15,2,FALSE())),"")</f>
        <v>-12</v>
      </c>
      <c r="G968" s="119" t="s">
        <v>1424</v>
      </c>
      <c r="H968" s="121" t="s">
        <v>2059</v>
      </c>
      <c r="I968" s="122" t="s">
        <v>2057</v>
      </c>
      <c r="J968" s="121"/>
      <c r="K968" s="123" t="s">
        <v>2051</v>
      </c>
      <c r="M968" s="109" t="s">
        <v>1805</v>
      </c>
    </row>
    <row r="969" spans="1:13" ht="14.25" hidden="1" customHeight="1" x14ac:dyDescent="0.3">
      <c r="A969" s="116">
        <v>46183</v>
      </c>
      <c r="B969" s="117" t="s">
        <v>2052</v>
      </c>
      <c r="C969" s="121" t="s">
        <v>1675</v>
      </c>
      <c r="D969" s="124" t="str">
        <f>IFERROR(VLOOKUP(C969,SKUs!$A$6:$F$1971,6,FALSE()),"")</f>
        <v>LANCHEIRA TERMICA</v>
      </c>
      <c r="E969" s="121">
        <v>12</v>
      </c>
      <c r="F969" s="125">
        <f>IFERROR(IF(OR(B969="",E969=""),"",E969*VLOOKUP(B969,Configurações!$I$5:$J$15,2,FALSE())),"")</f>
        <v>-12</v>
      </c>
      <c r="G969" s="119" t="s">
        <v>1424</v>
      </c>
      <c r="H969" s="121" t="s">
        <v>2059</v>
      </c>
      <c r="I969" s="122" t="s">
        <v>2057</v>
      </c>
      <c r="J969" s="121"/>
      <c r="K969" s="123" t="s">
        <v>2051</v>
      </c>
      <c r="M969" s="109" t="s">
        <v>1678</v>
      </c>
    </row>
    <row r="970" spans="1:13" ht="14.25" hidden="1" customHeight="1" x14ac:dyDescent="0.3">
      <c r="A970" s="116">
        <v>46183</v>
      </c>
      <c r="B970" s="117" t="s">
        <v>2052</v>
      </c>
      <c r="C970" s="121" t="s">
        <v>1675</v>
      </c>
      <c r="D970" s="124" t="str">
        <f>IFERROR(VLOOKUP(C970,SKUs!$A$6:$F$1971,6,FALSE()),"")</f>
        <v>LANCHEIRA TERMICA</v>
      </c>
      <c r="E970" s="121">
        <v>12</v>
      </c>
      <c r="F970" s="125">
        <f>IFERROR(IF(OR(B970="",E970=""),"",E970*VLOOKUP(B970,Configurações!$I$5:$J$15,2,FALSE())),"")</f>
        <v>-12</v>
      </c>
      <c r="G970" s="119" t="s">
        <v>1424</v>
      </c>
      <c r="H970" s="121" t="s">
        <v>2059</v>
      </c>
      <c r="I970" s="122" t="s">
        <v>2057</v>
      </c>
      <c r="J970" s="121"/>
      <c r="K970" s="123" t="s">
        <v>2051</v>
      </c>
      <c r="M970" s="109" t="s">
        <v>1679</v>
      </c>
    </row>
    <row r="971" spans="1:13" ht="14.25" hidden="1" customHeight="1" x14ac:dyDescent="0.3">
      <c r="A971" s="116">
        <v>46183</v>
      </c>
      <c r="B971" s="117" t="s">
        <v>2052</v>
      </c>
      <c r="C971" s="121" t="s">
        <v>1137</v>
      </c>
      <c r="D971" s="124" t="str">
        <f>IFERROR(VLOOKUP(C971,SKUs!$A$6:$F$1971,6,FALSE()),"")</f>
        <v>MALINHA DE MÃO</v>
      </c>
      <c r="E971" s="121">
        <v>24</v>
      </c>
      <c r="F971" s="125">
        <f>IFERROR(IF(OR(B971="",E971=""),"",E971*VLOOKUP(B971,Configurações!$I$5:$J$15,2,FALSE())),"")</f>
        <v>-24</v>
      </c>
      <c r="G971" s="119" t="s">
        <v>1424</v>
      </c>
      <c r="H971" s="121" t="s">
        <v>2059</v>
      </c>
      <c r="I971" s="122" t="s">
        <v>2057</v>
      </c>
      <c r="J971" s="121"/>
      <c r="K971" s="123" t="s">
        <v>2051</v>
      </c>
      <c r="M971" s="109" t="s">
        <v>1128</v>
      </c>
    </row>
    <row r="972" spans="1:13" ht="14.25" hidden="1" customHeight="1" x14ac:dyDescent="0.3">
      <c r="A972" s="116">
        <v>46183</v>
      </c>
      <c r="B972" s="117" t="s">
        <v>2052</v>
      </c>
      <c r="C972" s="121" t="s">
        <v>1169</v>
      </c>
      <c r="D972" s="124" t="str">
        <f>IFERROR(VLOOKUP(C972,SKUs!$A$6:$F$1971,6,FALSE()),"")</f>
        <v>CANECA CERÂMICA</v>
      </c>
      <c r="E972" s="121">
        <v>32</v>
      </c>
      <c r="F972" s="125">
        <f>IFERROR(IF(OR(B972="",E972=""),"",E972*VLOOKUP(B972,Configurações!$I$5:$J$15,2,FALSE())),"")</f>
        <v>-32</v>
      </c>
      <c r="G972" s="119" t="s">
        <v>1424</v>
      </c>
      <c r="H972" s="121" t="s">
        <v>2059</v>
      </c>
      <c r="I972" s="122" t="s">
        <v>2057</v>
      </c>
      <c r="J972" s="121"/>
      <c r="K972" s="123" t="s">
        <v>2051</v>
      </c>
      <c r="M972" s="109" t="s">
        <v>1172</v>
      </c>
    </row>
    <row r="973" spans="1:13" ht="14.25" hidden="1" customHeight="1" x14ac:dyDescent="0.3">
      <c r="A973" s="116">
        <v>46183</v>
      </c>
      <c r="B973" s="117" t="s">
        <v>2052</v>
      </c>
      <c r="C973" s="121" t="s">
        <v>1169</v>
      </c>
      <c r="D973" s="124" t="str">
        <f>IFERROR(VLOOKUP(C973,SKUs!$A$6:$F$1971,6,FALSE()),"")</f>
        <v>CANECA CERÂMICA</v>
      </c>
      <c r="E973" s="121">
        <v>14</v>
      </c>
      <c r="F973" s="125">
        <f>IFERROR(IF(OR(B973="",E973=""),"",E973*VLOOKUP(B973,Configurações!$I$5:$J$15,2,FALSE())),"")</f>
        <v>-14</v>
      </c>
      <c r="G973" s="119" t="s">
        <v>1424</v>
      </c>
      <c r="H973" s="121" t="s">
        <v>2059</v>
      </c>
      <c r="I973" s="122" t="s">
        <v>2057</v>
      </c>
      <c r="J973" s="121"/>
      <c r="K973" s="123" t="s">
        <v>2051</v>
      </c>
      <c r="M973" s="109" t="s">
        <v>1173</v>
      </c>
    </row>
    <row r="974" spans="1:13" ht="14.25" hidden="1" customHeight="1" x14ac:dyDescent="0.3">
      <c r="A974" s="116">
        <v>46183</v>
      </c>
      <c r="B974" s="117" t="s">
        <v>2052</v>
      </c>
      <c r="C974" s="121" t="s">
        <v>1178</v>
      </c>
      <c r="D974" s="124" t="str">
        <f>IFERROR(VLOOKUP(C974,SKUs!$A$6:$F$1971,6,FALSE()),"")</f>
        <v>COPO STALEY</v>
      </c>
      <c r="E974" s="121">
        <v>3</v>
      </c>
      <c r="F974" s="125">
        <f>IFERROR(IF(OR(B974="",E974=""),"",E974*VLOOKUP(B974,Configurações!$I$5:$J$15,2,FALSE())),"")</f>
        <v>-3</v>
      </c>
      <c r="G974" s="119" t="s">
        <v>1424</v>
      </c>
      <c r="H974" s="121" t="s">
        <v>2059</v>
      </c>
      <c r="I974" s="122" t="s">
        <v>2057</v>
      </c>
      <c r="J974" s="121"/>
      <c r="K974" s="123" t="s">
        <v>2051</v>
      </c>
      <c r="M974" s="109" t="s">
        <v>1182</v>
      </c>
    </row>
    <row r="975" spans="1:13" ht="14.25" hidden="1" customHeight="1" x14ac:dyDescent="0.3">
      <c r="A975" s="116">
        <v>46183</v>
      </c>
      <c r="B975" s="117" t="s">
        <v>2052</v>
      </c>
      <c r="C975" s="121" t="s">
        <v>1188</v>
      </c>
      <c r="D975" s="124" t="str">
        <f>IFERROR(VLOOKUP(C975,SKUs!$A$6:$F$1971,6,FALSE()),"")</f>
        <v>COPO CAFÉ - G</v>
      </c>
      <c r="E975" s="121">
        <v>2</v>
      </c>
      <c r="F975" s="125">
        <f>IFERROR(IF(OR(B975="",E975=""),"",E975*VLOOKUP(B975,Configurações!$I$5:$J$15,2,FALSE())),"")</f>
        <v>-2</v>
      </c>
      <c r="G975" s="119" t="s">
        <v>1424</v>
      </c>
      <c r="H975" s="121" t="s">
        <v>2059</v>
      </c>
      <c r="I975" s="122" t="s">
        <v>2057</v>
      </c>
      <c r="J975" s="121"/>
      <c r="K975" s="123" t="s">
        <v>2051</v>
      </c>
      <c r="M975" s="109" t="s">
        <v>1182</v>
      </c>
    </row>
    <row r="976" spans="1:13" ht="14.25" hidden="1" customHeight="1" x14ac:dyDescent="0.3">
      <c r="A976" s="116">
        <v>46183</v>
      </c>
      <c r="B976" s="117" t="s">
        <v>2052</v>
      </c>
      <c r="C976" s="121" t="s">
        <v>1188</v>
      </c>
      <c r="D976" s="124" t="str">
        <f>IFERROR(VLOOKUP(C976,SKUs!$A$6:$F$1971,6,FALSE()),"")</f>
        <v>COPO CAFÉ - G</v>
      </c>
      <c r="E976" s="121">
        <v>19</v>
      </c>
      <c r="F976" s="125">
        <f>IFERROR(IF(OR(B976="",E976=""),"",E976*VLOOKUP(B976,Configurações!$I$5:$J$15,2,FALSE())),"")</f>
        <v>-19</v>
      </c>
      <c r="G976" s="119" t="s">
        <v>1424</v>
      </c>
      <c r="H976" s="121" t="s">
        <v>2059</v>
      </c>
      <c r="I976" s="122" t="s">
        <v>2057</v>
      </c>
      <c r="J976" s="121"/>
      <c r="K976" s="123" t="s">
        <v>2051</v>
      </c>
      <c r="M976" s="109" t="s">
        <v>1191</v>
      </c>
    </row>
    <row r="977" spans="1:13" ht="14.25" hidden="1" customHeight="1" x14ac:dyDescent="0.3">
      <c r="A977" s="116">
        <v>46183</v>
      </c>
      <c r="B977" s="117" t="s">
        <v>2052</v>
      </c>
      <c r="C977" s="121" t="s">
        <v>1194</v>
      </c>
      <c r="D977" s="124" t="str">
        <f>IFERROR(VLOOKUP(C977,SKUs!$A$6:$F$1971,6,FALSE()),"")</f>
        <v>GARRAFA STALEY</v>
      </c>
      <c r="E977" s="121">
        <v>5</v>
      </c>
      <c r="F977" s="125">
        <f>IFERROR(IF(OR(B977="",E977=""),"",E977*VLOOKUP(B977,Configurações!$I$5:$J$15,2,FALSE())),"")</f>
        <v>-5</v>
      </c>
      <c r="G977" s="119" t="s">
        <v>1424</v>
      </c>
      <c r="H977" s="121" t="s">
        <v>2059</v>
      </c>
      <c r="I977" s="122" t="s">
        <v>2057</v>
      </c>
      <c r="J977" s="121"/>
      <c r="K977" s="123" t="s">
        <v>2051</v>
      </c>
      <c r="M977" s="109" t="s">
        <v>1191</v>
      </c>
    </row>
    <row r="978" spans="1:13" ht="14.25" hidden="1" customHeight="1" x14ac:dyDescent="0.3">
      <c r="A978" s="116">
        <v>46183</v>
      </c>
      <c r="B978" s="117" t="s">
        <v>2052</v>
      </c>
      <c r="C978" s="121" t="s">
        <v>1698</v>
      </c>
      <c r="D978" s="124" t="str">
        <f>IFERROR(VLOOKUP(C978,SKUs!$A$6:$F$1971,6,FALSE()),"")</f>
        <v>GARRAFA STANLEY</v>
      </c>
      <c r="E978" s="121">
        <v>1</v>
      </c>
      <c r="F978" s="125">
        <f>IFERROR(IF(OR(B978="",E978=""),"",E978*VLOOKUP(B978,Configurações!$I$5:$J$15,2,FALSE())),"")</f>
        <v>-1</v>
      </c>
      <c r="G978" s="119" t="s">
        <v>1424</v>
      </c>
      <c r="H978" s="121" t="s">
        <v>2059</v>
      </c>
      <c r="I978" s="122" t="s">
        <v>2057</v>
      </c>
      <c r="J978" s="121"/>
      <c r="K978" s="123" t="s">
        <v>2051</v>
      </c>
      <c r="M978" s="109" t="s">
        <v>1694</v>
      </c>
    </row>
    <row r="979" spans="1:13" ht="14.25" hidden="1" customHeight="1" x14ac:dyDescent="0.3">
      <c r="A979" s="116">
        <v>46183</v>
      </c>
      <c r="B979" s="117" t="s">
        <v>2052</v>
      </c>
      <c r="C979" s="121" t="s">
        <v>1196</v>
      </c>
      <c r="D979" s="124" t="str">
        <f>IFERROR(VLOOKUP(C979,SKUs!$A$6:$F$1971,6,FALSE()),"")</f>
        <v>GARRAFA STALEY</v>
      </c>
      <c r="E979" s="121">
        <v>2</v>
      </c>
      <c r="F979" s="125">
        <f>IFERROR(IF(OR(B979="",E979=""),"",E979*VLOOKUP(B979,Configurações!$I$5:$J$15,2,FALSE())),"")</f>
        <v>-2</v>
      </c>
      <c r="G979" s="119" t="s">
        <v>1424</v>
      </c>
      <c r="H979" s="121" t="s">
        <v>2059</v>
      </c>
      <c r="I979" s="122" t="s">
        <v>2057</v>
      </c>
      <c r="J979" s="121"/>
      <c r="K979" s="123" t="s">
        <v>2051</v>
      </c>
      <c r="M979" s="109" t="s">
        <v>1182</v>
      </c>
    </row>
    <row r="980" spans="1:13" ht="14.25" hidden="1" customHeight="1" x14ac:dyDescent="0.3">
      <c r="A980" s="116">
        <v>46183</v>
      </c>
      <c r="B980" s="117" t="s">
        <v>2052</v>
      </c>
      <c r="C980" s="121" t="s">
        <v>1695</v>
      </c>
      <c r="D980" s="124" t="str">
        <f>IFERROR(VLOOKUP(C980,SKUs!$A$6:$F$1971,6,FALSE()),"")</f>
        <v>GARRAFA STANLEY</v>
      </c>
      <c r="E980" s="121">
        <v>1</v>
      </c>
      <c r="F980" s="125">
        <f>IFERROR(IF(OR(B980="",E980=""),"",E980*VLOOKUP(B980,Configurações!$I$5:$J$15,2,FALSE())),"")</f>
        <v>-1</v>
      </c>
      <c r="G980" s="119" t="s">
        <v>1424</v>
      </c>
      <c r="H980" s="121" t="s">
        <v>2059</v>
      </c>
      <c r="I980" s="122" t="s">
        <v>2057</v>
      </c>
      <c r="J980" s="121"/>
      <c r="K980" s="123" t="s">
        <v>2051</v>
      </c>
      <c r="M980" s="109" t="s">
        <v>1694</v>
      </c>
    </row>
    <row r="981" spans="1:13" ht="14.25" hidden="1" customHeight="1" x14ac:dyDescent="0.3">
      <c r="A981" s="116">
        <v>46183</v>
      </c>
      <c r="B981" s="117" t="s">
        <v>2052</v>
      </c>
      <c r="C981" s="121" t="s">
        <v>1197</v>
      </c>
      <c r="D981" s="124" t="str">
        <f>IFERROR(VLOOKUP(C981,SKUs!$A$6:$F$1971,6,FALSE()),"")</f>
        <v>COPO CAFÉ - P</v>
      </c>
      <c r="E981" s="121">
        <v>25</v>
      </c>
      <c r="F981" s="125">
        <f>IFERROR(IF(OR(B981="",E981=""),"",E981*VLOOKUP(B981,Configurações!$I$5:$J$15,2,FALSE())),"")</f>
        <v>-25</v>
      </c>
      <c r="G981" s="119" t="s">
        <v>1424</v>
      </c>
      <c r="H981" s="121" t="s">
        <v>2059</v>
      </c>
      <c r="I981" s="122" t="s">
        <v>2057</v>
      </c>
      <c r="J981" s="121"/>
      <c r="K981" s="123" t="s">
        <v>2051</v>
      </c>
      <c r="M981" s="109" t="s">
        <v>1182</v>
      </c>
    </row>
    <row r="982" spans="1:13" ht="14.25" hidden="1" customHeight="1" x14ac:dyDescent="0.3">
      <c r="A982" s="116">
        <v>46183</v>
      </c>
      <c r="B982" s="117" t="s">
        <v>2052</v>
      </c>
      <c r="C982" s="121" t="s">
        <v>1699</v>
      </c>
      <c r="D982" s="124" t="str">
        <f>IFERROR(VLOOKUP(C982,SKUs!$A$6:$F$1971,6,FALSE()),"")</f>
        <v>COPO CEFÉ P</v>
      </c>
      <c r="E982" s="121">
        <v>1</v>
      </c>
      <c r="F982" s="125">
        <f>IFERROR(IF(OR(B982="",E982=""),"",E982*VLOOKUP(B982,Configurações!$I$5:$J$15,2,FALSE())),"")</f>
        <v>-1</v>
      </c>
      <c r="G982" s="119" t="s">
        <v>1424</v>
      </c>
      <c r="H982" s="121" t="s">
        <v>2059</v>
      </c>
      <c r="I982" s="122" t="s">
        <v>2057</v>
      </c>
      <c r="J982" s="121"/>
      <c r="K982" s="123" t="s">
        <v>2051</v>
      </c>
      <c r="M982" s="109" t="s">
        <v>1694</v>
      </c>
    </row>
    <row r="983" spans="1:13" ht="14.25" hidden="1" customHeight="1" x14ac:dyDescent="0.3">
      <c r="A983" s="116">
        <v>46183</v>
      </c>
      <c r="B983" s="117" t="s">
        <v>2052</v>
      </c>
      <c r="C983" s="121" t="s">
        <v>1200</v>
      </c>
      <c r="D983" s="124" t="str">
        <f>IFERROR(VLOOKUP(C983,SKUs!$A$6:$F$1971,6,FALSE()),"")</f>
        <v>CANECA TREMICA FOKUS</v>
      </c>
      <c r="E983" s="121">
        <v>12</v>
      </c>
      <c r="F983" s="125">
        <f>IFERROR(IF(OR(B983="",E983=""),"",E983*VLOOKUP(B983,Configurações!$I$5:$J$15,2,FALSE())),"")</f>
        <v>-12</v>
      </c>
      <c r="G983" s="119" t="s">
        <v>1424</v>
      </c>
      <c r="H983" s="121" t="s">
        <v>2059</v>
      </c>
      <c r="I983" s="122" t="s">
        <v>2057</v>
      </c>
      <c r="J983" s="121"/>
      <c r="K983" s="123" t="s">
        <v>2051</v>
      </c>
      <c r="M983" s="109" t="s">
        <v>1204</v>
      </c>
    </row>
    <row r="984" spans="1:13" ht="14.25" hidden="1" customHeight="1" x14ac:dyDescent="0.3">
      <c r="A984" s="116">
        <v>46183</v>
      </c>
      <c r="B984" s="117" t="s">
        <v>2052</v>
      </c>
      <c r="C984" s="121" t="s">
        <v>1200</v>
      </c>
      <c r="D984" s="124" t="str">
        <f>IFERROR(VLOOKUP(C984,SKUs!$A$6:$F$1971,6,FALSE()),"")</f>
        <v>CANECA TREMICA FOKUS</v>
      </c>
      <c r="E984" s="121">
        <v>8</v>
      </c>
      <c r="F984" s="125">
        <f>IFERROR(IF(OR(B984="",E984=""),"",E984*VLOOKUP(B984,Configurações!$I$5:$J$15,2,FALSE())),"")</f>
        <v>-8</v>
      </c>
      <c r="G984" s="119" t="s">
        <v>1424</v>
      </c>
      <c r="H984" s="121" t="s">
        <v>2059</v>
      </c>
      <c r="I984" s="122" t="s">
        <v>2057</v>
      </c>
      <c r="J984" s="121"/>
      <c r="K984" s="123" t="s">
        <v>2051</v>
      </c>
      <c r="M984" s="109" t="s">
        <v>1205</v>
      </c>
    </row>
    <row r="985" spans="1:13" ht="14.25" hidden="1" customHeight="1" x14ac:dyDescent="0.3">
      <c r="A985" s="116">
        <v>46183</v>
      </c>
      <c r="B985" s="117" t="s">
        <v>2052</v>
      </c>
      <c r="C985" s="121" t="s">
        <v>1206</v>
      </c>
      <c r="D985" s="124" t="str">
        <f>IFERROR(VLOOKUP(C985,SKUs!$A$6:$F$1971,6,FALSE()),"")</f>
        <v>COPO TERMICO BEERCUP</v>
      </c>
      <c r="E985" s="121">
        <v>2</v>
      </c>
      <c r="F985" s="125">
        <f>IFERROR(IF(OR(B985="",E985=""),"",E985*VLOOKUP(B985,Configurações!$I$5:$J$15,2,FALSE())),"")</f>
        <v>-2</v>
      </c>
      <c r="G985" s="119" t="s">
        <v>1424</v>
      </c>
      <c r="H985" s="121" t="s">
        <v>2059</v>
      </c>
      <c r="I985" s="122" t="s">
        <v>2057</v>
      </c>
      <c r="J985" s="121"/>
      <c r="K985" s="123" t="s">
        <v>2051</v>
      </c>
      <c r="M985" s="109" t="s">
        <v>1204</v>
      </c>
    </row>
    <row r="986" spans="1:13" ht="14.25" hidden="1" customHeight="1" x14ac:dyDescent="0.3">
      <c r="A986" s="116">
        <v>46183</v>
      </c>
      <c r="B986" s="117" t="s">
        <v>2052</v>
      </c>
      <c r="C986" s="121" t="s">
        <v>1705</v>
      </c>
      <c r="D986" s="124" t="str">
        <f>IFERROR(VLOOKUP(C986,SKUs!$A$6:$F$1971,6,FALSE()),"")</f>
        <v>COPO BEERCUP EM INOX</v>
      </c>
      <c r="E986" s="121">
        <v>2</v>
      </c>
      <c r="F986" s="125">
        <f>IFERROR(IF(OR(B986="",E986=""),"",E986*VLOOKUP(B986,Configurações!$I$5:$J$15,2,FALSE())),"")</f>
        <v>-2</v>
      </c>
      <c r="G986" s="119" t="s">
        <v>1424</v>
      </c>
      <c r="H986" s="121" t="s">
        <v>2059</v>
      </c>
      <c r="I986" s="122" t="s">
        <v>2057</v>
      </c>
      <c r="J986" s="121"/>
      <c r="K986" s="123" t="s">
        <v>2051</v>
      </c>
      <c r="M986" s="109" t="s">
        <v>1694</v>
      </c>
    </row>
    <row r="987" spans="1:13" ht="14.25" hidden="1" customHeight="1" x14ac:dyDescent="0.3">
      <c r="A987" s="116">
        <v>46183</v>
      </c>
      <c r="B987" s="117" t="s">
        <v>2052</v>
      </c>
      <c r="C987" s="121" t="s">
        <v>1209</v>
      </c>
      <c r="D987" s="124" t="str">
        <f>IFERROR(VLOOKUP(C987,SKUs!$A$6:$F$1971,6,FALSE()),"")</f>
        <v>COPO TERMICO THERMOCUP</v>
      </c>
      <c r="E987" s="121">
        <v>5</v>
      </c>
      <c r="F987" s="125">
        <f>IFERROR(IF(OR(B987="",E987=""),"",E987*VLOOKUP(B987,Configurações!$I$5:$J$15,2,FALSE())),"")</f>
        <v>-5</v>
      </c>
      <c r="G987" s="119" t="s">
        <v>1424</v>
      </c>
      <c r="H987" s="121" t="s">
        <v>2059</v>
      </c>
      <c r="I987" s="122" t="s">
        <v>2057</v>
      </c>
      <c r="J987" s="121"/>
      <c r="K987" s="123" t="s">
        <v>2051</v>
      </c>
      <c r="M987" s="109" t="s">
        <v>1204</v>
      </c>
    </row>
    <row r="988" spans="1:13" ht="14.25" hidden="1" customHeight="1" x14ac:dyDescent="0.3">
      <c r="A988" s="116">
        <v>46183</v>
      </c>
      <c r="B988" s="117" t="s">
        <v>2052</v>
      </c>
      <c r="C988" s="121" t="s">
        <v>1209</v>
      </c>
      <c r="D988" s="124" t="str">
        <f>IFERROR(VLOOKUP(C988,SKUs!$A$6:$F$1971,6,FALSE()),"")</f>
        <v>COPO TERMICO THERMOCUP</v>
      </c>
      <c r="E988" s="121">
        <v>9</v>
      </c>
      <c r="F988" s="125">
        <f>IFERROR(IF(OR(B988="",E988=""),"",E988*VLOOKUP(B988,Configurações!$I$5:$J$15,2,FALSE())),"")</f>
        <v>-9</v>
      </c>
      <c r="G988" s="119" t="s">
        <v>1424</v>
      </c>
      <c r="H988" s="121" t="s">
        <v>2059</v>
      </c>
      <c r="I988" s="122" t="s">
        <v>2057</v>
      </c>
      <c r="J988" s="121"/>
      <c r="K988" s="123" t="s">
        <v>2051</v>
      </c>
      <c r="M988" s="109" t="s">
        <v>1212</v>
      </c>
    </row>
    <row r="989" spans="1:13" ht="14.25" hidden="1" customHeight="1" x14ac:dyDescent="0.3">
      <c r="A989" s="116">
        <v>46183</v>
      </c>
      <c r="B989" s="117" t="s">
        <v>2052</v>
      </c>
      <c r="C989" s="121" t="s">
        <v>1704</v>
      </c>
      <c r="D989" s="124" t="str">
        <f>IFERROR(VLOOKUP(C989,SKUs!$A$6:$F$1971,6,FALSE()),"")</f>
        <v>COPO TERMOCUP EM INOX</v>
      </c>
      <c r="E989" s="121">
        <v>3</v>
      </c>
      <c r="F989" s="125">
        <f>IFERROR(IF(OR(B989="",E989=""),"",E989*VLOOKUP(B989,Configurações!$I$5:$J$15,2,FALSE())),"")</f>
        <v>-3</v>
      </c>
      <c r="G989" s="119" t="s">
        <v>1424</v>
      </c>
      <c r="H989" s="121" t="s">
        <v>2059</v>
      </c>
      <c r="I989" s="122" t="s">
        <v>2057</v>
      </c>
      <c r="J989" s="121"/>
      <c r="K989" s="123" t="s">
        <v>2051</v>
      </c>
      <c r="M989" s="109" t="s">
        <v>1694</v>
      </c>
    </row>
    <row r="990" spans="1:13" ht="14.25" hidden="1" customHeight="1" x14ac:dyDescent="0.3">
      <c r="A990" s="116">
        <v>46183</v>
      </c>
      <c r="B990" s="117" t="s">
        <v>2052</v>
      </c>
      <c r="C990" s="121" t="s">
        <v>1213</v>
      </c>
      <c r="D990" s="124" t="str">
        <f>IFERROR(VLOOKUP(C990,SKUs!$A$6:$F$1971,6,FALSE()),"")</f>
        <v>COPO TERMICO THERMOCUP</v>
      </c>
      <c r="E990" s="121">
        <v>1</v>
      </c>
      <c r="F990" s="125">
        <f>IFERROR(IF(OR(B990="",E990=""),"",E990*VLOOKUP(B990,Configurações!$I$5:$J$15,2,FALSE())),"")</f>
        <v>-1</v>
      </c>
      <c r="G990" s="119" t="s">
        <v>1424</v>
      </c>
      <c r="H990" s="121" t="s">
        <v>2059</v>
      </c>
      <c r="I990" s="122" t="s">
        <v>2057</v>
      </c>
      <c r="J990" s="121"/>
      <c r="K990" s="123" t="s">
        <v>2051</v>
      </c>
      <c r="M990" s="109" t="s">
        <v>1204</v>
      </c>
    </row>
    <row r="991" spans="1:13" ht="14.25" hidden="1" customHeight="1" x14ac:dyDescent="0.3">
      <c r="A991" s="116">
        <v>46183</v>
      </c>
      <c r="B991" s="117" t="s">
        <v>2052</v>
      </c>
      <c r="C991" s="121" t="s">
        <v>1702</v>
      </c>
      <c r="D991" s="124" t="str">
        <f>IFERROR(VLOOKUP(C991,SKUs!$A$6:$F$1971,6,FALSE()),"")</f>
        <v>COPO TERMOCUP EM INOX</v>
      </c>
      <c r="E991" s="121">
        <v>3</v>
      </c>
      <c r="F991" s="125">
        <f>IFERROR(IF(OR(B991="",E991=""),"",E991*VLOOKUP(B991,Configurações!$I$5:$J$15,2,FALSE())),"")</f>
        <v>-3</v>
      </c>
      <c r="G991" s="119" t="s">
        <v>1424</v>
      </c>
      <c r="H991" s="121" t="s">
        <v>2059</v>
      </c>
      <c r="I991" s="122" t="s">
        <v>2057</v>
      </c>
      <c r="J991" s="121"/>
      <c r="K991" s="123" t="s">
        <v>2051</v>
      </c>
      <c r="M991" s="109" t="s">
        <v>1694</v>
      </c>
    </row>
    <row r="992" spans="1:13" ht="14.25" hidden="1" customHeight="1" x14ac:dyDescent="0.3">
      <c r="A992" s="116">
        <v>46183</v>
      </c>
      <c r="B992" s="117" t="s">
        <v>2052</v>
      </c>
      <c r="C992" s="121" t="s">
        <v>1214</v>
      </c>
      <c r="D992" s="124" t="str">
        <f>IFERROR(VLOOKUP(C992,SKUs!$A$6:$F$1971,6,FALSE()),"")</f>
        <v>CANETA BTG COM LOGO</v>
      </c>
      <c r="E992" s="121">
        <v>6</v>
      </c>
      <c r="F992" s="125">
        <f>IFERROR(IF(OR(B992="",E992=""),"",E992*VLOOKUP(B992,Configurações!$I$5:$J$15,2,FALSE())),"")</f>
        <v>-6</v>
      </c>
      <c r="G992" s="119" t="s">
        <v>1424</v>
      </c>
      <c r="H992" s="121" t="s">
        <v>2059</v>
      </c>
      <c r="I992" s="122" t="s">
        <v>2057</v>
      </c>
      <c r="J992" s="121"/>
      <c r="K992" s="123" t="s">
        <v>2051</v>
      </c>
      <c r="M992" s="109" t="s">
        <v>1212</v>
      </c>
    </row>
    <row r="993" spans="1:13" ht="14.25" hidden="1" customHeight="1" x14ac:dyDescent="0.3">
      <c r="A993" s="116">
        <v>46183</v>
      </c>
      <c r="B993" s="117" t="s">
        <v>2052</v>
      </c>
      <c r="C993" s="121" t="s">
        <v>1218</v>
      </c>
      <c r="D993" s="124" t="str">
        <f>IFERROR(VLOOKUP(C993,SKUs!$A$6:$F$1971,6,FALSE()),"")</f>
        <v>CANETA BTG COM LOGO</v>
      </c>
      <c r="E993" s="121">
        <v>43</v>
      </c>
      <c r="F993" s="125">
        <f>IFERROR(IF(OR(B993="",E993=""),"",E993*VLOOKUP(B993,Configurações!$I$5:$J$15,2,FALSE())),"")</f>
        <v>-43</v>
      </c>
      <c r="G993" s="119" t="s">
        <v>1424</v>
      </c>
      <c r="H993" s="121" t="s">
        <v>2059</v>
      </c>
      <c r="I993" s="122" t="s">
        <v>2057</v>
      </c>
      <c r="J993" s="121"/>
      <c r="K993" s="123" t="s">
        <v>2051</v>
      </c>
      <c r="M993" s="109" t="s">
        <v>1212</v>
      </c>
    </row>
    <row r="994" spans="1:13" ht="14.25" hidden="1" customHeight="1" x14ac:dyDescent="0.3">
      <c r="A994" s="116">
        <v>46183</v>
      </c>
      <c r="B994" s="117" t="s">
        <v>2052</v>
      </c>
      <c r="C994" s="121" t="s">
        <v>1220</v>
      </c>
      <c r="D994" s="124" t="str">
        <f>IFERROR(VLOOKUP(C994,SKUs!$A$6:$F$1971,6,FALSE()),"")</f>
        <v>COPO TERMICO THERMOCUP</v>
      </c>
      <c r="E994" s="121">
        <v>1</v>
      </c>
      <c r="F994" s="125">
        <f>IFERROR(IF(OR(B994="",E994=""),"",E994*VLOOKUP(B994,Configurações!$I$5:$J$15,2,FALSE())),"")</f>
        <v>-1</v>
      </c>
      <c r="G994" s="119" t="s">
        <v>1424</v>
      </c>
      <c r="H994" s="121" t="s">
        <v>2059</v>
      </c>
      <c r="I994" s="122" t="s">
        <v>2057</v>
      </c>
      <c r="J994" s="121"/>
      <c r="K994" s="123" t="s">
        <v>2051</v>
      </c>
      <c r="M994" s="109" t="s">
        <v>1212</v>
      </c>
    </row>
    <row r="995" spans="1:13" ht="14.25" hidden="1" customHeight="1" x14ac:dyDescent="0.3">
      <c r="A995" s="116">
        <v>46183</v>
      </c>
      <c r="B995" s="117" t="s">
        <v>2052</v>
      </c>
      <c r="C995" s="121" t="s">
        <v>1221</v>
      </c>
      <c r="D995" s="124" t="str">
        <f>IFERROR(VLOOKUP(C995,SKUs!$A$6:$F$1971,6,FALSE()),"")</f>
        <v>GARRAFA VYTA</v>
      </c>
      <c r="E995" s="121">
        <v>10</v>
      </c>
      <c r="F995" s="125">
        <f>IFERROR(IF(OR(B995="",E995=""),"",E995*VLOOKUP(B995,Configurações!$I$5:$J$15,2,FALSE())),"")</f>
        <v>-10</v>
      </c>
      <c r="G995" s="119" t="s">
        <v>1424</v>
      </c>
      <c r="H995" s="121" t="s">
        <v>2059</v>
      </c>
      <c r="I995" s="122" t="s">
        <v>2057</v>
      </c>
      <c r="J995" s="121"/>
      <c r="K995" s="123" t="s">
        <v>2051</v>
      </c>
      <c r="M995" s="109" t="s">
        <v>1212</v>
      </c>
    </row>
    <row r="996" spans="1:13" ht="14.25" hidden="1" customHeight="1" x14ac:dyDescent="0.3">
      <c r="A996" s="116">
        <v>46183</v>
      </c>
      <c r="B996" s="117" t="s">
        <v>2052</v>
      </c>
      <c r="C996" s="121" t="s">
        <v>1518</v>
      </c>
      <c r="D996" s="124" t="str">
        <f>IFERROR(VLOOKUP(C996,SKUs!$A$6:$F$1971,6,FALSE()),"")</f>
        <v>CAMISETA FIO EGIPCIO MASC.</v>
      </c>
      <c r="E996" s="121">
        <v>25</v>
      </c>
      <c r="F996" s="125">
        <f>IFERROR(IF(OR(B996="",E996=""),"",E996*VLOOKUP(B996,Configurações!$I$5:$J$15,2,FALSE())),"")</f>
        <v>-25</v>
      </c>
      <c r="G996" s="119" t="s">
        <v>1424</v>
      </c>
      <c r="H996" s="121" t="s">
        <v>2059</v>
      </c>
      <c r="I996" s="122" t="s">
        <v>2057</v>
      </c>
      <c r="J996" s="121"/>
      <c r="K996" s="123" t="s">
        <v>2051</v>
      </c>
      <c r="M996" s="109" t="s">
        <v>1545</v>
      </c>
    </row>
    <row r="997" spans="1:13" ht="14.25" hidden="1" customHeight="1" x14ac:dyDescent="0.3">
      <c r="A997" s="116">
        <v>46183</v>
      </c>
      <c r="B997" s="117" t="s">
        <v>2052</v>
      </c>
      <c r="C997" s="121" t="s">
        <v>1563</v>
      </c>
      <c r="D997" s="124" t="str">
        <f>IFERROR(VLOOKUP(C997,SKUs!$A$6:$F$1971,6,FALSE()),"")</f>
        <v>CAMISETA BY SIDE WALK + BTG FIO EGIPCIO MASC.</v>
      </c>
      <c r="E997" s="121">
        <v>25</v>
      </c>
      <c r="F997" s="125">
        <f>IFERROR(IF(OR(B997="",E997=""),"",E997*VLOOKUP(B997,Configurações!$I$5:$J$15,2,FALSE())),"")</f>
        <v>-25</v>
      </c>
      <c r="G997" s="119" t="s">
        <v>1424</v>
      </c>
      <c r="H997" s="121" t="s">
        <v>2059</v>
      </c>
      <c r="I997" s="122" t="s">
        <v>2057</v>
      </c>
      <c r="J997" s="121"/>
      <c r="K997" s="123" t="s">
        <v>2051</v>
      </c>
      <c r="M997" s="109" t="s">
        <v>1565</v>
      </c>
    </row>
    <row r="998" spans="1:13" ht="14.25" hidden="1" customHeight="1" x14ac:dyDescent="0.3">
      <c r="A998" s="116">
        <v>46183</v>
      </c>
      <c r="B998" s="117" t="s">
        <v>2052</v>
      </c>
      <c r="C998" s="121" t="s">
        <v>1540</v>
      </c>
      <c r="D998" s="124" t="str">
        <f>IFERROR(VLOOKUP(C998,SKUs!$A$6:$F$1971,6,FALSE()),"")</f>
        <v>CAMISETA FIO EGIPCIO MASC.</v>
      </c>
      <c r="E998" s="121">
        <v>25</v>
      </c>
      <c r="F998" s="125">
        <f>IFERROR(IF(OR(B998="",E998=""),"",E998*VLOOKUP(B998,Configurações!$I$5:$J$15,2,FALSE())),"")</f>
        <v>-25</v>
      </c>
      <c r="G998" s="119" t="s">
        <v>1424</v>
      </c>
      <c r="H998" s="121" t="s">
        <v>2059</v>
      </c>
      <c r="I998" s="122" t="s">
        <v>2057</v>
      </c>
      <c r="J998" s="121"/>
      <c r="K998" s="123" t="s">
        <v>2051</v>
      </c>
      <c r="M998" s="109" t="s">
        <v>1541</v>
      </c>
    </row>
    <row r="999" spans="1:13" ht="14.25" hidden="1" customHeight="1" x14ac:dyDescent="0.3">
      <c r="A999" s="116">
        <v>46183</v>
      </c>
      <c r="B999" s="117" t="s">
        <v>2052</v>
      </c>
      <c r="C999" s="121" t="s">
        <v>1235</v>
      </c>
      <c r="D999" s="124" t="str">
        <f>IFERROR(VLOOKUP(C999,SKUs!$A$6:$F$1971,6,FALSE()),"")</f>
        <v>CAMISETA FIO EGIPCIO MASC.</v>
      </c>
      <c r="E999" s="121">
        <v>2</v>
      </c>
      <c r="F999" s="125">
        <f>IFERROR(IF(OR(B999="",E999=""),"",E999*VLOOKUP(B999,Configurações!$I$5:$J$15,2,FALSE())),"")</f>
        <v>-2</v>
      </c>
      <c r="G999" s="119" t="s">
        <v>1424</v>
      </c>
      <c r="H999" s="121" t="s">
        <v>2059</v>
      </c>
      <c r="I999" s="122" t="s">
        <v>2057</v>
      </c>
      <c r="J999" s="121"/>
      <c r="K999" s="123" t="s">
        <v>2051</v>
      </c>
      <c r="M999" s="109" t="s">
        <v>1232</v>
      </c>
    </row>
    <row r="1000" spans="1:13" ht="14.25" hidden="1" customHeight="1" x14ac:dyDescent="0.3">
      <c r="A1000" s="116">
        <v>46183</v>
      </c>
      <c r="B1000" s="117" t="s">
        <v>2052</v>
      </c>
      <c r="C1000" s="121" t="s">
        <v>1236</v>
      </c>
      <c r="D1000" s="124" t="str">
        <f>IFERROR(VLOOKUP(C1000,SKUs!$A$6:$F$1971,6,FALSE()),"")</f>
        <v>CAMISETA FIO EGIPCIO MASC.</v>
      </c>
      <c r="E1000" s="121">
        <v>7</v>
      </c>
      <c r="F1000" s="125">
        <f>IFERROR(IF(OR(B1000="",E1000=""),"",E1000*VLOOKUP(B1000,Configurações!$I$5:$J$15,2,FALSE())),"")</f>
        <v>-7</v>
      </c>
      <c r="G1000" s="119" t="s">
        <v>1424</v>
      </c>
      <c r="H1000" s="121" t="s">
        <v>2059</v>
      </c>
      <c r="I1000" s="122" t="s">
        <v>2057</v>
      </c>
      <c r="J1000" s="121"/>
      <c r="K1000" s="123" t="s">
        <v>2051</v>
      </c>
      <c r="M1000" s="109" t="s">
        <v>1232</v>
      </c>
    </row>
    <row r="1001" spans="1:13" ht="14.25" hidden="1" customHeight="1" x14ac:dyDescent="0.3">
      <c r="A1001" s="116">
        <v>46183</v>
      </c>
      <c r="B1001" s="117" t="s">
        <v>2052</v>
      </c>
      <c r="C1001" s="121" t="s">
        <v>1527</v>
      </c>
      <c r="D1001" s="124" t="str">
        <f>IFERROR(VLOOKUP(C1001,SKUs!$A$6:$F$1971,6,FALSE()),"")</f>
        <v>CAMISETA FIO EGIPCIO MASC.</v>
      </c>
      <c r="E1001" s="121">
        <v>3</v>
      </c>
      <c r="F1001" s="125">
        <f>IFERROR(IF(OR(B1001="",E1001=""),"",E1001*VLOOKUP(B1001,Configurações!$I$5:$J$15,2,FALSE())),"")</f>
        <v>-3</v>
      </c>
      <c r="G1001" s="119" t="s">
        <v>1424</v>
      </c>
      <c r="H1001" s="121" t="s">
        <v>2059</v>
      </c>
      <c r="I1001" s="122" t="s">
        <v>2057</v>
      </c>
      <c r="J1001" s="121"/>
      <c r="K1001" s="123" t="s">
        <v>2051</v>
      </c>
      <c r="M1001" s="109" t="s">
        <v>1520</v>
      </c>
    </row>
    <row r="1002" spans="1:13" ht="14.25" hidden="1" customHeight="1" x14ac:dyDescent="0.3">
      <c r="A1002" s="116">
        <v>46183</v>
      </c>
      <c r="B1002" s="117" t="s">
        <v>2052</v>
      </c>
      <c r="C1002" s="121" t="s">
        <v>1527</v>
      </c>
      <c r="D1002" s="124" t="str">
        <f>IFERROR(VLOOKUP(C1002,SKUs!$A$6:$F$1971,6,FALSE()),"")</f>
        <v>CAMISETA FIO EGIPCIO MASC.</v>
      </c>
      <c r="E1002" s="121">
        <v>6</v>
      </c>
      <c r="F1002" s="125">
        <f>IFERROR(IF(OR(B1002="",E1002=""),"",E1002*VLOOKUP(B1002,Configurações!$I$5:$J$15,2,FALSE())),"")</f>
        <v>-6</v>
      </c>
      <c r="G1002" s="119" t="s">
        <v>1424</v>
      </c>
      <c r="H1002" s="121" t="s">
        <v>2059</v>
      </c>
      <c r="I1002" s="122" t="s">
        <v>2057</v>
      </c>
      <c r="J1002" s="121"/>
      <c r="K1002" s="123" t="s">
        <v>2051</v>
      </c>
      <c r="M1002" s="109" t="s">
        <v>1520</v>
      </c>
    </row>
    <row r="1003" spans="1:13" ht="14.25" hidden="1" customHeight="1" x14ac:dyDescent="0.3">
      <c r="A1003" s="116">
        <v>46183</v>
      </c>
      <c r="B1003" s="117" t="s">
        <v>2052</v>
      </c>
      <c r="C1003" s="121" t="s">
        <v>1237</v>
      </c>
      <c r="D1003" s="124" t="str">
        <f>IFERROR(VLOOKUP(C1003,SKUs!$A$6:$F$1971,6,FALSE()),"")</f>
        <v>CAMISETA FIO EGIPCIO FEM.</v>
      </c>
      <c r="E1003" s="121">
        <v>11</v>
      </c>
      <c r="F1003" s="125">
        <f>IFERROR(IF(OR(B1003="",E1003=""),"",E1003*VLOOKUP(B1003,Configurações!$I$5:$J$15,2,FALSE())),"")</f>
        <v>-11</v>
      </c>
      <c r="G1003" s="119" t="s">
        <v>1424</v>
      </c>
      <c r="H1003" s="121" t="s">
        <v>2059</v>
      </c>
      <c r="I1003" s="122" t="s">
        <v>2057</v>
      </c>
      <c r="J1003" s="121"/>
      <c r="K1003" s="123" t="s">
        <v>2051</v>
      </c>
      <c r="M1003" s="109" t="s">
        <v>1232</v>
      </c>
    </row>
    <row r="1004" spans="1:13" ht="14.25" hidden="1" customHeight="1" x14ac:dyDescent="0.3">
      <c r="A1004" s="116">
        <v>46183</v>
      </c>
      <c r="B1004" s="117" t="s">
        <v>2052</v>
      </c>
      <c r="C1004" s="121" t="s">
        <v>1237</v>
      </c>
      <c r="D1004" s="124" t="str">
        <f>IFERROR(VLOOKUP(C1004,SKUs!$A$6:$F$1971,6,FALSE()),"")</f>
        <v>CAMISETA FIO EGIPCIO FEM.</v>
      </c>
      <c r="E1004" s="121">
        <v>6</v>
      </c>
      <c r="F1004" s="125">
        <f>IFERROR(IF(OR(B1004="",E1004=""),"",E1004*VLOOKUP(B1004,Configurações!$I$5:$J$15,2,FALSE())),"")</f>
        <v>-6</v>
      </c>
      <c r="G1004" s="119" t="s">
        <v>1424</v>
      </c>
      <c r="H1004" s="121" t="s">
        <v>2059</v>
      </c>
      <c r="I1004" s="122" t="s">
        <v>2057</v>
      </c>
      <c r="J1004" s="121"/>
      <c r="K1004" s="123" t="s">
        <v>2051</v>
      </c>
      <c r="M1004" s="109" t="s">
        <v>1239</v>
      </c>
    </row>
    <row r="1005" spans="1:13" ht="14.25" hidden="1" customHeight="1" x14ac:dyDescent="0.3">
      <c r="A1005" s="116">
        <v>46183</v>
      </c>
      <c r="B1005" s="117" t="s">
        <v>2052</v>
      </c>
      <c r="C1005" s="121" t="s">
        <v>1240</v>
      </c>
      <c r="D1005" s="124" t="str">
        <f>IFERROR(VLOOKUP(C1005,SKUs!$A$6:$F$1971,6,FALSE()),"")</f>
        <v>CAMISETA FIO EGIPCIO FEM.</v>
      </c>
      <c r="E1005" s="121">
        <v>1</v>
      </c>
      <c r="F1005" s="125">
        <f>IFERROR(IF(OR(B1005="",E1005=""),"",E1005*VLOOKUP(B1005,Configurações!$I$5:$J$15,2,FALSE())),"")</f>
        <v>-1</v>
      </c>
      <c r="G1005" s="119" t="s">
        <v>1424</v>
      </c>
      <c r="H1005" s="121" t="s">
        <v>2059</v>
      </c>
      <c r="I1005" s="122" t="s">
        <v>2057</v>
      </c>
      <c r="J1005" s="121"/>
      <c r="K1005" s="123" t="s">
        <v>2051</v>
      </c>
      <c r="M1005" s="109" t="s">
        <v>1232</v>
      </c>
    </row>
    <row r="1006" spans="1:13" ht="14.25" hidden="1" customHeight="1" x14ac:dyDescent="0.3">
      <c r="A1006" s="116">
        <v>46183</v>
      </c>
      <c r="B1006" s="117" t="s">
        <v>2052</v>
      </c>
      <c r="C1006" s="121" t="s">
        <v>1240</v>
      </c>
      <c r="D1006" s="124" t="str">
        <f>IFERROR(VLOOKUP(C1006,SKUs!$A$6:$F$1971,6,FALSE()),"")</f>
        <v>CAMISETA FIO EGIPCIO FEM.</v>
      </c>
      <c r="E1006" s="121">
        <v>5</v>
      </c>
      <c r="F1006" s="125">
        <f>IFERROR(IF(OR(B1006="",E1006=""),"",E1006*VLOOKUP(B1006,Configurações!$I$5:$J$15,2,FALSE())),"")</f>
        <v>-5</v>
      </c>
      <c r="G1006" s="119" t="s">
        <v>1424</v>
      </c>
      <c r="H1006" s="121" t="s">
        <v>2059</v>
      </c>
      <c r="I1006" s="122" t="s">
        <v>2057</v>
      </c>
      <c r="J1006" s="121"/>
      <c r="K1006" s="123" t="s">
        <v>2051</v>
      </c>
      <c r="M1006" s="109" t="s">
        <v>1239</v>
      </c>
    </row>
    <row r="1007" spans="1:13" ht="14.25" hidden="1" customHeight="1" x14ac:dyDescent="0.3">
      <c r="A1007" s="116">
        <v>46183</v>
      </c>
      <c r="B1007" s="117" t="s">
        <v>2052</v>
      </c>
      <c r="C1007" s="121" t="s">
        <v>1241</v>
      </c>
      <c r="D1007" s="124" t="str">
        <f>IFERROR(VLOOKUP(C1007,SKUs!$A$6:$F$1971,6,FALSE()),"")</f>
        <v>CAMISETA FIO EGIPCIO FEM.</v>
      </c>
      <c r="E1007" s="121">
        <v>1</v>
      </c>
      <c r="F1007" s="125">
        <f>IFERROR(IF(OR(B1007="",E1007=""),"",E1007*VLOOKUP(B1007,Configurações!$I$5:$J$15,2,FALSE())),"")</f>
        <v>-1</v>
      </c>
      <c r="G1007" s="119" t="s">
        <v>1424</v>
      </c>
      <c r="H1007" s="121" t="s">
        <v>2059</v>
      </c>
      <c r="I1007" s="122" t="s">
        <v>2057</v>
      </c>
      <c r="J1007" s="121"/>
      <c r="K1007" s="123" t="s">
        <v>2051</v>
      </c>
      <c r="M1007" s="109" t="s">
        <v>1232</v>
      </c>
    </row>
    <row r="1008" spans="1:13" ht="14.25" hidden="1" customHeight="1" x14ac:dyDescent="0.3">
      <c r="A1008" s="116">
        <v>46183</v>
      </c>
      <c r="B1008" s="117" t="s">
        <v>2052</v>
      </c>
      <c r="C1008" s="121" t="s">
        <v>1241</v>
      </c>
      <c r="D1008" s="124" t="str">
        <f>IFERROR(VLOOKUP(C1008,SKUs!$A$6:$F$1971,6,FALSE()),"")</f>
        <v>CAMISETA FIO EGIPCIO FEM.</v>
      </c>
      <c r="E1008" s="121">
        <v>5</v>
      </c>
      <c r="F1008" s="125">
        <f>IFERROR(IF(OR(B1008="",E1008=""),"",E1008*VLOOKUP(B1008,Configurações!$I$5:$J$15,2,FALSE())),"")</f>
        <v>-5</v>
      </c>
      <c r="G1008" s="119" t="s">
        <v>1424</v>
      </c>
      <c r="H1008" s="121" t="s">
        <v>2059</v>
      </c>
      <c r="I1008" s="122" t="s">
        <v>2057</v>
      </c>
      <c r="J1008" s="121"/>
      <c r="K1008" s="123" t="s">
        <v>2051</v>
      </c>
      <c r="M1008" s="109" t="s">
        <v>1239</v>
      </c>
    </row>
    <row r="1009" spans="1:13" ht="14.25" hidden="1" customHeight="1" x14ac:dyDescent="0.3">
      <c r="A1009" s="116">
        <v>46183</v>
      </c>
      <c r="B1009" s="117" t="s">
        <v>2052</v>
      </c>
      <c r="C1009" s="121" t="s">
        <v>1242</v>
      </c>
      <c r="D1009" s="124" t="str">
        <f>IFERROR(VLOOKUP(C1009,SKUs!$A$6:$F$1971,6,FALSE()),"")</f>
        <v>CAMISETA ESPORTE MASC.</v>
      </c>
      <c r="E1009" s="121">
        <v>7</v>
      </c>
      <c r="F1009" s="125">
        <f>IFERROR(IF(OR(B1009="",E1009=""),"",E1009*VLOOKUP(B1009,Configurações!$I$5:$J$15,2,FALSE())),"")</f>
        <v>-7</v>
      </c>
      <c r="G1009" s="119" t="s">
        <v>1424</v>
      </c>
      <c r="H1009" s="121" t="s">
        <v>2059</v>
      </c>
      <c r="I1009" s="122" t="s">
        <v>2057</v>
      </c>
      <c r="J1009" s="121"/>
      <c r="K1009" s="123" t="s">
        <v>2051</v>
      </c>
      <c r="M1009" s="109" t="s">
        <v>1232</v>
      </c>
    </row>
    <row r="1010" spans="1:13" ht="14.25" hidden="1" customHeight="1" x14ac:dyDescent="0.3">
      <c r="A1010" s="116">
        <v>46183</v>
      </c>
      <c r="B1010" s="117" t="s">
        <v>2052</v>
      </c>
      <c r="C1010" s="121" t="s">
        <v>1244</v>
      </c>
      <c r="D1010" s="124" t="str">
        <f>IFERROR(VLOOKUP(C1010,SKUs!$A$6:$F$1971,6,FALSE()),"")</f>
        <v>CAMISETA ESPORTE MASC.</v>
      </c>
      <c r="E1010" s="121">
        <v>11</v>
      </c>
      <c r="F1010" s="125">
        <f>IFERROR(IF(OR(B1010="",E1010=""),"",E1010*VLOOKUP(B1010,Configurações!$I$5:$J$15,2,FALSE())),"")</f>
        <v>-11</v>
      </c>
      <c r="G1010" s="119" t="s">
        <v>1424</v>
      </c>
      <c r="H1010" s="121" t="s">
        <v>2059</v>
      </c>
      <c r="I1010" s="122" t="s">
        <v>2057</v>
      </c>
      <c r="J1010" s="121"/>
      <c r="K1010" s="123" t="s">
        <v>2051</v>
      </c>
      <c r="M1010" s="109" t="s">
        <v>1232</v>
      </c>
    </row>
    <row r="1011" spans="1:13" ht="14.25" hidden="1" customHeight="1" x14ac:dyDescent="0.3">
      <c r="A1011" s="116">
        <v>46183</v>
      </c>
      <c r="B1011" s="117" t="s">
        <v>2052</v>
      </c>
      <c r="C1011" s="121" t="s">
        <v>1245</v>
      </c>
      <c r="D1011" s="124" t="str">
        <f>IFERROR(VLOOKUP(C1011,SKUs!$A$6:$F$1971,6,FALSE()),"")</f>
        <v>CAMISETA ESPORTE MASC.</v>
      </c>
      <c r="E1011" s="121">
        <v>3</v>
      </c>
      <c r="F1011" s="125">
        <f>IFERROR(IF(OR(B1011="",E1011=""),"",E1011*VLOOKUP(B1011,Configurações!$I$5:$J$15,2,FALSE())),"")</f>
        <v>-3</v>
      </c>
      <c r="G1011" s="119" t="s">
        <v>1424</v>
      </c>
      <c r="H1011" s="121" t="s">
        <v>2059</v>
      </c>
      <c r="I1011" s="122" t="s">
        <v>2057</v>
      </c>
      <c r="J1011" s="121"/>
      <c r="K1011" s="123" t="s">
        <v>2051</v>
      </c>
      <c r="M1011" s="109" t="s">
        <v>1232</v>
      </c>
    </row>
    <row r="1012" spans="1:13" ht="14.25" hidden="1" customHeight="1" x14ac:dyDescent="0.3">
      <c r="A1012" s="116">
        <v>46183</v>
      </c>
      <c r="B1012" s="117" t="s">
        <v>2052</v>
      </c>
      <c r="C1012" s="121" t="s">
        <v>1246</v>
      </c>
      <c r="D1012" s="124" t="str">
        <f>IFERROR(VLOOKUP(C1012,SKUs!$A$6:$F$1971,6,FALSE()),"")</f>
        <v>LENÇO ECHARPE FEM</v>
      </c>
      <c r="E1012" s="121">
        <v>6</v>
      </c>
      <c r="F1012" s="125">
        <f>IFERROR(IF(OR(B1012="",E1012=""),"",E1012*VLOOKUP(B1012,Configurações!$I$5:$J$15,2,FALSE())),"")</f>
        <v>-6</v>
      </c>
      <c r="G1012" s="119" t="s">
        <v>1424</v>
      </c>
      <c r="H1012" s="121" t="s">
        <v>2059</v>
      </c>
      <c r="I1012" s="122" t="s">
        <v>2057</v>
      </c>
      <c r="J1012" s="121"/>
      <c r="K1012" s="123" t="s">
        <v>2051</v>
      </c>
      <c r="M1012" s="109" t="s">
        <v>1249</v>
      </c>
    </row>
    <row r="1013" spans="1:13" ht="14.25" hidden="1" customHeight="1" x14ac:dyDescent="0.3">
      <c r="A1013" s="116">
        <v>46183</v>
      </c>
      <c r="B1013" s="117" t="s">
        <v>2052</v>
      </c>
      <c r="C1013" s="121" t="s">
        <v>1250</v>
      </c>
      <c r="D1013" s="124" t="str">
        <f>IFERROR(VLOOKUP(C1013,SKUs!$A$6:$F$1971,6,FALSE()),"")</f>
        <v>LENÇO ECHARPE FEM</v>
      </c>
      <c r="E1013" s="121">
        <v>6</v>
      </c>
      <c r="F1013" s="125">
        <f>IFERROR(IF(OR(B1013="",E1013=""),"",E1013*VLOOKUP(B1013,Configurações!$I$5:$J$15,2,FALSE())),"")</f>
        <v>-6</v>
      </c>
      <c r="G1013" s="119" t="s">
        <v>1424</v>
      </c>
      <c r="H1013" s="121" t="s">
        <v>2059</v>
      </c>
      <c r="I1013" s="122" t="s">
        <v>2057</v>
      </c>
      <c r="J1013" s="121"/>
      <c r="K1013" s="123" t="s">
        <v>2051</v>
      </c>
      <c r="M1013" s="109" t="s">
        <v>1249</v>
      </c>
    </row>
    <row r="1014" spans="1:13" ht="14.25" hidden="1" customHeight="1" x14ac:dyDescent="0.3">
      <c r="A1014" s="116">
        <v>46183</v>
      </c>
      <c r="B1014" s="117" t="s">
        <v>2052</v>
      </c>
      <c r="C1014" s="121" t="s">
        <v>1252</v>
      </c>
      <c r="D1014" s="124" t="str">
        <f>IFERROR(VLOOKUP(C1014,SKUs!$A$6:$F$1971,6,FALSE()),"")</f>
        <v>LENÇO ECHARPE FEM</v>
      </c>
      <c r="E1014" s="121">
        <v>6</v>
      </c>
      <c r="F1014" s="125">
        <f>IFERROR(IF(OR(B1014="",E1014=""),"",E1014*VLOOKUP(B1014,Configurações!$I$5:$J$15,2,FALSE())),"")</f>
        <v>-6</v>
      </c>
      <c r="G1014" s="119" t="s">
        <v>1424</v>
      </c>
      <c r="H1014" s="121" t="s">
        <v>2059</v>
      </c>
      <c r="I1014" s="122" t="s">
        <v>2057</v>
      </c>
      <c r="J1014" s="121"/>
      <c r="K1014" s="123" t="s">
        <v>2051</v>
      </c>
      <c r="M1014" s="109" t="s">
        <v>1249</v>
      </c>
    </row>
    <row r="1015" spans="1:13" ht="14.25" hidden="1" customHeight="1" x14ac:dyDescent="0.3">
      <c r="A1015" s="116">
        <v>46183</v>
      </c>
      <c r="B1015" s="117" t="s">
        <v>2052</v>
      </c>
      <c r="C1015" s="121" t="s">
        <v>1253</v>
      </c>
      <c r="D1015" s="124" t="str">
        <f>IFERROR(VLOOKUP(C1015,SKUs!$A$6:$F$1971,6,FALSE()),"")</f>
        <v>LENÇO ECHARPE FEM</v>
      </c>
      <c r="E1015" s="121">
        <v>6</v>
      </c>
      <c r="F1015" s="125">
        <f>IFERROR(IF(OR(B1015="",E1015=""),"",E1015*VLOOKUP(B1015,Configurações!$I$5:$J$15,2,FALSE())),"")</f>
        <v>-6</v>
      </c>
      <c r="G1015" s="119" t="s">
        <v>1424</v>
      </c>
      <c r="H1015" s="121" t="s">
        <v>2059</v>
      </c>
      <c r="I1015" s="122" t="s">
        <v>2057</v>
      </c>
      <c r="J1015" s="121"/>
      <c r="K1015" s="123" t="s">
        <v>2051</v>
      </c>
      <c r="M1015" s="109" t="s">
        <v>1249</v>
      </c>
    </row>
    <row r="1016" spans="1:13" ht="14.25" hidden="1" customHeight="1" x14ac:dyDescent="0.3">
      <c r="A1016" s="116">
        <v>46183</v>
      </c>
      <c r="B1016" s="117" t="s">
        <v>2052</v>
      </c>
      <c r="C1016" s="121" t="s">
        <v>1265</v>
      </c>
      <c r="D1016" s="124" t="str">
        <f>IFERROR(VLOOKUP(C1016,SKUs!$A$6:$F$1971,6,FALSE()),"")</f>
        <v>SHORTS ESPORTE UNISSEX</v>
      </c>
      <c r="E1016" s="121">
        <v>5</v>
      </c>
      <c r="F1016" s="125">
        <f>IFERROR(IF(OR(B1016="",E1016=""),"",E1016*VLOOKUP(B1016,Configurações!$I$5:$J$15,2,FALSE())),"")</f>
        <v>-5</v>
      </c>
      <c r="G1016" s="119" t="s">
        <v>1424</v>
      </c>
      <c r="H1016" s="121" t="s">
        <v>2059</v>
      </c>
      <c r="I1016" s="122" t="s">
        <v>2057</v>
      </c>
      <c r="J1016" s="121"/>
      <c r="K1016" s="123" t="s">
        <v>2051</v>
      </c>
      <c r="M1016" s="109" t="s">
        <v>1268</v>
      </c>
    </row>
    <row r="1017" spans="1:13" ht="14.25" hidden="1" customHeight="1" x14ac:dyDescent="0.3">
      <c r="A1017" s="116">
        <v>46183</v>
      </c>
      <c r="B1017" s="117" t="s">
        <v>2052</v>
      </c>
      <c r="C1017" s="121" t="s">
        <v>1269</v>
      </c>
      <c r="D1017" s="124" t="str">
        <f>IFERROR(VLOOKUP(C1017,SKUs!$A$6:$F$1971,6,FALSE()),"")</f>
        <v>SHORTS ESPORTE UNISSEX</v>
      </c>
      <c r="E1017" s="121">
        <v>3</v>
      </c>
      <c r="F1017" s="125">
        <f>IFERROR(IF(OR(B1017="",E1017=""),"",E1017*VLOOKUP(B1017,Configurações!$I$5:$J$15,2,FALSE())),"")</f>
        <v>-3</v>
      </c>
      <c r="G1017" s="119" t="s">
        <v>1424</v>
      </c>
      <c r="H1017" s="121" t="s">
        <v>2059</v>
      </c>
      <c r="I1017" s="122" t="s">
        <v>2057</v>
      </c>
      <c r="J1017" s="121"/>
      <c r="K1017" s="123" t="s">
        <v>2051</v>
      </c>
      <c r="M1017" s="109" t="s">
        <v>1268</v>
      </c>
    </row>
    <row r="1018" spans="1:13" ht="14.25" hidden="1" customHeight="1" x14ac:dyDescent="0.3">
      <c r="A1018" s="116">
        <v>46183</v>
      </c>
      <c r="B1018" s="117" t="s">
        <v>2052</v>
      </c>
      <c r="C1018" s="121" t="s">
        <v>1270</v>
      </c>
      <c r="D1018" s="124" t="str">
        <f>IFERROR(VLOOKUP(C1018,SKUs!$A$6:$F$1971,6,FALSE()),"")</f>
        <v>SHORTS ESPORTE UNISSEX</v>
      </c>
      <c r="E1018" s="121">
        <v>4</v>
      </c>
      <c r="F1018" s="125">
        <f>IFERROR(IF(OR(B1018="",E1018=""),"",E1018*VLOOKUP(B1018,Configurações!$I$5:$J$15,2,FALSE())),"")</f>
        <v>-4</v>
      </c>
      <c r="G1018" s="119" t="s">
        <v>1424</v>
      </c>
      <c r="H1018" s="121" t="s">
        <v>2059</v>
      </c>
      <c r="I1018" s="122" t="s">
        <v>2057</v>
      </c>
      <c r="J1018" s="121"/>
      <c r="K1018" s="123" t="s">
        <v>2051</v>
      </c>
      <c r="M1018" s="109" t="s">
        <v>1268</v>
      </c>
    </row>
    <row r="1019" spans="1:13" ht="14.25" hidden="1" customHeight="1" x14ac:dyDescent="0.3">
      <c r="A1019" s="116">
        <v>46183</v>
      </c>
      <c r="B1019" s="117" t="s">
        <v>2052</v>
      </c>
      <c r="C1019" s="121" t="s">
        <v>1271</v>
      </c>
      <c r="D1019" s="124" t="str">
        <f>IFERROR(VLOOKUP(C1019,SKUs!$A$6:$F$1971,6,FALSE()),"")</f>
        <v>SHORTS ESPORTE UNISSEX</v>
      </c>
      <c r="E1019" s="121">
        <v>5</v>
      </c>
      <c r="F1019" s="125">
        <f>IFERROR(IF(OR(B1019="",E1019=""),"",E1019*VLOOKUP(B1019,Configurações!$I$5:$J$15,2,FALSE())),"")</f>
        <v>-5</v>
      </c>
      <c r="G1019" s="119" t="s">
        <v>1424</v>
      </c>
      <c r="H1019" s="121" t="s">
        <v>2059</v>
      </c>
      <c r="I1019" s="122" t="s">
        <v>2057</v>
      </c>
      <c r="J1019" s="121"/>
      <c r="K1019" s="123" t="s">
        <v>2051</v>
      </c>
      <c r="M1019" s="109" t="s">
        <v>1268</v>
      </c>
    </row>
    <row r="1020" spans="1:13" ht="14.25" hidden="1" customHeight="1" x14ac:dyDescent="0.3">
      <c r="A1020" s="116">
        <v>46183</v>
      </c>
      <c r="B1020" s="117" t="s">
        <v>2052</v>
      </c>
      <c r="C1020" s="121" t="s">
        <v>1272</v>
      </c>
      <c r="D1020" s="124" t="str">
        <f>IFERROR(VLOOKUP(C1020,SKUs!$A$6:$F$1971,6,FALSE()),"")</f>
        <v>SHORTS ESPORTE UNISSEX</v>
      </c>
      <c r="E1020" s="121">
        <v>4</v>
      </c>
      <c r="F1020" s="125">
        <f>IFERROR(IF(OR(B1020="",E1020=""),"",E1020*VLOOKUP(B1020,Configurações!$I$5:$J$15,2,FALSE())),"")</f>
        <v>-4</v>
      </c>
      <c r="G1020" s="119" t="s">
        <v>1424</v>
      </c>
      <c r="H1020" s="121" t="s">
        <v>2059</v>
      </c>
      <c r="I1020" s="122" t="s">
        <v>2057</v>
      </c>
      <c r="J1020" s="121"/>
      <c r="K1020" s="123" t="s">
        <v>2051</v>
      </c>
      <c r="M1020" s="109" t="s">
        <v>1268</v>
      </c>
    </row>
    <row r="1021" spans="1:13" ht="14.25" hidden="1" customHeight="1" x14ac:dyDescent="0.3">
      <c r="A1021" s="116">
        <v>46183</v>
      </c>
      <c r="B1021" s="117" t="s">
        <v>2052</v>
      </c>
      <c r="C1021" s="121" t="s">
        <v>1273</v>
      </c>
      <c r="D1021" s="124" t="str">
        <f>IFERROR(VLOOKUP(C1021,SKUs!$A$6:$F$1971,6,FALSE()),"")</f>
        <v>BERMUDA FEMININA BTG</v>
      </c>
      <c r="E1021" s="121">
        <v>10</v>
      </c>
      <c r="F1021" s="125">
        <f>IFERROR(IF(OR(B1021="",E1021=""),"",E1021*VLOOKUP(B1021,Configurações!$I$5:$J$15,2,FALSE())),"")</f>
        <v>-10</v>
      </c>
      <c r="G1021" s="119" t="s">
        <v>1424</v>
      </c>
      <c r="H1021" s="121" t="s">
        <v>2059</v>
      </c>
      <c r="I1021" s="122" t="s">
        <v>2057</v>
      </c>
      <c r="J1021" s="121"/>
      <c r="K1021" s="123" t="s">
        <v>2051</v>
      </c>
      <c r="M1021" s="109" t="s">
        <v>1276</v>
      </c>
    </row>
    <row r="1022" spans="1:13" ht="14.25" hidden="1" customHeight="1" x14ac:dyDescent="0.3">
      <c r="A1022" s="116">
        <v>46183</v>
      </c>
      <c r="B1022" s="117" t="s">
        <v>2052</v>
      </c>
      <c r="C1022" s="121" t="s">
        <v>1277</v>
      </c>
      <c r="D1022" s="124" t="str">
        <f>IFERROR(VLOOKUP(C1022,SKUs!$A$6:$F$1971,6,FALSE()),"")</f>
        <v>BERMUDA FEMININA BTG</v>
      </c>
      <c r="E1022" s="121">
        <v>10</v>
      </c>
      <c r="F1022" s="125">
        <f>IFERROR(IF(OR(B1022="",E1022=""),"",E1022*VLOOKUP(B1022,Configurações!$I$5:$J$15,2,FALSE())),"")</f>
        <v>-10</v>
      </c>
      <c r="G1022" s="119" t="s">
        <v>1424</v>
      </c>
      <c r="H1022" s="121" t="s">
        <v>2059</v>
      </c>
      <c r="I1022" s="122" t="s">
        <v>2057</v>
      </c>
      <c r="J1022" s="121"/>
      <c r="K1022" s="123" t="s">
        <v>2051</v>
      </c>
      <c r="M1022" s="109" t="s">
        <v>1268</v>
      </c>
    </row>
    <row r="1023" spans="1:13" ht="14.25" hidden="1" customHeight="1" x14ac:dyDescent="0.3">
      <c r="A1023" s="116">
        <v>46183</v>
      </c>
      <c r="B1023" s="117" t="s">
        <v>2052</v>
      </c>
      <c r="C1023" s="121" t="s">
        <v>1278</v>
      </c>
      <c r="D1023" s="124" t="str">
        <f>IFERROR(VLOOKUP(C1023,SKUs!$A$6:$F$1971,6,FALSE()),"")</f>
        <v>BERMUDA FEMININA BTG</v>
      </c>
      <c r="E1023" s="121">
        <v>10</v>
      </c>
      <c r="F1023" s="125">
        <f>IFERROR(IF(OR(B1023="",E1023=""),"",E1023*VLOOKUP(B1023,Configurações!$I$5:$J$15,2,FALSE())),"")</f>
        <v>-10</v>
      </c>
      <c r="G1023" s="119" t="s">
        <v>1424</v>
      </c>
      <c r="H1023" s="121" t="s">
        <v>2059</v>
      </c>
      <c r="I1023" s="122" t="s">
        <v>2057</v>
      </c>
      <c r="J1023" s="121"/>
      <c r="K1023" s="123" t="s">
        <v>2051</v>
      </c>
      <c r="M1023" s="109" t="s">
        <v>1268</v>
      </c>
    </row>
    <row r="1024" spans="1:13" ht="14.25" hidden="1" customHeight="1" x14ac:dyDescent="0.3">
      <c r="A1024" s="116">
        <v>46183</v>
      </c>
      <c r="B1024" s="117" t="s">
        <v>2052</v>
      </c>
      <c r="C1024" s="121" t="s">
        <v>1279</v>
      </c>
      <c r="D1024" s="124" t="str">
        <f>IFERROR(VLOOKUP(C1024,SKUs!$A$6:$F$1971,6,FALSE()),"")</f>
        <v>BERMUDA FEMININA BTG</v>
      </c>
      <c r="E1024" s="121">
        <v>10</v>
      </c>
      <c r="F1024" s="125">
        <f>IFERROR(IF(OR(B1024="",E1024=""),"",E1024*VLOOKUP(B1024,Configurações!$I$5:$J$15,2,FALSE())),"")</f>
        <v>-10</v>
      </c>
      <c r="G1024" s="119" t="s">
        <v>1424</v>
      </c>
      <c r="H1024" s="121" t="s">
        <v>2059</v>
      </c>
      <c r="I1024" s="122" t="s">
        <v>2057</v>
      </c>
      <c r="J1024" s="121"/>
      <c r="K1024" s="123" t="s">
        <v>2051</v>
      </c>
      <c r="M1024" s="109" t="s">
        <v>1276</v>
      </c>
    </row>
    <row r="1025" spans="1:13" ht="14.25" hidden="1" customHeight="1" x14ac:dyDescent="0.3">
      <c r="A1025" s="116">
        <v>46183</v>
      </c>
      <c r="B1025" s="117" t="s">
        <v>2052</v>
      </c>
      <c r="C1025" s="121" t="s">
        <v>1288</v>
      </c>
      <c r="D1025" s="124" t="str">
        <f>IFERROR(VLOOKUP(C1025,SKUs!$A$6:$F$1971,6,FALSE()),"")</f>
        <v>MANGUITO BIKE</v>
      </c>
      <c r="E1025" s="121">
        <v>4</v>
      </c>
      <c r="F1025" s="125">
        <f>IFERROR(IF(OR(B1025="",E1025=""),"",E1025*VLOOKUP(B1025,Configurações!$I$5:$J$15,2,FALSE())),"")</f>
        <v>-4</v>
      </c>
      <c r="G1025" s="119" t="s">
        <v>1424</v>
      </c>
      <c r="H1025" s="121" t="s">
        <v>2059</v>
      </c>
      <c r="I1025" s="122" t="s">
        <v>2057</v>
      </c>
      <c r="J1025" s="121"/>
      <c r="K1025" s="123" t="s">
        <v>2051</v>
      </c>
      <c r="M1025" s="109" t="s">
        <v>1284</v>
      </c>
    </row>
    <row r="1026" spans="1:13" ht="14.25" hidden="1" customHeight="1" x14ac:dyDescent="0.3">
      <c r="A1026" s="116">
        <v>46183</v>
      </c>
      <c r="B1026" s="117" t="s">
        <v>2052</v>
      </c>
      <c r="C1026" s="121" t="s">
        <v>1384</v>
      </c>
      <c r="D1026" s="124" t="str">
        <f>IFERROR(VLOOKUP(C1026,SKUs!$A$6:$F$1971,6,FALSE()),"")</f>
        <v>MANGUITO BIKE</v>
      </c>
      <c r="E1026" s="121">
        <v>6</v>
      </c>
      <c r="F1026" s="125">
        <f>IFERROR(IF(OR(B1026="",E1026=""),"",E1026*VLOOKUP(B1026,Configurações!$I$5:$J$15,2,FALSE())),"")</f>
        <v>-6</v>
      </c>
      <c r="G1026" s="119" t="s">
        <v>1424</v>
      </c>
      <c r="H1026" s="121" t="s">
        <v>2059</v>
      </c>
      <c r="I1026" s="122" t="s">
        <v>2057</v>
      </c>
      <c r="J1026" s="121"/>
      <c r="K1026" s="123" t="s">
        <v>2051</v>
      </c>
      <c r="M1026" s="109" t="s">
        <v>1380</v>
      </c>
    </row>
    <row r="1027" spans="1:13" ht="14.25" hidden="1" customHeight="1" x14ac:dyDescent="0.3">
      <c r="A1027" s="116">
        <v>46183</v>
      </c>
      <c r="B1027" s="117" t="s">
        <v>2052</v>
      </c>
      <c r="C1027" s="121" t="s">
        <v>1291</v>
      </c>
      <c r="D1027" s="124" t="str">
        <f>IFERROR(VLOOKUP(C1027,SKUs!$A$6:$F$1971,6,FALSE()),"")</f>
        <v>MANGUITO BIKE</v>
      </c>
      <c r="E1027" s="121">
        <v>1</v>
      </c>
      <c r="F1027" s="125">
        <f>IFERROR(IF(OR(B1027="",E1027=""),"",E1027*VLOOKUP(B1027,Configurações!$I$5:$J$15,2,FALSE())),"")</f>
        <v>-1</v>
      </c>
      <c r="G1027" s="119" t="s">
        <v>1424</v>
      </c>
      <c r="H1027" s="121" t="s">
        <v>2059</v>
      </c>
      <c r="I1027" s="122" t="s">
        <v>2057</v>
      </c>
      <c r="J1027" s="121"/>
      <c r="K1027" s="123" t="s">
        <v>2051</v>
      </c>
      <c r="M1027" s="109" t="s">
        <v>1284</v>
      </c>
    </row>
    <row r="1028" spans="1:13" ht="14.25" hidden="1" customHeight="1" x14ac:dyDescent="0.3">
      <c r="A1028" s="116">
        <v>46183</v>
      </c>
      <c r="B1028" s="117" t="s">
        <v>2052</v>
      </c>
      <c r="C1028" s="121" t="s">
        <v>1385</v>
      </c>
      <c r="D1028" s="124" t="str">
        <f>IFERROR(VLOOKUP(C1028,SKUs!$A$6:$F$1971,6,FALSE()),"")</f>
        <v>MANGUITO BIKE</v>
      </c>
      <c r="E1028" s="121">
        <v>7</v>
      </c>
      <c r="F1028" s="125">
        <f>IFERROR(IF(OR(B1028="",E1028=""),"",E1028*VLOOKUP(B1028,Configurações!$I$5:$J$15,2,FALSE())),"")</f>
        <v>-7</v>
      </c>
      <c r="G1028" s="119" t="s">
        <v>1424</v>
      </c>
      <c r="H1028" s="121" t="s">
        <v>2059</v>
      </c>
      <c r="I1028" s="122" t="s">
        <v>2057</v>
      </c>
      <c r="J1028" s="121"/>
      <c r="K1028" s="123" t="s">
        <v>2051</v>
      </c>
      <c r="M1028" s="109" t="s">
        <v>1380</v>
      </c>
    </row>
    <row r="1029" spans="1:13" ht="14.25" hidden="1" customHeight="1" x14ac:dyDescent="0.3">
      <c r="A1029" s="116">
        <v>46183</v>
      </c>
      <c r="B1029" s="117" t="s">
        <v>2052</v>
      </c>
      <c r="C1029" s="121" t="s">
        <v>1292</v>
      </c>
      <c r="D1029" s="124" t="str">
        <f>IFERROR(VLOOKUP(C1029,SKUs!$A$6:$F$1971,6,FALSE()),"")</f>
        <v>MANGUITO BIKE</v>
      </c>
      <c r="E1029" s="121">
        <v>1</v>
      </c>
      <c r="F1029" s="125">
        <f>IFERROR(IF(OR(B1029="",E1029=""),"",E1029*VLOOKUP(B1029,Configurações!$I$5:$J$15,2,FALSE())),"")</f>
        <v>-1</v>
      </c>
      <c r="G1029" s="119" t="s">
        <v>1424</v>
      </c>
      <c r="H1029" s="121" t="s">
        <v>2059</v>
      </c>
      <c r="I1029" s="122" t="s">
        <v>2057</v>
      </c>
      <c r="J1029" s="121"/>
      <c r="K1029" s="123" t="s">
        <v>2051</v>
      </c>
      <c r="M1029" s="109" t="s">
        <v>1284</v>
      </c>
    </row>
    <row r="1030" spans="1:13" ht="14.25" hidden="1" customHeight="1" x14ac:dyDescent="0.3">
      <c r="A1030" s="116">
        <v>46183</v>
      </c>
      <c r="B1030" s="117" t="s">
        <v>2052</v>
      </c>
      <c r="C1030" s="121" t="s">
        <v>1386</v>
      </c>
      <c r="D1030" s="124" t="str">
        <f>IFERROR(VLOOKUP(C1030,SKUs!$A$6:$F$1971,6,FALSE()),"")</f>
        <v>MANGUITO BIKE</v>
      </c>
      <c r="E1030" s="121">
        <v>11</v>
      </c>
      <c r="F1030" s="125">
        <f>IFERROR(IF(OR(B1030="",E1030=""),"",E1030*VLOOKUP(B1030,Configurações!$I$5:$J$15,2,FALSE())),"")</f>
        <v>-11</v>
      </c>
      <c r="G1030" s="119" t="s">
        <v>1424</v>
      </c>
      <c r="H1030" s="121" t="s">
        <v>2059</v>
      </c>
      <c r="I1030" s="122" t="s">
        <v>2057</v>
      </c>
      <c r="J1030" s="121"/>
      <c r="K1030" s="123" t="s">
        <v>2051</v>
      </c>
      <c r="M1030" s="109" t="s">
        <v>1380</v>
      </c>
    </row>
    <row r="1031" spans="1:13" ht="14.25" hidden="1" customHeight="1" x14ac:dyDescent="0.3">
      <c r="A1031" s="116">
        <v>46183</v>
      </c>
      <c r="B1031" s="117" t="s">
        <v>2052</v>
      </c>
      <c r="C1031" s="121" t="s">
        <v>1312</v>
      </c>
      <c r="D1031" s="124" t="str">
        <f>IFERROR(VLOOKUP(C1031,SKUs!$A$6:$F$1971,6,FALSE()),"")</f>
        <v>BONÉ ESTRUTURADO - BTG</v>
      </c>
      <c r="E1031" s="121">
        <v>33</v>
      </c>
      <c r="F1031" s="125">
        <f>IFERROR(IF(OR(B1031="",E1031=""),"",E1031*VLOOKUP(B1031,Configurações!$I$5:$J$15,2,FALSE())),"")</f>
        <v>-33</v>
      </c>
      <c r="G1031" s="119" t="s">
        <v>1424</v>
      </c>
      <c r="H1031" s="121" t="s">
        <v>2059</v>
      </c>
      <c r="I1031" s="122" t="s">
        <v>2057</v>
      </c>
      <c r="J1031" s="121"/>
      <c r="K1031" s="123" t="s">
        <v>2051</v>
      </c>
      <c r="M1031" s="109" t="s">
        <v>1205</v>
      </c>
    </row>
    <row r="1032" spans="1:13" ht="14.25" hidden="1" customHeight="1" x14ac:dyDescent="0.3">
      <c r="A1032" s="116">
        <v>46183</v>
      </c>
      <c r="B1032" s="117" t="s">
        <v>2052</v>
      </c>
      <c r="C1032" s="121" t="s">
        <v>1313</v>
      </c>
      <c r="D1032" s="124" t="str">
        <f>IFERROR(VLOOKUP(C1032,SKUs!$A$6:$F$1971,6,FALSE()),"")</f>
        <v>BONE BRIM - BTG</v>
      </c>
      <c r="E1032" s="121">
        <v>20</v>
      </c>
      <c r="F1032" s="125">
        <f>IFERROR(IF(OR(B1032="",E1032=""),"",E1032*VLOOKUP(B1032,Configurações!$I$5:$J$15,2,FALSE())),"")</f>
        <v>-20</v>
      </c>
      <c r="G1032" s="119" t="s">
        <v>1424</v>
      </c>
      <c r="H1032" s="121" t="s">
        <v>2059</v>
      </c>
      <c r="I1032" s="122" t="s">
        <v>2057</v>
      </c>
      <c r="J1032" s="121"/>
      <c r="K1032" s="123" t="s">
        <v>2051</v>
      </c>
      <c r="M1032" s="109" t="s">
        <v>1205</v>
      </c>
    </row>
    <row r="1033" spans="1:13" ht="14.25" hidden="1" customHeight="1" x14ac:dyDescent="0.3">
      <c r="A1033" s="116">
        <v>46183</v>
      </c>
      <c r="B1033" s="117" t="s">
        <v>2052</v>
      </c>
      <c r="C1033" s="121" t="s">
        <v>1323</v>
      </c>
      <c r="D1033" s="124" t="str">
        <f>IFERROR(VLOOKUP(C1033,SKUs!$A$6:$F$1971,6,FALSE()),"")</f>
        <v>GARRAFA PAN INOX</v>
      </c>
      <c r="E1033" s="121">
        <v>6</v>
      </c>
      <c r="F1033" s="125">
        <f>IFERROR(IF(OR(B1033="",E1033=""),"",E1033*VLOOKUP(B1033,Configurações!$I$5:$J$15,2,FALSE())),"")</f>
        <v>-6</v>
      </c>
      <c r="G1033" s="119" t="s">
        <v>1424</v>
      </c>
      <c r="H1033" s="121" t="s">
        <v>2059</v>
      </c>
      <c r="I1033" s="122" t="s">
        <v>2057</v>
      </c>
      <c r="J1033" s="121"/>
      <c r="K1033" s="123" t="s">
        <v>2051</v>
      </c>
      <c r="M1033" s="109" t="s">
        <v>1325</v>
      </c>
    </row>
    <row r="1034" spans="1:13" ht="14.25" hidden="1" customHeight="1" x14ac:dyDescent="0.3">
      <c r="A1034" s="116">
        <v>46183</v>
      </c>
      <c r="B1034" s="117" t="s">
        <v>2052</v>
      </c>
      <c r="C1034" s="121" t="s">
        <v>1326</v>
      </c>
      <c r="D1034" s="124" t="str">
        <f>IFERROR(VLOOKUP(C1034,SKUs!$A$6:$F$1971,6,FALSE()),"")</f>
        <v>CANECA TREMICA FOKUS</v>
      </c>
      <c r="E1034" s="121">
        <v>9</v>
      </c>
      <c r="F1034" s="125">
        <f>IFERROR(IF(OR(B1034="",E1034=""),"",E1034*VLOOKUP(B1034,Configurações!$I$5:$J$15,2,FALSE())),"")</f>
        <v>-9</v>
      </c>
      <c r="G1034" s="119" t="s">
        <v>1424</v>
      </c>
      <c r="H1034" s="121" t="s">
        <v>2059</v>
      </c>
      <c r="I1034" s="122" t="s">
        <v>2057</v>
      </c>
      <c r="J1034" s="121"/>
      <c r="K1034" s="123" t="s">
        <v>2051</v>
      </c>
      <c r="M1034" s="109" t="s">
        <v>1325</v>
      </c>
    </row>
    <row r="1035" spans="1:13" ht="14.25" hidden="1" customHeight="1" x14ac:dyDescent="0.3">
      <c r="A1035" s="116">
        <v>46183</v>
      </c>
      <c r="B1035" s="117" t="s">
        <v>2052</v>
      </c>
      <c r="C1035" s="121" t="s">
        <v>1336</v>
      </c>
      <c r="D1035" s="124" t="str">
        <f>IFERROR(VLOOKUP(C1035,SKUs!$A$6:$F$1971,6,FALSE()),"")</f>
        <v>CAMISETA FIO EGIPCIO FEM.</v>
      </c>
      <c r="E1035" s="121">
        <v>5</v>
      </c>
      <c r="F1035" s="125">
        <f>IFERROR(IF(OR(B1035="",E1035=""),"",E1035*VLOOKUP(B1035,Configurações!$I$5:$J$15,2,FALSE())),"")</f>
        <v>-5</v>
      </c>
      <c r="G1035" s="119" t="s">
        <v>1424</v>
      </c>
      <c r="H1035" s="121" t="s">
        <v>2059</v>
      </c>
      <c r="I1035" s="122" t="s">
        <v>2057</v>
      </c>
      <c r="J1035" s="121"/>
      <c r="K1035" s="123" t="s">
        <v>2051</v>
      </c>
      <c r="M1035" s="109" t="s">
        <v>1239</v>
      </c>
    </row>
    <row r="1036" spans="1:13" ht="14.25" hidden="1" customHeight="1" x14ac:dyDescent="0.3">
      <c r="A1036" s="116">
        <v>46183</v>
      </c>
      <c r="B1036" s="117" t="s">
        <v>2052</v>
      </c>
      <c r="C1036" s="121" t="s">
        <v>1647</v>
      </c>
      <c r="D1036" s="124" t="str">
        <f>IFERROR(VLOOKUP(C1036,SKUs!$A$6:$F$1971,6,FALSE()),"")</f>
        <v>CAMISETA FIO EGIPCIO FEM.</v>
      </c>
      <c r="E1036" s="121">
        <v>3</v>
      </c>
      <c r="F1036" s="125">
        <f>IFERROR(IF(OR(B1036="",E1036=""),"",E1036*VLOOKUP(B1036,Configurações!$I$5:$J$15,2,FALSE())),"")</f>
        <v>-3</v>
      </c>
      <c r="G1036" s="119" t="s">
        <v>1424</v>
      </c>
      <c r="H1036" s="121" t="s">
        <v>2059</v>
      </c>
      <c r="I1036" s="122" t="s">
        <v>2057</v>
      </c>
      <c r="J1036" s="121"/>
      <c r="K1036" s="123" t="s">
        <v>2051</v>
      </c>
      <c r="M1036" s="109" t="s">
        <v>1648</v>
      </c>
    </row>
    <row r="1037" spans="1:13" ht="14.25" hidden="1" customHeight="1" x14ac:dyDescent="0.3">
      <c r="A1037" s="116">
        <v>46183</v>
      </c>
      <c r="B1037" s="117" t="s">
        <v>2052</v>
      </c>
      <c r="C1037" s="121" t="s">
        <v>1337</v>
      </c>
      <c r="D1037" s="124" t="str">
        <f>IFERROR(VLOOKUP(C1037,SKUs!$A$6:$F$1971,6,FALSE()),"")</f>
        <v>CAMISETA FIO EGIPCIO FEM.</v>
      </c>
      <c r="E1037" s="121">
        <v>5</v>
      </c>
      <c r="F1037" s="125">
        <f>IFERROR(IF(OR(B1037="",E1037=""),"",E1037*VLOOKUP(B1037,Configurações!$I$5:$J$15,2,FALSE())),"")</f>
        <v>-5</v>
      </c>
      <c r="G1037" s="119" t="s">
        <v>1424</v>
      </c>
      <c r="H1037" s="121" t="s">
        <v>2059</v>
      </c>
      <c r="I1037" s="122" t="s">
        <v>2057</v>
      </c>
      <c r="J1037" s="121"/>
      <c r="K1037" s="123" t="s">
        <v>2051</v>
      </c>
      <c r="M1037" s="109" t="s">
        <v>1239</v>
      </c>
    </row>
    <row r="1038" spans="1:13" ht="14.25" hidden="1" customHeight="1" x14ac:dyDescent="0.3">
      <c r="A1038" s="116">
        <v>46183</v>
      </c>
      <c r="B1038" s="117" t="s">
        <v>2052</v>
      </c>
      <c r="C1038" s="121" t="s">
        <v>1338</v>
      </c>
      <c r="D1038" s="124" t="str">
        <f>IFERROR(VLOOKUP(C1038,SKUs!$A$6:$F$1971,6,FALSE()),"")</f>
        <v>CAMISETA FIO EGIPCIO FEM.</v>
      </c>
      <c r="E1038" s="121">
        <v>5</v>
      </c>
      <c r="F1038" s="125">
        <f>IFERROR(IF(OR(B1038="",E1038=""),"",E1038*VLOOKUP(B1038,Configurações!$I$5:$J$15,2,FALSE())),"")</f>
        <v>-5</v>
      </c>
      <c r="G1038" s="119" t="s">
        <v>1424</v>
      </c>
      <c r="H1038" s="121" t="s">
        <v>2059</v>
      </c>
      <c r="I1038" s="122" t="s">
        <v>2057</v>
      </c>
      <c r="J1038" s="121"/>
      <c r="K1038" s="123" t="s">
        <v>2051</v>
      </c>
      <c r="M1038" s="109" t="s">
        <v>1239</v>
      </c>
    </row>
    <row r="1039" spans="1:13" ht="14.25" hidden="1" customHeight="1" x14ac:dyDescent="0.3">
      <c r="A1039" s="116">
        <v>46183</v>
      </c>
      <c r="B1039" s="117" t="s">
        <v>2052</v>
      </c>
      <c r="C1039" s="121" t="s">
        <v>1339</v>
      </c>
      <c r="D1039" s="124" t="str">
        <f>IFERROR(VLOOKUP(C1039,SKUs!$A$6:$F$1971,6,FALSE()),"")</f>
        <v>CAMISETA FIO EGIPCIO FEM.</v>
      </c>
      <c r="E1039" s="121">
        <v>5</v>
      </c>
      <c r="F1039" s="125">
        <f>IFERROR(IF(OR(B1039="",E1039=""),"",E1039*VLOOKUP(B1039,Configurações!$I$5:$J$15,2,FALSE())),"")</f>
        <v>-5</v>
      </c>
      <c r="G1039" s="119" t="s">
        <v>1424</v>
      </c>
      <c r="H1039" s="121" t="s">
        <v>2059</v>
      </c>
      <c r="I1039" s="122" t="s">
        <v>2057</v>
      </c>
      <c r="J1039" s="121"/>
      <c r="K1039" s="123" t="s">
        <v>2051</v>
      </c>
      <c r="M1039" s="109" t="s">
        <v>1239</v>
      </c>
    </row>
    <row r="1040" spans="1:13" ht="14.25" hidden="1" customHeight="1" x14ac:dyDescent="0.3">
      <c r="A1040" s="116">
        <v>46183</v>
      </c>
      <c r="B1040" s="117" t="s">
        <v>2052</v>
      </c>
      <c r="C1040" s="121" t="s">
        <v>1340</v>
      </c>
      <c r="D1040" s="124" t="str">
        <f>IFERROR(VLOOKUP(C1040,SKUs!$A$6:$F$1971,6,FALSE()),"")</f>
        <v>CAMISETA FIO EGIPCIO FEM.</v>
      </c>
      <c r="E1040" s="121">
        <v>2</v>
      </c>
      <c r="F1040" s="125">
        <f>IFERROR(IF(OR(B1040="",E1040=""),"",E1040*VLOOKUP(B1040,Configurações!$I$5:$J$15,2,FALSE())),"")</f>
        <v>-2</v>
      </c>
      <c r="G1040" s="119" t="s">
        <v>1424</v>
      </c>
      <c r="H1040" s="121" t="s">
        <v>2059</v>
      </c>
      <c r="I1040" s="122" t="s">
        <v>2057</v>
      </c>
      <c r="J1040" s="121"/>
      <c r="K1040" s="123" t="s">
        <v>2051</v>
      </c>
      <c r="M1040" s="109" t="s">
        <v>1239</v>
      </c>
    </row>
    <row r="1041" spans="1:13" ht="14.25" hidden="1" customHeight="1" x14ac:dyDescent="0.3">
      <c r="A1041" s="116">
        <v>46183</v>
      </c>
      <c r="B1041" s="117" t="s">
        <v>2052</v>
      </c>
      <c r="C1041" s="121" t="s">
        <v>1341</v>
      </c>
      <c r="D1041" s="124" t="str">
        <f>IFERROR(VLOOKUP(C1041,SKUs!$A$6:$F$1971,6,FALSE()),"")</f>
        <v>CAMISETA FIO EGIPCIO FEM.</v>
      </c>
      <c r="E1041" s="121">
        <v>6</v>
      </c>
      <c r="F1041" s="125">
        <f>IFERROR(IF(OR(B1041="",E1041=""),"",E1041*VLOOKUP(B1041,Configurações!$I$5:$J$15,2,FALSE())),"")</f>
        <v>-6</v>
      </c>
      <c r="G1041" s="119" t="s">
        <v>1424</v>
      </c>
      <c r="H1041" s="121" t="s">
        <v>2059</v>
      </c>
      <c r="I1041" s="122" t="s">
        <v>2057</v>
      </c>
      <c r="J1041" s="121"/>
      <c r="K1041" s="123" t="s">
        <v>2051</v>
      </c>
      <c r="M1041" s="109" t="s">
        <v>1239</v>
      </c>
    </row>
    <row r="1042" spans="1:13" ht="14.25" hidden="1" customHeight="1" x14ac:dyDescent="0.3">
      <c r="A1042" s="116">
        <v>46183</v>
      </c>
      <c r="B1042" s="117" t="s">
        <v>2052</v>
      </c>
      <c r="C1042" s="121" t="s">
        <v>1342</v>
      </c>
      <c r="D1042" s="124" t="str">
        <f>IFERROR(VLOOKUP(C1042,SKUs!$A$6:$F$1971,6,FALSE()),"")</f>
        <v>CAMISETA FIO EGIPCIO FEM.</v>
      </c>
      <c r="E1042" s="121">
        <v>6</v>
      </c>
      <c r="F1042" s="125">
        <f>IFERROR(IF(OR(B1042="",E1042=""),"",E1042*VLOOKUP(B1042,Configurações!$I$5:$J$15,2,FALSE())),"")</f>
        <v>-6</v>
      </c>
      <c r="G1042" s="119" t="s">
        <v>1424</v>
      </c>
      <c r="H1042" s="121" t="s">
        <v>2059</v>
      </c>
      <c r="I1042" s="122" t="s">
        <v>2057</v>
      </c>
      <c r="J1042" s="121"/>
      <c r="K1042" s="123" t="s">
        <v>2051</v>
      </c>
      <c r="M1042" s="109" t="s">
        <v>1239</v>
      </c>
    </row>
    <row r="1043" spans="1:13" ht="14.25" hidden="1" customHeight="1" x14ac:dyDescent="0.3">
      <c r="A1043" s="116">
        <v>46183</v>
      </c>
      <c r="B1043" s="117" t="s">
        <v>2052</v>
      </c>
      <c r="C1043" s="121" t="s">
        <v>1347</v>
      </c>
      <c r="D1043" s="124" t="str">
        <f>IFERROR(VLOOKUP(C1043,SKUs!$A$6:$F$1971,6,FALSE()),"")</f>
        <v>PORTA CARTÃO - COURO</v>
      </c>
      <c r="E1043" s="121">
        <v>5</v>
      </c>
      <c r="F1043" s="125">
        <f>IFERROR(IF(OR(B1043="",E1043=""),"",E1043*VLOOKUP(B1043,Configurações!$I$5:$J$15,2,FALSE())),"")</f>
        <v>-5</v>
      </c>
      <c r="G1043" s="119" t="s">
        <v>1424</v>
      </c>
      <c r="H1043" s="121" t="s">
        <v>2059</v>
      </c>
      <c r="I1043" s="122" t="s">
        <v>2057</v>
      </c>
      <c r="J1043" s="121"/>
      <c r="K1043" s="123" t="s">
        <v>2051</v>
      </c>
      <c r="M1043" s="109" t="s">
        <v>1177</v>
      </c>
    </row>
    <row r="1044" spans="1:13" ht="14.25" hidden="1" customHeight="1" x14ac:dyDescent="0.3">
      <c r="A1044" s="116">
        <v>46183</v>
      </c>
      <c r="B1044" s="117" t="s">
        <v>2052</v>
      </c>
      <c r="C1044" s="121" t="s">
        <v>1353</v>
      </c>
      <c r="D1044" s="124" t="str">
        <f>IFERROR(VLOOKUP(C1044,SKUs!$A$6:$F$1971,6,FALSE()),"")</f>
        <v>PORTA PASSAPORTE + TAG MALA</v>
      </c>
      <c r="E1044" s="121">
        <v>11</v>
      </c>
      <c r="F1044" s="125">
        <f>IFERROR(IF(OR(B1044="",E1044=""),"",E1044*VLOOKUP(B1044,Configurações!$I$5:$J$15,2,FALSE())),"")</f>
        <v>-11</v>
      </c>
      <c r="G1044" s="119" t="s">
        <v>1424</v>
      </c>
      <c r="H1044" s="121" t="s">
        <v>2059</v>
      </c>
      <c r="I1044" s="122" t="s">
        <v>2057</v>
      </c>
      <c r="J1044" s="121"/>
      <c r="K1044" s="123" t="s">
        <v>2051</v>
      </c>
      <c r="M1044" s="109" t="s">
        <v>1177</v>
      </c>
    </row>
    <row r="1045" spans="1:13" ht="14.25" hidden="1" customHeight="1" x14ac:dyDescent="0.3">
      <c r="A1045" s="116">
        <v>46183</v>
      </c>
      <c r="B1045" s="117" t="s">
        <v>2052</v>
      </c>
      <c r="C1045" s="121" t="s">
        <v>1354</v>
      </c>
      <c r="D1045" s="124" t="str">
        <f>IFERROR(VLOOKUP(C1045,SKUs!$A$6:$F$1971,6,FALSE()),"")</f>
        <v>BOLSINHA DE MÃO EM COURO</v>
      </c>
      <c r="E1045" s="121">
        <v>15</v>
      </c>
      <c r="F1045" s="125">
        <f>IFERROR(IF(OR(B1045="",E1045=""),"",E1045*VLOOKUP(B1045,Configurações!$I$5:$J$15,2,FALSE())),"")</f>
        <v>-15</v>
      </c>
      <c r="G1045" s="119" t="s">
        <v>1424</v>
      </c>
      <c r="H1045" s="121" t="s">
        <v>2059</v>
      </c>
      <c r="I1045" s="122" t="s">
        <v>2057</v>
      </c>
      <c r="J1045" s="121"/>
      <c r="K1045" s="123" t="s">
        <v>2051</v>
      </c>
      <c r="M1045" s="109" t="s">
        <v>1177</v>
      </c>
    </row>
    <row r="1046" spans="1:13" ht="14.25" hidden="1" customHeight="1" x14ac:dyDescent="0.3">
      <c r="A1046" s="116">
        <v>46183</v>
      </c>
      <c r="B1046" s="117" t="s">
        <v>2052</v>
      </c>
      <c r="C1046" s="121" t="s">
        <v>1357</v>
      </c>
      <c r="D1046" s="124" t="str">
        <f>IFERROR(VLOOKUP(C1046,SKUs!$A$6:$F$1971,6,FALSE()),"")</f>
        <v>BOLSINHA DE MÃO EM COURO</v>
      </c>
      <c r="E1046" s="121">
        <v>20</v>
      </c>
      <c r="F1046" s="125">
        <f>IFERROR(IF(OR(B1046="",E1046=""),"",E1046*VLOOKUP(B1046,Configurações!$I$5:$J$15,2,FALSE())),"")</f>
        <v>-20</v>
      </c>
      <c r="G1046" s="119" t="s">
        <v>1424</v>
      </c>
      <c r="H1046" s="121" t="s">
        <v>2059</v>
      </c>
      <c r="I1046" s="122" t="s">
        <v>2057</v>
      </c>
      <c r="J1046" s="121"/>
      <c r="K1046" s="123" t="s">
        <v>2051</v>
      </c>
      <c r="M1046" s="109" t="s">
        <v>1177</v>
      </c>
    </row>
    <row r="1047" spans="1:13" ht="14.25" hidden="1" customHeight="1" x14ac:dyDescent="0.3">
      <c r="A1047" s="116">
        <v>46183</v>
      </c>
      <c r="B1047" s="117" t="s">
        <v>2052</v>
      </c>
      <c r="C1047" s="121" t="s">
        <v>1377</v>
      </c>
      <c r="D1047" s="124" t="str">
        <f>IFERROR(VLOOKUP(C1047,SKUs!$A$6:$F$1971,6,FALSE()),"")</f>
        <v>LEGGING BTG</v>
      </c>
      <c r="E1047" s="121">
        <v>5</v>
      </c>
      <c r="F1047" s="125">
        <f>IFERROR(IF(OR(B1047="",E1047=""),"",E1047*VLOOKUP(B1047,Configurações!$I$5:$J$15,2,FALSE())),"")</f>
        <v>-5</v>
      </c>
      <c r="G1047" s="119" t="s">
        <v>1424</v>
      </c>
      <c r="H1047" s="121" t="s">
        <v>2059</v>
      </c>
      <c r="I1047" s="122" t="s">
        <v>2057</v>
      </c>
      <c r="J1047" s="121"/>
      <c r="K1047" s="123" t="s">
        <v>2051</v>
      </c>
      <c r="M1047" s="109" t="s">
        <v>1380</v>
      </c>
    </row>
    <row r="1048" spans="1:13" ht="14.25" hidden="1" customHeight="1" x14ac:dyDescent="0.3">
      <c r="A1048" s="116">
        <v>46183</v>
      </c>
      <c r="B1048" s="117" t="s">
        <v>2052</v>
      </c>
      <c r="C1048" s="121" t="s">
        <v>1712</v>
      </c>
      <c r="D1048" s="124" t="str">
        <f>IFERROR(VLOOKUP(C1048,SKUs!$A$6:$F$1971,6,FALSE()),"")</f>
        <v>LEGGING BTG</v>
      </c>
      <c r="E1048" s="121">
        <v>10</v>
      </c>
      <c r="F1048" s="125">
        <f>IFERROR(IF(OR(B1048="",E1048=""),"",E1048*VLOOKUP(B1048,Configurações!$I$5:$J$15,2,FALSE())),"")</f>
        <v>-10</v>
      </c>
      <c r="G1048" s="119" t="s">
        <v>1424</v>
      </c>
      <c r="H1048" s="121" t="s">
        <v>2059</v>
      </c>
      <c r="I1048" s="122" t="s">
        <v>2057</v>
      </c>
      <c r="J1048" s="121"/>
      <c r="K1048" s="123" t="s">
        <v>2051</v>
      </c>
      <c r="M1048" s="109" t="s">
        <v>1380</v>
      </c>
    </row>
    <row r="1049" spans="1:13" ht="14.25" hidden="1" customHeight="1" x14ac:dyDescent="0.3">
      <c r="A1049" s="116">
        <v>46183</v>
      </c>
      <c r="B1049" s="117" t="s">
        <v>2052</v>
      </c>
      <c r="C1049" s="121" t="s">
        <v>1382</v>
      </c>
      <c r="D1049" s="124" t="str">
        <f>IFERROR(VLOOKUP(C1049,SKUs!$A$6:$F$1971,6,FALSE()),"")</f>
        <v>LEGGING BTG</v>
      </c>
      <c r="E1049" s="121">
        <v>5</v>
      </c>
      <c r="F1049" s="125">
        <f>IFERROR(IF(OR(B1049="",E1049=""),"",E1049*VLOOKUP(B1049,Configurações!$I$5:$J$15,2,FALSE())),"")</f>
        <v>-5</v>
      </c>
      <c r="G1049" s="119" t="s">
        <v>1424</v>
      </c>
      <c r="H1049" s="121" t="s">
        <v>2059</v>
      </c>
      <c r="I1049" s="122" t="s">
        <v>2057</v>
      </c>
      <c r="J1049" s="121"/>
      <c r="K1049" s="123" t="s">
        <v>2051</v>
      </c>
      <c r="M1049" s="109" t="s">
        <v>1380</v>
      </c>
    </row>
    <row r="1050" spans="1:13" ht="14.25" hidden="1" customHeight="1" x14ac:dyDescent="0.3">
      <c r="A1050" s="116">
        <v>46183</v>
      </c>
      <c r="B1050" s="117" t="s">
        <v>2052</v>
      </c>
      <c r="C1050" s="121" t="s">
        <v>1383</v>
      </c>
      <c r="D1050" s="124" t="str">
        <f>IFERROR(VLOOKUP(C1050,SKUs!$A$6:$F$1971,6,FALSE()),"")</f>
        <v>LEGGING BTG</v>
      </c>
      <c r="E1050" s="121">
        <v>3</v>
      </c>
      <c r="F1050" s="125">
        <f>IFERROR(IF(OR(B1050="",E1050=""),"",E1050*VLOOKUP(B1050,Configurações!$I$5:$J$15,2,FALSE())),"")</f>
        <v>-3</v>
      </c>
      <c r="G1050" s="119" t="s">
        <v>1424</v>
      </c>
      <c r="H1050" s="121" t="s">
        <v>2059</v>
      </c>
      <c r="I1050" s="122" t="s">
        <v>2057</v>
      </c>
      <c r="J1050" s="121"/>
      <c r="K1050" s="123" t="s">
        <v>2051</v>
      </c>
      <c r="M1050" s="109" t="s">
        <v>1380</v>
      </c>
    </row>
    <row r="1051" spans="1:13" ht="14.25" hidden="1" customHeight="1" x14ac:dyDescent="0.3">
      <c r="A1051" s="116">
        <v>46183</v>
      </c>
      <c r="B1051" s="117" t="s">
        <v>2052</v>
      </c>
      <c r="C1051" s="121" t="s">
        <v>1390</v>
      </c>
      <c r="D1051" s="124" t="str">
        <f>IFERROR(VLOOKUP(C1051,SKUs!$A$6:$F$1971,6,FALSE()),"")</f>
        <v>MANEQUIM CRIANÇA</v>
      </c>
      <c r="E1051" s="121">
        <v>1</v>
      </c>
      <c r="F1051" s="125">
        <f>IFERROR(IF(OR(B1051="",E1051=""),"",E1051*VLOOKUP(B1051,Configurações!$I$5:$J$15,2,FALSE())),"")</f>
        <v>-1</v>
      </c>
      <c r="G1051" s="119" t="s">
        <v>1424</v>
      </c>
      <c r="H1051" s="121" t="s">
        <v>2059</v>
      </c>
      <c r="I1051" s="122" t="s">
        <v>2057</v>
      </c>
      <c r="J1051" s="121"/>
      <c r="K1051" s="123" t="s">
        <v>2051</v>
      </c>
      <c r="M1051" s="109" t="s">
        <v>1005</v>
      </c>
    </row>
    <row r="1052" spans="1:13" ht="14.25" hidden="1" customHeight="1" x14ac:dyDescent="0.3">
      <c r="A1052" s="116">
        <v>46183</v>
      </c>
      <c r="B1052" s="117" t="s">
        <v>2052</v>
      </c>
      <c r="C1052" s="121" t="s">
        <v>1393</v>
      </c>
      <c r="D1052" s="124" t="str">
        <f>IFERROR(VLOOKUP(C1052,SKUs!$A$6:$F$1971,6,FALSE()),"")</f>
        <v>MANEQUIM MULHER</v>
      </c>
      <c r="E1052" s="121">
        <v>3</v>
      </c>
      <c r="F1052" s="125">
        <f>IFERROR(IF(OR(B1052="",E1052=""),"",E1052*VLOOKUP(B1052,Configurações!$I$5:$J$15,2,FALSE())),"")</f>
        <v>-3</v>
      </c>
      <c r="G1052" s="119" t="s">
        <v>1424</v>
      </c>
      <c r="H1052" s="121" t="s">
        <v>2059</v>
      </c>
      <c r="I1052" s="122" t="s">
        <v>2057</v>
      </c>
      <c r="J1052" s="121"/>
      <c r="K1052" s="123" t="s">
        <v>2051</v>
      </c>
      <c r="M1052" s="109" t="s">
        <v>1005</v>
      </c>
    </row>
    <row r="1053" spans="1:13" ht="14.25" hidden="1" customHeight="1" x14ac:dyDescent="0.3">
      <c r="A1053" s="116">
        <v>46183</v>
      </c>
      <c r="B1053" s="117" t="s">
        <v>2052</v>
      </c>
      <c r="C1053" s="121" t="s">
        <v>1395</v>
      </c>
      <c r="D1053" s="124" t="str">
        <f>IFERROR(VLOOKUP(C1053,SKUs!$A$6:$F$1971,6,FALSE()),"")</f>
        <v>MANEQUIM MASCULINO</v>
      </c>
      <c r="E1053" s="121">
        <v>2</v>
      </c>
      <c r="F1053" s="125">
        <f>IFERROR(IF(OR(B1053="",E1053=""),"",E1053*VLOOKUP(B1053,Configurações!$I$5:$J$15,2,FALSE())),"")</f>
        <v>-2</v>
      </c>
      <c r="G1053" s="119" t="s">
        <v>1424</v>
      </c>
      <c r="H1053" s="121" t="s">
        <v>2059</v>
      </c>
      <c r="I1053" s="122" t="s">
        <v>2057</v>
      </c>
      <c r="J1053" s="121"/>
      <c r="K1053" s="123" t="s">
        <v>2051</v>
      </c>
      <c r="M1053" s="109" t="s">
        <v>1005</v>
      </c>
    </row>
    <row r="1054" spans="1:13" ht="14.25" hidden="1" customHeight="1" x14ac:dyDescent="0.3">
      <c r="A1054" s="116">
        <v>46183</v>
      </c>
      <c r="B1054" s="117" t="s">
        <v>2052</v>
      </c>
      <c r="C1054" s="121" t="s">
        <v>1456</v>
      </c>
      <c r="D1054" s="124" t="str">
        <f>IFERROR(VLOOKUP(C1054,SKUs!$A$6:$F$1971,6,FALSE()),"")</f>
        <v>POLO BASICA MASC.</v>
      </c>
      <c r="E1054" s="121">
        <v>25</v>
      </c>
      <c r="F1054" s="125">
        <f>IFERROR(IF(OR(B1054="",E1054=""),"",E1054*VLOOKUP(B1054,Configurações!$I$5:$J$15,2,FALSE())),"")</f>
        <v>-25</v>
      </c>
      <c r="G1054" s="119" t="s">
        <v>1424</v>
      </c>
      <c r="H1054" s="121" t="s">
        <v>2059</v>
      </c>
      <c r="I1054" s="122" t="s">
        <v>2057</v>
      </c>
      <c r="J1054" s="121"/>
      <c r="K1054" s="123" t="s">
        <v>2051</v>
      </c>
      <c r="M1054" s="109" t="s">
        <v>1458</v>
      </c>
    </row>
    <row r="1055" spans="1:13" ht="14.25" hidden="1" customHeight="1" x14ac:dyDescent="0.3">
      <c r="A1055" s="116">
        <v>46183</v>
      </c>
      <c r="B1055" s="117" t="s">
        <v>2052</v>
      </c>
      <c r="C1055" s="121" t="s">
        <v>1459</v>
      </c>
      <c r="D1055" s="124" t="str">
        <f>IFERROR(VLOOKUP(C1055,SKUs!$A$6:$F$1971,6,FALSE()),"")</f>
        <v>POLO BASICA FEM.</v>
      </c>
      <c r="E1055" s="121">
        <v>25</v>
      </c>
      <c r="F1055" s="125">
        <f>IFERROR(IF(OR(B1055="",E1055=""),"",E1055*VLOOKUP(B1055,Configurações!$I$5:$J$15,2,FALSE())),"")</f>
        <v>-25</v>
      </c>
      <c r="G1055" s="119" t="s">
        <v>1424</v>
      </c>
      <c r="H1055" s="121" t="s">
        <v>2059</v>
      </c>
      <c r="I1055" s="122" t="s">
        <v>2057</v>
      </c>
      <c r="J1055" s="121"/>
      <c r="K1055" s="123" t="s">
        <v>2051</v>
      </c>
      <c r="M1055" s="109" t="s">
        <v>1458</v>
      </c>
    </row>
    <row r="1056" spans="1:13" ht="14.25" hidden="1" customHeight="1" x14ac:dyDescent="0.3">
      <c r="A1056" s="116">
        <v>46183</v>
      </c>
      <c r="B1056" s="117" t="s">
        <v>2052</v>
      </c>
      <c r="C1056" s="121" t="s">
        <v>1492</v>
      </c>
      <c r="D1056" s="124" t="str">
        <f>IFERROR(VLOOKUP(C1056,SKUs!$A$6:$F$1971,6,FALSE()),"")</f>
        <v>CAMISETA FIO EGIPCIO MASC.</v>
      </c>
      <c r="E1056" s="121">
        <v>25</v>
      </c>
      <c r="F1056" s="125">
        <f>IFERROR(IF(OR(B1056="",E1056=""),"",E1056*VLOOKUP(B1056,Configurações!$I$5:$J$15,2,FALSE())),"")</f>
        <v>-25</v>
      </c>
      <c r="G1056" s="119" t="s">
        <v>1424</v>
      </c>
      <c r="H1056" s="121" t="s">
        <v>2059</v>
      </c>
      <c r="I1056" s="122" t="s">
        <v>2057</v>
      </c>
      <c r="J1056" s="121"/>
      <c r="K1056" s="123" t="s">
        <v>2051</v>
      </c>
      <c r="M1056" s="109" t="s">
        <v>1543</v>
      </c>
    </row>
    <row r="1057" spans="1:13" ht="14.25" hidden="1" customHeight="1" x14ac:dyDescent="0.3">
      <c r="A1057" s="116">
        <v>46183</v>
      </c>
      <c r="B1057" s="117" t="s">
        <v>2052</v>
      </c>
      <c r="C1057" s="121" t="s">
        <v>1494</v>
      </c>
      <c r="D1057" s="124" t="str">
        <f>IFERROR(VLOOKUP(C1057,SKUs!$A$6:$F$1971,6,FALSE()),"")</f>
        <v>CAMISETA FIO EGIPCIO MASC.</v>
      </c>
      <c r="E1057" s="121">
        <v>25</v>
      </c>
      <c r="F1057" s="125">
        <f>IFERROR(IF(OR(B1057="",E1057=""),"",E1057*VLOOKUP(B1057,Configurações!$I$5:$J$15,2,FALSE())),"")</f>
        <v>-25</v>
      </c>
      <c r="G1057" s="119" t="s">
        <v>1424</v>
      </c>
      <c r="H1057" s="121" t="s">
        <v>2059</v>
      </c>
      <c r="I1057" s="122" t="s">
        <v>2057</v>
      </c>
      <c r="J1057" s="121"/>
      <c r="K1057" s="123" t="s">
        <v>2051</v>
      </c>
      <c r="M1057" s="109" t="s">
        <v>1524</v>
      </c>
    </row>
    <row r="1058" spans="1:13" ht="14.25" hidden="1" customHeight="1" x14ac:dyDescent="0.3">
      <c r="A1058" s="116">
        <v>46183</v>
      </c>
      <c r="B1058" s="117" t="s">
        <v>2052</v>
      </c>
      <c r="C1058" s="121" t="s">
        <v>1496</v>
      </c>
      <c r="D1058" s="124" t="str">
        <f>IFERROR(VLOOKUP(C1058,SKUs!$A$6:$F$1971,6,FALSE()),"")</f>
        <v>CAMISETA FIO EGIPCIO MASC.</v>
      </c>
      <c r="E1058" s="121">
        <v>25</v>
      </c>
      <c r="F1058" s="125">
        <f>IFERROR(IF(OR(B1058="",E1058=""),"",E1058*VLOOKUP(B1058,Configurações!$I$5:$J$15,2,FALSE())),"")</f>
        <v>-25</v>
      </c>
      <c r="G1058" s="119" t="s">
        <v>1424</v>
      </c>
      <c r="H1058" s="121" t="s">
        <v>2059</v>
      </c>
      <c r="I1058" s="122" t="s">
        <v>2057</v>
      </c>
      <c r="J1058" s="121"/>
      <c r="K1058" s="123" t="s">
        <v>2051</v>
      </c>
      <c r="M1058" s="109" t="s">
        <v>1530</v>
      </c>
    </row>
    <row r="1059" spans="1:13" ht="14.25" hidden="1" customHeight="1" x14ac:dyDescent="0.3">
      <c r="A1059" s="116">
        <v>46183</v>
      </c>
      <c r="B1059" s="117" t="s">
        <v>2052</v>
      </c>
      <c r="C1059" s="121" t="s">
        <v>1514</v>
      </c>
      <c r="D1059" s="124" t="str">
        <f>IFERROR(VLOOKUP(C1059,SKUs!$A$6:$F$1971,6,FALSE()),"")</f>
        <v>POLO BASICA SIDE WALK</v>
      </c>
      <c r="E1059" s="121">
        <v>25</v>
      </c>
      <c r="F1059" s="125">
        <f>IFERROR(IF(OR(B1059="",E1059=""),"",E1059*VLOOKUP(B1059,Configurações!$I$5:$J$15,2,FALSE())),"")</f>
        <v>-25</v>
      </c>
      <c r="G1059" s="119" t="s">
        <v>1424</v>
      </c>
      <c r="H1059" s="121" t="s">
        <v>2059</v>
      </c>
      <c r="I1059" s="122" t="s">
        <v>2057</v>
      </c>
      <c r="J1059" s="121"/>
      <c r="K1059" s="123" t="s">
        <v>2051</v>
      </c>
      <c r="M1059" s="109" t="s">
        <v>1517</v>
      </c>
    </row>
    <row r="1060" spans="1:13" ht="14.25" hidden="1" customHeight="1" x14ac:dyDescent="0.3">
      <c r="A1060" s="116">
        <v>46183</v>
      </c>
      <c r="B1060" s="117" t="s">
        <v>2052</v>
      </c>
      <c r="C1060" s="121" t="s">
        <v>1522</v>
      </c>
      <c r="D1060" s="124" t="str">
        <f>IFERROR(VLOOKUP(C1060,SKUs!$A$6:$F$1971,6,FALSE()),"")</f>
        <v>CAMISETA FIO EGIPCIO MASC.</v>
      </c>
      <c r="E1060" s="121">
        <v>25</v>
      </c>
      <c r="F1060" s="125">
        <f>IFERROR(IF(OR(B1060="",E1060=""),"",E1060*VLOOKUP(B1060,Configurações!$I$5:$J$15,2,FALSE())),"")</f>
        <v>-25</v>
      </c>
      <c r="G1060" s="119" t="s">
        <v>1424</v>
      </c>
      <c r="H1060" s="121" t="s">
        <v>2059</v>
      </c>
      <c r="I1060" s="122" t="s">
        <v>2057</v>
      </c>
      <c r="J1060" s="121"/>
      <c r="K1060" s="123" t="s">
        <v>2051</v>
      </c>
      <c r="M1060" s="109" t="s">
        <v>1523</v>
      </c>
    </row>
    <row r="1061" spans="1:13" ht="14.25" hidden="1" customHeight="1" x14ac:dyDescent="0.3">
      <c r="A1061" s="116">
        <v>46183</v>
      </c>
      <c r="B1061" s="117" t="s">
        <v>2052</v>
      </c>
      <c r="C1061" s="121" t="s">
        <v>1525</v>
      </c>
      <c r="D1061" s="124" t="str">
        <f>IFERROR(VLOOKUP(C1061,SKUs!$A$6:$F$1971,6,FALSE()),"")</f>
        <v>POLO BASICA FEM.</v>
      </c>
      <c r="E1061" s="121">
        <v>25</v>
      </c>
      <c r="F1061" s="125">
        <f>IFERROR(IF(OR(B1061="",E1061=""),"",E1061*VLOOKUP(B1061,Configurações!$I$5:$J$15,2,FALSE())),"")</f>
        <v>-25</v>
      </c>
      <c r="G1061" s="119" t="s">
        <v>1424</v>
      </c>
      <c r="H1061" s="121" t="s">
        <v>2059</v>
      </c>
      <c r="I1061" s="122" t="s">
        <v>2057</v>
      </c>
      <c r="J1061" s="121"/>
      <c r="K1061" s="123" t="s">
        <v>2051</v>
      </c>
      <c r="M1061" s="109" t="s">
        <v>1562</v>
      </c>
    </row>
    <row r="1062" spans="1:13" ht="14.25" hidden="1" customHeight="1" x14ac:dyDescent="0.3">
      <c r="A1062" s="116">
        <v>46183</v>
      </c>
      <c r="B1062" s="117" t="s">
        <v>2052</v>
      </c>
      <c r="C1062" s="121" t="s">
        <v>1526</v>
      </c>
      <c r="D1062" s="124" t="str">
        <f>IFERROR(VLOOKUP(C1062,SKUs!$A$6:$F$1971,6,FALSE()),"")</f>
        <v>POLO BASICA FEM.</v>
      </c>
      <c r="E1062" s="121">
        <v>25</v>
      </c>
      <c r="F1062" s="125">
        <f>IFERROR(IF(OR(B1062="",E1062=""),"",E1062*VLOOKUP(B1062,Configurações!$I$5:$J$15,2,FALSE())),"")</f>
        <v>-25</v>
      </c>
      <c r="G1062" s="119" t="s">
        <v>1424</v>
      </c>
      <c r="H1062" s="121" t="s">
        <v>2059</v>
      </c>
      <c r="I1062" s="122" t="s">
        <v>2057</v>
      </c>
      <c r="J1062" s="121"/>
      <c r="K1062" s="123" t="s">
        <v>2051</v>
      </c>
      <c r="M1062" s="109" t="s">
        <v>1561</v>
      </c>
    </row>
    <row r="1063" spans="1:13" ht="14.25" hidden="1" customHeight="1" x14ac:dyDescent="0.3">
      <c r="A1063" s="116">
        <v>46183</v>
      </c>
      <c r="B1063" s="117" t="s">
        <v>2052</v>
      </c>
      <c r="C1063" s="121" t="s">
        <v>1528</v>
      </c>
      <c r="D1063" s="124" t="str">
        <f>IFERROR(VLOOKUP(C1063,SKUs!$A$6:$F$1971,6,FALSE()),"")</f>
        <v>CAMISETA FIO EGIPCIO MASC.</v>
      </c>
      <c r="E1063" s="121">
        <v>2</v>
      </c>
      <c r="F1063" s="125">
        <f>IFERROR(IF(OR(B1063="",E1063=""),"",E1063*VLOOKUP(B1063,Configurações!$I$5:$J$15,2,FALSE())),"")</f>
        <v>-2</v>
      </c>
      <c r="G1063" s="119" t="s">
        <v>1424</v>
      </c>
      <c r="H1063" s="121" t="s">
        <v>2059</v>
      </c>
      <c r="I1063" s="122" t="s">
        <v>2057</v>
      </c>
      <c r="J1063" s="121"/>
      <c r="K1063" s="123" t="s">
        <v>2051</v>
      </c>
      <c r="M1063" s="109" t="s">
        <v>1523</v>
      </c>
    </row>
    <row r="1064" spans="1:13" ht="14.25" hidden="1" customHeight="1" x14ac:dyDescent="0.3">
      <c r="A1064" s="116">
        <v>46183</v>
      </c>
      <c r="B1064" s="117" t="s">
        <v>2052</v>
      </c>
      <c r="C1064" s="121" t="s">
        <v>1529</v>
      </c>
      <c r="D1064" s="124" t="str">
        <f>IFERROR(VLOOKUP(C1064,SKUs!$A$6:$F$1971,6,FALSE()),"")</f>
        <v>CAMISETA FIO EGIPCIO MASC.</v>
      </c>
      <c r="E1064" s="121">
        <v>1</v>
      </c>
      <c r="F1064" s="125">
        <f>IFERROR(IF(OR(B1064="",E1064=""),"",E1064*VLOOKUP(B1064,Configurações!$I$5:$J$15,2,FALSE())),"")</f>
        <v>-1</v>
      </c>
      <c r="G1064" s="119" t="s">
        <v>1424</v>
      </c>
      <c r="H1064" s="121" t="s">
        <v>2059</v>
      </c>
      <c r="I1064" s="122" t="s">
        <v>2057</v>
      </c>
      <c r="J1064" s="121"/>
      <c r="K1064" s="123" t="s">
        <v>2051</v>
      </c>
      <c r="M1064" s="109" t="s">
        <v>1523</v>
      </c>
    </row>
    <row r="1065" spans="1:13" ht="14.25" hidden="1" customHeight="1" x14ac:dyDescent="0.3">
      <c r="A1065" s="116">
        <v>46183</v>
      </c>
      <c r="B1065" s="117" t="s">
        <v>2052</v>
      </c>
      <c r="C1065" s="121" t="s">
        <v>1556</v>
      </c>
      <c r="D1065" s="124" t="str">
        <f>IFERROR(VLOOKUP(C1065,SKUs!$A$6:$F$1971,6,FALSE()),"")</f>
        <v>POLO BASICA MASC.</v>
      </c>
      <c r="E1065" s="121">
        <v>5</v>
      </c>
      <c r="F1065" s="125">
        <f>IFERROR(IF(OR(B1065="",E1065=""),"",E1065*VLOOKUP(B1065,Configurações!$I$5:$J$15,2,FALSE())),"")</f>
        <v>-5</v>
      </c>
      <c r="G1065" s="119" t="s">
        <v>1424</v>
      </c>
      <c r="H1065" s="121" t="s">
        <v>2059</v>
      </c>
      <c r="I1065" s="122" t="s">
        <v>2057</v>
      </c>
      <c r="J1065" s="121"/>
      <c r="K1065" s="123" t="s">
        <v>2051</v>
      </c>
      <c r="M1065" s="109" t="s">
        <v>1555</v>
      </c>
    </row>
    <row r="1066" spans="1:13" ht="14.25" hidden="1" customHeight="1" x14ac:dyDescent="0.3">
      <c r="A1066" s="116">
        <v>46183</v>
      </c>
      <c r="B1066" s="117" t="s">
        <v>2052</v>
      </c>
      <c r="C1066" s="121" t="s">
        <v>1557</v>
      </c>
      <c r="D1066" s="124" t="str">
        <f>IFERROR(VLOOKUP(C1066,SKUs!$A$6:$F$1971,6,FALSE()),"")</f>
        <v>POLO BASICA MASC.</v>
      </c>
      <c r="E1066" s="121">
        <v>5</v>
      </c>
      <c r="F1066" s="125">
        <f>IFERROR(IF(OR(B1066="",E1066=""),"",E1066*VLOOKUP(B1066,Configurações!$I$5:$J$15,2,FALSE())),"")</f>
        <v>-5</v>
      </c>
      <c r="G1066" s="119" t="s">
        <v>1424</v>
      </c>
      <c r="H1066" s="121" t="s">
        <v>2059</v>
      </c>
      <c r="I1066" s="122" t="s">
        <v>2057</v>
      </c>
      <c r="J1066" s="121"/>
      <c r="K1066" s="123" t="s">
        <v>2051</v>
      </c>
      <c r="M1066" s="109" t="s">
        <v>1555</v>
      </c>
    </row>
    <row r="1067" spans="1:13" ht="14.25" hidden="1" customHeight="1" x14ac:dyDescent="0.3">
      <c r="A1067" s="116">
        <v>46183</v>
      </c>
      <c r="B1067" s="117" t="s">
        <v>2052</v>
      </c>
      <c r="C1067" s="121" t="s">
        <v>1668</v>
      </c>
      <c r="D1067" s="124" t="str">
        <f>IFERROR(VLOOKUP(C1067,SKUs!$A$6:$F$1971,6,FALSE()),"")</f>
        <v>POLO BASICA MASC.</v>
      </c>
      <c r="E1067" s="121">
        <v>25</v>
      </c>
      <c r="F1067" s="125">
        <f>IFERROR(IF(OR(B1067="",E1067=""),"",E1067*VLOOKUP(B1067,Configurações!$I$5:$J$15,2,FALSE())),"")</f>
        <v>-25</v>
      </c>
      <c r="G1067" s="119" t="s">
        <v>1424</v>
      </c>
      <c r="H1067" s="121" t="s">
        <v>2059</v>
      </c>
      <c r="I1067" s="122" t="s">
        <v>2057</v>
      </c>
      <c r="J1067" s="121"/>
      <c r="K1067" s="123" t="s">
        <v>2051</v>
      </c>
      <c r="M1067" s="109" t="s">
        <v>1669</v>
      </c>
    </row>
    <row r="1068" spans="1:13" ht="14.25" hidden="1" customHeight="1" x14ac:dyDescent="0.3">
      <c r="A1068" s="116">
        <v>46183</v>
      </c>
      <c r="B1068" s="117" t="s">
        <v>2052</v>
      </c>
      <c r="C1068" s="121" t="s">
        <v>1701</v>
      </c>
      <c r="D1068" s="124" t="str">
        <f>IFERROR(VLOOKUP(C1068,SKUs!$A$6:$F$1971,6,FALSE()),"")</f>
        <v>GARRAFA TERMICA EM INOX</v>
      </c>
      <c r="E1068" s="121">
        <v>1</v>
      </c>
      <c r="F1068" s="125">
        <f>IFERROR(IF(OR(B1068="",E1068=""),"",E1068*VLOOKUP(B1068,Configurações!$I$5:$J$15,2,FALSE())),"")</f>
        <v>-1</v>
      </c>
      <c r="G1068" s="119" t="s">
        <v>1424</v>
      </c>
      <c r="H1068" s="121" t="s">
        <v>2059</v>
      </c>
      <c r="I1068" s="122" t="s">
        <v>2057</v>
      </c>
      <c r="J1068" s="121"/>
      <c r="K1068" s="123" t="s">
        <v>2051</v>
      </c>
      <c r="M1068" s="109" t="s">
        <v>1694</v>
      </c>
    </row>
    <row r="1069" spans="1:13" ht="14.25" hidden="1" customHeight="1" x14ac:dyDescent="0.3">
      <c r="A1069" s="116">
        <v>46183</v>
      </c>
      <c r="B1069" s="117" t="s">
        <v>2052</v>
      </c>
      <c r="C1069" s="121" t="s">
        <v>1707</v>
      </c>
      <c r="D1069" s="124" t="str">
        <f>IFERROR(VLOOKUP(C1069,SKUs!$A$6:$F$1971,6,FALSE()),"")</f>
        <v>COPO STANLEY</v>
      </c>
      <c r="E1069" s="121">
        <v>6</v>
      </c>
      <c r="F1069" s="125">
        <f>IFERROR(IF(OR(B1069="",E1069=""),"",E1069*VLOOKUP(B1069,Configurações!$I$5:$J$15,2,FALSE())),"")</f>
        <v>-6</v>
      </c>
      <c r="G1069" s="119" t="s">
        <v>1424</v>
      </c>
      <c r="H1069" s="121" t="s">
        <v>2059</v>
      </c>
      <c r="I1069" s="122" t="s">
        <v>2057</v>
      </c>
      <c r="J1069" s="121"/>
      <c r="K1069" s="123" t="s">
        <v>2051</v>
      </c>
      <c r="M1069" s="109" t="s">
        <v>1694</v>
      </c>
    </row>
    <row r="1070" spans="1:13" ht="14.25" hidden="1" customHeight="1" x14ac:dyDescent="0.3">
      <c r="A1070" s="116">
        <v>46183</v>
      </c>
      <c r="B1070" s="117" t="s">
        <v>2052</v>
      </c>
      <c r="C1070" s="121" t="s">
        <v>974</v>
      </c>
      <c r="D1070" s="124" t="str">
        <f>IFERROR(VLOOKUP(C1070,SKUs!$A$6:$F$1971,6,FALSE()),"")</f>
        <v>POLO PIQUET CINZA-RISCOS FEM.</v>
      </c>
      <c r="E1070" s="121">
        <v>14</v>
      </c>
      <c r="F1070" s="125">
        <f>IFERROR(IF(OR(B1070="",E1070=""),"",E1070*VLOOKUP(B1070,Configurações!$I$5:$J$15,2,FALSE())),"")</f>
        <v>-14</v>
      </c>
      <c r="G1070" s="119" t="s">
        <v>1424</v>
      </c>
      <c r="H1070" s="121" t="s">
        <v>2059</v>
      </c>
      <c r="I1070" s="122" t="s">
        <v>2057</v>
      </c>
      <c r="J1070" s="121"/>
      <c r="K1070" s="123" t="s">
        <v>2051</v>
      </c>
      <c r="M1070" s="109" t="s">
        <v>959</v>
      </c>
    </row>
    <row r="1071" spans="1:13" ht="14.25" hidden="1" customHeight="1" x14ac:dyDescent="0.3">
      <c r="A1071" s="116">
        <v>46183</v>
      </c>
      <c r="B1071" s="117" t="s">
        <v>2052</v>
      </c>
      <c r="C1071" s="121" t="s">
        <v>976</v>
      </c>
      <c r="D1071" s="124" t="str">
        <f>IFERROR(VLOOKUP(C1071,SKUs!$A$6:$F$1971,6,FALSE()),"")</f>
        <v>POLO PIQUET CINZA-RISCOS FEM.</v>
      </c>
      <c r="E1071" s="121">
        <v>1</v>
      </c>
      <c r="F1071" s="125">
        <f>IFERROR(IF(OR(B1071="",E1071=""),"",E1071*VLOOKUP(B1071,Configurações!$I$5:$J$15,2,FALSE())),"")</f>
        <v>-1</v>
      </c>
      <c r="G1071" s="119" t="s">
        <v>1424</v>
      </c>
      <c r="H1071" s="121" t="s">
        <v>2059</v>
      </c>
      <c r="I1071" s="122" t="s">
        <v>2057</v>
      </c>
      <c r="J1071" s="121"/>
      <c r="K1071" s="123" t="s">
        <v>2051</v>
      </c>
      <c r="M1071" s="109" t="s">
        <v>959</v>
      </c>
    </row>
    <row r="1072" spans="1:13" ht="14.25" hidden="1" customHeight="1" x14ac:dyDescent="0.3">
      <c r="A1072" s="116">
        <v>46183</v>
      </c>
      <c r="B1072" s="117" t="s">
        <v>2052</v>
      </c>
      <c r="C1072" s="121" t="s">
        <v>977</v>
      </c>
      <c r="D1072" s="124" t="str">
        <f>IFERROR(VLOOKUP(C1072,SKUs!$A$6:$F$1971,6,FALSE()),"")</f>
        <v>POLO PIQUET CINZA-RISCOS FEM.</v>
      </c>
      <c r="E1072" s="121">
        <v>1</v>
      </c>
      <c r="F1072" s="125">
        <f>IFERROR(IF(OR(B1072="",E1072=""),"",E1072*VLOOKUP(B1072,Configurações!$I$5:$J$15,2,FALSE())),"")</f>
        <v>-1</v>
      </c>
      <c r="G1072" s="119" t="s">
        <v>1424</v>
      </c>
      <c r="H1072" s="121" t="s">
        <v>2059</v>
      </c>
      <c r="I1072" s="122" t="s">
        <v>2057</v>
      </c>
      <c r="J1072" s="121"/>
      <c r="K1072" s="123" t="s">
        <v>2051</v>
      </c>
      <c r="M1072" s="109" t="s">
        <v>959</v>
      </c>
    </row>
    <row r="1073" spans="1:13" ht="14.25" hidden="1" customHeight="1" x14ac:dyDescent="0.3">
      <c r="A1073" s="116">
        <v>46183</v>
      </c>
      <c r="B1073" s="117" t="s">
        <v>2052</v>
      </c>
      <c r="C1073" s="121" t="s">
        <v>978</v>
      </c>
      <c r="D1073" s="124" t="str">
        <f>IFERROR(VLOOKUP(C1073,SKUs!$A$6:$F$1971,6,FALSE()),"")</f>
        <v>POLO PIQUET CINZA-RISCOS FEM.</v>
      </c>
      <c r="E1073" s="121">
        <v>24</v>
      </c>
      <c r="F1073" s="125">
        <f>IFERROR(IF(OR(B1073="",E1073=""),"",E1073*VLOOKUP(B1073,Configurações!$I$5:$J$15,2,FALSE())),"")</f>
        <v>-24</v>
      </c>
      <c r="G1073" s="119" t="s">
        <v>1424</v>
      </c>
      <c r="H1073" s="121" t="s">
        <v>2059</v>
      </c>
      <c r="I1073" s="122" t="s">
        <v>2057</v>
      </c>
      <c r="J1073" s="121"/>
      <c r="K1073" s="123" t="s">
        <v>2051</v>
      </c>
      <c r="M1073" s="109" t="s">
        <v>979</v>
      </c>
    </row>
    <row r="1074" spans="1:13" ht="14.25" hidden="1" customHeight="1" x14ac:dyDescent="0.3">
      <c r="A1074" s="116">
        <v>46183</v>
      </c>
      <c r="B1074" s="117" t="s">
        <v>2052</v>
      </c>
      <c r="C1074" s="121" t="s">
        <v>980</v>
      </c>
      <c r="D1074" s="124" t="str">
        <f>IFERROR(VLOOKUP(C1074,SKUs!$A$6:$F$1971,6,FALSE()),"")</f>
        <v>POLO PIQUET CINZA-RISCOS FEM.</v>
      </c>
      <c r="E1074" s="121">
        <v>1</v>
      </c>
      <c r="F1074" s="125">
        <f>IFERROR(IF(OR(B1074="",E1074=""),"",E1074*VLOOKUP(B1074,Configurações!$I$5:$J$15,2,FALSE())),"")</f>
        <v>-1</v>
      </c>
      <c r="G1074" s="119" t="s">
        <v>1424</v>
      </c>
      <c r="H1074" s="121" t="s">
        <v>2059</v>
      </c>
      <c r="I1074" s="122" t="s">
        <v>2057</v>
      </c>
      <c r="J1074" s="121"/>
      <c r="K1074" s="123" t="s">
        <v>2051</v>
      </c>
      <c r="M1074" s="109" t="s">
        <v>959</v>
      </c>
    </row>
    <row r="1075" spans="1:13" ht="14.25" hidden="1" customHeight="1" x14ac:dyDescent="0.3">
      <c r="A1075" s="116">
        <v>46183</v>
      </c>
      <c r="B1075" s="117" t="s">
        <v>2052</v>
      </c>
      <c r="C1075" s="121" t="s">
        <v>1448</v>
      </c>
      <c r="D1075" s="124" t="str">
        <f>IFERROR(VLOOKUP(C1075,SKUs!$A$6:$F$1971,6,FALSE()),"")</f>
        <v>POLO PIQUET FEM.</v>
      </c>
      <c r="E1075" s="121">
        <v>9</v>
      </c>
      <c r="F1075" s="125">
        <f>IFERROR(IF(OR(B1075="",E1075=""),"",E1075*VLOOKUP(B1075,Configurações!$I$5:$J$15,2,FALSE())),"")</f>
        <v>-9</v>
      </c>
      <c r="G1075" s="119" t="s">
        <v>1424</v>
      </c>
      <c r="H1075" s="121" t="s">
        <v>2059</v>
      </c>
      <c r="I1075" s="122" t="s">
        <v>2057</v>
      </c>
      <c r="J1075" s="121"/>
      <c r="K1075" s="123" t="s">
        <v>2051</v>
      </c>
      <c r="M1075" s="109" t="s">
        <v>1449</v>
      </c>
    </row>
    <row r="1076" spans="1:13" ht="14.25" hidden="1" customHeight="1" x14ac:dyDescent="0.3">
      <c r="A1076" s="116">
        <v>46183</v>
      </c>
      <c r="B1076" s="117" t="s">
        <v>2052</v>
      </c>
      <c r="C1076" s="121" t="s">
        <v>995</v>
      </c>
      <c r="D1076" s="124" t="str">
        <f>IFERROR(VLOOKUP(C1076,SKUs!$A$6:$F$1971,6,FALSE()),"")</f>
        <v>POLO PIQUET FEM.</v>
      </c>
      <c r="E1076" s="121">
        <v>1</v>
      </c>
      <c r="F1076" s="125">
        <f>IFERROR(IF(OR(B1076="",E1076=""),"",E1076*VLOOKUP(B1076,Configurações!$I$5:$J$15,2,FALSE())),"")</f>
        <v>-1</v>
      </c>
      <c r="G1076" s="119" t="s">
        <v>1424</v>
      </c>
      <c r="H1076" s="121" t="s">
        <v>2059</v>
      </c>
      <c r="I1076" s="122" t="s">
        <v>2057</v>
      </c>
      <c r="J1076" s="121"/>
      <c r="K1076" s="123" t="s">
        <v>2051</v>
      </c>
      <c r="M1076" s="109" t="s">
        <v>997</v>
      </c>
    </row>
    <row r="1077" spans="1:13" ht="14.25" hidden="1" customHeight="1" x14ac:dyDescent="0.3">
      <c r="A1077" s="116">
        <v>46183</v>
      </c>
      <c r="B1077" s="117" t="s">
        <v>2052</v>
      </c>
      <c r="C1077" s="121" t="s">
        <v>1450</v>
      </c>
      <c r="D1077" s="124" t="str">
        <f>IFERROR(VLOOKUP(C1077,SKUs!$A$6:$F$1971,6,FALSE()),"")</f>
        <v>POLO PIQUET MESCLA FEM.</v>
      </c>
      <c r="E1077" s="121">
        <v>10</v>
      </c>
      <c r="F1077" s="125">
        <f>IFERROR(IF(OR(B1077="",E1077=""),"",E1077*VLOOKUP(B1077,Configurações!$I$5:$J$15,2,FALSE())),"")</f>
        <v>-10</v>
      </c>
      <c r="G1077" s="119" t="s">
        <v>1424</v>
      </c>
      <c r="H1077" s="121" t="s">
        <v>2059</v>
      </c>
      <c r="I1077" s="122" t="s">
        <v>2057</v>
      </c>
      <c r="J1077" s="121"/>
      <c r="K1077" s="123" t="s">
        <v>2051</v>
      </c>
      <c r="M1077" s="109" t="s">
        <v>1449</v>
      </c>
    </row>
    <row r="1078" spans="1:13" ht="14.25" hidden="1" customHeight="1" x14ac:dyDescent="0.3">
      <c r="A1078" s="116">
        <v>46183</v>
      </c>
      <c r="B1078" s="117" t="s">
        <v>2052</v>
      </c>
      <c r="C1078" s="121" t="s">
        <v>1452</v>
      </c>
      <c r="D1078" s="124" t="str">
        <f>IFERROR(VLOOKUP(C1078,SKUs!$A$6:$F$1971,6,FALSE()),"")</f>
        <v>POLO PIQUET MESCLA FEM.</v>
      </c>
      <c r="E1078" s="121">
        <v>10</v>
      </c>
      <c r="F1078" s="125">
        <f>IFERROR(IF(OR(B1078="",E1078=""),"",E1078*VLOOKUP(B1078,Configurações!$I$5:$J$15,2,FALSE())),"")</f>
        <v>-10</v>
      </c>
      <c r="G1078" s="119" t="s">
        <v>1424</v>
      </c>
      <c r="H1078" s="121" t="s">
        <v>2059</v>
      </c>
      <c r="I1078" s="122" t="s">
        <v>2057</v>
      </c>
      <c r="J1078" s="121"/>
      <c r="K1078" s="123" t="s">
        <v>2051</v>
      </c>
      <c r="M1078" s="109" t="s">
        <v>1449</v>
      </c>
    </row>
    <row r="1079" spans="1:13" ht="14.25" hidden="1" customHeight="1" x14ac:dyDescent="0.3">
      <c r="A1079" s="116">
        <v>46183</v>
      </c>
      <c r="B1079" s="117" t="s">
        <v>2052</v>
      </c>
      <c r="C1079" s="121" t="s">
        <v>1453</v>
      </c>
      <c r="D1079" s="124" t="str">
        <f>IFERROR(VLOOKUP(C1079,SKUs!$A$6:$F$1971,6,FALSE()),"")</f>
        <v>POLO PIQUET MESCLA FEM.</v>
      </c>
      <c r="E1079" s="121">
        <v>10</v>
      </c>
      <c r="F1079" s="125">
        <f>IFERROR(IF(OR(B1079="",E1079=""),"",E1079*VLOOKUP(B1079,Configurações!$I$5:$J$15,2,FALSE())),"")</f>
        <v>-10</v>
      </c>
      <c r="G1079" s="119" t="s">
        <v>1424</v>
      </c>
      <c r="H1079" s="121" t="s">
        <v>2059</v>
      </c>
      <c r="I1079" s="122" t="s">
        <v>2057</v>
      </c>
      <c r="J1079" s="121"/>
      <c r="K1079" s="123" t="s">
        <v>2051</v>
      </c>
      <c r="M1079" s="109" t="s">
        <v>1449</v>
      </c>
    </row>
    <row r="1080" spans="1:13" ht="14.25" hidden="1" customHeight="1" x14ac:dyDescent="0.3">
      <c r="A1080" s="116">
        <v>46183</v>
      </c>
      <c r="B1080" s="117" t="s">
        <v>2052</v>
      </c>
      <c r="C1080" s="121" t="s">
        <v>1454</v>
      </c>
      <c r="D1080" s="124" t="str">
        <f>IFERROR(VLOOKUP(C1080,SKUs!$A$6:$F$1971,6,FALSE()),"")</f>
        <v>POLO PIQUET MESCLA FEM.</v>
      </c>
      <c r="E1080" s="121">
        <v>10</v>
      </c>
      <c r="F1080" s="125">
        <f>IFERROR(IF(OR(B1080="",E1080=""),"",E1080*VLOOKUP(B1080,Configurações!$I$5:$J$15,2,FALSE())),"")</f>
        <v>-10</v>
      </c>
      <c r="G1080" s="119" t="s">
        <v>1424</v>
      </c>
      <c r="H1080" s="121" t="s">
        <v>2059</v>
      </c>
      <c r="I1080" s="122" t="s">
        <v>2057</v>
      </c>
      <c r="J1080" s="121"/>
      <c r="K1080" s="123" t="s">
        <v>2051</v>
      </c>
      <c r="M1080" s="109" t="s">
        <v>1449</v>
      </c>
    </row>
    <row r="1081" spans="1:13" ht="14.25" hidden="1" customHeight="1" x14ac:dyDescent="0.3">
      <c r="A1081" s="116">
        <v>46183</v>
      </c>
      <c r="B1081" s="117" t="s">
        <v>2052</v>
      </c>
      <c r="C1081" s="121" t="s">
        <v>1455</v>
      </c>
      <c r="D1081" s="124" t="str">
        <f>IFERROR(VLOOKUP(C1081,SKUs!$A$6:$F$1971,6,FALSE()),"")</f>
        <v>POLO PIQUET MESCLA FEM.</v>
      </c>
      <c r="E1081" s="121">
        <v>10</v>
      </c>
      <c r="F1081" s="125">
        <f>IFERROR(IF(OR(B1081="",E1081=""),"",E1081*VLOOKUP(B1081,Configurações!$I$5:$J$15,2,FALSE())),"")</f>
        <v>-10</v>
      </c>
      <c r="G1081" s="119" t="s">
        <v>1424</v>
      </c>
      <c r="H1081" s="121" t="s">
        <v>2059</v>
      </c>
      <c r="I1081" s="122" t="s">
        <v>2057</v>
      </c>
      <c r="J1081" s="121"/>
      <c r="K1081" s="123" t="s">
        <v>2051</v>
      </c>
      <c r="M1081" s="109" t="s">
        <v>1449</v>
      </c>
    </row>
    <row r="1082" spans="1:13" ht="14.25" hidden="1" customHeight="1" x14ac:dyDescent="0.3">
      <c r="A1082" s="116">
        <v>46183</v>
      </c>
      <c r="B1082" s="117" t="s">
        <v>2052</v>
      </c>
      <c r="C1082" s="121" t="s">
        <v>1443</v>
      </c>
      <c r="D1082" s="124" t="str">
        <f>IFERROR(VLOOKUP(C1082,SKUs!$A$6:$F$1971,6,FALSE()),"")</f>
        <v>POLO PIQUET MESCLA MASC.</v>
      </c>
      <c r="E1082" s="121">
        <v>10</v>
      </c>
      <c r="F1082" s="125">
        <f>IFERROR(IF(OR(B1082="",E1082=""),"",E1082*VLOOKUP(B1082,Configurações!$I$5:$J$15,2,FALSE())),"")</f>
        <v>-10</v>
      </c>
      <c r="G1082" s="119" t="s">
        <v>1424</v>
      </c>
      <c r="H1082" s="121" t="s">
        <v>2059</v>
      </c>
      <c r="I1082" s="122" t="s">
        <v>2057</v>
      </c>
      <c r="J1082" s="121"/>
      <c r="K1082" s="123" t="s">
        <v>2051</v>
      </c>
      <c r="M1082" s="109" t="s">
        <v>1547</v>
      </c>
    </row>
    <row r="1083" spans="1:13" ht="14.25" hidden="1" customHeight="1" x14ac:dyDescent="0.3">
      <c r="A1083" s="116">
        <v>46183</v>
      </c>
      <c r="B1083" s="117" t="s">
        <v>2052</v>
      </c>
      <c r="C1083" s="121" t="s">
        <v>1017</v>
      </c>
      <c r="D1083" s="124" t="str">
        <f>IFERROR(VLOOKUP(C1083,SKUs!$A$6:$F$1971,6,FALSE()),"")</f>
        <v>POLO PIQUET MASC.</v>
      </c>
      <c r="E1083" s="121">
        <v>9</v>
      </c>
      <c r="F1083" s="125">
        <f>IFERROR(IF(OR(B1083="",E1083=""),"",E1083*VLOOKUP(B1083,Configurações!$I$5:$J$15,2,FALSE())),"")</f>
        <v>-9</v>
      </c>
      <c r="G1083" s="119" t="s">
        <v>1424</v>
      </c>
      <c r="H1083" s="121" t="s">
        <v>2059</v>
      </c>
      <c r="I1083" s="122" t="s">
        <v>2057</v>
      </c>
      <c r="J1083" s="121"/>
      <c r="K1083" s="123" t="s">
        <v>2051</v>
      </c>
      <c r="M1083" s="109" t="s">
        <v>1016</v>
      </c>
    </row>
    <row r="1084" spans="1:13" ht="14.25" hidden="1" customHeight="1" x14ac:dyDescent="0.3">
      <c r="A1084" s="116">
        <v>46183</v>
      </c>
      <c r="B1084" s="117" t="s">
        <v>2052</v>
      </c>
      <c r="C1084" s="121" t="s">
        <v>1548</v>
      </c>
      <c r="D1084" s="124" t="str">
        <f>IFERROR(VLOOKUP(C1084,SKUs!$A$6:$F$1971,6,FALSE()),"")</f>
        <v>POLO PIQUET MESCLA MASC.</v>
      </c>
      <c r="E1084" s="121">
        <v>20</v>
      </c>
      <c r="F1084" s="125">
        <f>IFERROR(IF(OR(B1084="",E1084=""),"",E1084*VLOOKUP(B1084,Configurações!$I$5:$J$15,2,FALSE())),"")</f>
        <v>-20</v>
      </c>
      <c r="G1084" s="119" t="s">
        <v>1424</v>
      </c>
      <c r="H1084" s="121" t="s">
        <v>2059</v>
      </c>
      <c r="I1084" s="122" t="s">
        <v>2057</v>
      </c>
      <c r="J1084" s="121"/>
      <c r="K1084" s="123" t="s">
        <v>2051</v>
      </c>
      <c r="M1084" s="109" t="s">
        <v>1550</v>
      </c>
    </row>
    <row r="1085" spans="1:13" ht="14.25" hidden="1" customHeight="1" x14ac:dyDescent="0.3">
      <c r="A1085" s="116">
        <v>46183</v>
      </c>
      <c r="B1085" s="117" t="s">
        <v>2052</v>
      </c>
      <c r="C1085" s="121" t="s">
        <v>1018</v>
      </c>
      <c r="D1085" s="124" t="str">
        <f>IFERROR(VLOOKUP(C1085,SKUs!$A$6:$F$1971,6,FALSE()),"")</f>
        <v>POLO PIQUET MASC.</v>
      </c>
      <c r="E1085" s="121">
        <v>3</v>
      </c>
      <c r="F1085" s="125">
        <f>IFERROR(IF(OR(B1085="",E1085=""),"",E1085*VLOOKUP(B1085,Configurações!$I$5:$J$15,2,FALSE())),"")</f>
        <v>-3</v>
      </c>
      <c r="G1085" s="119" t="s">
        <v>1424</v>
      </c>
      <c r="H1085" s="121" t="s">
        <v>2059</v>
      </c>
      <c r="I1085" s="122" t="s">
        <v>2057</v>
      </c>
      <c r="J1085" s="121"/>
      <c r="K1085" s="123" t="s">
        <v>2051</v>
      </c>
      <c r="M1085" s="109" t="s">
        <v>1016</v>
      </c>
    </row>
    <row r="1086" spans="1:13" ht="14.25" hidden="1" customHeight="1" x14ac:dyDescent="0.3">
      <c r="A1086" s="116">
        <v>46183</v>
      </c>
      <c r="B1086" s="117" t="s">
        <v>2052</v>
      </c>
      <c r="C1086" s="121" t="s">
        <v>1447</v>
      </c>
      <c r="D1086" s="124" t="str">
        <f>IFERROR(VLOOKUP(C1086,SKUs!$A$6:$F$1971,6,FALSE()),"")</f>
        <v>POLO PIQUET MESCLA MASC.</v>
      </c>
      <c r="E1086" s="121">
        <v>7</v>
      </c>
      <c r="F1086" s="125">
        <f>IFERROR(IF(OR(B1086="",E1086=""),"",E1086*VLOOKUP(B1086,Configurações!$I$5:$J$15,2,FALSE())),"")</f>
        <v>-7</v>
      </c>
      <c r="G1086" s="119" t="s">
        <v>1424</v>
      </c>
      <c r="H1086" s="121" t="s">
        <v>2059</v>
      </c>
      <c r="I1086" s="122" t="s">
        <v>2057</v>
      </c>
      <c r="J1086" s="121"/>
      <c r="K1086" s="123" t="s">
        <v>2051</v>
      </c>
      <c r="M1086" s="109" t="s">
        <v>1446</v>
      </c>
    </row>
    <row r="1087" spans="1:13" ht="14.25" hidden="1" customHeight="1" x14ac:dyDescent="0.3">
      <c r="A1087" s="116">
        <v>46183</v>
      </c>
      <c r="B1087" s="117" t="s">
        <v>2052</v>
      </c>
      <c r="C1087" s="121" t="s">
        <v>1584</v>
      </c>
      <c r="D1087" s="124" t="str">
        <f>IFERROR(VLOOKUP(C1087,SKUs!$A$6:$F$1971,6,FALSE()),"")</f>
        <v>POLO PIQUET RISCOS MASC.</v>
      </c>
      <c r="E1087" s="121">
        <v>20</v>
      </c>
      <c r="F1087" s="125">
        <f>IFERROR(IF(OR(B1087="",E1087=""),"",E1087*VLOOKUP(B1087,Configurações!$I$5:$J$15,2,FALSE())),"")</f>
        <v>-20</v>
      </c>
      <c r="G1087" s="119" t="s">
        <v>1424</v>
      </c>
      <c r="H1087" s="121" t="s">
        <v>2059</v>
      </c>
      <c r="I1087" s="122" t="s">
        <v>2057</v>
      </c>
      <c r="J1087" s="121"/>
      <c r="K1087" s="123" t="s">
        <v>2051</v>
      </c>
      <c r="M1087" s="109" t="s">
        <v>1586</v>
      </c>
    </row>
    <row r="1088" spans="1:13" ht="14.25" hidden="1" customHeight="1" x14ac:dyDescent="0.3">
      <c r="A1088" s="116">
        <v>46183</v>
      </c>
      <c r="B1088" s="117" t="s">
        <v>2052</v>
      </c>
      <c r="C1088" s="121" t="s">
        <v>1588</v>
      </c>
      <c r="D1088" s="124" t="str">
        <f>IFERROR(VLOOKUP(C1088,SKUs!$A$6:$F$1971,6,FALSE()),"")</f>
        <v>POLO PIQUET RISCOS MASC.</v>
      </c>
      <c r="E1088" s="121">
        <v>10</v>
      </c>
      <c r="F1088" s="125">
        <f>IFERROR(IF(OR(B1088="",E1088=""),"",E1088*VLOOKUP(B1088,Configurações!$I$5:$J$15,2,FALSE())),"")</f>
        <v>-10</v>
      </c>
      <c r="G1088" s="119" t="s">
        <v>1424</v>
      </c>
      <c r="H1088" s="121" t="s">
        <v>2059</v>
      </c>
      <c r="I1088" s="122" t="s">
        <v>2057</v>
      </c>
      <c r="J1088" s="121"/>
      <c r="K1088" s="123" t="s">
        <v>2051</v>
      </c>
      <c r="M1088" s="109" t="s">
        <v>1587</v>
      </c>
    </row>
    <row r="1089" spans="1:13" ht="14.25" hidden="1" customHeight="1" x14ac:dyDescent="0.3">
      <c r="A1089" s="116">
        <v>46183</v>
      </c>
      <c r="B1089" s="117" t="s">
        <v>2052</v>
      </c>
      <c r="C1089" s="121" t="s">
        <v>1589</v>
      </c>
      <c r="D1089" s="124" t="str">
        <f>IFERROR(VLOOKUP(C1089,SKUs!$A$6:$F$1971,6,FALSE()),"")</f>
        <v>POLO PIQUET RISCOS MASC.</v>
      </c>
      <c r="E1089" s="121">
        <v>20</v>
      </c>
      <c r="F1089" s="125">
        <f>IFERROR(IF(OR(B1089="",E1089=""),"",E1089*VLOOKUP(B1089,Configurações!$I$5:$J$15,2,FALSE())),"")</f>
        <v>-20</v>
      </c>
      <c r="G1089" s="119" t="s">
        <v>1424</v>
      </c>
      <c r="H1089" s="121" t="s">
        <v>2059</v>
      </c>
      <c r="I1089" s="122" t="s">
        <v>2057</v>
      </c>
      <c r="J1089" s="121"/>
      <c r="K1089" s="123" t="s">
        <v>2051</v>
      </c>
      <c r="M1089" s="109" t="s">
        <v>1590</v>
      </c>
    </row>
    <row r="1090" spans="1:13" ht="14.25" hidden="1" customHeight="1" x14ac:dyDescent="0.3">
      <c r="A1090" s="116">
        <v>46183</v>
      </c>
      <c r="B1090" s="117" t="s">
        <v>2052</v>
      </c>
      <c r="C1090" s="121" t="s">
        <v>1591</v>
      </c>
      <c r="D1090" s="124" t="str">
        <f>IFERROR(VLOOKUP(C1090,SKUs!$A$6:$F$1971,6,FALSE()),"")</f>
        <v>POLO PIQUET RISCOS MASC.</v>
      </c>
      <c r="E1090" s="121">
        <v>10</v>
      </c>
      <c r="F1090" s="125">
        <f>IFERROR(IF(OR(B1090="",E1090=""),"",E1090*VLOOKUP(B1090,Configurações!$I$5:$J$15,2,FALSE())),"")</f>
        <v>-10</v>
      </c>
      <c r="G1090" s="119" t="s">
        <v>1424</v>
      </c>
      <c r="H1090" s="121" t="s">
        <v>2059</v>
      </c>
      <c r="I1090" s="122" t="s">
        <v>2057</v>
      </c>
      <c r="J1090" s="121"/>
      <c r="K1090" s="123" t="s">
        <v>2051</v>
      </c>
      <c r="M1090" s="109" t="s">
        <v>1592</v>
      </c>
    </row>
    <row r="1091" spans="1:13" ht="13.5" hidden="1" customHeight="1" x14ac:dyDescent="0.3">
      <c r="A1091" s="134">
        <v>46185</v>
      </c>
      <c r="B1091" s="135" t="s">
        <v>2049</v>
      </c>
      <c r="C1091" s="58" t="s">
        <v>1806</v>
      </c>
      <c r="D1091" s="113" t="str">
        <f>IFERROR(VLOOKUP(C1091,SKUs!$A$6:$F$1971,6,FALSE()),"")</f>
        <v>SUÉTER KASTER MASC.</v>
      </c>
      <c r="E1091" s="136">
        <v>26</v>
      </c>
      <c r="F1091" s="137">
        <f>IFERROR(IF(OR(B1091="",E1091=""),"",E1091*VLOOKUP(B1091,Configurações!$I$5:$J$15,2,FALSE())),"")</f>
        <v>26</v>
      </c>
      <c r="G1091" s="113" t="s">
        <v>1424</v>
      </c>
      <c r="H1091" s="138" t="s">
        <v>2059</v>
      </c>
      <c r="K1091" s="109" t="s">
        <v>2051</v>
      </c>
      <c r="M1091" s="109" t="s">
        <v>1809</v>
      </c>
    </row>
    <row r="1092" spans="1:13" ht="13.5" hidden="1" customHeight="1" x14ac:dyDescent="0.3">
      <c r="A1092" s="134">
        <v>46185</v>
      </c>
      <c r="B1092" s="135" t="s">
        <v>2049</v>
      </c>
      <c r="C1092" s="58" t="s">
        <v>1810</v>
      </c>
      <c r="D1092" s="113" t="str">
        <f>IFERROR(VLOOKUP(C1092,SKUs!$A$6:$F$1971,6,FALSE()),"")</f>
        <v>SUÉTER KASTER MASC.</v>
      </c>
      <c r="E1092" s="136">
        <v>46</v>
      </c>
      <c r="F1092" s="137">
        <f>IFERROR(IF(OR(B1092="",E1092=""),"",E1092*VLOOKUP(B1092,Configurações!$I$5:$J$15,2,FALSE())),"")</f>
        <v>46</v>
      </c>
      <c r="G1092" s="113" t="s">
        <v>1424</v>
      </c>
      <c r="H1092" s="138" t="s">
        <v>2059</v>
      </c>
      <c r="K1092" s="109" t="s">
        <v>2051</v>
      </c>
      <c r="M1092" s="109" t="s">
        <v>1811</v>
      </c>
    </row>
    <row r="1093" spans="1:13" ht="13.5" hidden="1" customHeight="1" x14ac:dyDescent="0.3">
      <c r="A1093" s="134">
        <v>46185</v>
      </c>
      <c r="B1093" s="135" t="s">
        <v>2049</v>
      </c>
      <c r="C1093" s="58" t="s">
        <v>1812</v>
      </c>
      <c r="D1093" s="113" t="str">
        <f>IFERROR(VLOOKUP(C1093,SKUs!$A$6:$F$1971,6,FALSE()),"")</f>
        <v>SUÉTER KASTER MASC.</v>
      </c>
      <c r="E1093" s="136">
        <v>39</v>
      </c>
      <c r="F1093" s="137">
        <f>IFERROR(IF(OR(B1093="",E1093=""),"",E1093*VLOOKUP(B1093,Configurações!$I$5:$J$15,2,FALSE())),"")</f>
        <v>39</v>
      </c>
      <c r="G1093" s="113" t="s">
        <v>1424</v>
      </c>
      <c r="H1093" s="138" t="s">
        <v>2059</v>
      </c>
      <c r="K1093" s="109" t="s">
        <v>2051</v>
      </c>
      <c r="M1093" s="109" t="s">
        <v>1813</v>
      </c>
    </row>
    <row r="1094" spans="1:13" ht="13.5" hidden="1" customHeight="1" x14ac:dyDescent="0.3">
      <c r="A1094" s="134">
        <v>46185</v>
      </c>
      <c r="B1094" s="135" t="s">
        <v>2049</v>
      </c>
      <c r="C1094" s="58" t="s">
        <v>1814</v>
      </c>
      <c r="D1094" s="113" t="str">
        <f>IFERROR(VLOOKUP(C1094,SKUs!$A$6:$F$1971,6,FALSE()),"")</f>
        <v>SUÉTER KASTER MASC.</v>
      </c>
      <c r="E1094" s="136">
        <v>27</v>
      </c>
      <c r="F1094" s="137">
        <f>IFERROR(IF(OR(B1094="",E1094=""),"",E1094*VLOOKUP(B1094,Configurações!$I$5:$J$15,2,FALSE())),"")</f>
        <v>27</v>
      </c>
      <c r="G1094" s="113" t="s">
        <v>1424</v>
      </c>
      <c r="H1094" s="138" t="s">
        <v>2059</v>
      </c>
      <c r="K1094" s="109" t="s">
        <v>2051</v>
      </c>
      <c r="M1094" s="109" t="s">
        <v>1815</v>
      </c>
    </row>
    <row r="1095" spans="1:13" ht="13.5" hidden="1" customHeight="1" x14ac:dyDescent="0.3">
      <c r="A1095" s="134">
        <v>46185</v>
      </c>
      <c r="B1095" s="135" t="s">
        <v>2049</v>
      </c>
      <c r="C1095" s="58" t="s">
        <v>1816</v>
      </c>
      <c r="D1095" s="113" t="str">
        <f>IFERROR(VLOOKUP(C1095,SKUs!$A$6:$F$1971,6,FALSE()),"")</f>
        <v>SUÉTER KASTER MASC.</v>
      </c>
      <c r="E1095" s="139">
        <v>20</v>
      </c>
      <c r="F1095" s="137">
        <f>IFERROR(IF(OR(B1095="",E1095=""),"",E1095*VLOOKUP(B1095,Configurações!$I$5:$J$15,2,FALSE())),"")</f>
        <v>20</v>
      </c>
      <c r="G1095" s="113" t="s">
        <v>1424</v>
      </c>
      <c r="H1095" s="138" t="s">
        <v>2059</v>
      </c>
      <c r="K1095" s="109" t="s">
        <v>2051</v>
      </c>
      <c r="M1095" s="109" t="s">
        <v>1809</v>
      </c>
    </row>
    <row r="1096" spans="1:13" ht="13.5" hidden="1" customHeight="1" x14ac:dyDescent="0.3">
      <c r="A1096" s="134">
        <v>46185</v>
      </c>
      <c r="B1096" s="135" t="s">
        <v>2049</v>
      </c>
      <c r="C1096" s="58" t="s">
        <v>1817</v>
      </c>
      <c r="D1096" s="113" t="str">
        <f>IFERROR(VLOOKUP(C1096,SKUs!$A$6:$F$1971,6,FALSE()),"")</f>
        <v>SUÉTER KASTER MASC.</v>
      </c>
      <c r="E1096" s="136">
        <v>26</v>
      </c>
      <c r="F1096" s="137">
        <f>IFERROR(IF(OR(B1096="",E1096=""),"",E1096*VLOOKUP(B1096,Configurações!$I$5:$J$15,2,FALSE())),"")</f>
        <v>26</v>
      </c>
      <c r="G1096" s="113" t="s">
        <v>1424</v>
      </c>
      <c r="H1096" s="138" t="s">
        <v>2059</v>
      </c>
      <c r="K1096" s="109" t="s">
        <v>2051</v>
      </c>
      <c r="M1096" s="109" t="s">
        <v>1818</v>
      </c>
    </row>
    <row r="1097" spans="1:13" ht="13.5" hidden="1" customHeight="1" x14ac:dyDescent="0.3">
      <c r="A1097" s="134">
        <v>46185</v>
      </c>
      <c r="B1097" s="135" t="s">
        <v>2049</v>
      </c>
      <c r="C1097" s="58" t="s">
        <v>1819</v>
      </c>
      <c r="D1097" s="113" t="str">
        <f>IFERROR(VLOOKUP(C1097,SKUs!$A$6:$F$1971,6,FALSE()),"")</f>
        <v>SUÉTER KASTER MASC.</v>
      </c>
      <c r="E1097" s="136">
        <v>46</v>
      </c>
      <c r="F1097" s="137">
        <f>IFERROR(IF(OR(B1097="",E1097=""),"",E1097*VLOOKUP(B1097,Configurações!$I$5:$J$15,2,FALSE())),"")</f>
        <v>46</v>
      </c>
      <c r="G1097" s="113" t="s">
        <v>1424</v>
      </c>
      <c r="H1097" s="138" t="s">
        <v>2059</v>
      </c>
      <c r="K1097" s="109" t="s">
        <v>2051</v>
      </c>
      <c r="M1097" s="109" t="s">
        <v>1820</v>
      </c>
    </row>
    <row r="1098" spans="1:13" ht="13.5" hidden="1" customHeight="1" x14ac:dyDescent="0.3">
      <c r="A1098" s="134">
        <v>46185</v>
      </c>
      <c r="B1098" s="135" t="s">
        <v>2049</v>
      </c>
      <c r="C1098" s="58" t="s">
        <v>1821</v>
      </c>
      <c r="D1098" s="113" t="str">
        <f>IFERROR(VLOOKUP(C1098,SKUs!$A$6:$F$1971,6,FALSE()),"")</f>
        <v>SUÉTER KASTER MASC.</v>
      </c>
      <c r="E1098" s="136">
        <v>39</v>
      </c>
      <c r="F1098" s="137">
        <f>IFERROR(IF(OR(B1098="",E1098=""),"",E1098*VLOOKUP(B1098,Configurações!$I$5:$J$15,2,FALSE())),"")</f>
        <v>39</v>
      </c>
      <c r="G1098" s="113" t="s">
        <v>1424</v>
      </c>
      <c r="H1098" s="138" t="s">
        <v>2059</v>
      </c>
      <c r="K1098" s="109" t="s">
        <v>2051</v>
      </c>
      <c r="M1098" s="109" t="s">
        <v>1822</v>
      </c>
    </row>
    <row r="1099" spans="1:13" ht="13.5" hidden="1" customHeight="1" x14ac:dyDescent="0.3">
      <c r="A1099" s="134">
        <v>46185</v>
      </c>
      <c r="B1099" s="135" t="s">
        <v>2049</v>
      </c>
      <c r="C1099" s="58" t="s">
        <v>1823</v>
      </c>
      <c r="D1099" s="113" t="str">
        <f>IFERROR(VLOOKUP(C1099,SKUs!$A$6:$F$1971,6,FALSE()),"")</f>
        <v>SUÉTER KASTER MASC.</v>
      </c>
      <c r="E1099" s="136">
        <v>25</v>
      </c>
      <c r="F1099" s="137">
        <f>IFERROR(IF(OR(B1099="",E1099=""),"",E1099*VLOOKUP(B1099,Configurações!$I$5:$J$15,2,FALSE())),"")</f>
        <v>25</v>
      </c>
      <c r="G1099" s="113" t="s">
        <v>1424</v>
      </c>
      <c r="H1099" s="138" t="s">
        <v>2059</v>
      </c>
      <c r="K1099" s="109" t="s">
        <v>2051</v>
      </c>
      <c r="M1099" s="109" t="s">
        <v>1824</v>
      </c>
    </row>
    <row r="1100" spans="1:13" ht="13.5" hidden="1" customHeight="1" x14ac:dyDescent="0.3">
      <c r="A1100" s="134">
        <v>46185</v>
      </c>
      <c r="B1100" s="135" t="s">
        <v>2049</v>
      </c>
      <c r="C1100" s="58" t="s">
        <v>1825</v>
      </c>
      <c r="D1100" s="113" t="str">
        <f>IFERROR(VLOOKUP(C1100,SKUs!$A$6:$F$1971,6,FALSE()),"")</f>
        <v>SUÉTER KASTER MASC.</v>
      </c>
      <c r="E1100" s="139">
        <v>20</v>
      </c>
      <c r="F1100" s="137">
        <f>IFERROR(IF(OR(B1100="",E1100=""),"",E1100*VLOOKUP(B1100,Configurações!$I$5:$J$15,2,FALSE())),"")</f>
        <v>20</v>
      </c>
      <c r="G1100" s="113" t="s">
        <v>1424</v>
      </c>
      <c r="H1100" s="138" t="s">
        <v>2059</v>
      </c>
      <c r="K1100" s="109" t="s">
        <v>2051</v>
      </c>
      <c r="M1100" s="109" t="s">
        <v>1818</v>
      </c>
    </row>
    <row r="1101" spans="1:13" ht="13.5" hidden="1" customHeight="1" x14ac:dyDescent="0.3">
      <c r="A1101" s="140">
        <v>46198</v>
      </c>
      <c r="B1101" s="135" t="s">
        <v>2049</v>
      </c>
      <c r="C1101" s="58" t="s">
        <v>1826</v>
      </c>
      <c r="D1101" s="113" t="str">
        <f>IFERROR(VLOOKUP(C1101,SKUs!$A$6:$F$1971,6,FALSE()),"")</f>
        <v>POLO PIQUET JEANS MASC.</v>
      </c>
      <c r="E1101" s="141">
        <v>20</v>
      </c>
      <c r="F1101" s="113">
        <f>IFERROR(IF(OR(B1101="",E1101=""),"",E1101*VLOOKUP(B1101,Configurações!$I$5:$J$15,2,FALSE())),"")</f>
        <v>20</v>
      </c>
      <c r="G1101" s="113" t="s">
        <v>1424</v>
      </c>
      <c r="H1101" s="138" t="s">
        <v>2059</v>
      </c>
      <c r="K1101" s="109" t="s">
        <v>2051</v>
      </c>
      <c r="M1101" s="109" t="s">
        <v>1820</v>
      </c>
    </row>
    <row r="1102" spans="1:13" ht="13.5" hidden="1" customHeight="1" x14ac:dyDescent="0.3">
      <c r="A1102" s="140">
        <v>46198</v>
      </c>
      <c r="B1102" s="135" t="s">
        <v>2049</v>
      </c>
      <c r="C1102" s="58" t="s">
        <v>1828</v>
      </c>
      <c r="D1102" s="113" t="str">
        <f>IFERROR(VLOOKUP(C1102,SKUs!$A$6:$F$1971,6,FALSE()),"")</f>
        <v>POLO PIQUET JEANS MASC.</v>
      </c>
      <c r="E1102" s="141">
        <v>80</v>
      </c>
      <c r="F1102" s="113">
        <f>IFERROR(IF(OR(B1102="",E1102=""),"",E1102*VLOOKUP(B1102,Configurações!$I$5:$J$15,2,FALSE())),"")</f>
        <v>80</v>
      </c>
      <c r="G1102" s="113" t="s">
        <v>1424</v>
      </c>
      <c r="H1102" s="138" t="s">
        <v>2059</v>
      </c>
      <c r="K1102" s="109" t="s">
        <v>2051</v>
      </c>
      <c r="M1102" s="109" t="s">
        <v>1820</v>
      </c>
    </row>
    <row r="1103" spans="1:13" ht="13.5" hidden="1" customHeight="1" x14ac:dyDescent="0.3">
      <c r="A1103" s="140">
        <v>46198</v>
      </c>
      <c r="B1103" s="135" t="s">
        <v>2049</v>
      </c>
      <c r="C1103" s="58" t="s">
        <v>1829</v>
      </c>
      <c r="D1103" s="113" t="str">
        <f>IFERROR(VLOOKUP(C1103,SKUs!$A$6:$F$1971,6,FALSE()),"")</f>
        <v>POLO PIQUET JEANS MASC.</v>
      </c>
      <c r="E1103" s="141">
        <v>100</v>
      </c>
      <c r="F1103" s="113">
        <f>IFERROR(IF(OR(B1103="",E1103=""),"",E1103*VLOOKUP(B1103,Configurações!$I$5:$J$15,2,FALSE())),"")</f>
        <v>100</v>
      </c>
      <c r="G1103" s="113" t="s">
        <v>1424</v>
      </c>
      <c r="H1103" s="138" t="s">
        <v>2059</v>
      </c>
      <c r="K1103" s="109" t="s">
        <v>2051</v>
      </c>
      <c r="M1103" s="109" t="s">
        <v>1824</v>
      </c>
    </row>
    <row r="1104" spans="1:13" ht="13.5" hidden="1" customHeight="1" x14ac:dyDescent="0.3">
      <c r="A1104" s="140">
        <v>46198</v>
      </c>
      <c r="B1104" s="135" t="s">
        <v>2049</v>
      </c>
      <c r="C1104" s="58" t="s">
        <v>1830</v>
      </c>
      <c r="D1104" s="113" t="str">
        <f>IFERROR(VLOOKUP(C1104,SKUs!$A$6:$F$1971,6,FALSE()),"")</f>
        <v>POLO PIQUET JEANS MASC.</v>
      </c>
      <c r="E1104" s="141">
        <v>81</v>
      </c>
      <c r="F1104" s="113">
        <f>IFERROR(IF(OR(B1104="",E1104=""),"",E1104*VLOOKUP(B1104,Configurações!$I$5:$J$15,2,FALSE())),"")</f>
        <v>81</v>
      </c>
      <c r="G1104" s="113" t="s">
        <v>1424</v>
      </c>
      <c r="H1104" s="138" t="s">
        <v>2059</v>
      </c>
      <c r="K1104" s="109" t="s">
        <v>2051</v>
      </c>
      <c r="M1104" s="109" t="s">
        <v>1831</v>
      </c>
    </row>
    <row r="1105" spans="1:13" ht="13.5" hidden="1" customHeight="1" x14ac:dyDescent="0.3">
      <c r="A1105" s="140">
        <v>46198</v>
      </c>
      <c r="B1105" s="135" t="s">
        <v>2049</v>
      </c>
      <c r="C1105" s="71" t="s">
        <v>1832</v>
      </c>
      <c r="D1105" s="113" t="str">
        <f>IFERROR(VLOOKUP(C1105,SKUs!$A$6:$F$1971,6,FALSE()),"")</f>
        <v>CAMISETA PIQUET MASC.</v>
      </c>
      <c r="E1105" s="141">
        <v>21</v>
      </c>
      <c r="F1105" s="113">
        <f>IFERROR(IF(OR(B1105="",E1105=""),"",E1105*VLOOKUP(B1105,Configurações!$I$5:$J$15,2,FALSE())),"")</f>
        <v>21</v>
      </c>
      <c r="G1105" s="113" t="s">
        <v>1424</v>
      </c>
      <c r="H1105" s="138" t="s">
        <v>2059</v>
      </c>
      <c r="K1105" s="109" t="s">
        <v>2051</v>
      </c>
      <c r="M1105" s="109" t="s">
        <v>1834</v>
      </c>
    </row>
    <row r="1106" spans="1:13" ht="13.5" hidden="1" customHeight="1" x14ac:dyDescent="0.3">
      <c r="A1106" s="140">
        <v>46198</v>
      </c>
      <c r="B1106" s="135" t="s">
        <v>2049</v>
      </c>
      <c r="C1106" s="71" t="s">
        <v>1835</v>
      </c>
      <c r="D1106" s="113" t="str">
        <f>IFERROR(VLOOKUP(C1106,SKUs!$A$6:$F$1971,6,FALSE()),"")</f>
        <v>CAMISETA PIQUET MASC.</v>
      </c>
      <c r="E1106" s="141">
        <v>45</v>
      </c>
      <c r="F1106" s="113">
        <f>IFERROR(IF(OR(B1106="",E1106=""),"",E1106*VLOOKUP(B1106,Configurações!$I$5:$J$15,2,FALSE())),"")</f>
        <v>45</v>
      </c>
      <c r="G1106" s="113" t="s">
        <v>1424</v>
      </c>
      <c r="H1106" s="138" t="s">
        <v>2059</v>
      </c>
      <c r="K1106" s="109" t="s">
        <v>2051</v>
      </c>
      <c r="M1106" s="109" t="s">
        <v>1834</v>
      </c>
    </row>
    <row r="1107" spans="1:13" ht="13.5" hidden="1" customHeight="1" x14ac:dyDescent="0.3">
      <c r="A1107" s="182">
        <v>46198</v>
      </c>
      <c r="B1107" s="135" t="s">
        <v>2049</v>
      </c>
      <c r="C1107" s="71" t="s">
        <v>1836</v>
      </c>
      <c r="D1107" s="113" t="str">
        <f>IFERROR(VLOOKUP(C1107,SKUs!$A$6:$F$1971,6,FALSE()),"")</f>
        <v>CAMISETA PIQUET MASC.</v>
      </c>
      <c r="E1107" s="141">
        <v>12</v>
      </c>
      <c r="F1107" s="113">
        <f>IFERROR(IF(OR(B1107="",E1107=""),"",E1107*VLOOKUP(B1107,Configurações!$I$5:$J$15,2,FALSE())),"")</f>
        <v>12</v>
      </c>
      <c r="G1107" s="113" t="s">
        <v>1424</v>
      </c>
      <c r="H1107" s="138" t="s">
        <v>2059</v>
      </c>
      <c r="K1107" s="109" t="s">
        <v>2051</v>
      </c>
      <c r="M1107" s="109" t="s">
        <v>1834</v>
      </c>
    </row>
    <row r="1108" spans="1:13" ht="13.5" hidden="1" customHeight="1" x14ac:dyDescent="0.3">
      <c r="A1108" s="182">
        <v>46198</v>
      </c>
      <c r="B1108" s="135" t="s">
        <v>2049</v>
      </c>
      <c r="C1108" s="72" t="s">
        <v>1836</v>
      </c>
      <c r="D1108" s="113" t="str">
        <f>IFERROR(VLOOKUP(C1108,SKUs!$A$6:$F$1971,6,FALSE()),"")</f>
        <v>CAMISETA PIQUET MASC.</v>
      </c>
      <c r="E1108" s="141">
        <v>90</v>
      </c>
      <c r="F1108" s="113">
        <f>IFERROR(IF(OR(B1108="",E1108=""),"",E1108*VLOOKUP(B1108,Configurações!$I$5:$J$15,2,FALSE())),"")</f>
        <v>90</v>
      </c>
      <c r="G1108" s="113" t="s">
        <v>1424</v>
      </c>
      <c r="H1108" s="138" t="s">
        <v>2059</v>
      </c>
      <c r="K1108" s="109" t="s">
        <v>2051</v>
      </c>
      <c r="M1108" s="109" t="s">
        <v>1837</v>
      </c>
    </row>
    <row r="1109" spans="1:13" ht="13.5" hidden="1" customHeight="1" x14ac:dyDescent="0.3">
      <c r="A1109" s="140">
        <v>46198</v>
      </c>
      <c r="B1109" s="135" t="s">
        <v>2049</v>
      </c>
      <c r="C1109" s="71" t="s">
        <v>1828</v>
      </c>
      <c r="D1109" s="113" t="str">
        <f>IFERROR(VLOOKUP(C1109,SKUs!$A$6:$F$1971,6,FALSE()),"")</f>
        <v>POLO PIQUET JEANS MASC.</v>
      </c>
      <c r="E1109" s="141">
        <v>90</v>
      </c>
      <c r="F1109" s="113">
        <f>IFERROR(IF(OR(B1109="",E1109=""),"",E1109*VLOOKUP(B1109,Configurações!$I$5:$J$15,2,FALSE())),"")</f>
        <v>90</v>
      </c>
      <c r="G1109" s="113" t="s">
        <v>1424</v>
      </c>
      <c r="H1109" s="138" t="s">
        <v>2059</v>
      </c>
      <c r="K1109" s="109" t="s">
        <v>2051</v>
      </c>
      <c r="M1109" s="109" t="s">
        <v>1838</v>
      </c>
    </row>
    <row r="1110" spans="1:13" ht="13.5" hidden="1" customHeight="1" x14ac:dyDescent="0.3">
      <c r="A1110" s="140">
        <v>46198</v>
      </c>
      <c r="B1110" s="135" t="s">
        <v>2049</v>
      </c>
      <c r="C1110" s="73" t="s">
        <v>1839</v>
      </c>
      <c r="D1110" s="113" t="str">
        <f>IFERROR(VLOOKUP(C1110,SKUs!$A$6:$F$1971,6,FALSE()),"")</f>
        <v>POLO PIQUET JEANS MASC.</v>
      </c>
      <c r="E1110" s="141">
        <v>54</v>
      </c>
      <c r="F1110" s="113">
        <f>IFERROR(IF(OR(B1110="",E1110=""),"",E1110*VLOOKUP(B1110,Configurações!$I$5:$J$15,2,FALSE())),"")</f>
        <v>54</v>
      </c>
      <c r="G1110" s="113" t="s">
        <v>1424</v>
      </c>
      <c r="H1110" s="138" t="s">
        <v>2059</v>
      </c>
      <c r="K1110" s="109" t="s">
        <v>2051</v>
      </c>
      <c r="M1110" s="109" t="s">
        <v>1840</v>
      </c>
    </row>
    <row r="1111" spans="1:13" ht="13.5" hidden="1" customHeight="1" x14ac:dyDescent="0.3">
      <c r="A1111" s="140">
        <v>46198</v>
      </c>
      <c r="B1111" s="135" t="s">
        <v>2049</v>
      </c>
      <c r="C1111" s="73" t="s">
        <v>1841</v>
      </c>
      <c r="D1111" s="113" t="str">
        <f>IFERROR(VLOOKUP(C1111,SKUs!$A$6:$F$1971,6,FALSE()),"")</f>
        <v>POLO PIQUET JEANS MASC.</v>
      </c>
      <c r="E1111" s="141">
        <v>14</v>
      </c>
      <c r="F1111" s="113">
        <f>IFERROR(IF(OR(B1111="",E1111=""),"",E1111*VLOOKUP(B1111,Configurações!$I$5:$J$15,2,FALSE())),"")</f>
        <v>14</v>
      </c>
      <c r="G1111" s="113" t="s">
        <v>1424</v>
      </c>
      <c r="H1111" s="138" t="s">
        <v>2059</v>
      </c>
      <c r="K1111" s="109" t="s">
        <v>2051</v>
      </c>
      <c r="M1111" s="109" t="s">
        <v>1840</v>
      </c>
    </row>
    <row r="1112" spans="1:13" ht="13.5" hidden="1" customHeight="1" x14ac:dyDescent="0.3">
      <c r="A1112" s="140">
        <v>46198</v>
      </c>
      <c r="B1112" s="135" t="s">
        <v>2049</v>
      </c>
      <c r="C1112" s="71" t="s">
        <v>1829</v>
      </c>
      <c r="D1112" s="113" t="str">
        <f>IFERROR(VLOOKUP(C1112,SKUs!$A$6:$F$1971,6,FALSE()),"")</f>
        <v>POLO PIQUET JEANS MASC.</v>
      </c>
      <c r="E1112" s="141">
        <v>5</v>
      </c>
      <c r="F1112" s="113">
        <f>IFERROR(IF(OR(B1112="",E1112=""),"",E1112*VLOOKUP(B1112,Configurações!$I$5:$J$15,2,FALSE())),"")</f>
        <v>5</v>
      </c>
      <c r="G1112" s="113" t="s">
        <v>1424</v>
      </c>
      <c r="H1112" s="138" t="s">
        <v>2059</v>
      </c>
      <c r="K1112" s="109" t="s">
        <v>2051</v>
      </c>
      <c r="M1112" s="109" t="s">
        <v>1840</v>
      </c>
    </row>
    <row r="1113" spans="1:13" ht="13.5" hidden="1" customHeight="1" x14ac:dyDescent="0.3">
      <c r="A1113" s="140">
        <v>46198</v>
      </c>
      <c r="B1113" s="135" t="s">
        <v>2049</v>
      </c>
      <c r="C1113" s="71" t="s">
        <v>1843</v>
      </c>
      <c r="D1113" s="113" t="str">
        <f>IFERROR(VLOOKUP(C1113,SKUs!$A$6:$F$1971,6,FALSE()),"")</f>
        <v>POLO PIQUET JEANS MASC.</v>
      </c>
      <c r="E1113" s="141">
        <v>2</v>
      </c>
      <c r="F1113" s="113">
        <f>IFERROR(IF(OR(B1113="",E1113=""),"",E1113*VLOOKUP(B1113,Configurações!$I$5:$J$15,2,FALSE())),"")</f>
        <v>2</v>
      </c>
      <c r="G1113" s="113" t="s">
        <v>1424</v>
      </c>
      <c r="H1113" s="138" t="s">
        <v>2059</v>
      </c>
      <c r="K1113" s="109" t="s">
        <v>2051</v>
      </c>
      <c r="M1113" s="109" t="s">
        <v>1840</v>
      </c>
    </row>
    <row r="1114" spans="1:13" ht="13.5" hidden="1" customHeight="1" x14ac:dyDescent="0.3">
      <c r="A1114" s="140">
        <v>46198</v>
      </c>
      <c r="B1114" s="135" t="s">
        <v>2049</v>
      </c>
      <c r="C1114" s="71" t="s">
        <v>1826</v>
      </c>
      <c r="D1114" s="113" t="str">
        <f>IFERROR(VLOOKUP(C1114,SKUs!$A$6:$F$1971,6,FALSE()),"")</f>
        <v>POLO PIQUET JEANS MASC.</v>
      </c>
      <c r="E1114" s="141">
        <v>1</v>
      </c>
      <c r="F1114" s="113">
        <f>IFERROR(IF(OR(B1114="",E1114=""),"",E1114*VLOOKUP(B1114,Configurações!$I$5:$J$15,2,FALSE())),"")</f>
        <v>1</v>
      </c>
      <c r="G1114" s="113" t="s">
        <v>1424</v>
      </c>
      <c r="H1114" s="138" t="s">
        <v>2059</v>
      </c>
      <c r="K1114" s="109" t="s">
        <v>2051</v>
      </c>
      <c r="M1114" s="109" t="s">
        <v>1840</v>
      </c>
    </row>
    <row r="1115" spans="1:13" ht="13.5" hidden="1" customHeight="1" x14ac:dyDescent="0.3">
      <c r="A1115" s="140">
        <v>46198</v>
      </c>
      <c r="B1115" s="135" t="s">
        <v>2049</v>
      </c>
      <c r="C1115" s="71" t="s">
        <v>1828</v>
      </c>
      <c r="D1115" s="113" t="str">
        <f>IFERROR(VLOOKUP(C1115,SKUs!$A$6:$F$1971,6,FALSE()),"")</f>
        <v>POLO PIQUET JEANS MASC.</v>
      </c>
      <c r="E1115" s="141">
        <v>1</v>
      </c>
      <c r="F1115" s="113">
        <f>IFERROR(IF(OR(B1115="",E1115=""),"",E1115*VLOOKUP(B1115,Configurações!$I$5:$J$15,2,FALSE())),"")</f>
        <v>1</v>
      </c>
      <c r="G1115" s="113" t="s">
        <v>1424</v>
      </c>
      <c r="H1115" s="138" t="s">
        <v>2059</v>
      </c>
      <c r="K1115" s="109" t="s">
        <v>2051</v>
      </c>
      <c r="M1115" s="109" t="s">
        <v>1840</v>
      </c>
    </row>
    <row r="1116" spans="1:13" ht="13.5" hidden="1" customHeight="1" x14ac:dyDescent="0.3">
      <c r="A1116" s="140">
        <v>46198</v>
      </c>
      <c r="B1116" s="135" t="s">
        <v>2049</v>
      </c>
      <c r="C1116" s="71" t="s">
        <v>1828</v>
      </c>
      <c r="D1116" s="113" t="str">
        <f>IFERROR(VLOOKUP(C1116,SKUs!$A$6:$F$1971,6,FALSE()),"")</f>
        <v>POLO PIQUET JEANS MASC.</v>
      </c>
      <c r="E1116" s="141">
        <v>30</v>
      </c>
      <c r="F1116" s="113">
        <f>IFERROR(IF(OR(B1116="",E1116=""),"",E1116*VLOOKUP(B1116,Configurações!$I$5:$J$15,2,FALSE())),"")</f>
        <v>30</v>
      </c>
      <c r="G1116" s="113" t="s">
        <v>1424</v>
      </c>
      <c r="H1116" s="138" t="s">
        <v>2059</v>
      </c>
      <c r="K1116" s="109" t="s">
        <v>2051</v>
      </c>
      <c r="M1116" s="109" t="s">
        <v>1844</v>
      </c>
    </row>
    <row r="1117" spans="1:13" ht="13.5" hidden="1" customHeight="1" x14ac:dyDescent="0.3">
      <c r="A1117" s="140">
        <v>46198</v>
      </c>
      <c r="B1117" s="135" t="s">
        <v>2049</v>
      </c>
      <c r="C1117" s="78" t="s">
        <v>1843</v>
      </c>
      <c r="D1117" s="113" t="str">
        <f>IFERROR(VLOOKUP(C1117,SKUs!$A$6:$F$1971,6,FALSE()),"")</f>
        <v>POLO PIQUET JEANS MASC.</v>
      </c>
      <c r="E1117" s="141">
        <v>70</v>
      </c>
      <c r="F1117" s="113">
        <f>IFERROR(IF(OR(B1117="",E1117=""),"",E1117*VLOOKUP(B1117,Configurações!$I$5:$J$15,2,FALSE())),"")</f>
        <v>70</v>
      </c>
      <c r="G1117" s="113" t="s">
        <v>1424</v>
      </c>
      <c r="H1117" s="138" t="s">
        <v>2059</v>
      </c>
      <c r="K1117" s="109" t="s">
        <v>2051</v>
      </c>
      <c r="M1117" s="109" t="s">
        <v>1844</v>
      </c>
    </row>
    <row r="1118" spans="1:13" ht="13.5" hidden="1" customHeight="1" x14ac:dyDescent="0.3">
      <c r="A1118" s="140">
        <v>46198</v>
      </c>
      <c r="B1118" s="135" t="s">
        <v>2049</v>
      </c>
      <c r="C1118" s="71" t="s">
        <v>1829</v>
      </c>
      <c r="D1118" s="113" t="str">
        <f>IFERROR(VLOOKUP(C1118,SKUs!$A$6:$F$1971,6,FALSE()),"")</f>
        <v>POLO PIQUET JEANS MASC.</v>
      </c>
      <c r="E1118" s="141">
        <v>100</v>
      </c>
      <c r="F1118" s="113">
        <f>IFERROR(IF(OR(B1118="",E1118=""),"",E1118*VLOOKUP(B1118,Configurações!$I$5:$J$15,2,FALSE())),"")</f>
        <v>100</v>
      </c>
      <c r="G1118" s="113" t="s">
        <v>1424</v>
      </c>
      <c r="H1118" s="138" t="s">
        <v>2059</v>
      </c>
      <c r="K1118" s="109" t="s">
        <v>2051</v>
      </c>
      <c r="M1118" s="109" t="s">
        <v>1845</v>
      </c>
    </row>
    <row r="1119" spans="1:13" ht="13.5" hidden="1" customHeight="1" x14ac:dyDescent="0.3">
      <c r="A1119" s="140">
        <v>46198</v>
      </c>
      <c r="B1119" s="135" t="s">
        <v>2049</v>
      </c>
      <c r="C1119" s="71" t="s">
        <v>1846</v>
      </c>
      <c r="D1119" s="113" t="str">
        <f>IFERROR(VLOOKUP(C1119,SKUs!$A$6:$F$1971,6,FALSE()),"")</f>
        <v>CAMISETA PIQUET FEM.</v>
      </c>
      <c r="E1119" s="141">
        <v>47</v>
      </c>
      <c r="F1119" s="113">
        <f>IFERROR(IF(OR(B1119="",E1119=""),"",E1119*VLOOKUP(B1119,Configurações!$I$5:$J$15,2,FALSE())),"")</f>
        <v>47</v>
      </c>
      <c r="G1119" s="113" t="s">
        <v>1424</v>
      </c>
      <c r="H1119" s="138" t="s">
        <v>2059</v>
      </c>
      <c r="K1119" s="109" t="s">
        <v>2051</v>
      </c>
      <c r="M1119" s="109" t="s">
        <v>1848</v>
      </c>
    </row>
    <row r="1120" spans="1:13" ht="13.5" hidden="1" customHeight="1" x14ac:dyDescent="0.3">
      <c r="A1120" s="140">
        <v>46198</v>
      </c>
      <c r="B1120" s="135" t="s">
        <v>2049</v>
      </c>
      <c r="C1120" s="71" t="s">
        <v>1849</v>
      </c>
      <c r="D1120" s="113" t="str">
        <f>IFERROR(VLOOKUP(C1120,SKUs!$A$6:$F$1971,6,FALSE()),"")</f>
        <v>CAMISETA PIQUET FEM.</v>
      </c>
      <c r="E1120" s="141">
        <v>25</v>
      </c>
      <c r="F1120" s="113">
        <f>IFERROR(IF(OR(B1120="",E1120=""),"",E1120*VLOOKUP(B1120,Configurações!$I$5:$J$15,2,FALSE())),"")</f>
        <v>25</v>
      </c>
      <c r="G1120" s="113" t="s">
        <v>1424</v>
      </c>
      <c r="H1120" s="138" t="s">
        <v>2059</v>
      </c>
      <c r="K1120" s="109" t="s">
        <v>2051</v>
      </c>
      <c r="M1120" s="109" t="s">
        <v>1848</v>
      </c>
    </row>
    <row r="1121" spans="1:13" ht="13.5" hidden="1" customHeight="1" x14ac:dyDescent="0.3">
      <c r="A1121" s="140">
        <v>46198</v>
      </c>
      <c r="B1121" s="135" t="s">
        <v>2049</v>
      </c>
      <c r="C1121" s="73" t="s">
        <v>1850</v>
      </c>
      <c r="D1121" s="113" t="str">
        <f>IFERROR(VLOOKUP(C1121,SKUs!$A$6:$F$1971,6,FALSE()),"")</f>
        <v>CAMISETA PIQUET FEM.</v>
      </c>
      <c r="E1121" s="141">
        <v>12</v>
      </c>
      <c r="F1121" s="113">
        <f>IFERROR(IF(OR(B1121="",E1121=""),"",E1121*VLOOKUP(B1121,Configurações!$I$5:$J$15,2,FALSE())),"")</f>
        <v>12</v>
      </c>
      <c r="G1121" s="113" t="s">
        <v>1424</v>
      </c>
      <c r="H1121" s="138" t="s">
        <v>2059</v>
      </c>
      <c r="K1121" s="109" t="s">
        <v>2051</v>
      </c>
      <c r="M1121" s="109" t="s">
        <v>1848</v>
      </c>
    </row>
    <row r="1122" spans="1:13" ht="13.5" hidden="1" customHeight="1" x14ac:dyDescent="0.3">
      <c r="A1122" s="140">
        <v>46198</v>
      </c>
      <c r="B1122" s="135" t="s">
        <v>2049</v>
      </c>
      <c r="C1122" s="72" t="s">
        <v>1851</v>
      </c>
      <c r="D1122" s="113" t="str">
        <f>IFERROR(VLOOKUP(C1122,SKUs!$A$6:$F$1971,6,FALSE()),"")</f>
        <v>CAMISETA PIQUET MASC.</v>
      </c>
      <c r="E1122" s="142">
        <v>55</v>
      </c>
      <c r="F1122" s="113">
        <f>IFERROR(IF(OR(B1122="",E1122=""),"",E1122*VLOOKUP(B1122,Configurações!$I$5:$J$15,2,FALSE())),"")</f>
        <v>55</v>
      </c>
      <c r="G1122" s="113" t="s">
        <v>1424</v>
      </c>
      <c r="H1122" s="138" t="s">
        <v>2059</v>
      </c>
      <c r="K1122" s="109" t="s">
        <v>2051</v>
      </c>
      <c r="M1122" s="109" t="s">
        <v>1852</v>
      </c>
    </row>
    <row r="1123" spans="1:13" ht="13.5" hidden="1" customHeight="1" x14ac:dyDescent="0.3">
      <c r="A1123" s="182">
        <v>46198</v>
      </c>
      <c r="B1123" s="135" t="s">
        <v>2049</v>
      </c>
      <c r="C1123" s="71" t="s">
        <v>1836</v>
      </c>
      <c r="D1123" s="113" t="str">
        <f>IFERROR(VLOOKUP(C1123,SKUs!$A$6:$F$1971,6,FALSE()),"")</f>
        <v>CAMISETA PIQUET MASC.</v>
      </c>
      <c r="E1123" s="142">
        <v>19</v>
      </c>
      <c r="F1123" s="113">
        <f>IFERROR(IF(OR(B1123="",E1123=""),"",E1123*VLOOKUP(B1123,Configurações!$I$5:$J$15,2,FALSE())),"")</f>
        <v>19</v>
      </c>
      <c r="G1123" s="113" t="s">
        <v>1424</v>
      </c>
      <c r="H1123" s="138" t="s">
        <v>2059</v>
      </c>
      <c r="K1123" s="109" t="s">
        <v>2051</v>
      </c>
      <c r="M1123" s="109" t="s">
        <v>1852</v>
      </c>
    </row>
    <row r="1124" spans="1:13" ht="13.5" hidden="1" customHeight="1" x14ac:dyDescent="0.3">
      <c r="A1124" s="140">
        <v>46198</v>
      </c>
      <c r="B1124" s="135" t="s">
        <v>2049</v>
      </c>
      <c r="C1124" s="71" t="s">
        <v>1853</v>
      </c>
      <c r="D1124" s="113" t="str">
        <f>IFERROR(VLOOKUP(C1124,SKUs!$A$6:$F$1971,6,FALSE()),"")</f>
        <v>CAMISETA PIQUET MASC.</v>
      </c>
      <c r="E1124" s="142">
        <v>21</v>
      </c>
      <c r="F1124" s="113">
        <f>IFERROR(IF(OR(B1124="",E1124=""),"",E1124*VLOOKUP(B1124,Configurações!$I$5:$J$15,2,FALSE())),"")</f>
        <v>21</v>
      </c>
      <c r="G1124" s="113" t="s">
        <v>1424</v>
      </c>
      <c r="H1124" s="138" t="s">
        <v>2059</v>
      </c>
      <c r="K1124" s="109" t="s">
        <v>2051</v>
      </c>
      <c r="M1124" s="109" t="s">
        <v>1854</v>
      </c>
    </row>
    <row r="1125" spans="1:13" ht="13.5" hidden="1" customHeight="1" x14ac:dyDescent="0.3">
      <c r="A1125" s="140">
        <v>46198</v>
      </c>
      <c r="B1125" s="135" t="s">
        <v>2049</v>
      </c>
      <c r="C1125" s="73" t="s">
        <v>1855</v>
      </c>
      <c r="D1125" s="113" t="str">
        <f>IFERROR(VLOOKUP(C1125,SKUs!$A$6:$F$1971,6,FALSE()),"")</f>
        <v>CAMISETA PIQUET FEM.</v>
      </c>
      <c r="E1125" s="142">
        <v>50</v>
      </c>
      <c r="F1125" s="113">
        <f>IFERROR(IF(OR(B1125="",E1125=""),"",E1125*VLOOKUP(B1125,Configurações!$I$5:$J$15,2,FALSE())),"")</f>
        <v>50</v>
      </c>
      <c r="G1125" s="113" t="s">
        <v>1424</v>
      </c>
      <c r="H1125" s="138" t="s">
        <v>2059</v>
      </c>
      <c r="K1125" s="109" t="s">
        <v>2051</v>
      </c>
      <c r="M1125" s="109" t="s">
        <v>1856</v>
      </c>
    </row>
    <row r="1126" spans="1:13" ht="13.5" hidden="1" customHeight="1" x14ac:dyDescent="0.3">
      <c r="A1126" s="140">
        <v>46198</v>
      </c>
      <c r="B1126" s="135" t="s">
        <v>2049</v>
      </c>
      <c r="C1126" s="71" t="s">
        <v>1857</v>
      </c>
      <c r="D1126" s="113" t="str">
        <f>IFERROR(VLOOKUP(C1126,SKUs!$A$6:$F$1971,6,FALSE()),"")</f>
        <v>CAMISETA PIQUET FEM.</v>
      </c>
      <c r="E1126" s="142">
        <v>48</v>
      </c>
      <c r="F1126" s="113">
        <f>IFERROR(IF(OR(B1126="",E1126=""),"",E1126*VLOOKUP(B1126,Configurações!$I$5:$J$15,2,FALSE())),"")</f>
        <v>48</v>
      </c>
      <c r="G1126" s="113" t="s">
        <v>1424</v>
      </c>
      <c r="H1126" s="138" t="s">
        <v>2059</v>
      </c>
      <c r="K1126" s="109" t="s">
        <v>2051</v>
      </c>
      <c r="M1126" s="109" t="s">
        <v>1856</v>
      </c>
    </row>
    <row r="1127" spans="1:13" ht="13.5" hidden="1" customHeight="1" x14ac:dyDescent="0.3">
      <c r="A1127" s="140">
        <v>46198</v>
      </c>
      <c r="B1127" s="135" t="s">
        <v>2049</v>
      </c>
      <c r="C1127" s="73" t="s">
        <v>1858</v>
      </c>
      <c r="D1127" s="113" t="str">
        <f>IFERROR(VLOOKUP(C1127,SKUs!$A$6:$F$1971,6,FALSE()),"")</f>
        <v>CAMISETA PIQUET MASC.</v>
      </c>
      <c r="E1127" s="142">
        <v>91</v>
      </c>
      <c r="F1127" s="113">
        <f>IFERROR(IF(OR(B1127="",E1127=""),"",E1127*VLOOKUP(B1127,Configurações!$I$5:$J$15,2,FALSE())),"")</f>
        <v>91</v>
      </c>
      <c r="G1127" s="113" t="s">
        <v>1424</v>
      </c>
      <c r="H1127" s="138" t="s">
        <v>2059</v>
      </c>
      <c r="K1127" s="109" t="s">
        <v>2051</v>
      </c>
      <c r="M1127" s="109" t="s">
        <v>1859</v>
      </c>
    </row>
    <row r="1128" spans="1:13" ht="13.5" hidden="1" customHeight="1" x14ac:dyDescent="0.3">
      <c r="A1128" s="140">
        <v>46198</v>
      </c>
      <c r="B1128" s="135" t="s">
        <v>2049</v>
      </c>
      <c r="C1128" s="72" t="s">
        <v>1860</v>
      </c>
      <c r="D1128" s="113" t="str">
        <f>IFERROR(VLOOKUP(C1128,SKUs!$A$6:$F$1971,6,FALSE()),"")</f>
        <v>CAMISETA PIQUET FEM.</v>
      </c>
      <c r="E1128" s="142">
        <v>25</v>
      </c>
      <c r="F1128" s="113">
        <f>IFERROR(IF(OR(B1128="",E1128=""),"",E1128*VLOOKUP(B1128,Configurações!$I$5:$J$15,2,FALSE())),"")</f>
        <v>25</v>
      </c>
      <c r="G1128" s="113" t="s">
        <v>1424</v>
      </c>
      <c r="H1128" s="138" t="s">
        <v>2059</v>
      </c>
      <c r="K1128" s="109" t="s">
        <v>2051</v>
      </c>
      <c r="M1128" s="109" t="s">
        <v>1861</v>
      </c>
    </row>
    <row r="1129" spans="1:13" ht="13.5" hidden="1" customHeight="1" x14ac:dyDescent="0.3">
      <c r="A1129" s="140">
        <v>46198</v>
      </c>
      <c r="B1129" s="135" t="s">
        <v>2049</v>
      </c>
      <c r="C1129" s="71" t="s">
        <v>1862</v>
      </c>
      <c r="D1129" s="113" t="str">
        <f>IFERROR(VLOOKUP(C1129,SKUs!$A$6:$F$1971,6,FALSE()),"")</f>
        <v>CAMISETA PIQUET FEM.</v>
      </c>
      <c r="E1129" s="142">
        <v>6</v>
      </c>
      <c r="F1129" s="113">
        <f>IFERROR(IF(OR(B1129="",E1129=""),"",E1129*VLOOKUP(B1129,Configurações!$I$5:$J$15,2,FALSE())),"")</f>
        <v>6</v>
      </c>
      <c r="G1129" s="113" t="s">
        <v>1424</v>
      </c>
      <c r="H1129" s="138" t="s">
        <v>2059</v>
      </c>
      <c r="K1129" s="109" t="s">
        <v>2051</v>
      </c>
      <c r="M1129" s="109" t="s">
        <v>1861</v>
      </c>
    </row>
    <row r="1130" spans="1:13" ht="13.5" hidden="1" customHeight="1" x14ac:dyDescent="0.3">
      <c r="A1130" s="140">
        <v>46198</v>
      </c>
      <c r="B1130" s="135" t="s">
        <v>2049</v>
      </c>
      <c r="C1130" s="72" t="s">
        <v>1855</v>
      </c>
      <c r="D1130" s="113" t="str">
        <f>IFERROR(VLOOKUP(C1130,SKUs!$A$6:$F$1971,6,FALSE()),"")</f>
        <v>CAMISETA PIQUET FEM.</v>
      </c>
      <c r="E1130" s="142">
        <v>3</v>
      </c>
      <c r="F1130" s="113">
        <f>IFERROR(IF(OR(B1130="",E1130=""),"",E1130*VLOOKUP(B1130,Configurações!$I$5:$J$15,2,FALSE())),"")</f>
        <v>3</v>
      </c>
      <c r="G1130" s="113" t="s">
        <v>1424</v>
      </c>
      <c r="H1130" s="138" t="s">
        <v>2059</v>
      </c>
      <c r="K1130" s="109" t="s">
        <v>2051</v>
      </c>
      <c r="M1130" s="109" t="s">
        <v>1861</v>
      </c>
    </row>
    <row r="1131" spans="1:13" ht="14.25" hidden="1" customHeight="1" x14ac:dyDescent="0.3">
      <c r="A1131" s="140">
        <v>46199</v>
      </c>
      <c r="B1131" s="135" t="s">
        <v>2049</v>
      </c>
      <c r="C1131" s="49" t="s">
        <v>1863</v>
      </c>
      <c r="D1131" s="113" t="str">
        <f>IFERROR(VLOOKUP(C1131,SKUs!$A$6:$F$1971,6,FALSE()),"")</f>
        <v>TRICO TEXTURADO</v>
      </c>
      <c r="E1131" s="142">
        <v>19</v>
      </c>
      <c r="F1131" s="113">
        <f>IFERROR(IF(OR(B1131="",E1131=""),"",E1131*VLOOKUP(B1131,Configurações!$I$5:$J$15,2,FALSE())),"")</f>
        <v>19</v>
      </c>
      <c r="G1131" s="113" t="s">
        <v>1424</v>
      </c>
      <c r="H1131" s="138" t="s">
        <v>2059</v>
      </c>
      <c r="K1131" s="109" t="s">
        <v>2051</v>
      </c>
      <c r="M1131" s="109" t="s">
        <v>1866</v>
      </c>
    </row>
    <row r="1132" spans="1:13" ht="13.5" hidden="1" customHeight="1" x14ac:dyDescent="0.3">
      <c r="A1132" s="140">
        <v>46199</v>
      </c>
      <c r="B1132" s="135" t="s">
        <v>2049</v>
      </c>
      <c r="C1132" s="68" t="s">
        <v>1867</v>
      </c>
      <c r="D1132" s="113" t="str">
        <f>IFERROR(VLOOKUP(C1132,SKUs!$A$6:$F$1971,6,FALSE()),"")</f>
        <v>TRICO TEXTURADO</v>
      </c>
      <c r="E1132" s="142">
        <v>9</v>
      </c>
      <c r="F1132" s="113">
        <f>IFERROR(IF(OR(B1132="",E1132=""),"",E1132*VLOOKUP(B1132,Configurações!$I$5:$J$15,2,FALSE())),"")</f>
        <v>9</v>
      </c>
      <c r="G1132" s="113" t="s">
        <v>1424</v>
      </c>
      <c r="H1132" s="138" t="s">
        <v>2059</v>
      </c>
      <c r="K1132" s="109" t="s">
        <v>2051</v>
      </c>
      <c r="M1132" s="109" t="s">
        <v>1866</v>
      </c>
    </row>
    <row r="1133" spans="1:13" ht="14.25" hidden="1" customHeight="1" x14ac:dyDescent="0.3">
      <c r="A1133" s="140">
        <v>46199</v>
      </c>
      <c r="B1133" s="135" t="s">
        <v>2049</v>
      </c>
      <c r="C1133" s="68" t="s">
        <v>1867</v>
      </c>
      <c r="D1133" s="113" t="str">
        <f>IFERROR(VLOOKUP(C1133,SKUs!$A$6:$F$1971,6,FALSE()),"")</f>
        <v>TRICO TEXTURADO</v>
      </c>
      <c r="E1133" s="143">
        <v>3</v>
      </c>
      <c r="F1133" s="113">
        <f>IFERROR(IF(OR(B1133="",E1133=""),"",E1133*VLOOKUP(B1133,Configurações!$I$5:$J$15,2,FALSE())),"")</f>
        <v>3</v>
      </c>
      <c r="G1133" s="113" t="s">
        <v>1424</v>
      </c>
      <c r="H1133" s="138" t="s">
        <v>2059</v>
      </c>
      <c r="K1133" s="109" t="s">
        <v>2051</v>
      </c>
      <c r="M1133" s="109" t="s">
        <v>1868</v>
      </c>
    </row>
    <row r="1134" spans="1:13" ht="14.25" hidden="1" customHeight="1" x14ac:dyDescent="0.3">
      <c r="A1134" s="140">
        <v>46199</v>
      </c>
      <c r="B1134" s="135" t="s">
        <v>2049</v>
      </c>
      <c r="C1134" s="49" t="s">
        <v>1869</v>
      </c>
      <c r="D1134" s="113" t="str">
        <f>IFERROR(VLOOKUP(C1134,SKUs!$A$6:$F$1971,6,FALSE()),"")</f>
        <v>TRICO TEXTURADO</v>
      </c>
      <c r="E1134" s="143">
        <v>30</v>
      </c>
      <c r="F1134" s="113">
        <f>IFERROR(IF(OR(B1134="",E1134=""),"",E1134*VLOOKUP(B1134,Configurações!$I$5:$J$15,2,FALSE())),"")</f>
        <v>30</v>
      </c>
      <c r="G1134" s="113" t="s">
        <v>1424</v>
      </c>
      <c r="H1134" s="138" t="s">
        <v>2059</v>
      </c>
      <c r="K1134" s="109" t="s">
        <v>2051</v>
      </c>
      <c r="M1134" s="109" t="s">
        <v>1868</v>
      </c>
    </row>
    <row r="1135" spans="1:13" ht="14.25" hidden="1" customHeight="1" x14ac:dyDescent="0.3">
      <c r="A1135" s="140">
        <v>46199</v>
      </c>
      <c r="B1135" s="135" t="s">
        <v>2049</v>
      </c>
      <c r="C1135" s="68" t="s">
        <v>1870</v>
      </c>
      <c r="D1135" s="113" t="str">
        <f>IFERROR(VLOOKUP(C1135,SKUs!$A$6:$F$1971,6,FALSE()),"")</f>
        <v>TRICO TEXTURADO</v>
      </c>
      <c r="E1135" s="143">
        <v>15</v>
      </c>
      <c r="F1135" s="113">
        <f>IFERROR(IF(OR(B1135="",E1135=""),"",E1135*VLOOKUP(B1135,Configurações!$I$5:$J$15,2,FALSE())),"")</f>
        <v>15</v>
      </c>
      <c r="G1135" s="113" t="s">
        <v>1424</v>
      </c>
      <c r="H1135" s="138" t="s">
        <v>2059</v>
      </c>
      <c r="K1135" s="109" t="s">
        <v>2051</v>
      </c>
      <c r="M1135" s="109" t="s">
        <v>1871</v>
      </c>
    </row>
    <row r="1136" spans="1:13" ht="14.25" hidden="1" customHeight="1" x14ac:dyDescent="0.3">
      <c r="A1136" s="140">
        <v>46199</v>
      </c>
      <c r="B1136" s="135" t="s">
        <v>2049</v>
      </c>
      <c r="C1136" s="49" t="s">
        <v>1863</v>
      </c>
      <c r="D1136" s="113" t="str">
        <f>IFERROR(VLOOKUP(C1136,SKUs!$A$6:$F$1971,6,FALSE()),"")</f>
        <v>TRICO TEXTURADO</v>
      </c>
      <c r="E1136" s="144">
        <v>10</v>
      </c>
      <c r="F1136" s="113">
        <f>IFERROR(IF(OR(B1136="",E1136=""),"",E1136*VLOOKUP(B1136,Configurações!$I$5:$J$15,2,FALSE())),"")</f>
        <v>10</v>
      </c>
      <c r="G1136" s="113" t="s">
        <v>1424</v>
      </c>
      <c r="H1136" s="138" t="s">
        <v>2059</v>
      </c>
      <c r="K1136" s="109" t="s">
        <v>2051</v>
      </c>
      <c r="M1136" s="109" t="s">
        <v>1871</v>
      </c>
    </row>
    <row r="1137" spans="1:13" ht="14.25" hidden="1" customHeight="1" x14ac:dyDescent="0.3">
      <c r="A1137" s="140">
        <v>46199</v>
      </c>
      <c r="B1137" s="135" t="s">
        <v>2049</v>
      </c>
      <c r="C1137" s="68" t="s">
        <v>1867</v>
      </c>
      <c r="D1137" s="113" t="str">
        <f>IFERROR(VLOOKUP(C1137,SKUs!$A$6:$F$1971,6,FALSE()),"")</f>
        <v>TRICO TEXTURADO</v>
      </c>
      <c r="E1137" s="143">
        <v>3</v>
      </c>
      <c r="F1137" s="113">
        <f>IFERROR(IF(OR(B1137="",E1137=""),"",E1137*VLOOKUP(B1137,Configurações!$I$5:$J$15,2,FALSE())),"")</f>
        <v>3</v>
      </c>
      <c r="G1137" s="113" t="s">
        <v>1424</v>
      </c>
      <c r="H1137" s="138" t="s">
        <v>2059</v>
      </c>
      <c r="K1137" s="109" t="s">
        <v>2051</v>
      </c>
      <c r="M1137" s="109" t="s">
        <v>1871</v>
      </c>
    </row>
    <row r="1138" spans="1:13" ht="14.25" hidden="1" customHeight="1" x14ac:dyDescent="0.3">
      <c r="A1138" s="140">
        <v>46199</v>
      </c>
      <c r="B1138" s="135" t="s">
        <v>2049</v>
      </c>
      <c r="C1138" s="49" t="s">
        <v>1872</v>
      </c>
      <c r="D1138" s="113" t="str">
        <f>IFERROR(VLOOKUP(C1138,SKUs!$A$6:$F$1971,6,FALSE()),"")</f>
        <v>TRICO TEXTURADO</v>
      </c>
      <c r="E1138" s="144">
        <v>9</v>
      </c>
      <c r="F1138" s="113">
        <f>IFERROR(IF(OR(B1138="",E1138=""),"",E1138*VLOOKUP(B1138,Configurações!$I$5:$J$15,2,FALSE())),"")</f>
        <v>9</v>
      </c>
      <c r="G1138" s="113" t="s">
        <v>1424</v>
      </c>
      <c r="H1138" s="138" t="s">
        <v>2059</v>
      </c>
      <c r="K1138" s="109" t="s">
        <v>2051</v>
      </c>
      <c r="M1138" s="109" t="s">
        <v>1873</v>
      </c>
    </row>
    <row r="1139" spans="1:13" ht="14.25" hidden="1" customHeight="1" x14ac:dyDescent="0.3">
      <c r="A1139" s="140">
        <v>46199</v>
      </c>
      <c r="B1139" s="135" t="s">
        <v>2049</v>
      </c>
      <c r="C1139" s="68" t="s">
        <v>1874</v>
      </c>
      <c r="D1139" s="113" t="str">
        <f>IFERROR(VLOOKUP(C1139,SKUs!$A$6:$F$1971,6,FALSE()),"")</f>
        <v>TRICO TEXTURADO</v>
      </c>
      <c r="E1139" s="144">
        <v>15</v>
      </c>
      <c r="F1139" s="113">
        <f>IFERROR(IF(OR(B1139="",E1139=""),"",E1139*VLOOKUP(B1139,Configurações!$I$5:$J$15,2,FALSE())),"")</f>
        <v>15</v>
      </c>
      <c r="G1139" s="113" t="s">
        <v>1424</v>
      </c>
      <c r="H1139" s="138" t="s">
        <v>2059</v>
      </c>
      <c r="K1139" s="109" t="s">
        <v>2051</v>
      </c>
      <c r="M1139" s="109" t="s">
        <v>1873</v>
      </c>
    </row>
    <row r="1140" spans="1:13" ht="14.25" hidden="1" customHeight="1" x14ac:dyDescent="0.3">
      <c r="A1140" s="140">
        <v>46199</v>
      </c>
      <c r="B1140" s="135" t="s">
        <v>2049</v>
      </c>
      <c r="C1140" s="49" t="s">
        <v>1875</v>
      </c>
      <c r="D1140" s="113" t="str">
        <f>IFERROR(VLOOKUP(C1140,SKUs!$A$6:$F$1971,6,FALSE()),"")</f>
        <v>TRICO TEXTURADO</v>
      </c>
      <c r="E1140" s="144">
        <v>15</v>
      </c>
      <c r="F1140" s="113">
        <f>IFERROR(IF(OR(B1140="",E1140=""),"",E1140*VLOOKUP(B1140,Configurações!$I$5:$J$15,2,FALSE())),"")</f>
        <v>15</v>
      </c>
      <c r="G1140" s="113" t="s">
        <v>1424</v>
      </c>
      <c r="H1140" s="138" t="s">
        <v>2059</v>
      </c>
      <c r="K1140" s="109" t="s">
        <v>2051</v>
      </c>
      <c r="M1140" s="109" t="s">
        <v>1876</v>
      </c>
    </row>
    <row r="1141" spans="1:13" ht="14.25" hidden="1" customHeight="1" x14ac:dyDescent="0.3">
      <c r="A1141" s="140">
        <v>46199</v>
      </c>
      <c r="B1141" s="135" t="s">
        <v>2049</v>
      </c>
      <c r="C1141" s="49" t="s">
        <v>1877</v>
      </c>
      <c r="D1141" s="113" t="str">
        <f>IFERROR(VLOOKUP(C1141,SKUs!$A$6:$F$1971,6,FALSE()),"")</f>
        <v>TRICO TEXTURADO</v>
      </c>
      <c r="E1141" s="144">
        <v>19</v>
      </c>
      <c r="F1141" s="113">
        <f>IFERROR(IF(OR(B1141="",E1141=""),"",E1141*VLOOKUP(B1141,Configurações!$I$5:$J$15,2,FALSE())),"")</f>
        <v>19</v>
      </c>
      <c r="G1141" s="113" t="s">
        <v>1424</v>
      </c>
      <c r="H1141" s="138" t="s">
        <v>2059</v>
      </c>
      <c r="K1141" s="109" t="s">
        <v>2051</v>
      </c>
      <c r="M1141" s="109" t="s">
        <v>1876</v>
      </c>
    </row>
    <row r="1142" spans="1:13" ht="14.25" hidden="1" customHeight="1" x14ac:dyDescent="0.3">
      <c r="A1142" s="140">
        <v>46199</v>
      </c>
      <c r="B1142" s="135" t="s">
        <v>2049</v>
      </c>
      <c r="C1142" s="49" t="s">
        <v>1877</v>
      </c>
      <c r="D1142" s="113" t="str">
        <f>IFERROR(VLOOKUP(C1142,SKUs!$A$6:$F$1971,6,FALSE()),"")</f>
        <v>TRICO TEXTURADO</v>
      </c>
      <c r="E1142" s="144">
        <v>10</v>
      </c>
      <c r="F1142" s="113">
        <f>IFERROR(IF(OR(B1142="",E1142=""),"",E1142*VLOOKUP(B1142,Configurações!$I$5:$J$15,2,FALSE())),"")</f>
        <v>10</v>
      </c>
      <c r="G1142" s="113" t="s">
        <v>1424</v>
      </c>
      <c r="H1142" s="138" t="s">
        <v>2059</v>
      </c>
      <c r="K1142" s="109" t="s">
        <v>2051</v>
      </c>
      <c r="M1142" s="109" t="s">
        <v>1878</v>
      </c>
    </row>
    <row r="1143" spans="1:13" ht="14.25" hidden="1" customHeight="1" x14ac:dyDescent="0.3">
      <c r="A1143" s="140">
        <v>46199</v>
      </c>
      <c r="B1143" s="135" t="s">
        <v>2049</v>
      </c>
      <c r="C1143" s="49" t="s">
        <v>1872</v>
      </c>
      <c r="D1143" s="113" t="str">
        <f>IFERROR(VLOOKUP(C1143,SKUs!$A$6:$F$1971,6,FALSE()),"")</f>
        <v>TRICO TEXTURADO</v>
      </c>
      <c r="E1143" s="144">
        <v>21</v>
      </c>
      <c r="F1143" s="113">
        <f>IFERROR(IF(OR(B1143="",E1143=""),"",E1143*VLOOKUP(B1143,Configurações!$I$5:$J$15,2,FALSE())),"")</f>
        <v>21</v>
      </c>
      <c r="G1143" s="113" t="s">
        <v>1424</v>
      </c>
      <c r="H1143" s="138" t="s">
        <v>2059</v>
      </c>
      <c r="K1143" s="109" t="s">
        <v>2051</v>
      </c>
      <c r="M1143" s="109" t="s">
        <v>1878</v>
      </c>
    </row>
    <row r="1144" spans="1:13" ht="14.25" hidden="1" customHeight="1" x14ac:dyDescent="0.3">
      <c r="A1144" s="140">
        <v>46199</v>
      </c>
      <c r="B1144" s="135" t="s">
        <v>2049</v>
      </c>
      <c r="C1144" s="49" t="s">
        <v>1879</v>
      </c>
      <c r="D1144" s="113" t="str">
        <f>IFERROR(VLOOKUP(C1144,SKUs!$A$6:$F$1971,6,FALSE()),"")</f>
        <v>TRICO MEIO ZIPER COURO</v>
      </c>
      <c r="E1144" s="144">
        <v>6</v>
      </c>
      <c r="F1144" s="113">
        <f>IFERROR(IF(OR(B1144="",E1144=""),"",E1144*VLOOKUP(B1144,Configurações!$I$5:$J$15,2,FALSE())),"")</f>
        <v>6</v>
      </c>
      <c r="G1144" s="113" t="s">
        <v>1424</v>
      </c>
      <c r="H1144" s="138" t="s">
        <v>2059</v>
      </c>
      <c r="K1144" s="109" t="s">
        <v>2051</v>
      </c>
      <c r="M1144" s="109" t="s">
        <v>1881</v>
      </c>
    </row>
    <row r="1145" spans="1:13" ht="14.25" hidden="1" customHeight="1" x14ac:dyDescent="0.3">
      <c r="A1145" s="140">
        <v>46199</v>
      </c>
      <c r="B1145" s="135" t="s">
        <v>2049</v>
      </c>
      <c r="C1145" s="49" t="s">
        <v>1882</v>
      </c>
      <c r="D1145" s="113" t="str">
        <f>IFERROR(VLOOKUP(C1145,SKUs!$A$6:$F$1971,6,FALSE()),"")</f>
        <v>JAQUETA PUFFER CAPUZ</v>
      </c>
      <c r="E1145" s="144">
        <v>10</v>
      </c>
      <c r="F1145" s="113">
        <f>IFERROR(IF(OR(B1145="",E1145=""),"",E1145*VLOOKUP(B1145,Configurações!$I$5:$J$15,2,FALSE())),"")</f>
        <v>10</v>
      </c>
      <c r="G1145" s="113" t="s">
        <v>1424</v>
      </c>
      <c r="H1145" s="138" t="s">
        <v>2059</v>
      </c>
      <c r="K1145" s="109" t="s">
        <v>2051</v>
      </c>
      <c r="M1145" s="109" t="s">
        <v>1883</v>
      </c>
    </row>
    <row r="1146" spans="1:13" ht="14.25" hidden="1" customHeight="1" x14ac:dyDescent="0.3">
      <c r="A1146" s="140">
        <v>46199</v>
      </c>
      <c r="B1146" s="135" t="s">
        <v>2049</v>
      </c>
      <c r="C1146" s="43" t="s">
        <v>1074</v>
      </c>
      <c r="D1146" s="113" t="str">
        <f>IFERROR(VLOOKUP(C1146,SKUs!$A$6:$F$1971,6,FALSE()),"")</f>
        <v>JAQUETA PUFFER CAPUZ</v>
      </c>
      <c r="E1146" s="145">
        <v>14</v>
      </c>
      <c r="F1146" s="113">
        <f>IFERROR(IF(OR(B1146="",E1146=""),"",E1146*VLOOKUP(B1146,Configurações!$I$5:$J$15,2,FALSE())),"")</f>
        <v>14</v>
      </c>
      <c r="G1146" s="113" t="s">
        <v>1424</v>
      </c>
      <c r="H1146" s="138" t="s">
        <v>2059</v>
      </c>
      <c r="K1146" s="109" t="s">
        <v>2051</v>
      </c>
      <c r="M1146" s="109" t="s">
        <v>1884</v>
      </c>
    </row>
    <row r="1147" spans="1:13" ht="14.25" hidden="1" customHeight="1" x14ac:dyDescent="0.3">
      <c r="A1147" s="140">
        <v>46199</v>
      </c>
      <c r="B1147" s="135" t="s">
        <v>2049</v>
      </c>
      <c r="C1147" s="43" t="s">
        <v>1077</v>
      </c>
      <c r="D1147" s="113" t="str">
        <f>IFERROR(VLOOKUP(C1147,SKUs!$A$6:$F$1971,6,FALSE()),"")</f>
        <v>JAQUETA PUFFER CAPUZ</v>
      </c>
      <c r="E1147" s="145">
        <v>14</v>
      </c>
      <c r="F1147" s="113">
        <f>IFERROR(IF(OR(B1147="",E1147=""),"",E1147*VLOOKUP(B1147,Configurações!$I$5:$J$15,2,FALSE())),"")</f>
        <v>14</v>
      </c>
      <c r="G1147" s="113" t="s">
        <v>1424</v>
      </c>
      <c r="H1147" s="138" t="s">
        <v>2059</v>
      </c>
      <c r="K1147" s="109" t="s">
        <v>2051</v>
      </c>
      <c r="M1147" s="109" t="s">
        <v>1885</v>
      </c>
    </row>
    <row r="1148" spans="1:13" ht="14.25" hidden="1" customHeight="1" x14ac:dyDescent="0.3">
      <c r="A1148" s="140">
        <v>46199</v>
      </c>
      <c r="B1148" s="135" t="s">
        <v>2049</v>
      </c>
      <c r="C1148" s="43" t="s">
        <v>1484</v>
      </c>
      <c r="D1148" s="113" t="str">
        <f>IFERROR(VLOOKUP(C1148,SKUs!$A$6:$F$1971,6,FALSE()),"")</f>
        <v>JAQUETA BOMBER</v>
      </c>
      <c r="E1148" s="145">
        <v>8</v>
      </c>
      <c r="F1148" s="113">
        <f>IFERROR(IF(OR(B1148="",E1148=""),"",E1148*VLOOKUP(B1148,Configurações!$I$5:$J$15,2,FALSE())),"")</f>
        <v>8</v>
      </c>
      <c r="G1148" s="113" t="s">
        <v>1424</v>
      </c>
      <c r="H1148" s="138" t="s">
        <v>2059</v>
      </c>
      <c r="K1148" s="109" t="s">
        <v>2051</v>
      </c>
      <c r="M1148" s="109" t="s">
        <v>1886</v>
      </c>
    </row>
    <row r="1149" spans="1:13" ht="14.25" hidden="1" customHeight="1" x14ac:dyDescent="0.3">
      <c r="A1149" s="140">
        <v>46199</v>
      </c>
      <c r="B1149" s="135" t="s">
        <v>2049</v>
      </c>
      <c r="C1149" s="43" t="s">
        <v>1486</v>
      </c>
      <c r="D1149" s="113" t="str">
        <f>IFERROR(VLOOKUP(C1149,SKUs!$A$6:$F$1971,6,FALSE()),"")</f>
        <v>JAQUETA BOMBER</v>
      </c>
      <c r="E1149" s="145">
        <v>14</v>
      </c>
      <c r="F1149" s="113">
        <f>IFERROR(IF(OR(B1149="",E1149=""),"",E1149*VLOOKUP(B1149,Configurações!$I$5:$J$15,2,FALSE())),"")</f>
        <v>14</v>
      </c>
      <c r="G1149" s="113" t="s">
        <v>1424</v>
      </c>
      <c r="H1149" s="138" t="s">
        <v>2059</v>
      </c>
      <c r="K1149" s="109" t="s">
        <v>2051</v>
      </c>
      <c r="M1149" s="109" t="s">
        <v>1886</v>
      </c>
    </row>
    <row r="1150" spans="1:13" ht="14.25" hidden="1" customHeight="1" x14ac:dyDescent="0.3">
      <c r="A1150" s="140">
        <v>46199</v>
      </c>
      <c r="B1150" s="135" t="s">
        <v>2049</v>
      </c>
      <c r="C1150" s="49" t="s">
        <v>1887</v>
      </c>
      <c r="D1150" s="113" t="str">
        <f>IFERROR(VLOOKUP(C1150,SKUs!$A$6:$F$1971,6,FALSE()),"")</f>
        <v>JAQUETA BOMBER</v>
      </c>
      <c r="E1150" s="145">
        <v>4</v>
      </c>
      <c r="F1150" s="113">
        <f>IFERROR(IF(OR(B1150="",E1150=""),"",E1150*VLOOKUP(B1150,Configurações!$I$5:$J$15,2,FALSE())),"")</f>
        <v>4</v>
      </c>
      <c r="G1150" s="113" t="s">
        <v>1424</v>
      </c>
      <c r="H1150" s="138" t="s">
        <v>2059</v>
      </c>
      <c r="K1150" s="109" t="s">
        <v>2051</v>
      </c>
      <c r="M1150" s="109" t="s">
        <v>1886</v>
      </c>
    </row>
    <row r="1151" spans="1:13" ht="14.25" hidden="1" customHeight="1" x14ac:dyDescent="0.3">
      <c r="A1151" s="140">
        <v>46199</v>
      </c>
      <c r="B1151" s="135" t="s">
        <v>2049</v>
      </c>
      <c r="C1151" s="49" t="s">
        <v>1888</v>
      </c>
      <c r="D1151" s="113" t="str">
        <f>IFERROR(VLOOKUP(C1151,SKUs!$A$6:$F$1971,6,FALSE()),"")</f>
        <v xml:space="preserve">TRICO MEIO ZIPER </v>
      </c>
      <c r="E1151" s="145">
        <v>21</v>
      </c>
      <c r="F1151" s="113">
        <f>IFERROR(IF(OR(B1151="",E1151=""),"",E1151*VLOOKUP(B1151,Configurações!$I$5:$J$15,2,FALSE())),"")</f>
        <v>21</v>
      </c>
      <c r="G1151" s="113" t="s">
        <v>1424</v>
      </c>
      <c r="H1151" s="138" t="s">
        <v>2059</v>
      </c>
      <c r="K1151" s="109" t="s">
        <v>2051</v>
      </c>
      <c r="M1151" s="109" t="s">
        <v>1890</v>
      </c>
    </row>
    <row r="1152" spans="1:13" ht="14.25" hidden="1" customHeight="1" x14ac:dyDescent="0.3">
      <c r="A1152" s="140">
        <v>46199</v>
      </c>
      <c r="B1152" s="135" t="s">
        <v>2049</v>
      </c>
      <c r="C1152" s="49" t="s">
        <v>1891</v>
      </c>
      <c r="D1152" s="113" t="str">
        <f>IFERROR(VLOOKUP(C1152,SKUs!$A$6:$F$1971,6,FALSE()),"")</f>
        <v>TRICO MEIO ZIPER</v>
      </c>
      <c r="E1152" s="145">
        <v>42</v>
      </c>
      <c r="F1152" s="113">
        <f>IFERROR(IF(OR(B1152="",E1152=""),"",E1152*VLOOKUP(B1152,Configurações!$I$5:$J$15,2,FALSE())),"")</f>
        <v>42</v>
      </c>
      <c r="G1152" s="113" t="s">
        <v>1424</v>
      </c>
      <c r="H1152" s="138" t="s">
        <v>2059</v>
      </c>
      <c r="K1152" s="109" t="s">
        <v>2051</v>
      </c>
      <c r="M1152" s="109" t="s">
        <v>1893</v>
      </c>
    </row>
    <row r="1153" spans="1:13" ht="14.25" hidden="1" customHeight="1" x14ac:dyDescent="0.3">
      <c r="A1153" s="140">
        <v>46199</v>
      </c>
      <c r="B1153" s="135" t="s">
        <v>2049</v>
      </c>
      <c r="C1153" s="49" t="s">
        <v>1894</v>
      </c>
      <c r="D1153" s="113" t="str">
        <f>IFERROR(VLOOKUP(C1153,SKUs!$A$6:$F$1971,6,FALSE()),"")</f>
        <v>TRICO MEIO ZIPER COURO</v>
      </c>
      <c r="E1153" s="145">
        <v>6</v>
      </c>
      <c r="F1153" s="113">
        <f>IFERROR(IF(OR(B1153="",E1153=""),"",E1153*VLOOKUP(B1153,Configurações!$I$5:$J$15,2,FALSE())),"")</f>
        <v>6</v>
      </c>
      <c r="G1153" s="113" t="s">
        <v>1424</v>
      </c>
      <c r="H1153" s="138" t="s">
        <v>2059</v>
      </c>
      <c r="K1153" s="109" t="s">
        <v>2051</v>
      </c>
      <c r="M1153" s="109" t="s">
        <v>1895</v>
      </c>
    </row>
    <row r="1154" spans="1:13" ht="14.25" hidden="1" customHeight="1" x14ac:dyDescent="0.3">
      <c r="A1154" s="140">
        <v>46199</v>
      </c>
      <c r="B1154" s="135" t="s">
        <v>2049</v>
      </c>
      <c r="C1154" s="109" t="s">
        <v>1896</v>
      </c>
      <c r="D1154" s="113" t="str">
        <f>IFERROR(VLOOKUP(C1154,SKUs!$A$6:$F$1971,6,FALSE()),"")</f>
        <v>TRICO MEIO ZIPER COURO</v>
      </c>
      <c r="E1154" s="145">
        <v>16</v>
      </c>
      <c r="F1154" s="113">
        <f>IFERROR(IF(OR(B1154="",E1154=""),"",E1154*VLOOKUP(B1154,Configurações!$I$5:$J$15,2,FALSE())),"")</f>
        <v>16</v>
      </c>
      <c r="G1154" s="113" t="s">
        <v>1424</v>
      </c>
      <c r="H1154" s="138" t="s">
        <v>2059</v>
      </c>
      <c r="K1154" s="109" t="s">
        <v>2051</v>
      </c>
      <c r="M1154" s="109" t="s">
        <v>1895</v>
      </c>
    </row>
    <row r="1155" spans="1:13" ht="14.25" hidden="1" customHeight="1" x14ac:dyDescent="0.3">
      <c r="A1155" s="140">
        <v>46199</v>
      </c>
      <c r="B1155" s="135" t="s">
        <v>2049</v>
      </c>
      <c r="C1155" s="109" t="s">
        <v>1897</v>
      </c>
      <c r="D1155" s="113" t="str">
        <f>IFERROR(VLOOKUP(C1155,SKUs!$A$6:$F$1971,6,FALSE()),"")</f>
        <v>TRICO MEIO ZIPER COURO</v>
      </c>
      <c r="E1155" s="145">
        <v>17</v>
      </c>
      <c r="F1155" s="113">
        <f>IFERROR(IF(OR(B1155="",E1155=""),"",E1155*VLOOKUP(B1155,Configurações!$I$5:$J$15,2,FALSE())),"")</f>
        <v>17</v>
      </c>
      <c r="G1155" s="113" t="s">
        <v>1424</v>
      </c>
      <c r="H1155" s="138" t="s">
        <v>2059</v>
      </c>
      <c r="K1155" s="109" t="s">
        <v>2051</v>
      </c>
      <c r="M1155" s="109" t="s">
        <v>1898</v>
      </c>
    </row>
    <row r="1156" spans="1:13" ht="14.25" hidden="1" customHeight="1" x14ac:dyDescent="0.3">
      <c r="A1156" s="140">
        <v>46199</v>
      </c>
      <c r="B1156" s="135" t="s">
        <v>2049</v>
      </c>
      <c r="C1156" s="43" t="s">
        <v>1501</v>
      </c>
      <c r="D1156" s="113" t="str">
        <f>IFERROR(VLOOKUP(C1156,SKUs!$A$6:$F$1971,6,FALSE()),"")</f>
        <v>TRICO BASICO GOLA V</v>
      </c>
      <c r="E1156" s="145">
        <v>17</v>
      </c>
      <c r="F1156" s="113">
        <f>IFERROR(IF(OR(B1156="",E1156=""),"",E1156*VLOOKUP(B1156,Configurações!$I$5:$J$15,2,FALSE())),"")</f>
        <v>17</v>
      </c>
      <c r="G1156" s="113" t="s">
        <v>1424</v>
      </c>
      <c r="H1156" s="138" t="s">
        <v>2059</v>
      </c>
      <c r="K1156" s="109" t="s">
        <v>2051</v>
      </c>
      <c r="M1156" s="109" t="s">
        <v>1899</v>
      </c>
    </row>
    <row r="1157" spans="1:13" ht="14.25" hidden="1" customHeight="1" x14ac:dyDescent="0.3">
      <c r="A1157" s="140">
        <v>46199</v>
      </c>
      <c r="B1157" s="135" t="s">
        <v>2049</v>
      </c>
      <c r="C1157" s="43" t="s">
        <v>1502</v>
      </c>
      <c r="D1157" s="113" t="str">
        <f>IFERROR(VLOOKUP(C1157,SKUs!$A$6:$F$1971,6,FALSE()),"")</f>
        <v>TRICO BASICO GOLA V</v>
      </c>
      <c r="E1157" s="145">
        <v>7</v>
      </c>
      <c r="F1157" s="113">
        <f>IFERROR(IF(OR(B1157="",E1157=""),"",E1157*VLOOKUP(B1157,Configurações!$I$5:$J$15,2,FALSE())),"")</f>
        <v>7</v>
      </c>
      <c r="G1157" s="113" t="s">
        <v>1424</v>
      </c>
      <c r="H1157" s="138" t="s">
        <v>2059</v>
      </c>
      <c r="K1157" s="109" t="s">
        <v>2051</v>
      </c>
      <c r="M1157" s="109" t="s">
        <v>1899</v>
      </c>
    </row>
    <row r="1158" spans="1:13" ht="14.25" hidden="1" customHeight="1" x14ac:dyDescent="0.3">
      <c r="A1158" s="140">
        <v>46199</v>
      </c>
      <c r="B1158" s="135" t="s">
        <v>2049</v>
      </c>
      <c r="C1158" s="109" t="s">
        <v>1900</v>
      </c>
      <c r="D1158" s="113" t="str">
        <f>IFERROR(VLOOKUP(C1158,SKUs!$A$6:$F$1971,6,FALSE()),"")</f>
        <v>TRICO BASICO GOLA V</v>
      </c>
      <c r="E1158" s="145">
        <v>7</v>
      </c>
      <c r="F1158" s="113">
        <f>IFERROR(IF(OR(B1158="",E1158=""),"",E1158*VLOOKUP(B1158,Configurações!$I$5:$J$15,2,FALSE())),"")</f>
        <v>7</v>
      </c>
      <c r="G1158" s="113" t="s">
        <v>1424</v>
      </c>
      <c r="H1158" s="138" t="s">
        <v>2059</v>
      </c>
      <c r="K1158" s="109" t="s">
        <v>2051</v>
      </c>
      <c r="M1158" s="109" t="s">
        <v>1899</v>
      </c>
    </row>
    <row r="1159" spans="1:13" ht="14.25" hidden="1" customHeight="1" x14ac:dyDescent="0.3">
      <c r="A1159" s="140">
        <v>46199</v>
      </c>
      <c r="B1159" s="135" t="s">
        <v>2049</v>
      </c>
      <c r="C1159" s="109" t="s">
        <v>1901</v>
      </c>
      <c r="D1159" s="113" t="str">
        <f>IFERROR(VLOOKUP(C1159,SKUs!$A$6:$F$1971,6,FALSE()),"")</f>
        <v>TRICO BASICO GOLA V</v>
      </c>
      <c r="E1159" s="145">
        <v>4</v>
      </c>
      <c r="F1159" s="113">
        <f>IFERROR(IF(OR(B1159="",E1159=""),"",E1159*VLOOKUP(B1159,Configurações!$I$5:$J$15,2,FALSE())),"")</f>
        <v>4</v>
      </c>
      <c r="G1159" s="113" t="s">
        <v>1424</v>
      </c>
      <c r="H1159" s="138" t="s">
        <v>2059</v>
      </c>
      <c r="K1159" s="109" t="s">
        <v>2051</v>
      </c>
      <c r="M1159" s="109" t="s">
        <v>1899</v>
      </c>
    </row>
    <row r="1160" spans="1:13" ht="14.25" hidden="1" customHeight="1" x14ac:dyDescent="0.3">
      <c r="A1160" s="140">
        <v>46199</v>
      </c>
      <c r="B1160" s="135" t="s">
        <v>2049</v>
      </c>
      <c r="C1160" s="109" t="s">
        <v>1902</v>
      </c>
      <c r="D1160" s="113" t="str">
        <f>IFERROR(VLOOKUP(C1160,SKUs!$A$6:$F$1971,6,FALSE()),"")</f>
        <v xml:space="preserve">JAQUETA RIP STOP </v>
      </c>
      <c r="E1160" s="145">
        <v>12</v>
      </c>
      <c r="F1160" s="113">
        <f>IFERROR(IF(OR(B1160="",E1160=""),"",E1160*VLOOKUP(B1160,Configurações!$I$5:$J$15,2,FALSE())),"")</f>
        <v>12</v>
      </c>
      <c r="G1160" s="113" t="s">
        <v>1424</v>
      </c>
      <c r="H1160" s="138" t="s">
        <v>2059</v>
      </c>
      <c r="K1160" s="109" t="s">
        <v>2051</v>
      </c>
      <c r="M1160" s="109" t="s">
        <v>1905</v>
      </c>
    </row>
    <row r="1161" spans="1:13" ht="14.25" hidden="1" customHeight="1" x14ac:dyDescent="0.3">
      <c r="A1161" s="140">
        <v>46199</v>
      </c>
      <c r="B1161" s="135" t="s">
        <v>2049</v>
      </c>
      <c r="C1161" s="109" t="s">
        <v>1906</v>
      </c>
      <c r="D1161" s="113" t="str">
        <f>IFERROR(VLOOKUP(C1161,SKUs!$A$6:$F$1971,6,FALSE()),"")</f>
        <v xml:space="preserve">JAQUETA RIP STOP </v>
      </c>
      <c r="E1161" s="145">
        <v>24</v>
      </c>
      <c r="F1161" s="113">
        <f>IFERROR(IF(OR(B1161="",E1161=""),"",E1161*VLOOKUP(B1161,Configurações!$I$5:$J$15,2,FALSE())),"")</f>
        <v>24</v>
      </c>
      <c r="G1161" s="113" t="s">
        <v>1424</v>
      </c>
      <c r="H1161" s="138" t="s">
        <v>2059</v>
      </c>
      <c r="K1161" s="109" t="s">
        <v>2051</v>
      </c>
      <c r="M1161" s="109" t="s">
        <v>1905</v>
      </c>
    </row>
    <row r="1162" spans="1:13" ht="14.25" hidden="1" customHeight="1" x14ac:dyDescent="0.3">
      <c r="A1162" s="140">
        <v>46199</v>
      </c>
      <c r="B1162" s="135" t="s">
        <v>2049</v>
      </c>
      <c r="C1162" s="43" t="s">
        <v>1077</v>
      </c>
      <c r="D1162" s="113" t="str">
        <f>IFERROR(VLOOKUP(C1162,SKUs!$A$6:$F$1971,6,FALSE()),"")</f>
        <v>JAQUETA PUFFER CAPUZ</v>
      </c>
      <c r="E1162" s="145">
        <v>4</v>
      </c>
      <c r="F1162" s="113">
        <f>IFERROR(IF(OR(B1162="",E1162=""),"",E1162*VLOOKUP(B1162,Configurações!$I$5:$J$15,2,FALSE())),"")</f>
        <v>4</v>
      </c>
      <c r="G1162" s="113" t="s">
        <v>1424</v>
      </c>
      <c r="H1162" s="138" t="s">
        <v>2059</v>
      </c>
      <c r="K1162" s="109" t="s">
        <v>2051</v>
      </c>
      <c r="M1162" s="109" t="s">
        <v>1907</v>
      </c>
    </row>
    <row r="1163" spans="1:13" ht="14.25" hidden="1" customHeight="1" x14ac:dyDescent="0.3">
      <c r="A1163" s="140">
        <v>46199</v>
      </c>
      <c r="B1163" s="135" t="s">
        <v>2049</v>
      </c>
      <c r="C1163" s="43" t="s">
        <v>1074</v>
      </c>
      <c r="D1163" s="113" t="str">
        <f>IFERROR(VLOOKUP(C1163,SKUs!$A$6:$F$1971,6,FALSE()),"")</f>
        <v>JAQUETA PUFFER CAPUZ</v>
      </c>
      <c r="E1163" s="145">
        <v>5</v>
      </c>
      <c r="F1163" s="113">
        <f>IFERROR(IF(OR(B1163="",E1163=""),"",E1163*VLOOKUP(B1163,Configurações!$I$5:$J$15,2,FALSE())),"")</f>
        <v>5</v>
      </c>
      <c r="G1163" s="113" t="s">
        <v>1424</v>
      </c>
      <c r="H1163" s="138" t="s">
        <v>2059</v>
      </c>
      <c r="K1163" s="109" t="s">
        <v>2051</v>
      </c>
      <c r="M1163" s="109" t="s">
        <v>1908</v>
      </c>
    </row>
    <row r="1164" spans="1:13" ht="14.25" hidden="1" customHeight="1" x14ac:dyDescent="0.3">
      <c r="A1164" s="140">
        <v>46199</v>
      </c>
      <c r="B1164" s="135" t="s">
        <v>2049</v>
      </c>
      <c r="C1164" s="109" t="s">
        <v>1909</v>
      </c>
      <c r="D1164" s="113" t="str">
        <f>IFERROR(VLOOKUP(C1164,SKUs!$A$6:$F$1971,6,FALSE()),"")</f>
        <v xml:space="preserve">JAQUETA RIP STOP </v>
      </c>
      <c r="E1164" s="145">
        <v>12</v>
      </c>
      <c r="F1164" s="113">
        <f>IFERROR(IF(OR(B1164="",E1164=""),"",E1164*VLOOKUP(B1164,Configurações!$I$5:$J$15,2,FALSE())),"")</f>
        <v>12</v>
      </c>
      <c r="G1164" s="113" t="s">
        <v>1424</v>
      </c>
      <c r="H1164" s="138" t="s">
        <v>2059</v>
      </c>
      <c r="K1164" s="109" t="s">
        <v>2051</v>
      </c>
      <c r="M1164" s="109" t="s">
        <v>1910</v>
      </c>
    </row>
    <row r="1165" spans="1:13" ht="14.25" hidden="1" customHeight="1" x14ac:dyDescent="0.3">
      <c r="A1165" s="140">
        <v>46199</v>
      </c>
      <c r="B1165" s="135" t="s">
        <v>2049</v>
      </c>
      <c r="C1165" s="109" t="s">
        <v>1911</v>
      </c>
      <c r="D1165" s="113" t="str">
        <f>IFERROR(VLOOKUP(C1165,SKUs!$A$6:$F$1971,6,FALSE()),"")</f>
        <v xml:space="preserve">TRICO MEIO ZIPER </v>
      </c>
      <c r="E1165" s="145">
        <v>11</v>
      </c>
      <c r="F1165" s="113">
        <f>IFERROR(IF(OR(B1165="",E1165=""),"",E1165*VLOOKUP(B1165,Configurações!$I$5:$J$15,2,FALSE())),"")</f>
        <v>11</v>
      </c>
      <c r="G1165" s="113" t="s">
        <v>1424</v>
      </c>
      <c r="H1165" s="138" t="s">
        <v>2059</v>
      </c>
      <c r="K1165" s="109" t="s">
        <v>2051</v>
      </c>
      <c r="M1165" s="109" t="s">
        <v>1912</v>
      </c>
    </row>
    <row r="1166" spans="1:13" ht="14.25" hidden="1" customHeight="1" x14ac:dyDescent="0.3">
      <c r="A1166" s="140">
        <v>46199</v>
      </c>
      <c r="B1166" s="135" t="s">
        <v>2049</v>
      </c>
      <c r="C1166" s="109" t="s">
        <v>1913</v>
      </c>
      <c r="D1166" s="113" t="str">
        <f>IFERROR(VLOOKUP(C1166,SKUs!$A$6:$F$1971,6,FALSE()),"")</f>
        <v xml:space="preserve">TRICO MEIO ZIPER </v>
      </c>
      <c r="E1166" s="145">
        <v>20</v>
      </c>
      <c r="F1166" s="113">
        <f>IFERROR(IF(OR(B1166="",E1166=""),"",E1166*VLOOKUP(B1166,Configurações!$I$5:$J$15,2,FALSE())),"")</f>
        <v>20</v>
      </c>
      <c r="G1166" s="113" t="s">
        <v>1424</v>
      </c>
      <c r="H1166" s="138" t="s">
        <v>2059</v>
      </c>
      <c r="K1166" s="109" t="s">
        <v>2051</v>
      </c>
      <c r="M1166" s="109" t="s">
        <v>1912</v>
      </c>
    </row>
    <row r="1167" spans="1:13" ht="14.25" hidden="1" customHeight="1" x14ac:dyDescent="0.3">
      <c r="A1167" s="140">
        <v>46199</v>
      </c>
      <c r="B1167" s="135" t="s">
        <v>2049</v>
      </c>
      <c r="C1167" s="109" t="s">
        <v>1914</v>
      </c>
      <c r="D1167" s="113" t="str">
        <f>IFERROR(VLOOKUP(C1167,SKUs!$A$6:$F$1971,6,FALSE()),"")</f>
        <v xml:space="preserve">TRICO MEIO ZIPER </v>
      </c>
      <c r="E1167" s="145">
        <v>21</v>
      </c>
      <c r="F1167" s="113">
        <f>IFERROR(IF(OR(B1167="",E1167=""),"",E1167*VLOOKUP(B1167,Configurações!$I$5:$J$15,2,FALSE())),"")</f>
        <v>21</v>
      </c>
      <c r="G1167" s="113" t="s">
        <v>1424</v>
      </c>
      <c r="H1167" s="138" t="s">
        <v>2059</v>
      </c>
      <c r="K1167" s="109" t="s">
        <v>2051</v>
      </c>
      <c r="M1167" s="109" t="s">
        <v>1912</v>
      </c>
    </row>
    <row r="1168" spans="1:13" ht="14.25" hidden="1" customHeight="1" x14ac:dyDescent="0.3">
      <c r="A1168" s="140">
        <v>46199</v>
      </c>
      <c r="B1168" s="135" t="s">
        <v>2049</v>
      </c>
      <c r="C1168" s="109" t="s">
        <v>1915</v>
      </c>
      <c r="D1168" s="113" t="str">
        <f>IFERROR(VLOOKUP(C1168,SKUs!$A$6:$F$1971,6,FALSE()),"")</f>
        <v xml:space="preserve">TRICO MEIO ZIPER </v>
      </c>
      <c r="E1168" s="145">
        <v>11</v>
      </c>
      <c r="F1168" s="113">
        <f>IFERROR(IF(OR(B1168="",E1168=""),"",E1168*VLOOKUP(B1168,Configurações!$I$5:$J$15,2,FALSE())),"")</f>
        <v>11</v>
      </c>
      <c r="G1168" s="113" t="s">
        <v>1424</v>
      </c>
      <c r="H1168" s="138" t="s">
        <v>2059</v>
      </c>
      <c r="K1168" s="109" t="s">
        <v>2051</v>
      </c>
      <c r="M1168" s="109" t="s">
        <v>1912</v>
      </c>
    </row>
    <row r="1169" spans="1:13" ht="14.25" hidden="1" customHeight="1" x14ac:dyDescent="0.3">
      <c r="A1169" s="140">
        <v>46199</v>
      </c>
      <c r="B1169" s="135" t="s">
        <v>2049</v>
      </c>
      <c r="C1169" s="109" t="s">
        <v>1916</v>
      </c>
      <c r="D1169" s="113" t="str">
        <f>IFERROR(VLOOKUP(C1169,SKUs!$A$6:$F$1971,6,FALSE()),"")</f>
        <v xml:space="preserve">JAQUETA BOMBER </v>
      </c>
      <c r="E1169" s="145">
        <v>8</v>
      </c>
      <c r="F1169" s="113">
        <f>IFERROR(IF(OR(B1169="",E1169=""),"",E1169*VLOOKUP(B1169,Configurações!$I$5:$J$15,2,FALSE())),"")</f>
        <v>8</v>
      </c>
      <c r="G1169" s="113" t="s">
        <v>1424</v>
      </c>
      <c r="H1169" s="138" t="s">
        <v>2059</v>
      </c>
      <c r="K1169" s="109" t="s">
        <v>2051</v>
      </c>
      <c r="M1169" s="109" t="s">
        <v>1919</v>
      </c>
    </row>
    <row r="1170" spans="1:13" ht="14.25" hidden="1" customHeight="1" x14ac:dyDescent="0.3">
      <c r="A1170" s="140">
        <v>46199</v>
      </c>
      <c r="B1170" s="135" t="s">
        <v>2049</v>
      </c>
      <c r="C1170" s="109" t="s">
        <v>1920</v>
      </c>
      <c r="D1170" s="113" t="str">
        <f>IFERROR(VLOOKUP(C1170,SKUs!$A$6:$F$1971,6,FALSE()),"")</f>
        <v>TRICO MEIO ZIPER</v>
      </c>
      <c r="E1170" s="145">
        <v>20</v>
      </c>
      <c r="F1170" s="113">
        <f>IFERROR(IF(OR(B1170="",E1170=""),"",E1170*VLOOKUP(B1170,Configurações!$I$5:$J$15,2,FALSE())),"")</f>
        <v>20</v>
      </c>
      <c r="G1170" s="113" t="s">
        <v>1424</v>
      </c>
      <c r="H1170" s="138" t="s">
        <v>2059</v>
      </c>
      <c r="K1170" s="109" t="s">
        <v>2051</v>
      </c>
      <c r="M1170" s="109" t="s">
        <v>1921</v>
      </c>
    </row>
    <row r="1171" spans="1:13" ht="14.25" hidden="1" customHeight="1" x14ac:dyDescent="0.3">
      <c r="A1171" s="140">
        <v>46199</v>
      </c>
      <c r="B1171" s="135" t="s">
        <v>2049</v>
      </c>
      <c r="C1171" s="109" t="s">
        <v>1922</v>
      </c>
      <c r="D1171" s="113" t="str">
        <f>IFERROR(VLOOKUP(C1171,SKUs!$A$6:$F$1971,6,FALSE()),"")</f>
        <v>TRICO MEIO ZIPER</v>
      </c>
      <c r="E1171" s="145">
        <v>20</v>
      </c>
      <c r="F1171" s="113">
        <f>IFERROR(IF(OR(B1171="",E1171=""),"",E1171*VLOOKUP(B1171,Configurações!$I$5:$J$15,2,FALSE())),"")</f>
        <v>20</v>
      </c>
      <c r="G1171" s="113" t="s">
        <v>1424</v>
      </c>
      <c r="H1171" s="138" t="s">
        <v>2059</v>
      </c>
      <c r="K1171" s="109" t="s">
        <v>2051</v>
      </c>
      <c r="M1171" s="109" t="s">
        <v>1921</v>
      </c>
    </row>
    <row r="1172" spans="1:13" ht="14.25" hidden="1" customHeight="1" x14ac:dyDescent="0.3">
      <c r="A1172" s="140">
        <v>46199</v>
      </c>
      <c r="B1172" s="135" t="s">
        <v>2049</v>
      </c>
      <c r="C1172" s="109" t="s">
        <v>1923</v>
      </c>
      <c r="D1172" s="113" t="str">
        <f>IFERROR(VLOOKUP(C1172,SKUs!$A$6:$F$1971,6,FALSE()),"")</f>
        <v>TRICO MEIO ZIPER COURO</v>
      </c>
      <c r="E1172" s="145">
        <v>18</v>
      </c>
      <c r="F1172" s="113">
        <f>IFERROR(IF(OR(B1172="",E1172=""),"",E1172*VLOOKUP(B1172,Configurações!$I$5:$J$15,2,FALSE())),"")</f>
        <v>18</v>
      </c>
      <c r="G1172" s="113" t="s">
        <v>1424</v>
      </c>
      <c r="H1172" s="138" t="s">
        <v>2059</v>
      </c>
      <c r="K1172" s="109" t="s">
        <v>2051</v>
      </c>
      <c r="M1172" s="109" t="s">
        <v>1924</v>
      </c>
    </row>
    <row r="1173" spans="1:13" ht="14.25" hidden="1" customHeight="1" x14ac:dyDescent="0.3">
      <c r="A1173" s="140">
        <v>46199</v>
      </c>
      <c r="B1173" s="135" t="s">
        <v>2049</v>
      </c>
      <c r="C1173" s="109" t="s">
        <v>1925</v>
      </c>
      <c r="D1173" s="113" t="str">
        <f>IFERROR(VLOOKUP(C1173,SKUs!$A$6:$F$1971,6,FALSE()),"")</f>
        <v xml:space="preserve">JAQUETA RIP STOP </v>
      </c>
      <c r="E1173" s="145">
        <v>23</v>
      </c>
      <c r="F1173" s="113">
        <f>IFERROR(IF(OR(B1173="",E1173=""),"",E1173*VLOOKUP(B1173,Configurações!$I$5:$J$15,2,FALSE())),"")</f>
        <v>23</v>
      </c>
      <c r="G1173" s="113" t="s">
        <v>1424</v>
      </c>
      <c r="H1173" s="138" t="s">
        <v>2059</v>
      </c>
      <c r="K1173" s="109" t="s">
        <v>2051</v>
      </c>
      <c r="M1173" s="109" t="s">
        <v>1926</v>
      </c>
    </row>
    <row r="1174" spans="1:13" ht="14.25" hidden="1" customHeight="1" x14ac:dyDescent="0.3">
      <c r="A1174" s="140">
        <v>46199</v>
      </c>
      <c r="B1174" s="135" t="s">
        <v>2049</v>
      </c>
      <c r="C1174" s="109" t="s">
        <v>1927</v>
      </c>
      <c r="D1174" s="113" t="str">
        <f>IFERROR(VLOOKUP(C1174,SKUs!$A$6:$F$1971,6,FALSE()),"")</f>
        <v xml:space="preserve">TRICO MEIO ZIPER </v>
      </c>
      <c r="E1174" s="145">
        <v>22</v>
      </c>
      <c r="F1174" s="113">
        <f>IFERROR(IF(OR(B1174="",E1174=""),"",E1174*VLOOKUP(B1174,Configurações!$I$5:$J$15,2,FALSE())),"")</f>
        <v>22</v>
      </c>
      <c r="G1174" s="113" t="s">
        <v>1424</v>
      </c>
      <c r="H1174" s="138" t="s">
        <v>2059</v>
      </c>
      <c r="K1174" s="109" t="s">
        <v>2051</v>
      </c>
      <c r="M1174" s="109" t="s">
        <v>1928</v>
      </c>
    </row>
    <row r="1175" spans="1:13" ht="14.25" hidden="1" customHeight="1" x14ac:dyDescent="0.3">
      <c r="A1175" s="140">
        <v>46199</v>
      </c>
      <c r="B1175" s="135" t="s">
        <v>2049</v>
      </c>
      <c r="C1175" s="109" t="s">
        <v>1929</v>
      </c>
      <c r="D1175" s="113" t="str">
        <f>IFERROR(VLOOKUP(C1175,SKUs!$A$6:$F$1971,6,FALSE()),"")</f>
        <v xml:space="preserve">TRICO MEIO ZIPER </v>
      </c>
      <c r="E1175" s="145">
        <v>44</v>
      </c>
      <c r="F1175" s="113">
        <f>IFERROR(IF(OR(B1175="",E1175=""),"",E1175*VLOOKUP(B1175,Configurações!$I$5:$J$15,2,FALSE())),"")</f>
        <v>44</v>
      </c>
      <c r="G1175" s="113" t="s">
        <v>1424</v>
      </c>
      <c r="H1175" s="138" t="s">
        <v>2059</v>
      </c>
      <c r="K1175" s="109" t="s">
        <v>2051</v>
      </c>
      <c r="M1175" s="109" t="s">
        <v>1928</v>
      </c>
    </row>
    <row r="1176" spans="1:13" ht="14.25" hidden="1" customHeight="1" x14ac:dyDescent="0.3">
      <c r="A1176" s="140">
        <v>46199</v>
      </c>
      <c r="B1176" s="135" t="s">
        <v>2049</v>
      </c>
      <c r="C1176" s="109" t="s">
        <v>1930</v>
      </c>
      <c r="D1176" s="113" t="str">
        <f>IFERROR(VLOOKUP(C1176,SKUs!$A$6:$F$1971,6,FALSE()),"")</f>
        <v>JAQUETA ADVENTURE</v>
      </c>
      <c r="E1176" s="145">
        <v>7</v>
      </c>
      <c r="F1176" s="113">
        <f>IFERROR(IF(OR(B1176="",E1176=""),"",E1176*VLOOKUP(B1176,Configurações!$I$5:$J$15,2,FALSE())),"")</f>
        <v>7</v>
      </c>
      <c r="G1176" s="113" t="s">
        <v>1424</v>
      </c>
      <c r="H1176" s="138" t="s">
        <v>2059</v>
      </c>
      <c r="K1176" s="109" t="s">
        <v>2051</v>
      </c>
      <c r="M1176" s="109" t="s">
        <v>1933</v>
      </c>
    </row>
    <row r="1177" spans="1:13" ht="14.25" hidden="1" customHeight="1" x14ac:dyDescent="0.3">
      <c r="A1177" s="140">
        <v>46199</v>
      </c>
      <c r="B1177" s="135" t="s">
        <v>2049</v>
      </c>
      <c r="C1177" s="109" t="s">
        <v>1934</v>
      </c>
      <c r="D1177" s="113" t="str">
        <f>IFERROR(VLOOKUP(C1177,SKUs!$A$6:$F$1971,6,FALSE()),"")</f>
        <v>JAQUETA ADVENTURE</v>
      </c>
      <c r="E1177" s="145">
        <v>14</v>
      </c>
      <c r="F1177" s="113">
        <f>IFERROR(IF(OR(B1177="",E1177=""),"",E1177*VLOOKUP(B1177,Configurações!$I$5:$J$15,2,FALSE())),"")</f>
        <v>14</v>
      </c>
      <c r="G1177" s="113" t="s">
        <v>1424</v>
      </c>
      <c r="H1177" s="138" t="s">
        <v>2059</v>
      </c>
      <c r="K1177" s="109" t="s">
        <v>2051</v>
      </c>
      <c r="M1177" s="109" t="s">
        <v>1933</v>
      </c>
    </row>
    <row r="1178" spans="1:13" ht="14.25" hidden="1" customHeight="1" x14ac:dyDescent="0.3">
      <c r="A1178" s="140">
        <v>46199</v>
      </c>
      <c r="B1178" s="135" t="s">
        <v>2049</v>
      </c>
      <c r="C1178" s="109" t="s">
        <v>1935</v>
      </c>
      <c r="D1178" s="113" t="str">
        <f>IFERROR(VLOOKUP(C1178,SKUs!$A$6:$F$1971,6,FALSE()),"")</f>
        <v>JAQUETA ADVENTURE</v>
      </c>
      <c r="E1178" s="145">
        <v>7</v>
      </c>
      <c r="F1178" s="113">
        <f>IFERROR(IF(OR(B1178="",E1178=""),"",E1178*VLOOKUP(B1178,Configurações!$I$5:$J$15,2,FALSE())),"")</f>
        <v>7</v>
      </c>
      <c r="G1178" s="113" t="s">
        <v>1424</v>
      </c>
      <c r="H1178" s="138" t="s">
        <v>2059</v>
      </c>
      <c r="K1178" s="109" t="s">
        <v>2051</v>
      </c>
      <c r="M1178" s="109" t="s">
        <v>1933</v>
      </c>
    </row>
    <row r="1179" spans="1:13" ht="14.25" hidden="1" customHeight="1" x14ac:dyDescent="0.3">
      <c r="A1179" s="140">
        <v>46199</v>
      </c>
      <c r="B1179" s="135" t="s">
        <v>2049</v>
      </c>
      <c r="C1179" s="109" t="s">
        <v>1936</v>
      </c>
      <c r="D1179" s="113" t="str">
        <f>IFERROR(VLOOKUP(C1179,SKUs!$A$6:$F$1971,6,FALSE()),"")</f>
        <v>JAQUTA ADVENTURE</v>
      </c>
      <c r="E1179" s="145">
        <v>7</v>
      </c>
      <c r="F1179" s="113">
        <f>IFERROR(IF(OR(B1179="",E1179=""),"",E1179*VLOOKUP(B1179,Configurações!$I$5:$J$15,2,FALSE())),"")</f>
        <v>7</v>
      </c>
      <c r="G1179" s="113" t="s">
        <v>1424</v>
      </c>
      <c r="H1179" s="138" t="s">
        <v>2059</v>
      </c>
      <c r="K1179" s="109" t="s">
        <v>2051</v>
      </c>
      <c r="M1179" s="109" t="s">
        <v>1938</v>
      </c>
    </row>
    <row r="1180" spans="1:13" ht="14.25" hidden="1" customHeight="1" x14ac:dyDescent="0.3">
      <c r="A1180" s="140">
        <v>46199</v>
      </c>
      <c r="B1180" s="135" t="s">
        <v>2049</v>
      </c>
      <c r="C1180" s="109" t="s">
        <v>1939</v>
      </c>
      <c r="D1180" s="113" t="str">
        <f>IFERROR(VLOOKUP(C1180,SKUs!$A$6:$F$1971,6,FALSE()),"")</f>
        <v>JAQUTA ADVENTURE</v>
      </c>
      <c r="E1180" s="145">
        <v>7</v>
      </c>
      <c r="F1180" s="113">
        <f>IFERROR(IF(OR(B1180="",E1180=""),"",E1180*VLOOKUP(B1180,Configurações!$I$5:$J$15,2,FALSE())),"")</f>
        <v>7</v>
      </c>
      <c r="G1180" s="113" t="s">
        <v>1424</v>
      </c>
      <c r="H1180" s="138" t="s">
        <v>2059</v>
      </c>
      <c r="K1180" s="109" t="s">
        <v>2051</v>
      </c>
      <c r="M1180" s="109" t="s">
        <v>1938</v>
      </c>
    </row>
    <row r="1181" spans="1:13" ht="14.25" hidden="1" customHeight="1" x14ac:dyDescent="0.3">
      <c r="A1181" s="140">
        <v>46199</v>
      </c>
      <c r="B1181" s="135" t="s">
        <v>2049</v>
      </c>
      <c r="C1181" s="109" t="s">
        <v>1940</v>
      </c>
      <c r="D1181" s="113" t="str">
        <f>IFERROR(VLOOKUP(C1181,SKUs!$A$6:$F$1971,6,FALSE()),"")</f>
        <v>JAQUETA BOMBER</v>
      </c>
      <c r="E1181" s="145">
        <v>8</v>
      </c>
      <c r="F1181" s="113">
        <f>IFERROR(IF(OR(B1181="",E1181=""),"",E1181*VLOOKUP(B1181,Configurações!$I$5:$J$15,2,FALSE())),"")</f>
        <v>8</v>
      </c>
      <c r="G1181" s="113" t="s">
        <v>1424</v>
      </c>
      <c r="H1181" s="138" t="s">
        <v>2059</v>
      </c>
      <c r="K1181" s="109" t="s">
        <v>2051</v>
      </c>
      <c r="M1181" s="109" t="s">
        <v>1941</v>
      </c>
    </row>
    <row r="1182" spans="1:13" ht="14.25" hidden="1" customHeight="1" x14ac:dyDescent="0.3">
      <c r="A1182" s="140">
        <v>46199</v>
      </c>
      <c r="B1182" s="135" t="s">
        <v>2049</v>
      </c>
      <c r="C1182" s="109" t="s">
        <v>1942</v>
      </c>
      <c r="D1182" s="113" t="str">
        <f>IFERROR(VLOOKUP(C1182,SKUs!$A$6:$F$1971,6,FALSE()),"")</f>
        <v>JAQUETA BOMBER</v>
      </c>
      <c r="E1182" s="145">
        <v>16</v>
      </c>
      <c r="F1182" s="113">
        <f>IFERROR(IF(OR(B1182="",E1182=""),"",E1182*VLOOKUP(B1182,Configurações!$I$5:$J$15,2,FALSE())),"")</f>
        <v>16</v>
      </c>
      <c r="G1182" s="113" t="s">
        <v>1424</v>
      </c>
      <c r="H1182" s="138" t="s">
        <v>2059</v>
      </c>
      <c r="K1182" s="109" t="s">
        <v>2051</v>
      </c>
      <c r="M1182" s="109" t="s">
        <v>1941</v>
      </c>
    </row>
    <row r="1183" spans="1:13" ht="14.25" hidden="1" customHeight="1" x14ac:dyDescent="0.3">
      <c r="A1183" s="140">
        <v>46199</v>
      </c>
      <c r="B1183" s="135" t="s">
        <v>2049</v>
      </c>
      <c r="C1183" s="109" t="s">
        <v>1943</v>
      </c>
      <c r="D1183" s="113" t="str">
        <f>IFERROR(VLOOKUP(C1183,SKUs!$A$6:$F$1971,6,FALSE()),"")</f>
        <v>JAQUETA BOMBER</v>
      </c>
      <c r="E1183" s="145">
        <v>16</v>
      </c>
      <c r="F1183" s="113">
        <f>IFERROR(IF(OR(B1183="",E1183=""),"",E1183*VLOOKUP(B1183,Configurações!$I$5:$J$15,2,FALSE())),"")</f>
        <v>16</v>
      </c>
      <c r="G1183" s="113" t="s">
        <v>1424</v>
      </c>
      <c r="H1183" s="138" t="s">
        <v>2059</v>
      </c>
      <c r="K1183" s="109" t="s">
        <v>2051</v>
      </c>
      <c r="M1183" s="109" t="s">
        <v>1944</v>
      </c>
    </row>
    <row r="1184" spans="1:13" ht="14.25" hidden="1" customHeight="1" x14ac:dyDescent="0.3">
      <c r="A1184" s="140">
        <v>46199</v>
      </c>
      <c r="B1184" s="135" t="s">
        <v>2049</v>
      </c>
      <c r="C1184" s="109" t="s">
        <v>1945</v>
      </c>
      <c r="D1184" s="113" t="str">
        <f>IFERROR(VLOOKUP(C1184,SKUs!$A$6:$F$1971,6,FALSE()),"")</f>
        <v>JAQUETA PUFFER CAPUZ</v>
      </c>
      <c r="E1184" s="145">
        <v>14</v>
      </c>
      <c r="F1184" s="113">
        <f>IFERROR(IF(OR(B1184="",E1184=""),"",E1184*VLOOKUP(B1184,Configurações!$I$5:$J$15,2,FALSE())),"")</f>
        <v>14</v>
      </c>
      <c r="G1184" s="113" t="s">
        <v>1424</v>
      </c>
      <c r="H1184" s="138" t="s">
        <v>2059</v>
      </c>
      <c r="K1184" s="109" t="s">
        <v>2051</v>
      </c>
      <c r="M1184" s="109" t="s">
        <v>1946</v>
      </c>
    </row>
    <row r="1185" spans="1:13" ht="14.25" hidden="1" customHeight="1" x14ac:dyDescent="0.3">
      <c r="A1185" s="140">
        <v>46199</v>
      </c>
      <c r="B1185" s="135" t="s">
        <v>2049</v>
      </c>
      <c r="C1185" s="109" t="s">
        <v>1947</v>
      </c>
      <c r="D1185" s="113" t="str">
        <f>IFERROR(VLOOKUP(C1185,SKUs!$A$6:$F$1971,6,FALSE()),"")</f>
        <v>JAQUETA PUFFER CAPUZ</v>
      </c>
      <c r="E1185" s="145">
        <v>10</v>
      </c>
      <c r="F1185" s="113">
        <f>IFERROR(IF(OR(B1185="",E1185=""),"",E1185*VLOOKUP(B1185,Configurações!$I$5:$J$15,2,FALSE())),"")</f>
        <v>10</v>
      </c>
      <c r="G1185" s="113" t="s">
        <v>1424</v>
      </c>
      <c r="H1185" s="138" t="s">
        <v>2059</v>
      </c>
      <c r="K1185" s="109" t="s">
        <v>2051</v>
      </c>
      <c r="M1185" s="109" t="s">
        <v>1948</v>
      </c>
    </row>
    <row r="1186" spans="1:13" ht="14.25" hidden="1" customHeight="1" x14ac:dyDescent="0.3">
      <c r="A1186" s="140">
        <v>46199</v>
      </c>
      <c r="B1186" s="135" t="s">
        <v>2049</v>
      </c>
      <c r="C1186" s="43" t="s">
        <v>1728</v>
      </c>
      <c r="D1186" s="113" t="str">
        <f>IFERROR(VLOOKUP(C1186,SKUs!$A$6:$F$1971,6,FALSE()),"")</f>
        <v>JAQUETA PUFFER CAPUZ</v>
      </c>
      <c r="E1186" s="145">
        <v>10</v>
      </c>
      <c r="F1186" s="113">
        <f>IFERROR(IF(OR(B1186="",E1186=""),"",E1186*VLOOKUP(B1186,Configurações!$I$5:$J$15,2,FALSE())),"")</f>
        <v>10</v>
      </c>
      <c r="G1186" s="113" t="s">
        <v>1424</v>
      </c>
      <c r="H1186" s="138" t="s">
        <v>2059</v>
      </c>
      <c r="K1186" s="109" t="s">
        <v>2051</v>
      </c>
      <c r="M1186" s="109" t="s">
        <v>1948</v>
      </c>
    </row>
    <row r="1187" spans="1:13" ht="14.25" hidden="1" customHeight="1" x14ac:dyDescent="0.3">
      <c r="A1187" s="140">
        <v>46199</v>
      </c>
      <c r="B1187" s="135" t="s">
        <v>2049</v>
      </c>
      <c r="C1187" s="43" t="s">
        <v>1729</v>
      </c>
      <c r="D1187" s="113" t="str">
        <f>IFERROR(VLOOKUP(C1187,SKUs!$A$6:$F$1971,6,FALSE()),"")</f>
        <v>JAQUETA PUFFER CAPUZ</v>
      </c>
      <c r="E1187" s="145">
        <v>5</v>
      </c>
      <c r="F1187" s="113">
        <f>IFERROR(IF(OR(B1187="",E1187=""),"",E1187*VLOOKUP(B1187,Configurações!$I$5:$J$15,2,FALSE())),"")</f>
        <v>5</v>
      </c>
      <c r="G1187" s="113" t="s">
        <v>1424</v>
      </c>
      <c r="H1187" s="138" t="s">
        <v>2059</v>
      </c>
      <c r="K1187" s="109" t="s">
        <v>2051</v>
      </c>
      <c r="M1187" s="109" t="s">
        <v>1948</v>
      </c>
    </row>
    <row r="1188" spans="1:13" ht="14.25" hidden="1" customHeight="1" x14ac:dyDescent="0.3">
      <c r="A1188" s="140">
        <v>46199</v>
      </c>
      <c r="B1188" s="135" t="s">
        <v>2049</v>
      </c>
      <c r="C1188" s="109" t="s">
        <v>1949</v>
      </c>
      <c r="D1188" s="113" t="str">
        <f>IFERROR(VLOOKUP(C1188,SKUs!$A$6:$F$1971,6,FALSE()),"")</f>
        <v>JAQUETA PUFFER CAPUZ</v>
      </c>
      <c r="E1188" s="145">
        <v>4</v>
      </c>
      <c r="F1188" s="113">
        <f>IFERROR(IF(OR(B1188="",E1188=""),"",E1188*VLOOKUP(B1188,Configurações!$I$5:$J$15,2,FALSE())),"")</f>
        <v>4</v>
      </c>
      <c r="G1188" s="113" t="s">
        <v>1424</v>
      </c>
      <c r="H1188" s="138" t="s">
        <v>2059</v>
      </c>
      <c r="K1188" s="109" t="s">
        <v>2051</v>
      </c>
      <c r="M1188" s="109" t="s">
        <v>1948</v>
      </c>
    </row>
    <row r="1189" spans="1:13" ht="14.25" hidden="1" customHeight="1" x14ac:dyDescent="0.3">
      <c r="A1189" s="140">
        <v>46199</v>
      </c>
      <c r="B1189" s="135" t="s">
        <v>2049</v>
      </c>
      <c r="C1189" s="109" t="s">
        <v>1950</v>
      </c>
      <c r="D1189" s="113" t="str">
        <f>IFERROR(VLOOKUP(C1189,SKUs!$A$6:$F$1971,6,FALSE()),"")</f>
        <v>JAQUETA PUFFER CAPUZ</v>
      </c>
      <c r="E1189" s="145">
        <v>10</v>
      </c>
      <c r="F1189" s="113">
        <f>IFERROR(IF(OR(B1189="",E1189=""),"",E1189*VLOOKUP(B1189,Configurações!$I$5:$J$15,2,FALSE())),"")</f>
        <v>10</v>
      </c>
      <c r="G1189" s="113" t="s">
        <v>1424</v>
      </c>
      <c r="H1189" s="138" t="s">
        <v>2059</v>
      </c>
      <c r="K1189" s="109" t="s">
        <v>2051</v>
      </c>
      <c r="M1189" s="109" t="s">
        <v>1948</v>
      </c>
    </row>
    <row r="1190" spans="1:13" ht="14.25" hidden="1" customHeight="1" x14ac:dyDescent="0.3">
      <c r="A1190" s="140">
        <v>46199</v>
      </c>
      <c r="B1190" s="135" t="s">
        <v>2049</v>
      </c>
      <c r="C1190" s="109" t="s">
        <v>1930</v>
      </c>
      <c r="D1190" s="113" t="str">
        <f>IFERROR(VLOOKUP(C1190,SKUs!$A$6:$F$1971,6,FALSE()),"")</f>
        <v>JAQUETA ADVENTURE</v>
      </c>
      <c r="E1190" s="145">
        <v>7</v>
      </c>
      <c r="F1190" s="113">
        <f>IFERROR(IF(OR(B1190="",E1190=""),"",E1190*VLOOKUP(B1190,Configurações!$I$5:$J$15,2,FALSE())),"")</f>
        <v>7</v>
      </c>
      <c r="G1190" s="113" t="s">
        <v>1424</v>
      </c>
      <c r="H1190" s="138" t="s">
        <v>2059</v>
      </c>
      <c r="K1190" s="109" t="s">
        <v>2051</v>
      </c>
      <c r="M1190" s="109" t="s">
        <v>1951</v>
      </c>
    </row>
    <row r="1191" spans="1:13" ht="14.25" hidden="1" customHeight="1" x14ac:dyDescent="0.3">
      <c r="A1191" s="140">
        <v>46199</v>
      </c>
      <c r="B1191" s="135" t="s">
        <v>2049</v>
      </c>
      <c r="C1191" s="109" t="s">
        <v>1952</v>
      </c>
      <c r="D1191" s="113" t="str">
        <f>IFERROR(VLOOKUP(C1191,SKUs!$A$6:$F$1971,6,FALSE()),"")</f>
        <v>JAQUETA ADVENTURE</v>
      </c>
      <c r="E1191" s="145">
        <v>7</v>
      </c>
      <c r="F1191" s="113">
        <f>IFERROR(IF(OR(B1191="",E1191=""),"",E1191*VLOOKUP(B1191,Configurações!$I$5:$J$15,2,FALSE())),"")</f>
        <v>7</v>
      </c>
      <c r="G1191" s="113" t="s">
        <v>1424</v>
      </c>
      <c r="H1191" s="138" t="s">
        <v>2059</v>
      </c>
      <c r="K1191" s="109" t="s">
        <v>2051</v>
      </c>
      <c r="M1191" s="109" t="s">
        <v>1951</v>
      </c>
    </row>
    <row r="1192" spans="1:13" ht="14.25" hidden="1" customHeight="1" x14ac:dyDescent="0.3">
      <c r="A1192" s="140">
        <v>46199</v>
      </c>
      <c r="B1192" s="135" t="s">
        <v>2049</v>
      </c>
      <c r="C1192" s="43" t="s">
        <v>1464</v>
      </c>
      <c r="D1192" s="113" t="str">
        <f>IFERROR(VLOOKUP(C1192,SKUs!$A$6:$F$1971,6,FALSE()),"")</f>
        <v>JAQUETA PUFFER</v>
      </c>
      <c r="E1192" s="145">
        <v>14</v>
      </c>
      <c r="F1192" s="113">
        <f>IFERROR(IF(OR(B1192="",E1192=""),"",E1192*VLOOKUP(B1192,Configurações!$I$5:$J$15,2,FALSE())),"")</f>
        <v>14</v>
      </c>
      <c r="G1192" s="113" t="s">
        <v>1424</v>
      </c>
      <c r="H1192" s="138" t="s">
        <v>2059</v>
      </c>
      <c r="K1192" s="109" t="s">
        <v>2051</v>
      </c>
      <c r="M1192" s="109" t="s">
        <v>1953</v>
      </c>
    </row>
    <row r="1193" spans="1:13" ht="14.25" hidden="1" customHeight="1" x14ac:dyDescent="0.3">
      <c r="A1193" s="140">
        <v>46199</v>
      </c>
      <c r="B1193" s="135" t="s">
        <v>2049</v>
      </c>
      <c r="C1193" s="109" t="s">
        <v>1954</v>
      </c>
      <c r="D1193" s="113" t="str">
        <f>IFERROR(VLOOKUP(C1193,SKUs!$A$6:$F$1971,6,FALSE()),"")</f>
        <v>TRICO MEIO ZIPER</v>
      </c>
      <c r="E1193" s="145">
        <v>11</v>
      </c>
      <c r="F1193" s="113">
        <f>IFERROR(IF(OR(B1193="",E1193=""),"",E1193*VLOOKUP(B1193,Configurações!$I$5:$J$15,2,FALSE())),"")</f>
        <v>11</v>
      </c>
      <c r="G1193" s="113" t="s">
        <v>1424</v>
      </c>
      <c r="H1193" s="138" t="s">
        <v>2059</v>
      </c>
      <c r="K1193" s="109" t="s">
        <v>2051</v>
      </c>
      <c r="M1193" s="109" t="s">
        <v>1955</v>
      </c>
    </row>
    <row r="1194" spans="1:13" ht="14.25" hidden="1" customHeight="1" x14ac:dyDescent="0.3">
      <c r="A1194" s="140">
        <v>46199</v>
      </c>
      <c r="B1194" s="135" t="s">
        <v>2049</v>
      </c>
      <c r="C1194" s="109" t="s">
        <v>1956</v>
      </c>
      <c r="D1194" s="113" t="str">
        <f>IFERROR(VLOOKUP(C1194,SKUs!$A$6:$F$1971,6,FALSE()),"")</f>
        <v>TRICO MEIO ZIPER</v>
      </c>
      <c r="E1194" s="145">
        <v>11</v>
      </c>
      <c r="F1194" s="113">
        <f>IFERROR(IF(OR(B1194="",E1194=""),"",E1194*VLOOKUP(B1194,Configurações!$I$5:$J$15,2,FALSE())),"")</f>
        <v>11</v>
      </c>
      <c r="G1194" s="113" t="s">
        <v>1424</v>
      </c>
      <c r="H1194" s="138" t="s">
        <v>2059</v>
      </c>
      <c r="K1194" s="109" t="s">
        <v>2051</v>
      </c>
      <c r="M1194" s="109" t="s">
        <v>1955</v>
      </c>
    </row>
    <row r="1195" spans="1:13" ht="14.25" hidden="1" customHeight="1" x14ac:dyDescent="0.3">
      <c r="A1195" s="140">
        <v>46199</v>
      </c>
      <c r="B1195" s="135" t="s">
        <v>2049</v>
      </c>
      <c r="C1195" s="43" t="s">
        <v>1077</v>
      </c>
      <c r="D1195" s="113" t="str">
        <f>IFERROR(VLOOKUP(C1195,SKUs!$A$6:$F$1971,6,FALSE()),"")</f>
        <v>JAQUETA PUFFER CAPUZ</v>
      </c>
      <c r="E1195" s="145">
        <v>14</v>
      </c>
      <c r="F1195" s="113">
        <f>IFERROR(IF(OR(B1195="",E1195=""),"",E1195*VLOOKUP(B1195,Configurações!$I$5:$J$15,2,FALSE())),"")</f>
        <v>14</v>
      </c>
      <c r="G1195" s="113" t="s">
        <v>1424</v>
      </c>
      <c r="H1195" s="138" t="s">
        <v>2059</v>
      </c>
      <c r="K1195" s="109" t="s">
        <v>2051</v>
      </c>
      <c r="M1195" s="109" t="s">
        <v>1957</v>
      </c>
    </row>
    <row r="1196" spans="1:13" ht="14.25" hidden="1" customHeight="1" x14ac:dyDescent="0.3">
      <c r="A1196" s="140">
        <v>46199</v>
      </c>
      <c r="B1196" s="135" t="s">
        <v>2049</v>
      </c>
      <c r="C1196" s="109" t="s">
        <v>1958</v>
      </c>
      <c r="D1196" s="113" t="str">
        <f>IFERROR(VLOOKUP(C1196,SKUs!$A$6:$F$1971,6,FALSE()),"")</f>
        <v>JAQUETA BOMBER</v>
      </c>
      <c r="E1196" s="145">
        <v>12</v>
      </c>
      <c r="F1196" s="113">
        <f>IFERROR(IF(OR(B1196="",E1196=""),"",E1196*VLOOKUP(B1196,Configurações!$I$5:$J$15,2,FALSE())),"")</f>
        <v>12</v>
      </c>
      <c r="G1196" s="113" t="s">
        <v>1424</v>
      </c>
      <c r="H1196" s="138" t="s">
        <v>2059</v>
      </c>
      <c r="K1196" s="109" t="s">
        <v>2051</v>
      </c>
      <c r="M1196" s="109" t="s">
        <v>1959</v>
      </c>
    </row>
    <row r="1197" spans="1:13" ht="14.25" hidden="1" customHeight="1" x14ac:dyDescent="0.3">
      <c r="A1197" s="140">
        <v>46199</v>
      </c>
      <c r="B1197" s="135" t="s">
        <v>2049</v>
      </c>
      <c r="C1197" s="109" t="s">
        <v>1960</v>
      </c>
      <c r="D1197" s="113" t="str">
        <f>IFERROR(VLOOKUP(C1197,SKUs!$A$6:$F$1971,6,FALSE()),"")</f>
        <v>JAQUETA BOMBER</v>
      </c>
      <c r="E1197" s="145">
        <v>8</v>
      </c>
      <c r="F1197" s="113">
        <f>IFERROR(IF(OR(B1197="",E1197=""),"",E1197*VLOOKUP(B1197,Configurações!$I$5:$J$15,2,FALSE())),"")</f>
        <v>8</v>
      </c>
      <c r="G1197" s="113" t="s">
        <v>1424</v>
      </c>
      <c r="H1197" s="138" t="s">
        <v>2059</v>
      </c>
      <c r="K1197" s="109" t="s">
        <v>2051</v>
      </c>
      <c r="M1197" s="109" t="s">
        <v>1959</v>
      </c>
    </row>
    <row r="1198" spans="1:13" ht="14.25" hidden="1" customHeight="1" x14ac:dyDescent="0.3">
      <c r="A1198" s="140">
        <v>46199</v>
      </c>
      <c r="B1198" s="135" t="s">
        <v>2049</v>
      </c>
      <c r="C1198" s="109" t="s">
        <v>1961</v>
      </c>
      <c r="D1198" s="113" t="str">
        <f>IFERROR(VLOOKUP(C1198,SKUs!$A$6:$F$1971,6,FALSE()),"")</f>
        <v xml:space="preserve">JAQUETA RIP STOP </v>
      </c>
      <c r="E1198" s="145">
        <v>23</v>
      </c>
      <c r="F1198" s="113">
        <f>IFERROR(IF(OR(B1198="",E1198=""),"",E1198*VLOOKUP(B1198,Configurações!$I$5:$J$15,2,FALSE())),"")</f>
        <v>23</v>
      </c>
      <c r="G1198" s="113" t="s">
        <v>1424</v>
      </c>
      <c r="H1198" s="138" t="s">
        <v>2059</v>
      </c>
      <c r="K1198" s="109" t="s">
        <v>2051</v>
      </c>
      <c r="M1198" s="109" t="s">
        <v>1962</v>
      </c>
    </row>
    <row r="1199" spans="1:13" ht="14.25" hidden="1" customHeight="1" x14ac:dyDescent="0.3">
      <c r="A1199" s="140">
        <v>46199</v>
      </c>
      <c r="B1199" s="135" t="s">
        <v>2049</v>
      </c>
      <c r="C1199" s="109" t="s">
        <v>1963</v>
      </c>
      <c r="D1199" s="113" t="str">
        <f>IFERROR(VLOOKUP(C1199,SKUs!$A$6:$F$1971,6,FALSE()),"")</f>
        <v xml:space="preserve">JAQUETA RIP STOP </v>
      </c>
      <c r="E1199" s="145">
        <v>12</v>
      </c>
      <c r="F1199" s="113">
        <f>IFERROR(IF(OR(B1199="",E1199=""),"",E1199*VLOOKUP(B1199,Configurações!$I$5:$J$15,2,FALSE())),"")</f>
        <v>12</v>
      </c>
      <c r="G1199" s="113" t="s">
        <v>1424</v>
      </c>
      <c r="H1199" s="138" t="s">
        <v>2059</v>
      </c>
      <c r="K1199" s="109" t="s">
        <v>2051</v>
      </c>
      <c r="M1199" s="109" t="s">
        <v>1962</v>
      </c>
    </row>
    <row r="1200" spans="1:13" ht="14.25" hidden="1" customHeight="1" x14ac:dyDescent="0.3">
      <c r="A1200" s="140">
        <v>46199</v>
      </c>
      <c r="B1200" s="135" t="s">
        <v>2049</v>
      </c>
      <c r="C1200" s="109" t="s">
        <v>1964</v>
      </c>
      <c r="D1200" s="113" t="str">
        <f>IFERROR(VLOOKUP(C1200,SKUs!$A$6:$F$1971,6,FALSE()),"")</f>
        <v>TRICO MEIO ZIPER COURO</v>
      </c>
      <c r="E1200" s="145">
        <v>8</v>
      </c>
      <c r="F1200" s="113">
        <f>IFERROR(IF(OR(B1200="",E1200=""),"",E1200*VLOOKUP(B1200,Configurações!$I$5:$J$15,2,FALSE())),"")</f>
        <v>8</v>
      </c>
      <c r="G1200" s="113" t="s">
        <v>1424</v>
      </c>
      <c r="H1200" s="138" t="s">
        <v>2059</v>
      </c>
      <c r="K1200" s="109" t="s">
        <v>2051</v>
      </c>
      <c r="M1200" s="109" t="s">
        <v>1965</v>
      </c>
    </row>
    <row r="1201" spans="1:13" ht="14.25" hidden="1" customHeight="1" x14ac:dyDescent="0.3">
      <c r="A1201" s="140">
        <v>46199</v>
      </c>
      <c r="B1201" s="135" t="s">
        <v>2049</v>
      </c>
      <c r="C1201" s="109" t="s">
        <v>1966</v>
      </c>
      <c r="D1201" s="113" t="str">
        <f>IFERROR(VLOOKUP(C1201,SKUs!$A$6:$F$1971,6,FALSE()),"")</f>
        <v>TRICO MEIO ZIPER COURO</v>
      </c>
      <c r="E1201" s="145">
        <v>7</v>
      </c>
      <c r="F1201" s="113">
        <f>IFERROR(IF(OR(B1201="",E1201=""),"",E1201*VLOOKUP(B1201,Configurações!$I$5:$J$15,2,FALSE())),"")</f>
        <v>7</v>
      </c>
      <c r="G1201" s="113" t="s">
        <v>1424</v>
      </c>
      <c r="H1201" s="138" t="s">
        <v>2059</v>
      </c>
      <c r="K1201" s="109" t="s">
        <v>2051</v>
      </c>
      <c r="M1201" s="109" t="s">
        <v>1965</v>
      </c>
    </row>
    <row r="1202" spans="1:13" ht="14.25" hidden="1" customHeight="1" x14ac:dyDescent="0.3">
      <c r="A1202" s="140">
        <v>46199</v>
      </c>
      <c r="B1202" s="135" t="s">
        <v>2049</v>
      </c>
      <c r="C1202" s="109" t="s">
        <v>1967</v>
      </c>
      <c r="D1202" s="113" t="str">
        <f>IFERROR(VLOOKUP(C1202,SKUs!$A$6:$F$1971,6,FALSE()),"")</f>
        <v>JAQUETA PUFFER CAPUZ</v>
      </c>
      <c r="E1202" s="145">
        <v>10</v>
      </c>
      <c r="F1202" s="113">
        <f>IFERROR(IF(OR(B1202="",E1202=""),"",E1202*VLOOKUP(B1202,Configurações!$I$5:$J$15,2,FALSE())),"")</f>
        <v>10</v>
      </c>
      <c r="G1202" s="113" t="s">
        <v>1424</v>
      </c>
      <c r="H1202" s="138" t="s">
        <v>2059</v>
      </c>
      <c r="K1202" s="109" t="s">
        <v>2051</v>
      </c>
      <c r="M1202" s="109" t="s">
        <v>1968</v>
      </c>
    </row>
    <row r="1203" spans="1:13" ht="14.25" hidden="1" customHeight="1" x14ac:dyDescent="0.3">
      <c r="A1203" s="140">
        <v>46199</v>
      </c>
      <c r="B1203" s="135" t="s">
        <v>2049</v>
      </c>
      <c r="C1203" s="109" t="s">
        <v>1969</v>
      </c>
      <c r="D1203" s="113" t="str">
        <f>IFERROR(VLOOKUP(C1203,SKUs!$A$6:$F$1971,6,FALSE()),"")</f>
        <v xml:space="preserve">JAQUETA RIP STOP </v>
      </c>
      <c r="E1203" s="145">
        <v>12</v>
      </c>
      <c r="F1203" s="113">
        <f>IFERROR(IF(OR(B1203="",E1203=""),"",E1203*VLOOKUP(B1203,Configurações!$I$5:$J$15,2,FALSE())),"")</f>
        <v>12</v>
      </c>
      <c r="G1203" s="113" t="s">
        <v>1424</v>
      </c>
      <c r="H1203" s="138" t="s">
        <v>2059</v>
      </c>
      <c r="K1203" s="109" t="s">
        <v>2051</v>
      </c>
      <c r="M1203" s="109" t="s">
        <v>1971</v>
      </c>
    </row>
    <row r="1204" spans="1:13" ht="14.25" hidden="1" customHeight="1" x14ac:dyDescent="0.3">
      <c r="A1204" s="140">
        <v>46199</v>
      </c>
      <c r="B1204" s="135" t="s">
        <v>2049</v>
      </c>
      <c r="C1204" s="109" t="s">
        <v>1972</v>
      </c>
      <c r="D1204" s="113" t="str">
        <f>IFERROR(VLOOKUP(C1204,SKUs!$A$6:$F$1971,6,FALSE()),"")</f>
        <v xml:space="preserve">JAQUETA RIP STOP </v>
      </c>
      <c r="E1204" s="145">
        <v>24</v>
      </c>
      <c r="F1204" s="113">
        <f>IFERROR(IF(OR(B1204="",E1204=""),"",E1204*VLOOKUP(B1204,Configurações!$I$5:$J$15,2,FALSE())),"")</f>
        <v>24</v>
      </c>
      <c r="G1204" s="113" t="s">
        <v>1424</v>
      </c>
      <c r="H1204" s="138" t="s">
        <v>2059</v>
      </c>
      <c r="K1204" s="109" t="s">
        <v>2051</v>
      </c>
      <c r="M1204" s="109" t="s">
        <v>1971</v>
      </c>
    </row>
    <row r="1205" spans="1:13" ht="14.25" hidden="1" customHeight="1" x14ac:dyDescent="0.3">
      <c r="A1205" s="140">
        <v>46199</v>
      </c>
      <c r="B1205" s="135" t="s">
        <v>2049</v>
      </c>
      <c r="C1205" s="109" t="s">
        <v>1945</v>
      </c>
      <c r="D1205" s="113" t="str">
        <f>IFERROR(VLOOKUP(C1205,SKUs!$A$6:$F$1971,6,FALSE()),"")</f>
        <v>JAQUETA PUFFER CAPUZ</v>
      </c>
      <c r="E1205" s="145">
        <v>14</v>
      </c>
      <c r="F1205" s="113">
        <f>IFERROR(IF(OR(B1205="",E1205=""),"",E1205*VLOOKUP(B1205,Configurações!$I$5:$J$15,2,FALSE())),"")</f>
        <v>14</v>
      </c>
      <c r="G1205" s="113" t="s">
        <v>1424</v>
      </c>
      <c r="H1205" s="138" t="s">
        <v>2059</v>
      </c>
      <c r="K1205" s="109" t="s">
        <v>2051</v>
      </c>
      <c r="M1205" s="109" t="s">
        <v>1973</v>
      </c>
    </row>
    <row r="1206" spans="1:13" ht="14.25" hidden="1" customHeight="1" x14ac:dyDescent="0.3">
      <c r="A1206" s="140">
        <v>46199</v>
      </c>
      <c r="B1206" s="135" t="s">
        <v>2049</v>
      </c>
      <c r="C1206" s="109" t="s">
        <v>1974</v>
      </c>
      <c r="D1206" s="113" t="str">
        <f>IFERROR(VLOOKUP(C1206,SKUs!$A$6:$F$1971,6,FALSE()),"")</f>
        <v>JAQUETA ADVENTURE</v>
      </c>
      <c r="E1206" s="145">
        <v>7</v>
      </c>
      <c r="F1206" s="113">
        <f>IFERROR(IF(OR(B1206="",E1206=""),"",E1206*VLOOKUP(B1206,Configurações!$I$5:$J$15,2,FALSE())),"")</f>
        <v>7</v>
      </c>
      <c r="G1206" s="113" t="s">
        <v>1424</v>
      </c>
      <c r="H1206" s="138" t="s">
        <v>2059</v>
      </c>
      <c r="K1206" s="109" t="s">
        <v>2051</v>
      </c>
      <c r="M1206" s="109" t="s">
        <v>1975</v>
      </c>
    </row>
    <row r="1207" spans="1:13" ht="14.25" hidden="1" customHeight="1" x14ac:dyDescent="0.3">
      <c r="A1207" s="140">
        <v>46199</v>
      </c>
      <c r="B1207" s="135" t="s">
        <v>2049</v>
      </c>
      <c r="C1207" s="109" t="s">
        <v>1976</v>
      </c>
      <c r="D1207" s="113" t="str">
        <f>IFERROR(VLOOKUP(C1207,SKUs!$A$6:$F$1971,6,FALSE()),"")</f>
        <v>JAQUETA ADVENTURE</v>
      </c>
      <c r="E1207" s="145">
        <v>14</v>
      </c>
      <c r="F1207" s="113">
        <f>IFERROR(IF(OR(B1207="",E1207=""),"",E1207*VLOOKUP(B1207,Configurações!$I$5:$J$15,2,FALSE())),"")</f>
        <v>14</v>
      </c>
      <c r="G1207" s="113" t="s">
        <v>1424</v>
      </c>
      <c r="H1207" s="138" t="s">
        <v>2059</v>
      </c>
      <c r="K1207" s="109" t="s">
        <v>2051</v>
      </c>
      <c r="M1207" s="109" t="s">
        <v>1975</v>
      </c>
    </row>
    <row r="1208" spans="1:13" ht="14.25" hidden="1" customHeight="1" x14ac:dyDescent="0.3">
      <c r="A1208" s="140">
        <v>46199</v>
      </c>
      <c r="B1208" s="135" t="s">
        <v>2049</v>
      </c>
      <c r="C1208" s="109" t="s">
        <v>1977</v>
      </c>
      <c r="D1208" s="113" t="str">
        <f>IFERROR(VLOOKUP(C1208,SKUs!$A$6:$F$1971,6,FALSE()),"")</f>
        <v>JAQUETA ADVENTURE</v>
      </c>
      <c r="E1208" s="145">
        <v>7</v>
      </c>
      <c r="F1208" s="113">
        <f>IFERROR(IF(OR(B1208="",E1208=""),"",E1208*VLOOKUP(B1208,Configurações!$I$5:$J$15,2,FALSE())),"")</f>
        <v>7</v>
      </c>
      <c r="G1208" s="113" t="s">
        <v>1424</v>
      </c>
      <c r="H1208" s="138" t="s">
        <v>2059</v>
      </c>
      <c r="K1208" s="109" t="s">
        <v>2051</v>
      </c>
      <c r="M1208" s="109" t="s">
        <v>1975</v>
      </c>
    </row>
    <row r="1209" spans="1:13" ht="14.25" hidden="1" customHeight="1" x14ac:dyDescent="0.3">
      <c r="A1209" s="140">
        <v>46199</v>
      </c>
      <c r="B1209" s="135" t="s">
        <v>2049</v>
      </c>
      <c r="C1209" s="43" t="s">
        <v>1498</v>
      </c>
      <c r="D1209" s="113" t="str">
        <f>IFERROR(VLOOKUP(C1209,SKUs!$A$6:$F$1971,6,FALSE()),"")</f>
        <v>TRICO BASICO GOLA V</v>
      </c>
      <c r="E1209" s="145">
        <v>7</v>
      </c>
      <c r="F1209" s="113">
        <f>IFERROR(IF(OR(B1209="",E1209=""),"",E1209*VLOOKUP(B1209,Configurações!$I$5:$J$15,2,FALSE())),"")</f>
        <v>7</v>
      </c>
      <c r="G1209" s="113" t="s">
        <v>1424</v>
      </c>
      <c r="H1209" s="138" t="s">
        <v>2059</v>
      </c>
      <c r="K1209" s="109" t="s">
        <v>2051</v>
      </c>
      <c r="M1209" s="109" t="s">
        <v>1978</v>
      </c>
    </row>
    <row r="1210" spans="1:13" ht="14.25" hidden="1" customHeight="1" x14ac:dyDescent="0.3">
      <c r="A1210" s="140">
        <v>46199</v>
      </c>
      <c r="B1210" s="135" t="s">
        <v>2049</v>
      </c>
      <c r="C1210" s="48" t="s">
        <v>1979</v>
      </c>
      <c r="D1210" s="113" t="str">
        <f>IFERROR(VLOOKUP(C1210,SKUs!$A$6:$F$1971,6,FALSE()),"")</f>
        <v>TRICO BASICO GOLA V</v>
      </c>
      <c r="E1210" s="145">
        <v>7</v>
      </c>
      <c r="F1210" s="113">
        <f>IFERROR(IF(OR(B1210="",E1210=""),"",E1210*VLOOKUP(B1210,Configurações!$I$5:$J$15,2,FALSE())),"")</f>
        <v>7</v>
      </c>
      <c r="G1210" s="113" t="s">
        <v>1424</v>
      </c>
      <c r="H1210" s="138" t="s">
        <v>2059</v>
      </c>
      <c r="K1210" s="109" t="s">
        <v>2051</v>
      </c>
      <c r="M1210" s="109" t="s">
        <v>1978</v>
      </c>
    </row>
    <row r="1211" spans="1:13" ht="14.25" customHeight="1" x14ac:dyDescent="0.3">
      <c r="A1211" s="140">
        <v>46199</v>
      </c>
      <c r="B1211" s="135" t="s">
        <v>2049</v>
      </c>
      <c r="C1211" s="43" t="s">
        <v>1503</v>
      </c>
      <c r="D1211" s="113" t="str">
        <f>IFERROR(VLOOKUP(C1211,SKUs!$A$6:$F$1971,6,FALSE()),"")</f>
        <v>TRICO BASICO GOLA V</v>
      </c>
      <c r="E1211" s="145">
        <v>7</v>
      </c>
      <c r="F1211" s="113">
        <f>IFERROR(IF(OR(B1211="",E1211=""),"",E1211*VLOOKUP(B1211,Configurações!$I$5:$J$15,2,FALSE())),"")</f>
        <v>7</v>
      </c>
      <c r="G1211" s="113" t="s">
        <v>1424</v>
      </c>
      <c r="H1211" s="138" t="s">
        <v>2059</v>
      </c>
      <c r="K1211" s="109" t="s">
        <v>2051</v>
      </c>
      <c r="M1211" s="109" t="s">
        <v>1978</v>
      </c>
    </row>
    <row r="1212" spans="1:13" ht="14.25" hidden="1" customHeight="1" x14ac:dyDescent="0.3">
      <c r="A1212" s="140">
        <v>46199</v>
      </c>
      <c r="B1212" s="135" t="s">
        <v>2049</v>
      </c>
      <c r="C1212" s="96" t="s">
        <v>1980</v>
      </c>
      <c r="D1212" s="113" t="str">
        <f>IFERROR(VLOOKUP(C1212,SKUs!$A$6:$F$1971,6,FALSE()),"")</f>
        <v>TRICO BASICO GOLA V</v>
      </c>
      <c r="E1212" s="145">
        <v>7</v>
      </c>
      <c r="F1212" s="113">
        <f>IFERROR(IF(OR(B1212="",E1212=""),"",E1212*VLOOKUP(B1212,Configurações!$I$5:$J$15,2,FALSE())),"")</f>
        <v>7</v>
      </c>
      <c r="G1212" s="113" t="s">
        <v>1424</v>
      </c>
      <c r="H1212" s="138" t="s">
        <v>2059</v>
      </c>
      <c r="K1212" s="109" t="s">
        <v>2051</v>
      </c>
      <c r="M1212" s="109" t="s">
        <v>1978</v>
      </c>
    </row>
    <row r="1213" spans="1:13" ht="14.25" hidden="1" customHeight="1" x14ac:dyDescent="0.3">
      <c r="A1213" s="140">
        <v>46199</v>
      </c>
      <c r="B1213" s="135" t="s">
        <v>2049</v>
      </c>
      <c r="C1213" s="96" t="s">
        <v>1981</v>
      </c>
      <c r="D1213" s="113" t="str">
        <f>IFERROR(VLOOKUP(C1213,SKUs!$A$6:$F$1971,6,FALSE()),"")</f>
        <v>TRICO MEIO ZIPER COURO</v>
      </c>
      <c r="E1213" s="145">
        <v>16</v>
      </c>
      <c r="F1213" s="113">
        <f>IFERROR(IF(OR(B1213="",E1213=""),"",E1213*VLOOKUP(B1213,Configurações!$I$5:$J$15,2,FALSE())),"")</f>
        <v>16</v>
      </c>
      <c r="G1213" s="113" t="s">
        <v>1424</v>
      </c>
      <c r="H1213" s="138" t="s">
        <v>2059</v>
      </c>
      <c r="K1213" s="109" t="s">
        <v>2051</v>
      </c>
      <c r="M1213" s="109" t="s">
        <v>1982</v>
      </c>
    </row>
    <row r="1214" spans="1:13" ht="13.5" hidden="1" customHeight="1" x14ac:dyDescent="0.3">
      <c r="A1214" s="140">
        <v>46204</v>
      </c>
      <c r="B1214" s="135" t="s">
        <v>2049</v>
      </c>
      <c r="C1214" s="96" t="s">
        <v>1983</v>
      </c>
      <c r="D1214" s="113" t="str">
        <f>IFERROR(VLOOKUP(C1214,SKUs!$A$6:$F$1971,6,FALSE()),"")</f>
        <v>POLO PIQUET MASC.</v>
      </c>
      <c r="E1214" s="109">
        <v>58</v>
      </c>
      <c r="F1214" s="113">
        <f>IFERROR(IF(OR(B1214="",E1214=""),"",E1214*VLOOKUP(B1214,Configurações!$I$5:$J$15,2,FALSE())),"")</f>
        <v>58</v>
      </c>
      <c r="G1214" s="113" t="s">
        <v>1424</v>
      </c>
      <c r="H1214" s="138" t="s">
        <v>2059</v>
      </c>
      <c r="K1214" s="109" t="s">
        <v>2051</v>
      </c>
      <c r="M1214" s="109" t="s">
        <v>1985</v>
      </c>
    </row>
    <row r="1215" spans="1:13" ht="13.5" hidden="1" customHeight="1" x14ac:dyDescent="0.3">
      <c r="A1215" s="140">
        <v>46204</v>
      </c>
      <c r="B1215" s="135" t="s">
        <v>2049</v>
      </c>
      <c r="C1215" s="96" t="s">
        <v>1986</v>
      </c>
      <c r="D1215" s="113" t="str">
        <f>IFERROR(VLOOKUP(C1215,SKUs!$A$6:$F$1971,6,FALSE()),"")</f>
        <v>POLO PIQUET MASC.</v>
      </c>
      <c r="E1215" s="109">
        <v>9</v>
      </c>
      <c r="F1215" s="113">
        <f>IFERROR(IF(OR(B1215="",E1215=""),"",E1215*VLOOKUP(B1215,Configurações!$I$5:$J$15,2,FALSE())),"")</f>
        <v>9</v>
      </c>
      <c r="G1215" s="113" t="s">
        <v>1424</v>
      </c>
      <c r="H1215" s="138" t="s">
        <v>2059</v>
      </c>
      <c r="K1215" s="109" t="s">
        <v>2051</v>
      </c>
      <c r="M1215" s="109" t="s">
        <v>1985</v>
      </c>
    </row>
    <row r="1216" spans="1:13" ht="13.5" hidden="1" customHeight="1" x14ac:dyDescent="0.3">
      <c r="A1216" s="140">
        <v>46204</v>
      </c>
      <c r="B1216" s="135" t="s">
        <v>2049</v>
      </c>
      <c r="C1216" s="96" t="s">
        <v>1987</v>
      </c>
      <c r="D1216" s="113" t="str">
        <f>IFERROR(VLOOKUP(C1216,SKUs!$A$6:$F$1971,6,FALSE()),"")</f>
        <v>POLO PIQUET MASC.</v>
      </c>
      <c r="E1216" s="109">
        <v>46</v>
      </c>
      <c r="F1216" s="113">
        <f>IFERROR(IF(OR(B1216="",E1216=""),"",E1216*VLOOKUP(B1216,Configurações!$I$5:$J$15,2,FALSE())),"")</f>
        <v>46</v>
      </c>
      <c r="G1216" s="113" t="s">
        <v>1424</v>
      </c>
      <c r="H1216" s="138" t="s">
        <v>2059</v>
      </c>
      <c r="K1216" s="109" t="s">
        <v>2051</v>
      </c>
      <c r="M1216" s="109" t="s">
        <v>1988</v>
      </c>
    </row>
    <row r="1217" spans="1:13" ht="13.5" hidden="1" customHeight="1" x14ac:dyDescent="0.3">
      <c r="A1217" s="140">
        <v>46204</v>
      </c>
      <c r="B1217" s="135" t="s">
        <v>2049</v>
      </c>
      <c r="C1217" s="96" t="s">
        <v>1989</v>
      </c>
      <c r="D1217" s="113" t="str">
        <f>IFERROR(VLOOKUP(C1217,SKUs!$A$6:$F$1971,6,FALSE()),"")</f>
        <v>POLO PIQUET MASC.</v>
      </c>
      <c r="E1217" s="109">
        <v>35</v>
      </c>
      <c r="F1217" s="113">
        <f>IFERROR(IF(OR(B1217="",E1217=""),"",E1217*VLOOKUP(B1217,Configurações!$I$5:$J$15,2,FALSE())),"")</f>
        <v>35</v>
      </c>
      <c r="G1217" s="113" t="s">
        <v>1424</v>
      </c>
      <c r="H1217" s="138" t="s">
        <v>2059</v>
      </c>
      <c r="K1217" s="109" t="s">
        <v>2051</v>
      </c>
      <c r="M1217" s="109" t="s">
        <v>1988</v>
      </c>
    </row>
    <row r="1218" spans="1:13" ht="13.5" hidden="1" customHeight="1" x14ac:dyDescent="0.3">
      <c r="A1218" s="140">
        <v>46204</v>
      </c>
      <c r="B1218" s="135" t="s">
        <v>2049</v>
      </c>
      <c r="C1218" s="96" t="s">
        <v>1990</v>
      </c>
      <c r="D1218" s="113" t="str">
        <f>IFERROR(VLOOKUP(C1218,SKUs!$A$6:$F$1971,6,FALSE()),"")</f>
        <v>POLO PIQUET MASC.</v>
      </c>
      <c r="E1218" s="109">
        <v>12</v>
      </c>
      <c r="F1218" s="113">
        <f>IFERROR(IF(OR(B1218="",E1218=""),"",E1218*VLOOKUP(B1218,Configurações!$I$5:$J$15,2,FALSE())),"")</f>
        <v>12</v>
      </c>
      <c r="G1218" s="113" t="s">
        <v>1424</v>
      </c>
      <c r="H1218" s="138" t="s">
        <v>2059</v>
      </c>
      <c r="K1218" s="109" t="s">
        <v>2051</v>
      </c>
      <c r="M1218" s="109" t="s">
        <v>1991</v>
      </c>
    </row>
    <row r="1219" spans="1:13" ht="13.5" hidden="1" customHeight="1" x14ac:dyDescent="0.3">
      <c r="A1219" s="140">
        <v>46204</v>
      </c>
      <c r="B1219" s="135" t="s">
        <v>2049</v>
      </c>
      <c r="C1219" s="96" t="s">
        <v>1987</v>
      </c>
      <c r="D1219" s="113" t="str">
        <f>IFERROR(VLOOKUP(C1219,SKUs!$A$6:$F$1971,6,FALSE()),"")</f>
        <v>POLO PIQUET MASC.</v>
      </c>
      <c r="E1219" s="109">
        <v>77</v>
      </c>
      <c r="F1219" s="113">
        <f>IFERROR(IF(OR(B1219="",E1219=""),"",E1219*VLOOKUP(B1219,Configurações!$I$5:$J$15,2,FALSE())),"")</f>
        <v>77</v>
      </c>
      <c r="G1219" s="113" t="s">
        <v>1424</v>
      </c>
      <c r="H1219" s="138" t="s">
        <v>2059</v>
      </c>
      <c r="K1219" s="109" t="s">
        <v>2051</v>
      </c>
      <c r="M1219" s="109" t="s">
        <v>1991</v>
      </c>
    </row>
    <row r="1220" spans="1:13" ht="13.5" hidden="1" customHeight="1" x14ac:dyDescent="0.3">
      <c r="A1220" s="140">
        <v>46204</v>
      </c>
      <c r="B1220" s="135" t="s">
        <v>2049</v>
      </c>
      <c r="C1220" s="96" t="s">
        <v>1992</v>
      </c>
      <c r="D1220" s="113" t="str">
        <f>IFERROR(VLOOKUP(C1220,SKUs!$A$6:$F$1971,6,FALSE()),"")</f>
        <v>POLO PIQUET MASC.</v>
      </c>
      <c r="E1220" s="109">
        <v>45</v>
      </c>
      <c r="F1220" s="113">
        <f>IFERROR(IF(OR(B1220="",E1220=""),"",E1220*VLOOKUP(B1220,Configurações!$I$5:$J$15,2,FALSE())),"")</f>
        <v>45</v>
      </c>
      <c r="G1220" s="113" t="s">
        <v>1424</v>
      </c>
      <c r="H1220" s="138" t="s">
        <v>2059</v>
      </c>
      <c r="K1220" s="109" t="s">
        <v>2051</v>
      </c>
      <c r="M1220" s="109" t="s">
        <v>1993</v>
      </c>
    </row>
    <row r="1221" spans="1:13" ht="13.5" hidden="1" customHeight="1" x14ac:dyDescent="0.3">
      <c r="A1221" s="140">
        <v>46204</v>
      </c>
      <c r="B1221" s="135" t="s">
        <v>2049</v>
      </c>
      <c r="C1221" s="96" t="s">
        <v>1994</v>
      </c>
      <c r="D1221" s="113" t="str">
        <f>IFERROR(VLOOKUP(C1221,SKUs!$A$6:$F$1971,6,FALSE()),"")</f>
        <v>POLO PIQUET MASC.</v>
      </c>
      <c r="E1221" s="109">
        <v>38</v>
      </c>
      <c r="F1221" s="113">
        <f>IFERROR(IF(OR(B1221="",E1221=""),"",E1221*VLOOKUP(B1221,Configurações!$I$5:$J$15,2,FALSE())),"")</f>
        <v>38</v>
      </c>
      <c r="G1221" s="113" t="s">
        <v>1424</v>
      </c>
      <c r="H1221" s="138" t="s">
        <v>2059</v>
      </c>
      <c r="K1221" s="109" t="s">
        <v>2051</v>
      </c>
      <c r="M1221" s="109" t="s">
        <v>1993</v>
      </c>
    </row>
    <row r="1222" spans="1:13" ht="13.5" hidden="1" customHeight="1" x14ac:dyDescent="0.3">
      <c r="A1222" s="140">
        <v>46204</v>
      </c>
      <c r="B1222" s="135" t="s">
        <v>2049</v>
      </c>
      <c r="C1222" s="96" t="s">
        <v>1989</v>
      </c>
      <c r="D1222" s="113" t="str">
        <f>IFERROR(VLOOKUP(C1222,SKUs!$A$6:$F$1971,6,FALSE()),"")</f>
        <v>POLO PIQUET MASC.</v>
      </c>
      <c r="E1222" s="109">
        <v>82</v>
      </c>
      <c r="F1222" s="113">
        <f>IFERROR(IF(OR(B1222="",E1222=""),"",E1222*VLOOKUP(B1222,Configurações!$I$5:$J$15,2,FALSE())),"")</f>
        <v>82</v>
      </c>
      <c r="G1222" s="113" t="s">
        <v>1424</v>
      </c>
      <c r="H1222" s="138" t="s">
        <v>2059</v>
      </c>
      <c r="K1222" s="109" t="s">
        <v>2051</v>
      </c>
      <c r="M1222" s="109" t="s">
        <v>1995</v>
      </c>
    </row>
    <row r="1223" spans="1:13" ht="13.5" hidden="1" customHeight="1" x14ac:dyDescent="0.3">
      <c r="A1223" s="140">
        <v>46204</v>
      </c>
      <c r="B1223" s="135" t="s">
        <v>2049</v>
      </c>
      <c r="C1223" s="96" t="s">
        <v>1996</v>
      </c>
      <c r="D1223" s="113" t="str">
        <f>IFERROR(VLOOKUP(C1223,SKUs!$A$6:$F$1971,6,FALSE()),"")</f>
        <v>POLO PIQUET FEM.</v>
      </c>
      <c r="E1223" s="109">
        <v>39</v>
      </c>
      <c r="F1223" s="113">
        <f>IFERROR(IF(OR(B1223="",E1223=""),"",E1223*VLOOKUP(B1223,Configurações!$I$5:$J$15,2,FALSE())),"")</f>
        <v>39</v>
      </c>
      <c r="G1223" s="113" t="s">
        <v>1424</v>
      </c>
      <c r="H1223" s="138" t="s">
        <v>2059</v>
      </c>
      <c r="K1223" s="109" t="s">
        <v>2051</v>
      </c>
      <c r="M1223" s="109" t="s">
        <v>1997</v>
      </c>
    </row>
    <row r="1224" spans="1:13" ht="13.5" hidden="1" customHeight="1" x14ac:dyDescent="0.3">
      <c r="A1224" s="140">
        <v>46204</v>
      </c>
      <c r="B1224" s="135" t="s">
        <v>2049</v>
      </c>
      <c r="C1224" s="96" t="s">
        <v>1998</v>
      </c>
      <c r="D1224" s="113" t="str">
        <f>IFERROR(VLOOKUP(C1224,SKUs!$A$6:$F$1971,6,FALSE()),"")</f>
        <v>POLO PIQUET FEM.</v>
      </c>
      <c r="E1224" s="109">
        <v>44</v>
      </c>
      <c r="F1224" s="113">
        <f>IFERROR(IF(OR(B1224="",E1224=""),"",E1224*VLOOKUP(B1224,Configurações!$I$5:$J$15,2,FALSE())),"")</f>
        <v>44</v>
      </c>
      <c r="G1224" s="113" t="s">
        <v>1424</v>
      </c>
      <c r="H1224" s="138" t="s">
        <v>2059</v>
      </c>
      <c r="K1224" s="109" t="s">
        <v>2051</v>
      </c>
      <c r="M1224" s="109" t="s">
        <v>1997</v>
      </c>
    </row>
    <row r="1225" spans="1:13" ht="13.5" hidden="1" customHeight="1" x14ac:dyDescent="0.3">
      <c r="A1225" s="140">
        <v>46204</v>
      </c>
      <c r="B1225" s="135" t="s">
        <v>2049</v>
      </c>
      <c r="C1225" s="96" t="s">
        <v>1999</v>
      </c>
      <c r="D1225" s="113" t="str">
        <f>IFERROR(VLOOKUP(C1225,SKUs!$A$6:$F$1971,6,FALSE()),"")</f>
        <v>POLO PIQUET FEM.</v>
      </c>
      <c r="E1225" s="109">
        <v>22</v>
      </c>
      <c r="F1225" s="113">
        <f>IFERROR(IF(OR(B1225="",E1225=""),"",E1225*VLOOKUP(B1225,Configurações!$I$5:$J$15,2,FALSE())),"")</f>
        <v>22</v>
      </c>
      <c r="G1225" s="113" t="s">
        <v>1424</v>
      </c>
      <c r="H1225" s="138" t="s">
        <v>2059</v>
      </c>
      <c r="K1225" s="109" t="s">
        <v>2051</v>
      </c>
      <c r="M1225" s="109" t="s">
        <v>2000</v>
      </c>
    </row>
    <row r="1226" spans="1:13" ht="13.5" hidden="1" customHeight="1" x14ac:dyDescent="0.3">
      <c r="A1226" s="140">
        <v>46204</v>
      </c>
      <c r="B1226" s="135" t="s">
        <v>2049</v>
      </c>
      <c r="C1226" s="96" t="s">
        <v>2001</v>
      </c>
      <c r="D1226" s="113" t="str">
        <f>IFERROR(VLOOKUP(C1226,SKUs!$A$6:$F$1971,6,FALSE()),"")</f>
        <v>POLO PIQUET FEM.</v>
      </c>
      <c r="E1226" s="109">
        <v>16</v>
      </c>
      <c r="F1226" s="113">
        <f>IFERROR(IF(OR(B1226="",E1226=""),"",E1226*VLOOKUP(B1226,Configurações!$I$5:$J$15,2,FALSE())),"")</f>
        <v>16</v>
      </c>
      <c r="G1226" s="113" t="s">
        <v>1424</v>
      </c>
      <c r="H1226" s="138" t="s">
        <v>2059</v>
      </c>
      <c r="K1226" s="109" t="s">
        <v>2051</v>
      </c>
      <c r="M1226" s="109" t="s">
        <v>2000</v>
      </c>
    </row>
    <row r="1227" spans="1:13" ht="13.5" hidden="1" customHeight="1" x14ac:dyDescent="0.3">
      <c r="A1227" s="140">
        <v>46204</v>
      </c>
      <c r="B1227" s="135" t="s">
        <v>2049</v>
      </c>
      <c r="C1227" s="96" t="s">
        <v>2002</v>
      </c>
      <c r="D1227" s="113" t="str">
        <f>IFERROR(VLOOKUP(C1227,SKUs!$A$6:$F$1971,6,FALSE()),"")</f>
        <v>POLO PIQUET FEM.</v>
      </c>
      <c r="E1227" s="109">
        <v>16</v>
      </c>
      <c r="F1227" s="113">
        <f>IFERROR(IF(OR(B1227="",E1227=""),"",E1227*VLOOKUP(B1227,Configurações!$I$5:$J$15,2,FALSE())),"")</f>
        <v>16</v>
      </c>
      <c r="G1227" s="113" t="s">
        <v>1424</v>
      </c>
      <c r="H1227" s="138" t="s">
        <v>2059</v>
      </c>
      <c r="K1227" s="109" t="s">
        <v>2051</v>
      </c>
      <c r="M1227" s="109" t="s">
        <v>2000</v>
      </c>
    </row>
    <row r="1228" spans="1:13" ht="13.5" hidden="1" customHeight="1" x14ac:dyDescent="0.3">
      <c r="A1228" s="140">
        <v>46204</v>
      </c>
      <c r="B1228" s="135" t="s">
        <v>2049</v>
      </c>
      <c r="C1228" s="96" t="s">
        <v>2003</v>
      </c>
      <c r="D1228" s="113" t="str">
        <f>IFERROR(VLOOKUP(C1228,SKUs!$A$6:$F$1971,6,FALSE()),"")</f>
        <v>POLO PIQUET FEM.</v>
      </c>
      <c r="E1228" s="109">
        <v>44</v>
      </c>
      <c r="F1228" s="113">
        <f>IFERROR(IF(OR(B1228="",E1228=""),"",E1228*VLOOKUP(B1228,Configurações!$I$5:$J$15,2,FALSE())),"")</f>
        <v>44</v>
      </c>
      <c r="G1228" s="113" t="s">
        <v>1424</v>
      </c>
      <c r="H1228" s="138" t="s">
        <v>2059</v>
      </c>
      <c r="K1228" s="109" t="s">
        <v>2051</v>
      </c>
      <c r="M1228" s="109" t="s">
        <v>2000</v>
      </c>
    </row>
    <row r="1229" spans="1:13" ht="13.5" hidden="1" customHeight="1" x14ac:dyDescent="0.3">
      <c r="A1229" s="140">
        <v>46204</v>
      </c>
      <c r="B1229" s="135" t="s">
        <v>2049</v>
      </c>
      <c r="C1229" s="96" t="s">
        <v>1996</v>
      </c>
      <c r="D1229" s="113" t="str">
        <f>IFERROR(VLOOKUP(C1229,SKUs!$A$6:$F$1971,6,FALSE()),"")</f>
        <v>POLO PIQUET FEM.</v>
      </c>
      <c r="E1229" s="109">
        <v>21</v>
      </c>
      <c r="F1229" s="113">
        <f>IFERROR(IF(OR(B1229="",E1229=""),"",E1229*VLOOKUP(B1229,Configurações!$I$5:$J$15,2,FALSE())),"")</f>
        <v>21</v>
      </c>
      <c r="G1229" s="113" t="s">
        <v>1424</v>
      </c>
      <c r="H1229" s="138" t="s">
        <v>2059</v>
      </c>
      <c r="K1229" s="109" t="s">
        <v>2051</v>
      </c>
      <c r="M1229" s="109" t="s">
        <v>2004</v>
      </c>
    </row>
    <row r="1230" spans="1:13" ht="13.5" hidden="1" customHeight="1" x14ac:dyDescent="0.3">
      <c r="A1230" s="140">
        <v>46204</v>
      </c>
      <c r="B1230" s="135" t="s">
        <v>2049</v>
      </c>
      <c r="C1230" s="96" t="s">
        <v>2005</v>
      </c>
      <c r="D1230" s="113" t="str">
        <f>IFERROR(VLOOKUP(C1230,SKUs!$A$6:$F$1971,6,FALSE()),"")</f>
        <v>POLO PIQUET ARPOADOR FEM.</v>
      </c>
      <c r="E1230" s="109">
        <v>66</v>
      </c>
      <c r="F1230" s="113">
        <f>IFERROR(IF(OR(B1230="",E1230=""),"",E1230*VLOOKUP(B1230,Configurações!$I$5:$J$15,2,FALSE())),"")</f>
        <v>66</v>
      </c>
      <c r="G1230" s="113" t="s">
        <v>1424</v>
      </c>
      <c r="H1230" s="138" t="s">
        <v>2059</v>
      </c>
      <c r="K1230" s="109" t="s">
        <v>2051</v>
      </c>
      <c r="M1230" s="109" t="s">
        <v>2008</v>
      </c>
    </row>
    <row r="1231" spans="1:13" ht="13.5" hidden="1" customHeight="1" x14ac:dyDescent="0.3">
      <c r="A1231" s="140">
        <v>46204</v>
      </c>
      <c r="B1231" s="135" t="s">
        <v>2049</v>
      </c>
      <c r="C1231" s="96" t="s">
        <v>2009</v>
      </c>
      <c r="D1231" s="113" t="str">
        <f>IFERROR(VLOOKUP(C1231,SKUs!$A$6:$F$1971,6,FALSE()),"")</f>
        <v>POLO PIQUET ARPOADOR FEM.</v>
      </c>
      <c r="E1231" s="109">
        <v>32</v>
      </c>
      <c r="F1231" s="113">
        <f>IFERROR(IF(OR(B1231="",E1231=""),"",E1231*VLOOKUP(B1231,Configurações!$I$5:$J$15,2,FALSE())),"")</f>
        <v>32</v>
      </c>
      <c r="G1231" s="113" t="s">
        <v>1424</v>
      </c>
      <c r="H1231" s="138" t="s">
        <v>2059</v>
      </c>
      <c r="K1231" s="109" t="s">
        <v>2051</v>
      </c>
      <c r="M1231" s="109" t="s">
        <v>2008</v>
      </c>
    </row>
    <row r="1232" spans="1:13" ht="13.5" hidden="1" customHeight="1" x14ac:dyDescent="0.3">
      <c r="A1232" s="140">
        <v>46204</v>
      </c>
      <c r="B1232" s="135" t="s">
        <v>2049</v>
      </c>
      <c r="C1232" s="96" t="s">
        <v>2010</v>
      </c>
      <c r="D1232" s="113" t="str">
        <f>IFERROR(VLOOKUP(C1232,SKUs!$A$6:$F$1971,6,FALSE()),"")</f>
        <v>POLO PIQUET ARPOADOR FEM.</v>
      </c>
      <c r="E1232" s="109">
        <v>10</v>
      </c>
      <c r="F1232" s="113">
        <f>IFERROR(IF(OR(B1232="",E1232=""),"",E1232*VLOOKUP(B1232,Configurações!$I$5:$J$15,2,FALSE())),"")</f>
        <v>10</v>
      </c>
      <c r="G1232" s="113" t="s">
        <v>1424</v>
      </c>
      <c r="H1232" s="138" t="s">
        <v>2059</v>
      </c>
      <c r="K1232" s="109" t="s">
        <v>2051</v>
      </c>
      <c r="M1232" s="109" t="s">
        <v>2011</v>
      </c>
    </row>
    <row r="1233" spans="1:13" ht="13.5" hidden="1" customHeight="1" x14ac:dyDescent="0.3">
      <c r="A1233" s="140">
        <v>46204</v>
      </c>
      <c r="B1233" s="135" t="s">
        <v>2049</v>
      </c>
      <c r="C1233" s="96" t="s">
        <v>2012</v>
      </c>
      <c r="D1233" s="113" t="str">
        <f>IFERROR(VLOOKUP(C1233,SKUs!$A$6:$F$1971,6,FALSE()),"")</f>
        <v>POLO PIQUET ARPOADOR FEM.</v>
      </c>
      <c r="E1233" s="109">
        <v>19</v>
      </c>
      <c r="F1233" s="113">
        <f>IFERROR(IF(OR(B1233="",E1233=""),"",E1233*VLOOKUP(B1233,Configurações!$I$5:$J$15,2,FALSE())),"")</f>
        <v>19</v>
      </c>
      <c r="G1233" s="113" t="s">
        <v>1424</v>
      </c>
      <c r="H1233" s="138" t="s">
        <v>2059</v>
      </c>
      <c r="K1233" s="109" t="s">
        <v>2051</v>
      </c>
      <c r="M1233" s="109" t="s">
        <v>2011</v>
      </c>
    </row>
    <row r="1234" spans="1:13" ht="13.5" hidden="1" customHeight="1" x14ac:dyDescent="0.3">
      <c r="A1234" s="140">
        <v>46204</v>
      </c>
      <c r="B1234" s="135" t="s">
        <v>2049</v>
      </c>
      <c r="C1234" s="96" t="s">
        <v>2013</v>
      </c>
      <c r="D1234" s="113" t="str">
        <f>IFERROR(VLOOKUP(C1234,SKUs!$A$6:$F$1971,6,FALSE()),"")</f>
        <v>POLO PIQUET ARPOADOR FEM.</v>
      </c>
      <c r="E1234" s="109">
        <v>57</v>
      </c>
      <c r="F1234" s="113">
        <f>IFERROR(IF(OR(B1234="",E1234=""),"",E1234*VLOOKUP(B1234,Configurações!$I$5:$J$15,2,FALSE())),"")</f>
        <v>57</v>
      </c>
      <c r="G1234" s="113" t="s">
        <v>1424</v>
      </c>
      <c r="H1234" s="138" t="s">
        <v>2059</v>
      </c>
      <c r="K1234" s="109" t="s">
        <v>2051</v>
      </c>
      <c r="M1234" s="109" t="s">
        <v>2011</v>
      </c>
    </row>
    <row r="1235" spans="1:13" ht="13.5" hidden="1" customHeight="1" x14ac:dyDescent="0.3">
      <c r="A1235" s="140">
        <v>46204</v>
      </c>
      <c r="B1235" s="135" t="s">
        <v>2049</v>
      </c>
      <c r="C1235" s="96" t="s">
        <v>2014</v>
      </c>
      <c r="D1235" s="113" t="str">
        <f>IFERROR(VLOOKUP(C1235,SKUs!$A$6:$F$1971,6,FALSE()),"")</f>
        <v>POLO PIQUET ARPOADOR FEM.</v>
      </c>
      <c r="E1235" s="109">
        <v>75</v>
      </c>
      <c r="F1235" s="113">
        <f>IFERROR(IF(OR(B1235="",E1235=""),"",E1235*VLOOKUP(B1235,Configurações!$I$5:$J$15,2,FALSE())),"")</f>
        <v>75</v>
      </c>
      <c r="G1235" s="113" t="s">
        <v>1424</v>
      </c>
      <c r="H1235" s="138" t="s">
        <v>2059</v>
      </c>
      <c r="K1235" s="109" t="s">
        <v>2051</v>
      </c>
      <c r="M1235" s="109" t="s">
        <v>2015</v>
      </c>
    </row>
    <row r="1236" spans="1:13" ht="13.5" hidden="1" customHeight="1" x14ac:dyDescent="0.3">
      <c r="A1236" s="140">
        <v>46204</v>
      </c>
      <c r="B1236" s="135" t="s">
        <v>2049</v>
      </c>
      <c r="C1236" s="96" t="s">
        <v>2016</v>
      </c>
      <c r="D1236" s="113" t="str">
        <f>IFERROR(VLOOKUP(C1236,SKUs!$A$6:$F$1971,6,FALSE()),"")</f>
        <v>POLO PIQUET JEANS FEM.</v>
      </c>
      <c r="E1236" s="109">
        <v>33</v>
      </c>
      <c r="F1236" s="113">
        <f>IFERROR(IF(OR(B1236="",E1236=""),"",E1236*VLOOKUP(B1236,Configurações!$I$5:$J$15,2,FALSE())),"")</f>
        <v>33</v>
      </c>
      <c r="G1236" s="113" t="s">
        <v>1424</v>
      </c>
      <c r="H1236" s="138" t="s">
        <v>2059</v>
      </c>
      <c r="K1236" s="109" t="s">
        <v>2051</v>
      </c>
      <c r="M1236" s="109" t="s">
        <v>2019</v>
      </c>
    </row>
    <row r="1237" spans="1:13" ht="13.5" hidden="1" customHeight="1" x14ac:dyDescent="0.3">
      <c r="A1237" s="140">
        <v>46204</v>
      </c>
      <c r="B1237" s="135" t="s">
        <v>2049</v>
      </c>
      <c r="C1237" s="96" t="s">
        <v>2020</v>
      </c>
      <c r="D1237" s="113" t="str">
        <f>IFERROR(VLOOKUP(C1237,SKUs!$A$6:$F$1971,6,FALSE()),"")</f>
        <v>POLO PIQUET JEANS FEM.</v>
      </c>
      <c r="E1237" s="109">
        <v>76</v>
      </c>
      <c r="F1237" s="113">
        <f>IFERROR(IF(OR(B1237="",E1237=""),"",E1237*VLOOKUP(B1237,Configurações!$I$5:$J$15,2,FALSE())),"")</f>
        <v>76</v>
      </c>
      <c r="G1237" s="113" t="s">
        <v>1424</v>
      </c>
      <c r="H1237" s="138" t="s">
        <v>2059</v>
      </c>
      <c r="K1237" s="109" t="s">
        <v>2051</v>
      </c>
      <c r="M1237" s="109" t="s">
        <v>2019</v>
      </c>
    </row>
    <row r="1238" spans="1:13" ht="13.5" hidden="1" customHeight="1" x14ac:dyDescent="0.3">
      <c r="A1238" s="140">
        <v>46204</v>
      </c>
      <c r="B1238" s="135" t="s">
        <v>2049</v>
      </c>
      <c r="C1238" s="96" t="s">
        <v>2021</v>
      </c>
      <c r="D1238" s="113" t="str">
        <f>IFERROR(VLOOKUP(C1238,SKUs!$A$6:$F$1971,6,FALSE()),"")</f>
        <v>POLO PIQUET JEANS FEM.</v>
      </c>
      <c r="E1238" s="109">
        <v>66</v>
      </c>
      <c r="F1238" s="113">
        <f>IFERROR(IF(OR(B1238="",E1238=""),"",E1238*VLOOKUP(B1238,Configurações!$I$5:$J$15,2,FALSE())),"")</f>
        <v>66</v>
      </c>
      <c r="G1238" s="113" t="s">
        <v>1424</v>
      </c>
      <c r="H1238" s="138" t="s">
        <v>2059</v>
      </c>
      <c r="K1238" s="109" t="s">
        <v>2051</v>
      </c>
      <c r="M1238" s="109" t="s">
        <v>2022</v>
      </c>
    </row>
    <row r="1239" spans="1:13" ht="13.5" hidden="1" customHeight="1" x14ac:dyDescent="0.3">
      <c r="A1239" s="140">
        <v>46204</v>
      </c>
      <c r="B1239" s="135" t="s">
        <v>2049</v>
      </c>
      <c r="C1239" s="96" t="s">
        <v>2023</v>
      </c>
      <c r="D1239" s="113" t="str">
        <f>IFERROR(VLOOKUP(C1239,SKUs!$A$6:$F$1971,6,FALSE()),"")</f>
        <v>POLO PIQUET JEANS FEM.</v>
      </c>
      <c r="E1239" s="109">
        <v>21</v>
      </c>
      <c r="F1239" s="113">
        <f>IFERROR(IF(OR(B1239="",E1239=""),"",E1239*VLOOKUP(B1239,Configurações!$I$5:$J$15,2,FALSE())),"")</f>
        <v>21</v>
      </c>
      <c r="G1239" s="113" t="s">
        <v>1424</v>
      </c>
      <c r="H1239" s="138" t="s">
        <v>2059</v>
      </c>
      <c r="K1239" s="109" t="s">
        <v>2051</v>
      </c>
      <c r="M1239" s="109" t="s">
        <v>2024</v>
      </c>
    </row>
    <row r="1240" spans="1:13" ht="13.5" hidden="1" customHeight="1" x14ac:dyDescent="0.3">
      <c r="A1240" s="140">
        <v>46204</v>
      </c>
      <c r="B1240" s="135" t="s">
        <v>2049</v>
      </c>
      <c r="C1240" s="96" t="s">
        <v>2025</v>
      </c>
      <c r="D1240" s="113" t="str">
        <f>IFERROR(VLOOKUP(C1240,SKUs!$A$6:$F$1971,6,FALSE()),"")</f>
        <v>POLO PIQUET JEANS FEM.</v>
      </c>
      <c r="E1240" s="109">
        <v>13</v>
      </c>
      <c r="F1240" s="113">
        <f>IFERROR(IF(OR(B1240="",E1240=""),"",E1240*VLOOKUP(B1240,Configurações!$I$5:$J$15,2,FALSE())),"")</f>
        <v>13</v>
      </c>
      <c r="G1240" s="113" t="s">
        <v>1424</v>
      </c>
      <c r="H1240" s="138" t="s">
        <v>2059</v>
      </c>
      <c r="K1240" s="109" t="s">
        <v>2051</v>
      </c>
      <c r="M1240" s="109" t="s">
        <v>2024</v>
      </c>
    </row>
    <row r="1241" spans="1:13" ht="13.5" hidden="1" customHeight="1" x14ac:dyDescent="0.3">
      <c r="A1241" s="140">
        <v>46204</v>
      </c>
      <c r="B1241" s="135" t="s">
        <v>2049</v>
      </c>
      <c r="C1241" s="96" t="s">
        <v>2026</v>
      </c>
      <c r="D1241" s="113" t="str">
        <f>IFERROR(VLOOKUP(C1241,SKUs!$A$6:$F$1971,6,FALSE()),"")</f>
        <v>POLO PIQUET JEANS FEM.</v>
      </c>
      <c r="E1241" s="109">
        <v>55</v>
      </c>
      <c r="F1241" s="113">
        <f>IFERROR(IF(OR(B1241="",E1241=""),"",E1241*VLOOKUP(B1241,Configurações!$I$5:$J$15,2,FALSE())),"")</f>
        <v>55</v>
      </c>
      <c r="G1241" s="113" t="s">
        <v>1424</v>
      </c>
      <c r="H1241" s="138" t="s">
        <v>2059</v>
      </c>
      <c r="K1241" s="109" t="s">
        <v>2051</v>
      </c>
      <c r="M1241" s="109" t="s">
        <v>2024</v>
      </c>
    </row>
    <row r="1242" spans="1:13" ht="13.5" hidden="1" customHeight="1" x14ac:dyDescent="0.3">
      <c r="A1242" s="140">
        <v>46204</v>
      </c>
      <c r="B1242" s="135" t="s">
        <v>2049</v>
      </c>
      <c r="C1242" s="96" t="s">
        <v>2027</v>
      </c>
      <c r="D1242" s="113" t="str">
        <f>IFERROR(VLOOKUP(C1242,SKUs!$A$6:$F$1971,6,FALSE()),"")</f>
        <v>POLO PIQUET ARPOADOR MASC.</v>
      </c>
      <c r="E1242" s="109">
        <v>92</v>
      </c>
      <c r="F1242" s="113">
        <f>IFERROR(IF(OR(B1242="",E1242=""),"",E1242*VLOOKUP(B1242,Configurações!$I$5:$J$15,2,FALSE())),"")</f>
        <v>92</v>
      </c>
      <c r="G1242" s="113" t="s">
        <v>1424</v>
      </c>
      <c r="H1242" s="138" t="s">
        <v>2059</v>
      </c>
      <c r="K1242" s="109" t="s">
        <v>2051</v>
      </c>
      <c r="M1242" s="109" t="s">
        <v>2029</v>
      </c>
    </row>
    <row r="1243" spans="1:13" ht="13.5" hidden="1" customHeight="1" x14ac:dyDescent="0.3">
      <c r="A1243" s="140">
        <v>46204</v>
      </c>
      <c r="B1243" s="135" t="s">
        <v>2049</v>
      </c>
      <c r="C1243" s="96" t="s">
        <v>2030</v>
      </c>
      <c r="D1243" s="113" t="str">
        <f>IFERROR(VLOOKUP(C1243,SKUs!$A$6:$F$1971,6,FALSE()),"")</f>
        <v>POLO PIQUET ARPOADOR MASC.</v>
      </c>
      <c r="E1243" s="109">
        <v>40</v>
      </c>
      <c r="F1243" s="113">
        <f>IFERROR(IF(OR(B1243="",E1243=""),"",E1243*VLOOKUP(B1243,Configurações!$I$5:$J$15,2,FALSE())),"")</f>
        <v>40</v>
      </c>
      <c r="G1243" s="113" t="s">
        <v>1424</v>
      </c>
      <c r="H1243" s="138" t="s">
        <v>2059</v>
      </c>
      <c r="K1243" s="109" t="s">
        <v>2051</v>
      </c>
      <c r="M1243" s="109" t="s">
        <v>2031</v>
      </c>
    </row>
    <row r="1244" spans="1:13" ht="13.5" hidden="1" customHeight="1" x14ac:dyDescent="0.3">
      <c r="A1244" s="140">
        <v>46204</v>
      </c>
      <c r="B1244" s="135" t="s">
        <v>2049</v>
      </c>
      <c r="C1244" s="96" t="s">
        <v>2027</v>
      </c>
      <c r="D1244" s="113" t="str">
        <f>IFERROR(VLOOKUP(C1244,SKUs!$A$6:$F$1971,6,FALSE()),"")</f>
        <v>POLO PIQUET ARPOADOR MASC.</v>
      </c>
      <c r="E1244" s="109">
        <v>48</v>
      </c>
      <c r="F1244" s="113">
        <f>IFERROR(IF(OR(B1244="",E1244=""),"",E1244*VLOOKUP(B1244,Configurações!$I$5:$J$15,2,FALSE())),"")</f>
        <v>48</v>
      </c>
      <c r="G1244" s="113" t="s">
        <v>1424</v>
      </c>
      <c r="H1244" s="138" t="s">
        <v>2059</v>
      </c>
      <c r="K1244" s="109" t="s">
        <v>2051</v>
      </c>
      <c r="M1244" s="109" t="s">
        <v>2031</v>
      </c>
    </row>
    <row r="1245" spans="1:13" ht="13.5" hidden="1" customHeight="1" x14ac:dyDescent="0.3">
      <c r="A1245" s="140">
        <v>46204</v>
      </c>
      <c r="B1245" s="135" t="s">
        <v>2049</v>
      </c>
      <c r="C1245" s="96" t="s">
        <v>2030</v>
      </c>
      <c r="D1245" s="113" t="str">
        <f>IFERROR(VLOOKUP(C1245,SKUs!$A$6:$F$1971,6,FALSE()),"")</f>
        <v>POLO PIQUET ARPOADOR MASC.</v>
      </c>
      <c r="E1245" s="109">
        <v>76</v>
      </c>
      <c r="F1245" s="113">
        <f>IFERROR(IF(OR(B1245="",E1245=""),"",E1245*VLOOKUP(B1245,Configurações!$I$5:$J$15,2,FALSE())),"")</f>
        <v>76</v>
      </c>
      <c r="G1245" s="113" t="s">
        <v>1424</v>
      </c>
      <c r="H1245" s="138" t="s">
        <v>2059</v>
      </c>
      <c r="K1245" s="109" t="s">
        <v>2051</v>
      </c>
      <c r="M1245" s="109" t="s">
        <v>2032</v>
      </c>
    </row>
    <row r="1246" spans="1:13" ht="13.5" hidden="1" customHeight="1" x14ac:dyDescent="0.3">
      <c r="A1246" s="140">
        <v>46204</v>
      </c>
      <c r="B1246" s="135" t="s">
        <v>2049</v>
      </c>
      <c r="C1246" s="96" t="s">
        <v>2030</v>
      </c>
      <c r="D1246" s="113" t="str">
        <f>IFERROR(VLOOKUP(C1246,SKUs!$A$6:$F$1971,6,FALSE()),"")</f>
        <v>POLO PIQUET ARPOADOR MASC.</v>
      </c>
      <c r="E1246" s="109">
        <v>90</v>
      </c>
      <c r="F1246" s="113">
        <f>IFERROR(IF(OR(B1246="",E1246=""),"",E1246*VLOOKUP(B1246,Configurações!$I$5:$J$15,2,FALSE())),"")</f>
        <v>90</v>
      </c>
      <c r="G1246" s="113" t="s">
        <v>1424</v>
      </c>
      <c r="H1246" s="138" t="s">
        <v>2059</v>
      </c>
      <c r="K1246" s="109" t="s">
        <v>2051</v>
      </c>
      <c r="M1246" s="109" t="s">
        <v>2033</v>
      </c>
    </row>
    <row r="1247" spans="1:13" ht="13.5" hidden="1" customHeight="1" x14ac:dyDescent="0.3">
      <c r="A1247" s="140">
        <v>46204</v>
      </c>
      <c r="B1247" s="135" t="s">
        <v>2049</v>
      </c>
      <c r="C1247" s="96" t="s">
        <v>2027</v>
      </c>
      <c r="D1247" s="113" t="str">
        <f>IFERROR(VLOOKUP(C1247,SKUs!$A$6:$F$1971,6,FALSE()),"")</f>
        <v>POLO PIQUET ARPOADOR MASC.</v>
      </c>
      <c r="E1247" s="109">
        <v>60</v>
      </c>
      <c r="F1247" s="113">
        <f>IFERROR(IF(OR(B1247="",E1247=""),"",E1247*VLOOKUP(B1247,Configurações!$I$5:$J$15,2,FALSE())),"")</f>
        <v>60</v>
      </c>
      <c r="G1247" s="113" t="s">
        <v>1424</v>
      </c>
      <c r="H1247" s="138" t="s">
        <v>2059</v>
      </c>
      <c r="K1247" s="109" t="s">
        <v>2051</v>
      </c>
      <c r="M1247" s="109" t="s">
        <v>2034</v>
      </c>
    </row>
    <row r="1248" spans="1:13" ht="13.5" hidden="1" customHeight="1" x14ac:dyDescent="0.3">
      <c r="A1248" s="140">
        <v>46204</v>
      </c>
      <c r="B1248" s="135" t="s">
        <v>2049</v>
      </c>
      <c r="C1248" s="96" t="s">
        <v>2035</v>
      </c>
      <c r="D1248" s="113" t="str">
        <f>IFERROR(VLOOKUP(C1248,SKUs!$A$6:$F$1971,6,FALSE()),"")</f>
        <v>POLO PIQUET ARPOADOR MASC.</v>
      </c>
      <c r="E1248" s="109">
        <v>24</v>
      </c>
      <c r="F1248" s="113">
        <f>IFERROR(IF(OR(B1248="",E1248=""),"",E1248*VLOOKUP(B1248,Configurações!$I$5:$J$15,2,FALSE())),"")</f>
        <v>24</v>
      </c>
      <c r="G1248" s="113" t="s">
        <v>1424</v>
      </c>
      <c r="H1248" s="138" t="s">
        <v>2059</v>
      </c>
      <c r="K1248" s="109" t="s">
        <v>2051</v>
      </c>
      <c r="M1248" s="109" t="s">
        <v>2034</v>
      </c>
    </row>
    <row r="1249" spans="1:13" ht="13.5" hidden="1" customHeight="1" x14ac:dyDescent="0.3">
      <c r="A1249" s="140">
        <v>46204</v>
      </c>
      <c r="B1249" s="135" t="s">
        <v>2049</v>
      </c>
      <c r="C1249" s="96" t="s">
        <v>2035</v>
      </c>
      <c r="D1249" s="113" t="str">
        <f>IFERROR(VLOOKUP(C1249,SKUs!$A$6:$F$1971,6,FALSE()),"")</f>
        <v>POLO PIQUET ARPOADOR MASC.</v>
      </c>
      <c r="E1249" s="109">
        <v>60</v>
      </c>
      <c r="F1249" s="113">
        <f>IFERROR(IF(OR(B1249="",E1249=""),"",E1249*VLOOKUP(B1249,Configurações!$I$5:$J$15,2,FALSE())),"")</f>
        <v>60</v>
      </c>
      <c r="G1249" s="113" t="s">
        <v>1424</v>
      </c>
      <c r="H1249" s="138" t="s">
        <v>2059</v>
      </c>
      <c r="K1249" s="109" t="s">
        <v>2051</v>
      </c>
      <c r="M1249" s="109" t="s">
        <v>2036</v>
      </c>
    </row>
    <row r="1250" spans="1:13" ht="13.5" hidden="1" customHeight="1" x14ac:dyDescent="0.3">
      <c r="A1250" s="140">
        <v>46204</v>
      </c>
      <c r="B1250" s="135" t="s">
        <v>2049</v>
      </c>
      <c r="C1250" s="96" t="s">
        <v>2037</v>
      </c>
      <c r="D1250" s="113" t="str">
        <f>IFERROR(VLOOKUP(C1250,SKUs!$A$6:$F$1971,6,FALSE()),"")</f>
        <v>POLO PIQUET ARPOADOR MASC.</v>
      </c>
      <c r="E1250" s="109">
        <v>18</v>
      </c>
      <c r="F1250" s="113">
        <f>IFERROR(IF(OR(B1250="",E1250=""),"",E1250*VLOOKUP(B1250,Configurações!$I$5:$J$15,2,FALSE())),"")</f>
        <v>18</v>
      </c>
      <c r="G1250" s="113" t="s">
        <v>1424</v>
      </c>
      <c r="H1250" s="138" t="s">
        <v>2059</v>
      </c>
      <c r="K1250" s="109" t="s">
        <v>2051</v>
      </c>
      <c r="M1250" s="109" t="s">
        <v>2036</v>
      </c>
    </row>
    <row r="1251" spans="1:13" ht="13.5" hidden="1" customHeight="1" x14ac:dyDescent="0.3">
      <c r="A1251" s="140">
        <v>46204</v>
      </c>
      <c r="B1251" s="135" t="s">
        <v>2049</v>
      </c>
      <c r="C1251" s="96" t="s">
        <v>2038</v>
      </c>
      <c r="D1251" s="113" t="str">
        <f>IFERROR(VLOOKUP(C1251,SKUs!$A$6:$F$1971,6,FALSE()),"")</f>
        <v>POLO PIQUET ARPOADOR MASC.</v>
      </c>
      <c r="E1251" s="109">
        <v>17</v>
      </c>
      <c r="F1251" s="113">
        <f>IFERROR(IF(OR(B1251="",E1251=""),"",E1251*VLOOKUP(B1251,Configurações!$I$5:$J$15,2,FALSE())),"")</f>
        <v>17</v>
      </c>
      <c r="G1251" s="113" t="s">
        <v>1424</v>
      </c>
      <c r="H1251" s="138" t="s">
        <v>2059</v>
      </c>
      <c r="K1251" s="109" t="s">
        <v>2051</v>
      </c>
      <c r="M1251" s="109" t="s">
        <v>2039</v>
      </c>
    </row>
    <row r="1252" spans="1:13" ht="13.5" hidden="1" customHeight="1" x14ac:dyDescent="0.3">
      <c r="A1252" s="140">
        <v>46204</v>
      </c>
      <c r="B1252" s="135" t="s">
        <v>2049</v>
      </c>
      <c r="C1252" s="96" t="s">
        <v>2037</v>
      </c>
      <c r="D1252" s="113" t="str">
        <f>IFERROR(VLOOKUP(C1252,SKUs!$A$6:$F$1971,6,FALSE()),"")</f>
        <v>POLO PIQUET ARPOADOR MASC.</v>
      </c>
      <c r="E1252" s="109">
        <v>50</v>
      </c>
      <c r="F1252" s="113">
        <f>IFERROR(IF(OR(B1252="",E1252=""),"",E1252*VLOOKUP(B1252,Configurações!$I$5:$J$15,2,FALSE())),"")</f>
        <v>50</v>
      </c>
      <c r="G1252" s="113" t="s">
        <v>1424</v>
      </c>
      <c r="H1252" s="138" t="s">
        <v>2059</v>
      </c>
      <c r="K1252" s="109" t="s">
        <v>2051</v>
      </c>
      <c r="M1252" s="109" t="s">
        <v>2039</v>
      </c>
    </row>
    <row r="1253" spans="1:13" ht="14.25" hidden="1" customHeight="1" x14ac:dyDescent="0.3">
      <c r="A1253" s="140">
        <v>46204</v>
      </c>
      <c r="B1253" s="135" t="s">
        <v>2049</v>
      </c>
      <c r="C1253" s="49" t="s">
        <v>2038</v>
      </c>
      <c r="D1253" s="113" t="str">
        <f>IFERROR(VLOOKUP(C1253,SKUs!$A$6:$F$1971,6,FALSE()),"")</f>
        <v>POLO PIQUET ARPOADOR MASC.</v>
      </c>
      <c r="E1253" s="109">
        <v>1</v>
      </c>
      <c r="F1253" s="113">
        <f>IFERROR(IF(OR(B1253="",E1253=""),"",E1253*VLOOKUP(B1253,Configurações!$I$5:$J$15,2,FALSE())),"")</f>
        <v>1</v>
      </c>
      <c r="G1253" s="113" t="s">
        <v>1424</v>
      </c>
      <c r="H1253" s="138" t="s">
        <v>2059</v>
      </c>
      <c r="K1253" s="109" t="s">
        <v>2051</v>
      </c>
      <c r="M1253" s="109" t="s">
        <v>2040</v>
      </c>
    </row>
    <row r="1254" spans="1:13" ht="14.25" hidden="1" customHeight="1" x14ac:dyDescent="0.3">
      <c r="A1254" s="140">
        <v>46204</v>
      </c>
      <c r="B1254" s="135" t="s">
        <v>2049</v>
      </c>
      <c r="C1254" s="49" t="s">
        <v>2041</v>
      </c>
      <c r="D1254" s="113" t="str">
        <f>IFERROR(VLOOKUP(C1254,SKUs!$A$6:$F$1971,6,FALSE()),"")</f>
        <v>POLO PIQUET ARPOADOR MASC.</v>
      </c>
      <c r="E1254" s="109">
        <v>68</v>
      </c>
      <c r="F1254" s="113">
        <f>IFERROR(IF(OR(B1254="",E1254=""),"",E1254*VLOOKUP(B1254,Configurações!$I$5:$J$15,2,FALSE())),"")</f>
        <v>68</v>
      </c>
      <c r="G1254" s="113" t="s">
        <v>1424</v>
      </c>
      <c r="H1254" s="138" t="s">
        <v>2059</v>
      </c>
      <c r="K1254" s="109" t="s">
        <v>2051</v>
      </c>
      <c r="M1254" s="109" t="s">
        <v>2040</v>
      </c>
    </row>
    <row r="1255" spans="1:13" ht="14.25" hidden="1" customHeight="1" x14ac:dyDescent="0.3">
      <c r="A1255" s="140">
        <v>46204</v>
      </c>
      <c r="B1255" s="135" t="s">
        <v>2049</v>
      </c>
      <c r="C1255" s="49" t="s">
        <v>2027</v>
      </c>
      <c r="D1255" s="113" t="str">
        <f>IFERROR(VLOOKUP(C1255,SKUs!$A$6:$F$1971,6,FALSE()),"")</f>
        <v>POLO PIQUET ARPOADOR MASC.</v>
      </c>
      <c r="E1255" s="109">
        <v>7</v>
      </c>
      <c r="F1255" s="113">
        <f>IFERROR(IF(OR(B1255="",E1255=""),"",E1255*VLOOKUP(B1255,Configurações!$I$5:$J$15,2,FALSE())),"")</f>
        <v>7</v>
      </c>
      <c r="G1255" s="113" t="s">
        <v>1424</v>
      </c>
      <c r="H1255" s="138" t="s">
        <v>2059</v>
      </c>
      <c r="K1255" s="109" t="s">
        <v>2051</v>
      </c>
      <c r="M1255" s="109" t="s">
        <v>2040</v>
      </c>
    </row>
    <row r="1256" spans="1:13" ht="14.25" hidden="1" customHeight="1" x14ac:dyDescent="0.3">
      <c r="A1256" s="140">
        <v>46204</v>
      </c>
      <c r="B1256" s="135" t="s">
        <v>2049</v>
      </c>
      <c r="C1256" s="49" t="s">
        <v>2030</v>
      </c>
      <c r="D1256" s="113" t="str">
        <f>IFERROR(VLOOKUP(C1256,SKUs!$A$6:$F$1971,6,FALSE()),"")</f>
        <v>POLO PIQUET ARPOADOR MASC.</v>
      </c>
      <c r="E1256" s="109">
        <v>1</v>
      </c>
      <c r="F1256" s="113">
        <f>IFERROR(IF(OR(B1256="",E1256=""),"",E1256*VLOOKUP(B1256,Configurações!$I$5:$J$15,2,FALSE())),"")</f>
        <v>1</v>
      </c>
      <c r="G1256" s="113" t="s">
        <v>1424</v>
      </c>
      <c r="H1256" s="138" t="s">
        <v>2059</v>
      </c>
      <c r="K1256" s="109" t="s">
        <v>2051</v>
      </c>
      <c r="M1256" s="109" t="s">
        <v>2040</v>
      </c>
    </row>
    <row r="1257" spans="1:13" ht="14.25" hidden="1" customHeight="1" x14ac:dyDescent="0.3">
      <c r="A1257" s="140">
        <v>46204</v>
      </c>
      <c r="B1257" s="135" t="s">
        <v>2049</v>
      </c>
      <c r="C1257" s="49" t="s">
        <v>2035</v>
      </c>
      <c r="D1257" s="113" t="str">
        <f>IFERROR(VLOOKUP(C1257,SKUs!$A$6:$F$1971,6,FALSE()),"")</f>
        <v>POLO PIQUET ARPOADOR MASC.</v>
      </c>
      <c r="E1257" s="109">
        <v>2</v>
      </c>
      <c r="F1257" s="113">
        <f>IFERROR(IF(OR(B1257="",E1257=""),"",E1257*VLOOKUP(B1257,Configurações!$I$5:$J$15,2,FALSE())),"")</f>
        <v>2</v>
      </c>
      <c r="G1257" s="113" t="s">
        <v>1424</v>
      </c>
      <c r="H1257" s="138" t="s">
        <v>2059</v>
      </c>
      <c r="K1257" s="109" t="s">
        <v>2051</v>
      </c>
      <c r="M1257" s="109" t="s">
        <v>2040</v>
      </c>
    </row>
    <row r="1258" spans="1:13" ht="12.75" hidden="1" customHeight="1" x14ac:dyDescent="0.3">
      <c r="D1258" s="113" t="str">
        <f>IFERROR(VLOOKUP(C1258,SKUs!$A$6:$F$1971,6,FALSE()),"")</f>
        <v/>
      </c>
      <c r="F1258" s="113" t="str">
        <f>IFERROR(IF(OR(B1258="",E1258=""),"",E1258*VLOOKUP(B1258,Configurações!$I$5:$J$15,2,FALSE())),"")</f>
        <v/>
      </c>
      <c r="G1258" s="113"/>
      <c r="H1258" s="138"/>
    </row>
    <row r="1259" spans="1:13" ht="12.75" hidden="1" customHeight="1" x14ac:dyDescent="0.3">
      <c r="D1259" s="113" t="str">
        <f>IFERROR(VLOOKUP(C1259,SKUs!$A$6:$F$1971,6,FALSE()),"")</f>
        <v/>
      </c>
      <c r="F1259" s="113" t="str">
        <f>IFERROR(IF(OR(B1259="",E1259=""),"",E1259*VLOOKUP(B1259,Configurações!$I$5:$J$15,2,FALSE())),"")</f>
        <v/>
      </c>
      <c r="G1259" s="113"/>
      <c r="H1259" s="138"/>
    </row>
    <row r="1260" spans="1:13" ht="12.75" hidden="1" customHeight="1" x14ac:dyDescent="0.3">
      <c r="D1260" s="113" t="str">
        <f>IFERROR(VLOOKUP(C1260,SKUs!$A$6:$F$1971,6,FALSE()),"")</f>
        <v/>
      </c>
      <c r="F1260" s="113" t="str">
        <f>IFERROR(IF(OR(B1260="",E1260=""),"",E1260*VLOOKUP(B1260,Configurações!$I$5:$J$15,2,FALSE())),"")</f>
        <v/>
      </c>
      <c r="G1260" s="113"/>
      <c r="H1260" s="138"/>
    </row>
    <row r="1261" spans="1:13" ht="12.75" hidden="1" customHeight="1" x14ac:dyDescent="0.3">
      <c r="D1261" s="113" t="str">
        <f>IFERROR(VLOOKUP(C1261,SKUs!$A$6:$F$1971,6,FALSE()),"")</f>
        <v/>
      </c>
      <c r="F1261" s="113" t="str">
        <f>IFERROR(IF(OR(B1261="",E1261=""),"",E1261*VLOOKUP(B1261,Configurações!$I$5:$J$15,2,FALSE())),"")</f>
        <v/>
      </c>
      <c r="G1261" s="113"/>
      <c r="H1261" s="138"/>
    </row>
    <row r="1262" spans="1:13" ht="12.75" hidden="1" customHeight="1" x14ac:dyDescent="0.3">
      <c r="D1262" s="113" t="str">
        <f>IFERROR(VLOOKUP(C1262,SKUs!$A$6:$F$1971,6,FALSE()),"")</f>
        <v/>
      </c>
      <c r="F1262" s="113" t="str">
        <f>IFERROR(IF(OR(B1262="",E1262=""),"",E1262*VLOOKUP(B1262,Configurações!$I$5:$J$15,2,FALSE())),"")</f>
        <v/>
      </c>
      <c r="G1262" s="113"/>
      <c r="H1262" s="138"/>
    </row>
    <row r="1263" spans="1:13" ht="12.75" hidden="1" customHeight="1" x14ac:dyDescent="0.3">
      <c r="D1263" s="113" t="str">
        <f>IFERROR(VLOOKUP(C1263,SKUs!$A$6:$F$1971,6,FALSE()),"")</f>
        <v/>
      </c>
      <c r="F1263" s="113" t="str">
        <f>IFERROR(IF(OR(B1263="",E1263=""),"",E1263*VLOOKUP(B1263,Configurações!$I$5:$J$15,2,FALSE())),"")</f>
        <v/>
      </c>
      <c r="G1263" s="113"/>
      <c r="H1263" s="138"/>
    </row>
    <row r="1264" spans="1:13" ht="12.75" hidden="1" customHeight="1" x14ac:dyDescent="0.3">
      <c r="D1264" s="113" t="str">
        <f>IFERROR(VLOOKUP(C1264,SKUs!$A$6:$F$1971,6,FALSE()),"")</f>
        <v/>
      </c>
      <c r="F1264" s="113" t="str">
        <f>IFERROR(IF(OR(B1264="",E1264=""),"",E1264*VLOOKUP(B1264,Configurações!$I$5:$J$15,2,FALSE())),"")</f>
        <v/>
      </c>
      <c r="G1264" s="113"/>
      <c r="H1264" s="138"/>
    </row>
    <row r="1265" spans="4:8" ht="12.75" hidden="1" customHeight="1" x14ac:dyDescent="0.3">
      <c r="D1265" s="113" t="str">
        <f>IFERROR(VLOOKUP(C1265,SKUs!$A$6:$F$1971,6,FALSE()),"")</f>
        <v/>
      </c>
      <c r="F1265" s="113" t="str">
        <f>IFERROR(IF(OR(B1265="",E1265=""),"",E1265*VLOOKUP(B1265,Configurações!$I$5:$J$15,2,FALSE())),"")</f>
        <v/>
      </c>
      <c r="G1265" s="113"/>
      <c r="H1265" s="138"/>
    </row>
    <row r="1266" spans="4:8" ht="12.75" hidden="1" customHeight="1" x14ac:dyDescent="0.3">
      <c r="D1266" s="113" t="str">
        <f>IFERROR(VLOOKUP(C1266,SKUs!$A$6:$F$1971,6,FALSE()),"")</f>
        <v/>
      </c>
      <c r="F1266" s="113" t="str">
        <f>IFERROR(IF(OR(B1266="",E1266=""),"",E1266*VLOOKUP(B1266,Configurações!$I$5:$J$15,2,FALSE())),"")</f>
        <v/>
      </c>
      <c r="G1266" s="113"/>
      <c r="H1266" s="138"/>
    </row>
    <row r="1267" spans="4:8" ht="12.75" hidden="1" customHeight="1" x14ac:dyDescent="0.3">
      <c r="D1267" s="113" t="str">
        <f>IFERROR(VLOOKUP(C1267,SKUs!$A$6:$F$1971,6,FALSE()),"")</f>
        <v/>
      </c>
      <c r="F1267" s="113" t="str">
        <f>IFERROR(IF(OR(B1267="",E1267=""),"",E1267*VLOOKUP(B1267,Configurações!$I$5:$J$15,2,FALSE())),"")</f>
        <v/>
      </c>
      <c r="G1267" s="113"/>
      <c r="H1267" s="138"/>
    </row>
    <row r="1268" spans="4:8" ht="12.75" hidden="1" customHeight="1" x14ac:dyDescent="0.3">
      <c r="D1268" s="113" t="str">
        <f>IFERROR(VLOOKUP(C1268,SKUs!$A$6:$F$1971,6,FALSE()),"")</f>
        <v/>
      </c>
      <c r="F1268" s="113" t="str">
        <f>IFERROR(IF(OR(B1268="",E1268=""),"",E1268*VLOOKUP(B1268,Configurações!$I$5:$J$15,2,FALSE())),"")</f>
        <v/>
      </c>
      <c r="G1268" s="113"/>
      <c r="H1268" s="138"/>
    </row>
    <row r="1269" spans="4:8" ht="12.75" hidden="1" customHeight="1" x14ac:dyDescent="0.3">
      <c r="D1269" s="113" t="str">
        <f>IFERROR(VLOOKUP(C1269,SKUs!$A$6:$F$1971,6,FALSE()),"")</f>
        <v/>
      </c>
      <c r="F1269" s="113" t="str">
        <f>IFERROR(IF(OR(B1269="",E1269=""),"",E1269*VLOOKUP(B1269,Configurações!$I$5:$J$15,2,FALSE())),"")</f>
        <v/>
      </c>
      <c r="G1269" s="113"/>
      <c r="H1269" s="138"/>
    </row>
    <row r="1270" spans="4:8" ht="12.75" hidden="1" customHeight="1" x14ac:dyDescent="0.3">
      <c r="D1270" s="113" t="str">
        <f>IFERROR(VLOOKUP(C1270,SKUs!$A$6:$F$1971,6,FALSE()),"")</f>
        <v/>
      </c>
      <c r="F1270" s="113" t="str">
        <f>IFERROR(IF(OR(B1270="",E1270=""),"",E1270*VLOOKUP(B1270,Configurações!$I$5:$J$15,2,FALSE())),"")</f>
        <v/>
      </c>
      <c r="G1270" s="113"/>
      <c r="H1270" s="138"/>
    </row>
    <row r="1271" spans="4:8" ht="12.75" hidden="1" customHeight="1" x14ac:dyDescent="0.3">
      <c r="D1271" s="113" t="str">
        <f>IFERROR(VLOOKUP(C1271,SKUs!$A$6:$F$1971,6,FALSE()),"")</f>
        <v/>
      </c>
      <c r="F1271" s="113" t="str">
        <f>IFERROR(IF(OR(B1271="",E1271=""),"",E1271*VLOOKUP(B1271,Configurações!$I$5:$J$15,2,FALSE())),"")</f>
        <v/>
      </c>
      <c r="G1271" s="113"/>
      <c r="H1271" s="138"/>
    </row>
    <row r="1272" spans="4:8" ht="12.75" hidden="1" customHeight="1" x14ac:dyDescent="0.3">
      <c r="D1272" s="113" t="str">
        <f>IFERROR(VLOOKUP(C1272,SKUs!$A$6:$F$1971,6,FALSE()),"")</f>
        <v/>
      </c>
      <c r="F1272" s="113" t="str">
        <f>IFERROR(IF(OR(B1272="",E1272=""),"",E1272*VLOOKUP(B1272,Configurações!$I$5:$J$15,2,FALSE())),"")</f>
        <v/>
      </c>
      <c r="G1272" s="113"/>
      <c r="H1272" s="138"/>
    </row>
    <row r="1273" spans="4:8" ht="12.75" hidden="1" customHeight="1" x14ac:dyDescent="0.3">
      <c r="D1273" s="113" t="str">
        <f>IFERROR(VLOOKUP(C1273,SKUs!$A$6:$F$1971,6,FALSE()),"")</f>
        <v/>
      </c>
      <c r="F1273" s="113" t="str">
        <f>IFERROR(IF(OR(B1273="",E1273=""),"",E1273*VLOOKUP(B1273,Configurações!$I$5:$J$15,2,FALSE())),"")</f>
        <v/>
      </c>
      <c r="G1273" s="113"/>
      <c r="H1273" s="138"/>
    </row>
    <row r="1274" spans="4:8" ht="12.75" hidden="1" customHeight="1" x14ac:dyDescent="0.3">
      <c r="D1274" s="113" t="str">
        <f>IFERROR(VLOOKUP(C1274,SKUs!$A$6:$F$1971,6,FALSE()),"")</f>
        <v/>
      </c>
      <c r="F1274" s="113" t="str">
        <f>IFERROR(IF(OR(B1274="",E1274=""),"",E1274*VLOOKUP(B1274,Configurações!$I$5:$J$15,2,FALSE())),"")</f>
        <v/>
      </c>
      <c r="G1274" s="113"/>
      <c r="H1274" s="138"/>
    </row>
    <row r="1275" spans="4:8" ht="12.75" hidden="1" customHeight="1" x14ac:dyDescent="0.3">
      <c r="D1275" s="113" t="str">
        <f>IFERROR(VLOOKUP(C1275,SKUs!$A$6:$F$1971,6,FALSE()),"")</f>
        <v/>
      </c>
      <c r="F1275" s="113" t="str">
        <f>IFERROR(IF(OR(B1275="",E1275=""),"",E1275*VLOOKUP(B1275,Configurações!$I$5:$J$15,2,FALSE())),"")</f>
        <v/>
      </c>
      <c r="G1275" s="113"/>
      <c r="H1275" s="138"/>
    </row>
    <row r="1276" spans="4:8" ht="12.75" hidden="1" customHeight="1" x14ac:dyDescent="0.3">
      <c r="D1276" s="113" t="str">
        <f>IFERROR(VLOOKUP(C1276,SKUs!$A$6:$F$1971,6,FALSE()),"")</f>
        <v/>
      </c>
      <c r="F1276" s="113" t="str">
        <f>IFERROR(IF(OR(B1276="",E1276=""),"",E1276*VLOOKUP(B1276,Configurações!$I$5:$J$15,2,FALSE())),"")</f>
        <v/>
      </c>
      <c r="G1276" s="113"/>
      <c r="H1276" s="138"/>
    </row>
    <row r="1277" spans="4:8" ht="12.75" hidden="1" customHeight="1" x14ac:dyDescent="0.3">
      <c r="D1277" s="113" t="str">
        <f>IFERROR(VLOOKUP(C1277,SKUs!$A$6:$F$1971,6,FALSE()),"")</f>
        <v/>
      </c>
      <c r="F1277" s="113" t="str">
        <f>IFERROR(IF(OR(B1277="",E1277=""),"",E1277*VLOOKUP(B1277,Configurações!$I$5:$J$15,2,FALSE())),"")</f>
        <v/>
      </c>
      <c r="G1277" s="113"/>
      <c r="H1277" s="138"/>
    </row>
    <row r="1278" spans="4:8" ht="12.75" hidden="1" customHeight="1" x14ac:dyDescent="0.3">
      <c r="D1278" s="113" t="str">
        <f>IFERROR(VLOOKUP(C1278,SKUs!$A$6:$F$1971,6,FALSE()),"")</f>
        <v/>
      </c>
      <c r="F1278" s="113" t="str">
        <f>IFERROR(IF(OR(B1278="",E1278=""),"",E1278*VLOOKUP(B1278,Configurações!$I$5:$J$15,2,FALSE())),"")</f>
        <v/>
      </c>
      <c r="G1278" s="113"/>
      <c r="H1278" s="138"/>
    </row>
    <row r="1279" spans="4:8" ht="12.75" hidden="1" customHeight="1" x14ac:dyDescent="0.3">
      <c r="D1279" s="113" t="str">
        <f>IFERROR(VLOOKUP(C1279,SKUs!$A$6:$F$1971,6,FALSE()),"")</f>
        <v/>
      </c>
      <c r="F1279" s="113" t="str">
        <f>IFERROR(IF(OR(B1279="",E1279=""),"",E1279*VLOOKUP(B1279,Configurações!$I$5:$J$15,2,FALSE())),"")</f>
        <v/>
      </c>
      <c r="G1279" s="113"/>
      <c r="H1279" s="138"/>
    </row>
    <row r="1280" spans="4:8" ht="12.75" hidden="1" customHeight="1" x14ac:dyDescent="0.3">
      <c r="D1280" s="113" t="str">
        <f>IFERROR(VLOOKUP(C1280,SKUs!$A$6:$F$1971,6,FALSE()),"")</f>
        <v/>
      </c>
      <c r="F1280" s="113" t="str">
        <f>IFERROR(IF(OR(B1280="",E1280=""),"",E1280*VLOOKUP(B1280,Configurações!$I$5:$J$15,2,FALSE())),"")</f>
        <v/>
      </c>
      <c r="G1280" s="113"/>
      <c r="H1280" s="138"/>
    </row>
    <row r="1281" spans="4:8" ht="12.75" hidden="1" customHeight="1" x14ac:dyDescent="0.3">
      <c r="D1281" s="113" t="str">
        <f>IFERROR(VLOOKUP(C1281,SKUs!$A$6:$F$1971,6,FALSE()),"")</f>
        <v/>
      </c>
      <c r="F1281" s="113" t="str">
        <f>IFERROR(IF(OR(B1281="",E1281=""),"",E1281*VLOOKUP(B1281,Configurações!$I$5:$J$15,2,FALSE())),"")</f>
        <v/>
      </c>
      <c r="G1281" s="113"/>
      <c r="H1281" s="138"/>
    </row>
    <row r="1282" spans="4:8" ht="12.75" hidden="1" customHeight="1" x14ac:dyDescent="0.3">
      <c r="D1282" s="113" t="str">
        <f>IFERROR(VLOOKUP(C1282,SKUs!$A$6:$F$1971,6,FALSE()),"")</f>
        <v/>
      </c>
      <c r="F1282" s="113" t="str">
        <f>IFERROR(IF(OR(B1282="",E1282=""),"",E1282*VLOOKUP(B1282,Configurações!$I$5:$J$15,2,FALSE())),"")</f>
        <v/>
      </c>
      <c r="G1282" s="113"/>
      <c r="H1282" s="138"/>
    </row>
    <row r="1283" spans="4:8" ht="12.75" hidden="1" customHeight="1" x14ac:dyDescent="0.3">
      <c r="D1283" s="113" t="str">
        <f>IFERROR(VLOOKUP(C1283,SKUs!$A$6:$F$1971,6,FALSE()),"")</f>
        <v/>
      </c>
      <c r="F1283" s="113" t="str">
        <f>IFERROR(IF(OR(B1283="",E1283=""),"",E1283*VLOOKUP(B1283,Configurações!$I$5:$J$15,2,FALSE())),"")</f>
        <v/>
      </c>
      <c r="G1283" s="113"/>
      <c r="H1283" s="138"/>
    </row>
    <row r="1284" spans="4:8" ht="12.75" hidden="1" customHeight="1" x14ac:dyDescent="0.3">
      <c r="D1284" s="113" t="str">
        <f>IFERROR(VLOOKUP(C1284,SKUs!$A$6:$F$1971,6,FALSE()),"")</f>
        <v/>
      </c>
      <c r="F1284" s="113" t="str">
        <f>IFERROR(IF(OR(B1284="",E1284=""),"",E1284*VLOOKUP(B1284,Configurações!$I$5:$J$15,2,FALSE())),"")</f>
        <v/>
      </c>
      <c r="G1284" s="113"/>
      <c r="H1284" s="138"/>
    </row>
    <row r="1285" spans="4:8" ht="12.75" hidden="1" customHeight="1" x14ac:dyDescent="0.3">
      <c r="D1285" s="113" t="str">
        <f>IFERROR(VLOOKUP(C1285,SKUs!$A$6:$F$1971,6,FALSE()),"")</f>
        <v/>
      </c>
      <c r="F1285" s="113" t="str">
        <f>IFERROR(IF(OR(B1285="",E1285=""),"",E1285*VLOOKUP(B1285,Configurações!$I$5:$J$15,2,FALSE())),"")</f>
        <v/>
      </c>
      <c r="G1285" s="113"/>
      <c r="H1285" s="138"/>
    </row>
    <row r="1286" spans="4:8" ht="12.75" hidden="1" customHeight="1" x14ac:dyDescent="0.3">
      <c r="D1286" s="113" t="str">
        <f>IFERROR(VLOOKUP(C1286,SKUs!$A$6:$F$1971,6,FALSE()),"")</f>
        <v/>
      </c>
      <c r="F1286" s="113" t="str">
        <f>IFERROR(IF(OR(B1286="",E1286=""),"",E1286*VLOOKUP(B1286,Configurações!$I$5:$J$15,2,FALSE())),"")</f>
        <v/>
      </c>
      <c r="G1286" s="113"/>
      <c r="H1286" s="138"/>
    </row>
    <row r="1287" spans="4:8" ht="12.75" hidden="1" customHeight="1" x14ac:dyDescent="0.3">
      <c r="D1287" s="113" t="str">
        <f>IFERROR(VLOOKUP(C1287,SKUs!$A$6:$F$1971,6,FALSE()),"")</f>
        <v/>
      </c>
      <c r="F1287" s="113" t="str">
        <f>IFERROR(IF(OR(B1287="",E1287=""),"",E1287*VLOOKUP(B1287,Configurações!$I$5:$J$15,2,FALSE())),"")</f>
        <v/>
      </c>
      <c r="G1287" s="113"/>
      <c r="H1287" s="138"/>
    </row>
    <row r="1288" spans="4:8" ht="12.75" hidden="1" customHeight="1" x14ac:dyDescent="0.3">
      <c r="D1288" s="113" t="str">
        <f>IFERROR(VLOOKUP(C1288,SKUs!$A$6:$F$1971,6,FALSE()),"")</f>
        <v/>
      </c>
      <c r="F1288" s="113" t="str">
        <f>IFERROR(IF(OR(B1288="",E1288=""),"",E1288*VLOOKUP(B1288,Configurações!$I$5:$J$15,2,FALSE())),"")</f>
        <v/>
      </c>
      <c r="G1288" s="113"/>
      <c r="H1288" s="138"/>
    </row>
    <row r="1289" spans="4:8" ht="12.75" hidden="1" customHeight="1" x14ac:dyDescent="0.3">
      <c r="D1289" s="113" t="str">
        <f>IFERROR(VLOOKUP(C1289,SKUs!$A$6:$F$1971,6,FALSE()),"")</f>
        <v/>
      </c>
      <c r="F1289" s="113" t="str">
        <f>IFERROR(IF(OR(B1289="",E1289=""),"",E1289*VLOOKUP(B1289,Configurações!$I$5:$J$15,2,FALSE())),"")</f>
        <v/>
      </c>
      <c r="G1289" s="113"/>
      <c r="H1289" s="138"/>
    </row>
    <row r="1290" spans="4:8" ht="12.75" hidden="1" customHeight="1" x14ac:dyDescent="0.3">
      <c r="D1290" s="113" t="str">
        <f>IFERROR(VLOOKUP(C1290,SKUs!$A$6:$F$1971,6,FALSE()),"")</f>
        <v/>
      </c>
      <c r="F1290" s="113" t="str">
        <f>IFERROR(IF(OR(B1290="",E1290=""),"",E1290*VLOOKUP(B1290,Configurações!$I$5:$J$15,2,FALSE())),"")</f>
        <v/>
      </c>
      <c r="G1290" s="113"/>
      <c r="H1290" s="138"/>
    </row>
    <row r="1291" spans="4:8" ht="12.75" hidden="1" customHeight="1" x14ac:dyDescent="0.3">
      <c r="D1291" s="113" t="str">
        <f>IFERROR(VLOOKUP(C1291,SKUs!$A$6:$F$1971,6,FALSE()),"")</f>
        <v/>
      </c>
      <c r="F1291" s="113" t="str">
        <f>IFERROR(IF(OR(B1291="",E1291=""),"",E1291*VLOOKUP(B1291,Configurações!$I$5:$J$15,2,FALSE())),"")</f>
        <v/>
      </c>
      <c r="G1291" s="113"/>
      <c r="H1291" s="138"/>
    </row>
    <row r="1292" spans="4:8" ht="12.75" hidden="1" customHeight="1" x14ac:dyDescent="0.3">
      <c r="D1292" s="113" t="str">
        <f>IFERROR(VLOOKUP(C1292,SKUs!$A$6:$F$1971,6,FALSE()),"")</f>
        <v/>
      </c>
      <c r="F1292" s="113" t="str">
        <f>IFERROR(IF(OR(B1292="",E1292=""),"",E1292*VLOOKUP(B1292,Configurações!$I$5:$J$15,2,FALSE())),"")</f>
        <v/>
      </c>
      <c r="G1292" s="113"/>
    </row>
    <row r="1293" spans="4:8" ht="12.75" hidden="1" customHeight="1" x14ac:dyDescent="0.3">
      <c r="D1293" s="113" t="str">
        <f>IFERROR(VLOOKUP(C1293,SKUs!$A$6:$F$1971,6,FALSE()),"")</f>
        <v/>
      </c>
      <c r="F1293" s="113" t="str">
        <f>IFERROR(IF(OR(B1293="",E1293=""),"",E1293*VLOOKUP(B1293,Configurações!$I$5:$J$15,2,FALSE())),"")</f>
        <v/>
      </c>
      <c r="G1293" s="113"/>
    </row>
    <row r="1294" spans="4:8" ht="12.75" hidden="1" customHeight="1" x14ac:dyDescent="0.3">
      <c r="D1294" s="113" t="str">
        <f>IFERROR(VLOOKUP(C1294,SKUs!$A$6:$F$1971,6,FALSE()),"")</f>
        <v/>
      </c>
      <c r="F1294" s="113" t="str">
        <f>IFERROR(IF(OR(B1294="",E1294=""),"",E1294*VLOOKUP(B1294,Configurações!$I$5:$J$15,2,FALSE())),"")</f>
        <v/>
      </c>
      <c r="G1294" s="113"/>
    </row>
    <row r="1295" spans="4:8" ht="12.75" hidden="1" customHeight="1" x14ac:dyDescent="0.3">
      <c r="D1295" s="113" t="str">
        <f>IFERROR(VLOOKUP(C1295,SKUs!$A$6:$F$1971,6,FALSE()),"")</f>
        <v/>
      </c>
      <c r="F1295" s="113" t="str">
        <f>IFERROR(IF(OR(B1295="",E1295=""),"",E1295*VLOOKUP(B1295,Configurações!$I$5:$J$15,2,FALSE())),"")</f>
        <v/>
      </c>
      <c r="G1295" s="113"/>
    </row>
    <row r="1296" spans="4:8" ht="12.75" hidden="1" customHeight="1" x14ac:dyDescent="0.3">
      <c r="D1296" s="113" t="str">
        <f>IFERROR(VLOOKUP(C1296,SKUs!$A$6:$F$1971,6,FALSE()),"")</f>
        <v/>
      </c>
      <c r="F1296" s="113" t="str">
        <f>IFERROR(IF(OR(B1296="",E1296=""),"",E1296*VLOOKUP(B1296,Configurações!$I$5:$J$15,2,FALSE())),"")</f>
        <v/>
      </c>
      <c r="G1296" s="113"/>
    </row>
    <row r="1297" spans="4:7" ht="12.75" hidden="1" customHeight="1" x14ac:dyDescent="0.3">
      <c r="D1297" s="113" t="str">
        <f>IFERROR(VLOOKUP(C1297,SKUs!$A$6:$F$1971,6,FALSE()),"")</f>
        <v/>
      </c>
      <c r="F1297" s="113" t="str">
        <f>IFERROR(IF(OR(B1297="",E1297=""),"",E1297*VLOOKUP(B1297,Configurações!$I$5:$J$15,2,FALSE())),"")</f>
        <v/>
      </c>
      <c r="G1297" s="113"/>
    </row>
    <row r="1298" spans="4:7" ht="12.75" hidden="1" customHeight="1" x14ac:dyDescent="0.3">
      <c r="D1298" s="113" t="str">
        <f>IFERROR(VLOOKUP(C1298,SKUs!$A$6:$F$1971,6,FALSE()),"")</f>
        <v/>
      </c>
      <c r="F1298" s="113" t="str">
        <f>IFERROR(IF(OR(B1298="",E1298=""),"",E1298*VLOOKUP(B1298,Configurações!$I$5:$J$15,2,FALSE())),"")</f>
        <v/>
      </c>
      <c r="G1298" s="113"/>
    </row>
    <row r="1299" spans="4:7" ht="12.75" hidden="1" customHeight="1" x14ac:dyDescent="0.3">
      <c r="D1299" s="113" t="str">
        <f>IFERROR(VLOOKUP(C1299,SKUs!$A$6:$F$1971,6,FALSE()),"")</f>
        <v/>
      </c>
      <c r="F1299" s="113" t="str">
        <f>IFERROR(IF(OR(B1299="",E1299=""),"",E1299*VLOOKUP(B1299,Configurações!$I$5:$J$15,2,FALSE())),"")</f>
        <v/>
      </c>
      <c r="G1299" s="113"/>
    </row>
    <row r="1300" spans="4:7" ht="12.75" hidden="1" customHeight="1" x14ac:dyDescent="0.3">
      <c r="D1300" s="113" t="str">
        <f>IFERROR(VLOOKUP(C1300,SKUs!$A$6:$F$1971,6,FALSE()),"")</f>
        <v/>
      </c>
      <c r="F1300" s="113" t="str">
        <f>IFERROR(IF(OR(B1300="",E1300=""),"",E1300*VLOOKUP(B1300,Configurações!$I$5:$J$15,2,FALSE())),"")</f>
        <v/>
      </c>
      <c r="G1300" s="113"/>
    </row>
    <row r="1301" spans="4:7" ht="12.75" hidden="1" customHeight="1" x14ac:dyDescent="0.3">
      <c r="D1301" s="113" t="str">
        <f>IFERROR(VLOOKUP(C1301,SKUs!$A$6:$F$1971,6,FALSE()),"")</f>
        <v/>
      </c>
      <c r="F1301" s="113" t="str">
        <f>IFERROR(IF(OR(B1301="",E1301=""),"",E1301*VLOOKUP(B1301,Configurações!$I$5:$J$15,2,FALSE())),"")</f>
        <v/>
      </c>
      <c r="G1301" s="113"/>
    </row>
    <row r="1302" spans="4:7" ht="12.75" hidden="1" customHeight="1" x14ac:dyDescent="0.3">
      <c r="D1302" s="113" t="str">
        <f>IFERROR(VLOOKUP(C1302,SKUs!$A$6:$F$1971,6,FALSE()),"")</f>
        <v/>
      </c>
      <c r="F1302" s="113" t="str">
        <f>IFERROR(IF(OR(B1302="",E1302=""),"",E1302*VLOOKUP(B1302,Configurações!$I$5:$J$15,2,FALSE())),"")</f>
        <v/>
      </c>
      <c r="G1302" s="113"/>
    </row>
    <row r="1303" spans="4:7" ht="12.75" hidden="1" customHeight="1" x14ac:dyDescent="0.3">
      <c r="D1303" s="113" t="str">
        <f>IFERROR(VLOOKUP(C1303,SKUs!$A$6:$F$1971,6,FALSE()),"")</f>
        <v/>
      </c>
      <c r="F1303" s="113" t="str">
        <f>IFERROR(IF(OR(B1303="",E1303=""),"",E1303*VLOOKUP(B1303,Configurações!$I$5:$J$15,2,FALSE())),"")</f>
        <v/>
      </c>
      <c r="G1303" s="113"/>
    </row>
    <row r="1304" spans="4:7" ht="12.75" hidden="1" customHeight="1" x14ac:dyDescent="0.3">
      <c r="D1304" s="113" t="str">
        <f>IFERROR(VLOOKUP(C1304,SKUs!$A$6:$F$1971,6,FALSE()),"")</f>
        <v/>
      </c>
      <c r="F1304" s="113" t="str">
        <f>IFERROR(IF(OR(B1304="",E1304=""),"",E1304*VLOOKUP(B1304,Configurações!$I$5:$J$15,2,FALSE())),"")</f>
        <v/>
      </c>
      <c r="G1304" s="113"/>
    </row>
    <row r="1305" spans="4:7" ht="12.75" hidden="1" customHeight="1" x14ac:dyDescent="0.3">
      <c r="D1305" s="113" t="str">
        <f>IFERROR(VLOOKUP(C1305,SKUs!$A$6:$F$1971,6,FALSE()),"")</f>
        <v/>
      </c>
      <c r="F1305" s="113" t="str">
        <f>IFERROR(IF(OR(B1305="",E1305=""),"",E1305*VLOOKUP(B1305,Configurações!$I$5:$J$15,2,FALSE())),"")</f>
        <v/>
      </c>
      <c r="G1305" s="113"/>
    </row>
    <row r="1306" spans="4:7" ht="12.75" hidden="1" customHeight="1" x14ac:dyDescent="0.3">
      <c r="D1306" s="113" t="str">
        <f>IFERROR(VLOOKUP(C1306,SKUs!$A$6:$F$1971,6,FALSE()),"")</f>
        <v/>
      </c>
      <c r="F1306" s="113" t="str">
        <f>IFERROR(IF(OR(B1306="",E1306=""),"",E1306*VLOOKUP(B1306,Configurações!$I$5:$J$15,2,FALSE())),"")</f>
        <v/>
      </c>
      <c r="G1306" s="113"/>
    </row>
    <row r="1307" spans="4:7" ht="12.75" hidden="1" customHeight="1" x14ac:dyDescent="0.3">
      <c r="D1307" s="113" t="str">
        <f>IFERROR(VLOOKUP(C1307,SKUs!$A$6:$F$1971,6,FALSE()),"")</f>
        <v/>
      </c>
      <c r="G1307" s="113"/>
    </row>
    <row r="1308" spans="4:7" ht="12.75" hidden="1" customHeight="1" x14ac:dyDescent="0.3">
      <c r="D1308" s="113" t="str">
        <f>IFERROR(VLOOKUP(C1308,SKUs!$A$6:$F$1971,6,FALSE()),"")</f>
        <v/>
      </c>
      <c r="G1308" s="113"/>
    </row>
    <row r="1309" spans="4:7" ht="12.75" hidden="1" customHeight="1" x14ac:dyDescent="0.3">
      <c r="D1309" s="113" t="str">
        <f>IFERROR(VLOOKUP(C1309,SKUs!$A$6:$F$1971,6,FALSE()),"")</f>
        <v/>
      </c>
      <c r="G1309" s="113"/>
    </row>
    <row r="1310" spans="4:7" ht="12.75" hidden="1" customHeight="1" x14ac:dyDescent="0.3">
      <c r="D1310" s="113" t="str">
        <f>IFERROR(VLOOKUP(C1310,SKUs!$A$6:$F$1971,6,FALSE()),"")</f>
        <v/>
      </c>
      <c r="G1310" s="113"/>
    </row>
    <row r="1311" spans="4:7" ht="12.75" hidden="1" customHeight="1" x14ac:dyDescent="0.3">
      <c r="D1311" s="113" t="str">
        <f>IFERROR(VLOOKUP(C1311,SKUs!$A$6:$F$1971,6,FALSE()),"")</f>
        <v/>
      </c>
      <c r="G1311" s="113"/>
    </row>
    <row r="1312" spans="4:7" ht="12.75" hidden="1" customHeight="1" x14ac:dyDescent="0.3">
      <c r="D1312" s="113" t="str">
        <f>IFERROR(VLOOKUP(C1312,SKUs!$A$6:$F$1971,6,FALSE()),"")</f>
        <v/>
      </c>
      <c r="G1312" s="113"/>
    </row>
    <row r="1313" spans="1:13" ht="12.75" hidden="1" customHeight="1" x14ac:dyDescent="0.3">
      <c r="D1313" s="113" t="str">
        <f>IFERROR(VLOOKUP(C1313,SKUs!$A$6:$F$1971,6,FALSE()),"")</f>
        <v/>
      </c>
      <c r="G1313" s="113"/>
    </row>
    <row r="1314" spans="1:13" ht="12.75" hidden="1" customHeight="1" x14ac:dyDescent="0.3">
      <c r="D1314" s="113" t="str">
        <f>IFERROR(VLOOKUP(C1314,SKUs!$A$6:$F$1971,6,FALSE()),"")</f>
        <v/>
      </c>
      <c r="G1314" s="113"/>
    </row>
    <row r="1315" spans="1:13" ht="12.75" hidden="1" customHeight="1" x14ac:dyDescent="0.3">
      <c r="D1315" s="113" t="str">
        <f>IFERROR(VLOOKUP(C1315,SKUs!$A$6:$F$1971,6,FALSE()),"")</f>
        <v/>
      </c>
      <c r="G1315" s="113"/>
    </row>
    <row r="1316" spans="1:13" ht="12.75" hidden="1" customHeight="1" x14ac:dyDescent="0.3">
      <c r="D1316" s="113" t="str">
        <f>IFERROR(VLOOKUP(C1316,SKUs!$A$6:$F$1971,6,FALSE()),"")</f>
        <v/>
      </c>
      <c r="G1316" s="113"/>
    </row>
    <row r="1317" spans="1:13" ht="12.75" hidden="1" customHeight="1" x14ac:dyDescent="0.3">
      <c r="D1317" s="113" t="str">
        <f>IFERROR(VLOOKUP(C1317,SKUs!$A$6:$F$1971,6,FALSE()),"")</f>
        <v/>
      </c>
      <c r="G1317" s="113"/>
    </row>
    <row r="1318" spans="1:13" ht="12.75" hidden="1" customHeight="1" x14ac:dyDescent="0.3">
      <c r="D1318" s="113" t="str">
        <f>IFERROR(VLOOKUP(C1318,SKUs!$A$6:$F$1971,6,FALSE()),"")</f>
        <v/>
      </c>
    </row>
    <row r="1319" spans="1:13" ht="12.75" hidden="1" customHeight="1" x14ac:dyDescent="0.3">
      <c r="D1319" s="113" t="str">
        <f>IFERROR(VLOOKUP(C1319,SKUs!$A$6:$F$1971,6,FALSE()),"")</f>
        <v/>
      </c>
    </row>
    <row r="1320" spans="1:13" ht="12.75" hidden="1" customHeight="1" x14ac:dyDescent="0.3">
      <c r="D1320" s="113" t="str">
        <f>IFERROR(VLOOKUP(C1320,SKUs!$A$6:$F$1971,6,FALSE()),"")</f>
        <v/>
      </c>
    </row>
    <row r="1321" spans="1:13" ht="12.75" hidden="1" customHeight="1" x14ac:dyDescent="0.3">
      <c r="D1321" s="113" t="str">
        <f>IFERROR(VLOOKUP(C1321,SKUs!$A$6:$F$1971,6,FALSE()),"")</f>
        <v/>
      </c>
    </row>
    <row r="1322" spans="1:13" ht="12.75" hidden="1" customHeight="1" x14ac:dyDescent="0.3">
      <c r="D1322" s="113" t="str">
        <f>IFERROR(VLOOKUP(C1322,SKUs!$A$6:$F$1971,6,FALSE()),"")</f>
        <v/>
      </c>
    </row>
    <row r="1323" spans="1:13" ht="12.75" hidden="1" customHeight="1" x14ac:dyDescent="0.3">
      <c r="D1323" s="113" t="str">
        <f>IFERROR(VLOOKUP(C1323,SKUs!$A$6:$F$1971,6,FALSE()),"")</f>
        <v/>
      </c>
    </row>
    <row r="1324" spans="1:13" hidden="1" x14ac:dyDescent="0.3">
      <c r="A1324" s="111">
        <v>46163</v>
      </c>
      <c r="B1324" s="113" t="s">
        <v>2052</v>
      </c>
      <c r="C1324" s="113" t="s">
        <v>676</v>
      </c>
      <c r="D1324" s="113" t="str">
        <f>IFERROR(VLOOKUP(C1324,SKUs!$A$6:$F$1971,6,FALSE()),"")</f>
        <v>POLO COPA MASC.</v>
      </c>
      <c r="E1324" s="113">
        <v>5</v>
      </c>
      <c r="F1324" s="113">
        <f>IFERROR(IF(OR(B1324="",E1324=""),"",E1324*VLOOKUP(B1324,Configurações!$I$5:$J$15,2,FALSE())),"")</f>
        <v>-5</v>
      </c>
      <c r="G1324" s="113" t="s">
        <v>665</v>
      </c>
      <c r="H1324" s="113" t="s">
        <v>2053</v>
      </c>
      <c r="I1324" s="113"/>
      <c r="J1324" s="113"/>
      <c r="K1324" s="113" t="s">
        <v>2051</v>
      </c>
      <c r="L1324" s="113"/>
      <c r="M1324" s="113" t="s">
        <v>678</v>
      </c>
    </row>
    <row r="1325" spans="1:13" hidden="1" x14ac:dyDescent="0.3">
      <c r="A1325" s="111">
        <v>46163</v>
      </c>
      <c r="B1325" s="113" t="s">
        <v>2052</v>
      </c>
      <c r="C1325" s="113" t="s">
        <v>679</v>
      </c>
      <c r="D1325" s="113" t="str">
        <f>IFERROR(VLOOKUP(C1325,SKUs!$A$6:$F$1971,6,FALSE()),"")</f>
        <v>POLO COPA MASC.</v>
      </c>
      <c r="E1325" s="113">
        <v>4</v>
      </c>
      <c r="F1325" s="113">
        <f>IFERROR(IF(OR(B1325="",E1325=""),"",E1325*VLOOKUP(B1325,Configurações!$I$5:$J$15,2,FALSE())),"")</f>
        <v>-4</v>
      </c>
      <c r="G1325" s="113" t="s">
        <v>665</v>
      </c>
      <c r="H1325" s="113" t="s">
        <v>2053</v>
      </c>
      <c r="I1325" s="113"/>
      <c r="J1325" s="113"/>
      <c r="K1325" s="113" t="s">
        <v>2051</v>
      </c>
      <c r="L1325" s="113"/>
      <c r="M1325" s="113" t="s">
        <v>673</v>
      </c>
    </row>
    <row r="1326" spans="1:13" hidden="1" x14ac:dyDescent="0.3">
      <c r="A1326" s="111">
        <v>46163</v>
      </c>
      <c r="B1326" s="113" t="s">
        <v>2052</v>
      </c>
      <c r="C1326" s="113" t="s">
        <v>743</v>
      </c>
      <c r="D1326" s="113" t="str">
        <f>IFERROR(VLOOKUP(C1326,SKUs!$A$6:$F$1971,6,FALSE()),"")</f>
        <v>CAMISETA COPA MASC.</v>
      </c>
      <c r="E1326" s="113">
        <v>2</v>
      </c>
      <c r="F1326" s="113">
        <f>IFERROR(IF(OR(B1326="",E1326=""),"",E1326*VLOOKUP(B1326,Configurações!$I$5:$J$15,2,FALSE())),"")</f>
        <v>-2</v>
      </c>
      <c r="G1326" s="113" t="s">
        <v>665</v>
      </c>
      <c r="H1326" s="113" t="s">
        <v>2053</v>
      </c>
      <c r="I1326" s="113"/>
      <c r="J1326" s="113"/>
      <c r="K1326" s="113" t="s">
        <v>2051</v>
      </c>
      <c r="L1326" s="113"/>
      <c r="M1326" s="113" t="s">
        <v>747</v>
      </c>
    </row>
    <row r="1327" spans="1:13" hidden="1" x14ac:dyDescent="0.3">
      <c r="A1327" s="111">
        <v>46163</v>
      </c>
      <c r="B1327" s="113" t="s">
        <v>2052</v>
      </c>
      <c r="C1327" s="113" t="s">
        <v>748</v>
      </c>
      <c r="D1327" s="113" t="str">
        <f>IFERROR(VLOOKUP(C1327,SKUs!$A$6:$F$1971,6,FALSE()),"")</f>
        <v>CAMISETA COPA MASC.</v>
      </c>
      <c r="E1327" s="113">
        <v>2</v>
      </c>
      <c r="F1327" s="113">
        <f>IFERROR(IF(OR(B1327="",E1327=""),"",E1327*VLOOKUP(B1327,Configurações!$I$5:$J$15,2,FALSE())),"")</f>
        <v>-2</v>
      </c>
      <c r="G1327" s="113" t="s">
        <v>665</v>
      </c>
      <c r="H1327" s="113" t="s">
        <v>2053</v>
      </c>
      <c r="I1327" s="113"/>
      <c r="J1327" s="113"/>
      <c r="K1327" s="113" t="s">
        <v>2051</v>
      </c>
      <c r="L1327" s="113"/>
      <c r="M1327" s="113" t="s">
        <v>747</v>
      </c>
    </row>
    <row r="1328" spans="1:13" hidden="1" x14ac:dyDescent="0.3">
      <c r="A1328" s="111">
        <v>46163</v>
      </c>
      <c r="B1328" s="113" t="s">
        <v>2052</v>
      </c>
      <c r="C1328" s="113" t="s">
        <v>749</v>
      </c>
      <c r="D1328" s="113" t="str">
        <f>IFERROR(VLOOKUP(C1328,SKUs!$A$6:$F$1971,6,FALSE()),"")</f>
        <v>CAMISETA COPA MASC.</v>
      </c>
      <c r="E1328" s="113">
        <v>3</v>
      </c>
      <c r="F1328" s="113">
        <f>IFERROR(IF(OR(B1328="",E1328=""),"",E1328*VLOOKUP(B1328,Configurações!$I$5:$J$15,2,FALSE())),"")</f>
        <v>-3</v>
      </c>
      <c r="G1328" s="113" t="s">
        <v>665</v>
      </c>
      <c r="H1328" s="113" t="s">
        <v>2053</v>
      </c>
      <c r="I1328" s="113"/>
      <c r="J1328" s="113"/>
      <c r="K1328" s="113" t="s">
        <v>2051</v>
      </c>
      <c r="L1328" s="113"/>
      <c r="M1328" s="113" t="s">
        <v>747</v>
      </c>
    </row>
    <row r="1329" spans="1:13" hidden="1" x14ac:dyDescent="0.3">
      <c r="A1329" s="111">
        <v>46163</v>
      </c>
      <c r="B1329" s="113" t="s">
        <v>2052</v>
      </c>
      <c r="C1329" s="113" t="s">
        <v>750</v>
      </c>
      <c r="D1329" s="113" t="str">
        <f>IFERROR(VLOOKUP(C1329,SKUs!$A$6:$F$1971,6,FALSE()),"")</f>
        <v>CAMISETA COPA MASC.</v>
      </c>
      <c r="E1329" s="113">
        <v>1</v>
      </c>
      <c r="F1329" s="113">
        <f>IFERROR(IF(OR(B1329="",E1329=""),"",E1329*VLOOKUP(B1329,Configurações!$I$5:$J$15,2,FALSE())),"")</f>
        <v>-1</v>
      </c>
      <c r="G1329" s="113" t="s">
        <v>665</v>
      </c>
      <c r="H1329" s="113" t="s">
        <v>2053</v>
      </c>
      <c r="I1329" s="113"/>
      <c r="J1329" s="113"/>
      <c r="K1329" s="113" t="s">
        <v>2051</v>
      </c>
      <c r="L1329" s="113"/>
      <c r="M1329" s="113" t="s">
        <v>747</v>
      </c>
    </row>
    <row r="1330" spans="1:13" hidden="1" x14ac:dyDescent="0.3">
      <c r="A1330" s="111">
        <v>46163</v>
      </c>
      <c r="B1330" s="113" t="s">
        <v>2052</v>
      </c>
      <c r="C1330" s="113" t="s">
        <v>751</v>
      </c>
      <c r="D1330" s="113" t="str">
        <f>IFERROR(VLOOKUP(C1330,SKUs!$A$6:$F$1971,6,FALSE()),"")</f>
        <v>CAMISETA COPA MASC.</v>
      </c>
      <c r="E1330" s="113">
        <v>2</v>
      </c>
      <c r="F1330" s="113">
        <f>IFERROR(IF(OR(B1330="",E1330=""),"",E1330*VLOOKUP(B1330,Configurações!$I$5:$J$15,2,FALSE())),"")</f>
        <v>-2</v>
      </c>
      <c r="G1330" s="113" t="s">
        <v>665</v>
      </c>
      <c r="H1330" s="113" t="s">
        <v>2053</v>
      </c>
      <c r="I1330" s="113"/>
      <c r="J1330" s="113"/>
      <c r="K1330" s="113" t="s">
        <v>2051</v>
      </c>
      <c r="L1330" s="113"/>
      <c r="M1330" s="113" t="s">
        <v>747</v>
      </c>
    </row>
    <row r="1331" spans="1:13" hidden="1" x14ac:dyDescent="0.3">
      <c r="A1331" s="111">
        <v>46163</v>
      </c>
      <c r="B1331" s="113" t="s">
        <v>2052</v>
      </c>
      <c r="C1331" s="113" t="s">
        <v>752</v>
      </c>
      <c r="D1331" s="113" t="str">
        <f>IFERROR(VLOOKUP(C1331,SKUs!$A$6:$F$1971,6,FALSE()),"")</f>
        <v>CAMISETA COPA MASC.</v>
      </c>
      <c r="E1331" s="113">
        <v>1</v>
      </c>
      <c r="F1331" s="113">
        <f>IFERROR(IF(OR(B1331="",E1331=""),"",E1331*VLOOKUP(B1331,Configurações!$I$5:$J$15,2,FALSE())),"")</f>
        <v>-1</v>
      </c>
      <c r="G1331" s="113" t="s">
        <v>665</v>
      </c>
      <c r="H1331" s="113" t="s">
        <v>2053</v>
      </c>
      <c r="I1331" s="113"/>
      <c r="J1331" s="113"/>
      <c r="K1331" s="113" t="s">
        <v>2051</v>
      </c>
      <c r="L1331" s="113"/>
      <c r="M1331" s="113" t="s">
        <v>747</v>
      </c>
    </row>
    <row r="1332" spans="1:13" hidden="1" x14ac:dyDescent="0.3">
      <c r="A1332" s="116">
        <v>46183</v>
      </c>
      <c r="B1332" s="117" t="s">
        <v>2052</v>
      </c>
      <c r="C1332" s="121" t="s">
        <v>978</v>
      </c>
      <c r="D1332" s="124" t="str">
        <f>IFERROR(VLOOKUP(C1332,SKUs!$A$6:$F$1971,6,FALSE()),"")</f>
        <v>POLO PIQUET CINZA-RISCOS FEM.</v>
      </c>
      <c r="E1332" s="121">
        <v>1</v>
      </c>
      <c r="F1332" s="125">
        <f>IFERROR(IF(OR(B1332="",E1332=""),"",E1332*VLOOKUP(B1332,Configurações!$I$5:$J$15,2,FALSE())),"")</f>
        <v>-1</v>
      </c>
      <c r="G1332" s="119" t="s">
        <v>1424</v>
      </c>
      <c r="H1332" s="121" t="s">
        <v>2059</v>
      </c>
      <c r="I1332" s="122" t="s">
        <v>2057</v>
      </c>
      <c r="J1332" s="121"/>
      <c r="K1332" s="123" t="s">
        <v>2051</v>
      </c>
      <c r="M1332" s="109" t="s">
        <v>959</v>
      </c>
    </row>
  </sheetData>
  <autoFilter ref="A5:M1332" xr:uid="{00000000-0009-0000-0000-000003000000}">
    <filterColumn colId="2">
      <filters>
        <filter val="BTG-1047"/>
      </filters>
    </filterColumn>
  </autoFilter>
  <mergeCells count="1">
    <mergeCell ref="A1:M1"/>
  </mergeCells>
  <dataValidations count="2">
    <dataValidation type="list" allowBlank="1" showErrorMessage="1" errorTitle="Valor inválido" error="Selecione um Tipo de Movimentação." sqref="B6:B484 B814:B1257 B1332" xr:uid="{00000000-0002-0000-0300-000000000000}">
      <formula1>lstTipos</formula1>
      <formula2>0</formula2>
    </dataValidation>
    <dataValidation type="list" allowBlank="1" showErrorMessage="1" errorTitle="Valor inválido" error="Selecione um local da lista." sqref="I814:I1090 I1332" xr:uid="{00000000-0002-0000-0300-000001000000}">
      <formula1>lstlocais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N405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8.6640625" defaultRowHeight="14.4" x14ac:dyDescent="0.3"/>
  <cols>
    <col min="1" max="2" width="12" customWidth="1"/>
    <col min="3" max="4" width="14" customWidth="1"/>
    <col min="5" max="5" width="16" customWidth="1"/>
    <col min="6" max="6" width="30" customWidth="1"/>
    <col min="7" max="7" width="11" style="41" customWidth="1"/>
    <col min="8" max="8" width="10" style="41" customWidth="1"/>
    <col min="9" max="9" width="11" customWidth="1"/>
    <col min="10" max="10" width="15" customWidth="1"/>
    <col min="11" max="12" width="12" customWidth="1"/>
    <col min="13" max="13" width="14" customWidth="1"/>
    <col min="14" max="14" width="26" customWidth="1"/>
  </cols>
  <sheetData>
    <row r="1" spans="1:14" ht="25.5" customHeight="1" x14ac:dyDescent="0.3">
      <c r="A1" s="195" t="s">
        <v>2060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5" spans="1:14" ht="27.75" customHeight="1" x14ac:dyDescent="0.3">
      <c r="A5" s="22" t="s">
        <v>2061</v>
      </c>
      <c r="B5" s="22" t="s">
        <v>2062</v>
      </c>
      <c r="C5" s="22" t="s">
        <v>2063</v>
      </c>
      <c r="D5" s="22" t="s">
        <v>2064</v>
      </c>
      <c r="E5" s="22" t="s">
        <v>34</v>
      </c>
      <c r="F5" s="22" t="s">
        <v>27</v>
      </c>
      <c r="G5" s="22" t="s">
        <v>50</v>
      </c>
      <c r="H5" s="22" t="s">
        <v>2065</v>
      </c>
      <c r="I5" s="22" t="s">
        <v>29</v>
      </c>
      <c r="J5" s="22" t="s">
        <v>2066</v>
      </c>
      <c r="K5" s="22" t="s">
        <v>2067</v>
      </c>
      <c r="L5" s="22" t="s">
        <v>2068</v>
      </c>
      <c r="M5" s="22" t="s">
        <v>2069</v>
      </c>
      <c r="N5" s="22" t="s">
        <v>2070</v>
      </c>
    </row>
    <row r="6" spans="1:14" ht="14.25" customHeight="1" x14ac:dyDescent="0.3">
      <c r="A6" s="43" t="s">
        <v>2071</v>
      </c>
      <c r="B6" s="146">
        <v>46175</v>
      </c>
      <c r="C6" s="43" t="s">
        <v>2072</v>
      </c>
      <c r="D6" s="43" t="s">
        <v>2073</v>
      </c>
      <c r="E6" s="147" t="s">
        <v>82</v>
      </c>
      <c r="F6" s="43" t="str">
        <f>IFERROR(INDEX(Catálogo!$F$8:$F$491,MATCH(E6,Catálogo!$B$8:$B$491,0)),"")</f>
        <v>JAQUETA COPA MASC.</v>
      </c>
      <c r="G6" s="148">
        <v>10</v>
      </c>
      <c r="H6" s="148">
        <v>10</v>
      </c>
      <c r="I6" s="43"/>
      <c r="J6" s="43" t="s">
        <v>2074</v>
      </c>
      <c r="K6" s="146">
        <v>46188</v>
      </c>
      <c r="L6" s="43"/>
      <c r="M6" s="43"/>
      <c r="N6" s="43"/>
    </row>
    <row r="7" spans="1:14" ht="14.25" customHeight="1" x14ac:dyDescent="0.3">
      <c r="A7" s="43" t="s">
        <v>2071</v>
      </c>
      <c r="B7" s="146">
        <v>46175</v>
      </c>
      <c r="C7" s="149" t="s">
        <v>2072</v>
      </c>
      <c r="D7" s="43" t="s">
        <v>2073</v>
      </c>
      <c r="E7" s="147" t="s">
        <v>83</v>
      </c>
      <c r="F7" s="149" t="str">
        <f>IFERROR(INDEX(Catálogo!$F$8:$F$491,MATCH(E7,Catálogo!$B$8:$B$491,0)),"")</f>
        <v>JAQUETA COPA MASC.</v>
      </c>
      <c r="G7" s="148">
        <v>10</v>
      </c>
      <c r="H7" s="148">
        <v>10</v>
      </c>
      <c r="I7" s="149"/>
      <c r="J7" s="43" t="s">
        <v>2074</v>
      </c>
      <c r="K7" s="146">
        <v>46188</v>
      </c>
      <c r="L7" s="149"/>
      <c r="M7" s="149"/>
      <c r="N7" s="149"/>
    </row>
    <row r="8" spans="1:14" ht="14.25" customHeight="1" x14ac:dyDescent="0.3">
      <c r="A8" s="43" t="s">
        <v>2071</v>
      </c>
      <c r="B8" s="146">
        <v>46175</v>
      </c>
      <c r="C8" s="43" t="s">
        <v>2072</v>
      </c>
      <c r="D8" s="43" t="s">
        <v>2073</v>
      </c>
      <c r="E8" s="147" t="s">
        <v>94</v>
      </c>
      <c r="F8" s="43" t="str">
        <f>IFERROR(INDEX(Catálogo!$F$8:$F$491,MATCH(E8,Catálogo!$B$8:$B$491,0)),"")</f>
        <v>CAMISETA COPA MASC.</v>
      </c>
      <c r="G8" s="148">
        <v>14</v>
      </c>
      <c r="H8" s="148">
        <v>14</v>
      </c>
      <c r="I8" s="43"/>
      <c r="J8" s="43" t="s">
        <v>2074</v>
      </c>
      <c r="K8" s="146">
        <v>46188</v>
      </c>
      <c r="L8" s="43"/>
      <c r="M8" s="43"/>
      <c r="N8" s="43"/>
    </row>
    <row r="9" spans="1:14" ht="14.25" customHeight="1" x14ac:dyDescent="0.3">
      <c r="A9" s="149" t="s">
        <v>2071</v>
      </c>
      <c r="B9" s="150">
        <v>46175</v>
      </c>
      <c r="C9" s="149" t="s">
        <v>2072</v>
      </c>
      <c r="D9" s="149" t="s">
        <v>2073</v>
      </c>
      <c r="E9" s="147" t="s">
        <v>95</v>
      </c>
      <c r="F9" s="149" t="str">
        <f>IFERROR(INDEX(Catálogo!$F$8:$F$491,MATCH(E9,Catálogo!$B$8:$B$491,0)),"")</f>
        <v>CAMISETA COPA MASC.</v>
      </c>
      <c r="G9" s="148">
        <v>15</v>
      </c>
      <c r="H9" s="148">
        <v>15</v>
      </c>
      <c r="I9" s="149"/>
      <c r="J9" s="43" t="s">
        <v>2074</v>
      </c>
      <c r="K9" s="146">
        <v>46188</v>
      </c>
      <c r="L9" s="149"/>
      <c r="M9" s="149"/>
      <c r="N9" s="149"/>
    </row>
    <row r="10" spans="1:14" ht="14.25" customHeight="1" x14ac:dyDescent="0.3">
      <c r="A10" s="43" t="s">
        <v>2071</v>
      </c>
      <c r="B10" s="146">
        <v>46175</v>
      </c>
      <c r="C10" s="43" t="s">
        <v>2072</v>
      </c>
      <c r="D10" s="43" t="s">
        <v>2073</v>
      </c>
      <c r="E10" s="147" t="s">
        <v>96</v>
      </c>
      <c r="F10" s="43" t="str">
        <f>IFERROR(INDEX(Catálogo!$F$8:$F$491,MATCH(E10,Catálogo!$B$8:$B$491,0)),"")</f>
        <v>CAMISETA COPA MASC.</v>
      </c>
      <c r="G10" s="148">
        <v>15</v>
      </c>
      <c r="H10" s="148">
        <v>15</v>
      </c>
      <c r="I10" s="43"/>
      <c r="J10" s="43" t="s">
        <v>2074</v>
      </c>
      <c r="K10" s="146">
        <v>46188</v>
      </c>
      <c r="L10" s="43"/>
      <c r="M10" s="43"/>
      <c r="N10" s="43"/>
    </row>
    <row r="11" spans="1:14" ht="14.25" customHeight="1" x14ac:dyDescent="0.3">
      <c r="A11" s="149" t="s">
        <v>2071</v>
      </c>
      <c r="B11" s="150">
        <v>46175</v>
      </c>
      <c r="C11" s="149" t="s">
        <v>2072</v>
      </c>
      <c r="D11" s="149" t="s">
        <v>2073</v>
      </c>
      <c r="E11" s="147" t="s">
        <v>97</v>
      </c>
      <c r="F11" s="149" t="str">
        <f>IFERROR(INDEX(Catálogo!$F$8:$F$491,MATCH(E11,Catálogo!$B$8:$B$491,0)),"")</f>
        <v>CAMISETA COPA MASC.</v>
      </c>
      <c r="G11" s="148">
        <v>15</v>
      </c>
      <c r="H11" s="148">
        <v>15</v>
      </c>
      <c r="I11" s="149"/>
      <c r="J11" s="43" t="s">
        <v>2074</v>
      </c>
      <c r="K11" s="146">
        <v>46188</v>
      </c>
      <c r="L11" s="149"/>
      <c r="M11" s="149"/>
      <c r="N11" s="149"/>
    </row>
    <row r="12" spans="1:14" ht="14.25" customHeight="1" x14ac:dyDescent="0.3">
      <c r="A12" s="43" t="s">
        <v>2071</v>
      </c>
      <c r="B12" s="146">
        <v>46175</v>
      </c>
      <c r="C12" s="43" t="s">
        <v>2072</v>
      </c>
      <c r="D12" s="43" t="s">
        <v>2073</v>
      </c>
      <c r="E12" s="147" t="s">
        <v>98</v>
      </c>
      <c r="F12" s="43" t="str">
        <f>IFERROR(INDEX(Catálogo!$F$8:$F$491,MATCH(E12,Catálogo!$B$8:$B$491,0)),"")</f>
        <v>CAMISETA COPA MASC.</v>
      </c>
      <c r="G12" s="148">
        <v>12</v>
      </c>
      <c r="H12" s="148">
        <v>12</v>
      </c>
      <c r="I12" s="43"/>
      <c r="J12" s="43" t="s">
        <v>2074</v>
      </c>
      <c r="K12" s="146">
        <v>46188</v>
      </c>
      <c r="L12" s="43"/>
      <c r="M12" s="43"/>
      <c r="N12" s="43"/>
    </row>
    <row r="13" spans="1:14" ht="14.25" customHeight="1" x14ac:dyDescent="0.3">
      <c r="A13" s="149" t="s">
        <v>2071</v>
      </c>
      <c r="B13" s="150">
        <v>46175</v>
      </c>
      <c r="C13" s="149" t="s">
        <v>2072</v>
      </c>
      <c r="D13" s="149" t="s">
        <v>2073</v>
      </c>
      <c r="E13" s="147" t="s">
        <v>99</v>
      </c>
      <c r="F13" s="149" t="str">
        <f>IFERROR(INDEX(Catálogo!$F$8:$F$491,MATCH(E13,Catálogo!$B$8:$B$491,0)),"")</f>
        <v>CAMISETA COPA MASC.</v>
      </c>
      <c r="G13" s="148">
        <v>5</v>
      </c>
      <c r="H13" s="148">
        <v>5</v>
      </c>
      <c r="I13" s="149"/>
      <c r="J13" s="43" t="s">
        <v>2074</v>
      </c>
      <c r="K13" s="146">
        <v>46188</v>
      </c>
      <c r="L13" s="149"/>
      <c r="M13" s="149"/>
      <c r="N13" s="149"/>
    </row>
    <row r="14" spans="1:14" ht="14.25" customHeight="1" x14ac:dyDescent="0.3">
      <c r="A14" s="43" t="s">
        <v>2071</v>
      </c>
      <c r="B14" s="146">
        <v>46175</v>
      </c>
      <c r="C14" s="43" t="s">
        <v>2072</v>
      </c>
      <c r="D14" s="43" t="s">
        <v>2073</v>
      </c>
      <c r="E14" s="147" t="s">
        <v>100</v>
      </c>
      <c r="F14" s="43" t="str">
        <f>IFERROR(INDEX(Catálogo!$F$8:$F$491,MATCH(E14,Catálogo!$B$8:$B$491,0)),"")</f>
        <v>POLO PIQUET MASC.</v>
      </c>
      <c r="G14" s="148">
        <v>27</v>
      </c>
      <c r="H14" s="148">
        <v>27</v>
      </c>
      <c r="I14" s="43"/>
      <c r="J14" s="43" t="s">
        <v>2074</v>
      </c>
      <c r="K14" s="146">
        <v>46188</v>
      </c>
      <c r="L14" s="43"/>
      <c r="M14" s="43"/>
      <c r="N14" s="43"/>
    </row>
    <row r="15" spans="1:14" ht="14.25" customHeight="1" x14ac:dyDescent="0.3">
      <c r="A15" s="149" t="s">
        <v>2071</v>
      </c>
      <c r="B15" s="150">
        <v>46175</v>
      </c>
      <c r="C15" s="149" t="s">
        <v>2072</v>
      </c>
      <c r="D15" s="149" t="s">
        <v>2073</v>
      </c>
      <c r="E15" s="147" t="s">
        <v>104</v>
      </c>
      <c r="F15" s="149" t="str">
        <f>IFERROR(INDEX(Catálogo!$F$8:$F$491,MATCH(E15,Catálogo!$B$8:$B$491,0)),"")</f>
        <v>POLO PIQUET MASC.</v>
      </c>
      <c r="G15" s="148">
        <v>25</v>
      </c>
      <c r="H15" s="148">
        <v>25</v>
      </c>
      <c r="I15" s="149"/>
      <c r="J15" s="43" t="s">
        <v>2074</v>
      </c>
      <c r="K15" s="146">
        <v>46188</v>
      </c>
      <c r="L15" s="149"/>
      <c r="M15" s="149"/>
      <c r="N15" s="149"/>
    </row>
    <row r="16" spans="1:14" ht="14.25" customHeight="1" x14ac:dyDescent="0.3">
      <c r="A16" s="43" t="s">
        <v>2071</v>
      </c>
      <c r="B16" s="146">
        <v>46175</v>
      </c>
      <c r="C16" s="43" t="s">
        <v>2072</v>
      </c>
      <c r="D16" s="43" t="s">
        <v>2073</v>
      </c>
      <c r="E16" s="147" t="s">
        <v>105</v>
      </c>
      <c r="F16" s="43" t="str">
        <f>IFERROR(INDEX(Catálogo!$F$8:$F$491,MATCH(E16,Catálogo!$B$8:$B$491,0)),"")</f>
        <v>POLO PIQUET MASC.</v>
      </c>
      <c r="G16" s="148">
        <v>8</v>
      </c>
      <c r="H16" s="148">
        <v>8</v>
      </c>
      <c r="I16" s="43"/>
      <c r="J16" s="43" t="s">
        <v>2074</v>
      </c>
      <c r="K16" s="146">
        <v>46188</v>
      </c>
      <c r="L16" s="43"/>
      <c r="M16" s="43"/>
      <c r="N16" s="43"/>
    </row>
    <row r="17" spans="1:14" ht="14.25" customHeight="1" x14ac:dyDescent="0.3">
      <c r="A17" s="149" t="s">
        <v>2071</v>
      </c>
      <c r="B17" s="150">
        <v>46175</v>
      </c>
      <c r="C17" s="149" t="s">
        <v>2072</v>
      </c>
      <c r="D17" s="149" t="s">
        <v>2073</v>
      </c>
      <c r="E17" s="147" t="s">
        <v>106</v>
      </c>
      <c r="F17" s="149" t="str">
        <f>IFERROR(INDEX(Catálogo!$F$8:$F$491,MATCH(E17,Catálogo!$B$8:$B$491,0)),"")</f>
        <v>POLO PIQUET MASC.</v>
      </c>
      <c r="G17" s="148">
        <v>5</v>
      </c>
      <c r="H17" s="148">
        <v>5</v>
      </c>
      <c r="I17" s="149"/>
      <c r="J17" s="43" t="s">
        <v>2074</v>
      </c>
      <c r="K17" s="146">
        <v>46188</v>
      </c>
      <c r="L17" s="149"/>
      <c r="M17" s="149"/>
      <c r="N17" s="149"/>
    </row>
    <row r="18" spans="1:14" ht="14.25" customHeight="1" x14ac:dyDescent="0.3">
      <c r="A18" s="43" t="s">
        <v>2071</v>
      </c>
      <c r="B18" s="146">
        <v>46175</v>
      </c>
      <c r="C18" s="43" t="s">
        <v>2072</v>
      </c>
      <c r="D18" s="43" t="s">
        <v>2073</v>
      </c>
      <c r="E18" s="147" t="s">
        <v>110</v>
      </c>
      <c r="F18" s="43" t="str">
        <f>IFERROR(INDEX(Catálogo!$F$8:$F$491,MATCH(E18,Catálogo!$B$8:$B$491,0)),"")</f>
        <v>POLO PIQUET MASC.</v>
      </c>
      <c r="G18" s="148">
        <v>29</v>
      </c>
      <c r="H18" s="148">
        <v>29</v>
      </c>
      <c r="I18" s="43"/>
      <c r="J18" s="43" t="s">
        <v>2074</v>
      </c>
      <c r="K18" s="146">
        <v>46188</v>
      </c>
      <c r="L18" s="43"/>
      <c r="M18" s="43"/>
      <c r="N18" s="43"/>
    </row>
    <row r="19" spans="1:14" ht="14.25" customHeight="1" x14ac:dyDescent="0.3">
      <c r="A19" s="149" t="s">
        <v>2071</v>
      </c>
      <c r="B19" s="150">
        <v>46175</v>
      </c>
      <c r="C19" s="149" t="s">
        <v>2072</v>
      </c>
      <c r="D19" s="149" t="s">
        <v>2073</v>
      </c>
      <c r="E19" s="147" t="s">
        <v>111</v>
      </c>
      <c r="F19" s="149" t="str">
        <f>IFERROR(INDEX(Catálogo!$F$8:$F$491,MATCH(E19,Catálogo!$B$8:$B$491,0)),"")</f>
        <v>POLO PIQUET MASC.</v>
      </c>
      <c r="G19" s="148">
        <v>35</v>
      </c>
      <c r="H19" s="148">
        <v>35</v>
      </c>
      <c r="I19" s="149"/>
      <c r="J19" s="43" t="s">
        <v>2074</v>
      </c>
      <c r="K19" s="146">
        <v>46188</v>
      </c>
      <c r="L19" s="149"/>
      <c r="M19" s="149"/>
      <c r="N19" s="149"/>
    </row>
    <row r="20" spans="1:14" ht="14.25" customHeight="1" x14ac:dyDescent="0.3">
      <c r="A20" s="43" t="s">
        <v>2071</v>
      </c>
      <c r="B20" s="146">
        <v>46175</v>
      </c>
      <c r="C20" s="43" t="s">
        <v>2072</v>
      </c>
      <c r="D20" s="43" t="s">
        <v>2073</v>
      </c>
      <c r="E20" s="147" t="s">
        <v>112</v>
      </c>
      <c r="F20" s="43" t="str">
        <f>IFERROR(INDEX(Catálogo!$F$8:$F$491,MATCH(E20,Catálogo!$B$8:$B$491,0)),"")</f>
        <v>POLO PIQUET MASC.</v>
      </c>
      <c r="G20" s="148">
        <v>5</v>
      </c>
      <c r="H20" s="148">
        <v>5</v>
      </c>
      <c r="I20" s="43"/>
      <c r="J20" s="43" t="s">
        <v>2074</v>
      </c>
      <c r="K20" s="146">
        <v>46188</v>
      </c>
      <c r="L20" s="43"/>
      <c r="M20" s="43"/>
      <c r="N20" s="43"/>
    </row>
    <row r="21" spans="1:14" ht="14.25" customHeight="1" x14ac:dyDescent="0.3">
      <c r="A21" s="149" t="s">
        <v>2071</v>
      </c>
      <c r="B21" s="150">
        <v>46175</v>
      </c>
      <c r="C21" s="149" t="s">
        <v>2072</v>
      </c>
      <c r="D21" s="149" t="s">
        <v>2073</v>
      </c>
      <c r="E21" s="147" t="s">
        <v>113</v>
      </c>
      <c r="F21" s="149" t="str">
        <f>IFERROR(INDEX(Catálogo!$F$8:$F$491,MATCH(E21,Catálogo!$B$8:$B$491,0)),"")</f>
        <v>POLO PIQUET MASC.</v>
      </c>
      <c r="G21" s="148">
        <v>10</v>
      </c>
      <c r="H21" s="148">
        <v>10</v>
      </c>
      <c r="I21" s="149"/>
      <c r="J21" s="43" t="s">
        <v>2074</v>
      </c>
      <c r="K21" s="146">
        <v>46188</v>
      </c>
      <c r="L21" s="149"/>
      <c r="M21" s="149"/>
      <c r="N21" s="149"/>
    </row>
    <row r="22" spans="1:14" ht="14.25" customHeight="1" x14ac:dyDescent="0.3">
      <c r="A22" s="43" t="s">
        <v>2071</v>
      </c>
      <c r="B22" s="146">
        <v>46175</v>
      </c>
      <c r="C22" s="43" t="s">
        <v>2072</v>
      </c>
      <c r="D22" s="43" t="s">
        <v>2073</v>
      </c>
      <c r="E22" s="147" t="s">
        <v>114</v>
      </c>
      <c r="F22" s="43" t="str">
        <f>IFERROR(INDEX(Catálogo!$F$8:$F$491,MATCH(E22,Catálogo!$B$8:$B$491,0)),"")</f>
        <v>POLO PIQUET MASC.</v>
      </c>
      <c r="G22" s="148">
        <v>28</v>
      </c>
      <c r="H22" s="148">
        <v>28</v>
      </c>
      <c r="I22" s="43"/>
      <c r="J22" s="43" t="s">
        <v>2074</v>
      </c>
      <c r="K22" s="146">
        <v>46188</v>
      </c>
      <c r="L22" s="43"/>
      <c r="M22" s="43"/>
      <c r="N22" s="43"/>
    </row>
    <row r="23" spans="1:14" ht="14.25" customHeight="1" x14ac:dyDescent="0.3">
      <c r="A23" s="149" t="s">
        <v>2071</v>
      </c>
      <c r="B23" s="150">
        <v>46175</v>
      </c>
      <c r="C23" s="149" t="s">
        <v>2072</v>
      </c>
      <c r="D23" s="149" t="s">
        <v>2073</v>
      </c>
      <c r="E23" s="147" t="s">
        <v>115</v>
      </c>
      <c r="F23" s="149" t="str">
        <f>IFERROR(INDEX(Catálogo!$F$8:$F$491,MATCH(E23,Catálogo!$B$8:$B$491,0)),"")</f>
        <v>POLO PIQUET MASC.</v>
      </c>
      <c r="G23" s="148">
        <v>15</v>
      </c>
      <c r="H23" s="148">
        <v>15</v>
      </c>
      <c r="I23" s="149"/>
      <c r="J23" s="43" t="s">
        <v>2074</v>
      </c>
      <c r="K23" s="146">
        <v>46188</v>
      </c>
      <c r="L23" s="149"/>
      <c r="M23" s="149"/>
      <c r="N23" s="149"/>
    </row>
    <row r="24" spans="1:14" ht="14.25" customHeight="1" x14ac:dyDescent="0.3">
      <c r="A24" s="43" t="s">
        <v>2071</v>
      </c>
      <c r="B24" s="146">
        <v>46175</v>
      </c>
      <c r="C24" s="43" t="s">
        <v>2072</v>
      </c>
      <c r="D24" s="43" t="s">
        <v>2073</v>
      </c>
      <c r="E24" s="147" t="s">
        <v>116</v>
      </c>
      <c r="F24" s="43" t="str">
        <f>IFERROR(INDEX(Catálogo!$F$8:$F$491,MATCH(E24,Catálogo!$B$8:$B$491,0)),"")</f>
        <v>POLO PIQUET MASC.</v>
      </c>
      <c r="G24" s="148">
        <v>10</v>
      </c>
      <c r="H24" s="148">
        <v>10</v>
      </c>
      <c r="I24" s="43"/>
      <c r="J24" s="43" t="s">
        <v>2074</v>
      </c>
      <c r="K24" s="146">
        <v>46188</v>
      </c>
      <c r="L24" s="43"/>
      <c r="M24" s="43"/>
      <c r="N24" s="43"/>
    </row>
    <row r="25" spans="1:14" ht="14.25" customHeight="1" x14ac:dyDescent="0.3">
      <c r="A25" s="149" t="s">
        <v>2071</v>
      </c>
      <c r="B25" s="150">
        <v>46175</v>
      </c>
      <c r="C25" s="149" t="s">
        <v>2072</v>
      </c>
      <c r="D25" s="149" t="s">
        <v>2073</v>
      </c>
      <c r="E25" s="147" t="s">
        <v>117</v>
      </c>
      <c r="F25" s="149" t="str">
        <f>IFERROR(INDEX(Catálogo!$F$8:$F$491,MATCH(E25,Catálogo!$B$8:$B$491,0)),"")</f>
        <v>POLO PIQUET MASC.</v>
      </c>
      <c r="G25" s="148">
        <v>8</v>
      </c>
      <c r="H25" s="148">
        <v>8</v>
      </c>
      <c r="I25" s="149"/>
      <c r="J25" s="43" t="s">
        <v>2074</v>
      </c>
      <c r="K25" s="146">
        <v>46188</v>
      </c>
      <c r="L25" s="149"/>
      <c r="M25" s="149"/>
      <c r="N25" s="149"/>
    </row>
    <row r="26" spans="1:14" ht="14.25" customHeight="1" x14ac:dyDescent="0.3">
      <c r="A26" s="43" t="s">
        <v>2071</v>
      </c>
      <c r="B26" s="146">
        <v>46175</v>
      </c>
      <c r="C26" s="43" t="s">
        <v>2072</v>
      </c>
      <c r="D26" s="43" t="s">
        <v>2073</v>
      </c>
      <c r="E26" s="147" t="s">
        <v>118</v>
      </c>
      <c r="F26" s="43" t="str">
        <f>IFERROR(INDEX(Catálogo!$F$8:$F$491,MATCH(E26,Catálogo!$B$8:$B$491,0)),"")</f>
        <v>POLO PIQUET MASC.</v>
      </c>
      <c r="G26" s="148">
        <v>6</v>
      </c>
      <c r="H26" s="148">
        <v>6</v>
      </c>
      <c r="I26" s="43"/>
      <c r="J26" s="43" t="s">
        <v>2074</v>
      </c>
      <c r="K26" s="146">
        <v>46188</v>
      </c>
      <c r="L26" s="43"/>
      <c r="M26" s="43"/>
      <c r="N26" s="43"/>
    </row>
    <row r="27" spans="1:14" ht="14.25" customHeight="1" x14ac:dyDescent="0.3">
      <c r="A27" s="149" t="s">
        <v>2071</v>
      </c>
      <c r="B27" s="150">
        <v>46175</v>
      </c>
      <c r="C27" s="149" t="s">
        <v>2072</v>
      </c>
      <c r="D27" s="149" t="s">
        <v>2073</v>
      </c>
      <c r="E27" s="147" t="s">
        <v>119</v>
      </c>
      <c r="F27" s="149" t="str">
        <f>IFERROR(INDEX(Catálogo!$F$8:$F$491,MATCH(E27,Catálogo!$B$8:$B$491,0)),"")</f>
        <v>POLO PIQUET MASC.</v>
      </c>
      <c r="G27" s="148">
        <v>37</v>
      </c>
      <c r="H27" s="148">
        <v>37</v>
      </c>
      <c r="I27" s="149"/>
      <c r="J27" s="43" t="s">
        <v>2074</v>
      </c>
      <c r="K27" s="146">
        <v>46188</v>
      </c>
      <c r="L27" s="149"/>
      <c r="M27" s="149"/>
      <c r="N27" s="149"/>
    </row>
    <row r="28" spans="1:14" ht="14.25" customHeight="1" x14ac:dyDescent="0.3">
      <c r="A28" s="43" t="s">
        <v>2071</v>
      </c>
      <c r="B28" s="146">
        <v>46175</v>
      </c>
      <c r="C28" s="43" t="s">
        <v>2072</v>
      </c>
      <c r="D28" s="43" t="s">
        <v>2073</v>
      </c>
      <c r="E28" s="147" t="s">
        <v>122</v>
      </c>
      <c r="F28" s="43" t="str">
        <f>IFERROR(INDEX(Catálogo!$F$8:$F$491,MATCH(E28,Catálogo!$B$8:$B$491,0)),"")</f>
        <v>POLO PIQUET MASC.</v>
      </c>
      <c r="G28" s="148">
        <v>1</v>
      </c>
      <c r="H28" s="148">
        <v>1</v>
      </c>
      <c r="I28" s="43"/>
      <c r="J28" s="43" t="s">
        <v>2074</v>
      </c>
      <c r="K28" s="146">
        <v>46188</v>
      </c>
      <c r="L28" s="43"/>
      <c r="M28" s="43"/>
      <c r="N28" s="43"/>
    </row>
    <row r="29" spans="1:14" ht="14.25" customHeight="1" x14ac:dyDescent="0.3">
      <c r="A29" s="149" t="s">
        <v>2071</v>
      </c>
      <c r="B29" s="150">
        <v>46175</v>
      </c>
      <c r="C29" s="149" t="s">
        <v>2072</v>
      </c>
      <c r="D29" s="149" t="s">
        <v>2073</v>
      </c>
      <c r="E29" s="151" t="s">
        <v>123</v>
      </c>
      <c r="F29" s="149" t="str">
        <f>IFERROR(INDEX(Catálogo!$F$8:$F$491,MATCH(E29,Catálogo!$B$8:$B$491,0)),"")</f>
        <v>POLO PIQUET MASC.</v>
      </c>
      <c r="G29" s="148">
        <v>8</v>
      </c>
      <c r="H29" s="148">
        <v>8</v>
      </c>
      <c r="I29" s="149"/>
      <c r="J29" s="43" t="s">
        <v>2074</v>
      </c>
      <c r="K29" s="146">
        <v>46188</v>
      </c>
      <c r="L29" s="149"/>
      <c r="M29" s="149"/>
      <c r="N29" s="149"/>
    </row>
    <row r="30" spans="1:14" ht="14.25" customHeight="1" x14ac:dyDescent="0.3">
      <c r="A30" s="43" t="s">
        <v>2071</v>
      </c>
      <c r="B30" s="146">
        <v>46175</v>
      </c>
      <c r="C30" s="43" t="s">
        <v>2072</v>
      </c>
      <c r="D30" s="43" t="s">
        <v>2073</v>
      </c>
      <c r="E30" s="147" t="s">
        <v>124</v>
      </c>
      <c r="F30" s="43" t="str">
        <f>IFERROR(INDEX(Catálogo!$F$8:$F$491,MATCH(E30,Catálogo!$B$8:$B$491,0)),"")</f>
        <v>POLO PIMA MASC.</v>
      </c>
      <c r="G30" s="148">
        <v>5</v>
      </c>
      <c r="H30" s="148">
        <v>5</v>
      </c>
      <c r="I30" s="43"/>
      <c r="J30" s="43" t="s">
        <v>2074</v>
      </c>
      <c r="K30" s="146">
        <v>46188</v>
      </c>
      <c r="L30" s="43"/>
      <c r="M30" s="43"/>
      <c r="N30" s="43"/>
    </row>
    <row r="31" spans="1:14" ht="14.25" customHeight="1" x14ac:dyDescent="0.3">
      <c r="A31" s="149" t="s">
        <v>2071</v>
      </c>
      <c r="B31" s="150">
        <v>46175</v>
      </c>
      <c r="C31" s="149" t="s">
        <v>2072</v>
      </c>
      <c r="D31" s="149" t="s">
        <v>2073</v>
      </c>
      <c r="E31" s="147" t="s">
        <v>125</v>
      </c>
      <c r="F31" s="149" t="str">
        <f>IFERROR(INDEX(Catálogo!$F$8:$F$491,MATCH(E31,Catálogo!$B$8:$B$491,0)),"")</f>
        <v>POLO PIMA MASC.</v>
      </c>
      <c r="G31" s="148">
        <v>14</v>
      </c>
      <c r="H31" s="148">
        <v>14</v>
      </c>
      <c r="I31" s="149"/>
      <c r="J31" s="43" t="s">
        <v>2074</v>
      </c>
      <c r="K31" s="146">
        <v>46188</v>
      </c>
      <c r="L31" s="149"/>
      <c r="M31" s="149"/>
      <c r="N31" s="149"/>
    </row>
    <row r="32" spans="1:14" ht="14.25" customHeight="1" x14ac:dyDescent="0.3">
      <c r="A32" s="43" t="s">
        <v>2071</v>
      </c>
      <c r="B32" s="146">
        <v>46175</v>
      </c>
      <c r="C32" s="43" t="s">
        <v>2072</v>
      </c>
      <c r="D32" s="43" t="s">
        <v>2073</v>
      </c>
      <c r="E32" s="147" t="s">
        <v>126</v>
      </c>
      <c r="F32" s="43" t="str">
        <f>IFERROR(INDEX(Catálogo!$F$8:$F$491,MATCH(E32,Catálogo!$B$8:$B$491,0)),"")</f>
        <v>POLO PIMA MASC.</v>
      </c>
      <c r="G32" s="148">
        <v>24</v>
      </c>
      <c r="H32" s="148">
        <v>24</v>
      </c>
      <c r="I32" s="43"/>
      <c r="J32" s="43" t="s">
        <v>2074</v>
      </c>
      <c r="K32" s="146">
        <v>46188</v>
      </c>
      <c r="L32" s="43"/>
      <c r="M32" s="43"/>
      <c r="N32" s="43"/>
    </row>
    <row r="33" spans="1:14" ht="14.25" customHeight="1" x14ac:dyDescent="0.3">
      <c r="A33" s="149" t="s">
        <v>2071</v>
      </c>
      <c r="B33" s="150">
        <v>46175</v>
      </c>
      <c r="C33" s="149" t="s">
        <v>2072</v>
      </c>
      <c r="D33" s="149" t="s">
        <v>2073</v>
      </c>
      <c r="E33" s="147" t="s">
        <v>127</v>
      </c>
      <c r="F33" s="149" t="str">
        <f>IFERROR(INDEX(Catálogo!$F$8:$F$491,MATCH(E33,Catálogo!$B$8:$B$491,0)),"")</f>
        <v>POLO PIMA MASC.</v>
      </c>
      <c r="G33" s="148">
        <v>4</v>
      </c>
      <c r="H33" s="148">
        <v>4</v>
      </c>
      <c r="I33" s="149"/>
      <c r="J33" s="43" t="s">
        <v>2074</v>
      </c>
      <c r="K33" s="146">
        <v>46188</v>
      </c>
      <c r="L33" s="149"/>
      <c r="M33" s="149"/>
      <c r="N33" s="149"/>
    </row>
    <row r="34" spans="1:14" ht="14.25" customHeight="1" x14ac:dyDescent="0.3">
      <c r="A34" s="43" t="s">
        <v>2071</v>
      </c>
      <c r="B34" s="146">
        <v>46175</v>
      </c>
      <c r="C34" s="43" t="s">
        <v>2072</v>
      </c>
      <c r="D34" s="43" t="s">
        <v>2073</v>
      </c>
      <c r="E34" s="147" t="s">
        <v>128</v>
      </c>
      <c r="F34" s="43" t="str">
        <f>IFERROR(INDEX(Catálogo!$F$8:$F$491,MATCH(E34,Catálogo!$B$8:$B$491,0)),"")</f>
        <v>POLO PIMA MASC.</v>
      </c>
      <c r="G34" s="148">
        <v>13</v>
      </c>
      <c r="H34" s="148">
        <v>13</v>
      </c>
      <c r="I34" s="43"/>
      <c r="J34" s="43" t="s">
        <v>2074</v>
      </c>
      <c r="K34" s="146">
        <v>46188</v>
      </c>
      <c r="L34" s="43"/>
      <c r="M34" s="43"/>
      <c r="N34" s="43"/>
    </row>
    <row r="35" spans="1:14" ht="14.25" customHeight="1" x14ac:dyDescent="0.3">
      <c r="A35" s="149" t="s">
        <v>2071</v>
      </c>
      <c r="B35" s="150">
        <v>46175</v>
      </c>
      <c r="C35" s="149" t="s">
        <v>2072</v>
      </c>
      <c r="D35" s="149" t="s">
        <v>2073</v>
      </c>
      <c r="E35" s="147" t="s">
        <v>129</v>
      </c>
      <c r="F35" s="149" t="str">
        <f>IFERROR(INDEX(Catálogo!$F$8:$F$491,MATCH(E35,Catálogo!$B$8:$B$491,0)),"")</f>
        <v>POLO PIMA MASC.</v>
      </c>
      <c r="G35" s="148">
        <v>7</v>
      </c>
      <c r="H35" s="148">
        <v>7</v>
      </c>
      <c r="I35" s="149"/>
      <c r="J35" s="43" t="s">
        <v>2074</v>
      </c>
      <c r="K35" s="146">
        <v>46188</v>
      </c>
      <c r="L35" s="149"/>
      <c r="M35" s="149"/>
      <c r="N35" s="149"/>
    </row>
    <row r="36" spans="1:14" ht="14.25" customHeight="1" x14ac:dyDescent="0.3">
      <c r="A36" s="43" t="s">
        <v>2071</v>
      </c>
      <c r="B36" s="146">
        <v>46175</v>
      </c>
      <c r="C36" s="43" t="s">
        <v>2072</v>
      </c>
      <c r="D36" s="43" t="s">
        <v>2073</v>
      </c>
      <c r="E36" s="147" t="s">
        <v>130</v>
      </c>
      <c r="F36" s="43" t="str">
        <f>IFERROR(INDEX(Catálogo!$F$8:$F$491,MATCH(E36,Catálogo!$B$8:$B$491,0)),"")</f>
        <v>POLO COTTON MASC.</v>
      </c>
      <c r="G36" s="148">
        <v>5</v>
      </c>
      <c r="H36" s="148">
        <v>5</v>
      </c>
      <c r="I36" s="43"/>
      <c r="J36" s="43" t="s">
        <v>2074</v>
      </c>
      <c r="K36" s="146">
        <v>46188</v>
      </c>
      <c r="L36" s="43"/>
      <c r="M36" s="43"/>
      <c r="N36" s="43"/>
    </row>
    <row r="37" spans="1:14" ht="14.25" customHeight="1" x14ac:dyDescent="0.3">
      <c r="A37" s="149" t="s">
        <v>2071</v>
      </c>
      <c r="B37" s="150">
        <v>46175</v>
      </c>
      <c r="C37" s="149" t="s">
        <v>2072</v>
      </c>
      <c r="D37" s="149" t="s">
        <v>2073</v>
      </c>
      <c r="E37" s="147" t="s">
        <v>134</v>
      </c>
      <c r="F37" s="149" t="str">
        <f>IFERROR(INDEX(Catálogo!$F$8:$F$491,MATCH(E37,Catálogo!$B$8:$B$491,0)),"")</f>
        <v>POLO COTTON MASC.</v>
      </c>
      <c r="G37" s="148">
        <v>21</v>
      </c>
      <c r="H37" s="148">
        <v>21</v>
      </c>
      <c r="I37" s="149"/>
      <c r="J37" s="43" t="s">
        <v>2074</v>
      </c>
      <c r="K37" s="146">
        <v>46188</v>
      </c>
      <c r="L37" s="149"/>
      <c r="M37" s="149"/>
      <c r="N37" s="149"/>
    </row>
    <row r="38" spans="1:14" ht="14.25" customHeight="1" x14ac:dyDescent="0.3">
      <c r="A38" s="43" t="s">
        <v>2071</v>
      </c>
      <c r="B38" s="146">
        <v>46175</v>
      </c>
      <c r="C38" s="43" t="s">
        <v>2072</v>
      </c>
      <c r="D38" s="43" t="s">
        <v>2073</v>
      </c>
      <c r="E38" s="147" t="s">
        <v>135</v>
      </c>
      <c r="F38" s="43" t="str">
        <f>IFERROR(INDEX(Catálogo!$F$8:$F$491,MATCH(E38,Catálogo!$B$8:$B$491,0)),"")</f>
        <v>POLO COTTON MASC.</v>
      </c>
      <c r="G38" s="148">
        <v>33</v>
      </c>
      <c r="H38" s="148">
        <v>33</v>
      </c>
      <c r="I38" s="43"/>
      <c r="J38" s="43" t="s">
        <v>2074</v>
      </c>
      <c r="K38" s="146">
        <v>46188</v>
      </c>
      <c r="L38" s="43"/>
      <c r="M38" s="43"/>
      <c r="N38" s="43"/>
    </row>
    <row r="39" spans="1:14" ht="14.25" customHeight="1" x14ac:dyDescent="0.3">
      <c r="A39" s="149" t="s">
        <v>2071</v>
      </c>
      <c r="B39" s="150">
        <v>46175</v>
      </c>
      <c r="C39" s="149" t="s">
        <v>2072</v>
      </c>
      <c r="D39" s="149" t="s">
        <v>2073</v>
      </c>
      <c r="E39" s="147" t="s">
        <v>136</v>
      </c>
      <c r="F39" s="149" t="str">
        <f>IFERROR(INDEX(Catálogo!$F$8:$F$491,MATCH(E39,Catálogo!$B$8:$B$491,0)),"")</f>
        <v>POLO PIMA MASC.</v>
      </c>
      <c r="G39" s="148">
        <v>5</v>
      </c>
      <c r="H39" s="148">
        <v>5</v>
      </c>
      <c r="I39" s="149"/>
      <c r="J39" s="43" t="s">
        <v>2074</v>
      </c>
      <c r="K39" s="146">
        <v>46188</v>
      </c>
      <c r="L39" s="149"/>
      <c r="M39" s="149"/>
      <c r="N39" s="149"/>
    </row>
    <row r="40" spans="1:14" ht="14.25" customHeight="1" x14ac:dyDescent="0.3">
      <c r="A40" s="43" t="s">
        <v>2071</v>
      </c>
      <c r="B40" s="146">
        <v>46175</v>
      </c>
      <c r="C40" s="43" t="s">
        <v>2072</v>
      </c>
      <c r="D40" s="43" t="s">
        <v>2073</v>
      </c>
      <c r="E40" s="147" t="s">
        <v>137</v>
      </c>
      <c r="F40" s="43" t="str">
        <f>IFERROR(INDEX(Catálogo!$F$8:$F$491,MATCH(E40,Catálogo!$B$8:$B$491,0)),"")</f>
        <v>POLO PIMA MASC.</v>
      </c>
      <c r="G40" s="148">
        <v>4</v>
      </c>
      <c r="H40" s="148">
        <v>4</v>
      </c>
      <c r="I40" s="43"/>
      <c r="J40" s="43" t="s">
        <v>2074</v>
      </c>
      <c r="K40" s="146">
        <v>46188</v>
      </c>
      <c r="L40" s="43"/>
      <c r="M40" s="43"/>
      <c r="N40" s="43"/>
    </row>
    <row r="41" spans="1:14" ht="14.25" customHeight="1" x14ac:dyDescent="0.3">
      <c r="A41" s="149" t="s">
        <v>2071</v>
      </c>
      <c r="B41" s="150">
        <v>46175</v>
      </c>
      <c r="C41" s="149" t="s">
        <v>2072</v>
      </c>
      <c r="D41" s="149" t="s">
        <v>2073</v>
      </c>
      <c r="E41" s="147" t="s">
        <v>138</v>
      </c>
      <c r="F41" s="149" t="str">
        <f>IFERROR(INDEX(Catálogo!$F$8:$F$491,MATCH(E41,Catálogo!$B$8:$B$491,0)),"")</f>
        <v>POLO PIMA MASC.</v>
      </c>
      <c r="G41" s="148">
        <v>9</v>
      </c>
      <c r="H41" s="148">
        <v>9</v>
      </c>
      <c r="I41" s="149"/>
      <c r="J41" s="43" t="s">
        <v>2074</v>
      </c>
      <c r="K41" s="146">
        <v>46188</v>
      </c>
      <c r="L41" s="149"/>
      <c r="M41" s="149"/>
      <c r="N41" s="149"/>
    </row>
    <row r="42" spans="1:14" ht="14.25" customHeight="1" x14ac:dyDescent="0.3">
      <c r="A42" s="43" t="s">
        <v>2071</v>
      </c>
      <c r="B42" s="146">
        <v>46175</v>
      </c>
      <c r="C42" s="43" t="s">
        <v>2072</v>
      </c>
      <c r="D42" s="43" t="s">
        <v>2073</v>
      </c>
      <c r="E42" s="147" t="s">
        <v>139</v>
      </c>
      <c r="F42" s="43" t="str">
        <f>IFERROR(INDEX(Catálogo!$F$8:$F$491,MATCH(E42,Catálogo!$B$8:$B$491,0)),"")</f>
        <v>POLO PIMA MASC.</v>
      </c>
      <c r="G42" s="148">
        <v>10</v>
      </c>
      <c r="H42" s="148">
        <v>10</v>
      </c>
      <c r="I42" s="43"/>
      <c r="J42" s="43" t="s">
        <v>2074</v>
      </c>
      <c r="K42" s="146">
        <v>46188</v>
      </c>
      <c r="L42" s="43"/>
      <c r="M42" s="43"/>
      <c r="N42" s="43"/>
    </row>
    <row r="43" spans="1:14" ht="14.25" customHeight="1" x14ac:dyDescent="0.3">
      <c r="A43" s="149" t="s">
        <v>2071</v>
      </c>
      <c r="B43" s="150">
        <v>46175</v>
      </c>
      <c r="C43" s="149" t="s">
        <v>2072</v>
      </c>
      <c r="D43" s="149" t="s">
        <v>2073</v>
      </c>
      <c r="E43" s="147" t="s">
        <v>140</v>
      </c>
      <c r="F43" s="149" t="str">
        <f>IFERROR(INDEX(Catálogo!$F$8:$F$491,MATCH(E43,Catálogo!$B$8:$B$491,0)),"")</f>
        <v>POLO PIMA MASC.</v>
      </c>
      <c r="G43" s="148">
        <v>10</v>
      </c>
      <c r="H43" s="148">
        <v>10</v>
      </c>
      <c r="I43" s="149"/>
      <c r="J43" s="43" t="s">
        <v>2074</v>
      </c>
      <c r="K43" s="146">
        <v>46188</v>
      </c>
      <c r="L43" s="149"/>
      <c r="M43" s="149"/>
      <c r="N43" s="149"/>
    </row>
    <row r="44" spans="1:14" ht="14.25" customHeight="1" x14ac:dyDescent="0.3">
      <c r="A44" s="43" t="s">
        <v>2071</v>
      </c>
      <c r="B44" s="146">
        <v>46175</v>
      </c>
      <c r="C44" s="43" t="s">
        <v>2072</v>
      </c>
      <c r="D44" s="43" t="s">
        <v>2073</v>
      </c>
      <c r="E44" s="147" t="s">
        <v>141</v>
      </c>
      <c r="F44" s="43" t="str">
        <f>IFERROR(INDEX(Catálogo!$F$8:$F$491,MATCH(E44,Catálogo!$B$8:$B$491,0)),"")</f>
        <v>POLO PIMA MASC.</v>
      </c>
      <c r="G44" s="148">
        <v>3</v>
      </c>
      <c r="H44" s="148">
        <v>3</v>
      </c>
      <c r="I44" s="43"/>
      <c r="J44" s="43" t="s">
        <v>2074</v>
      </c>
      <c r="K44" s="146">
        <v>46188</v>
      </c>
      <c r="L44" s="43"/>
      <c r="M44" s="43"/>
      <c r="N44" s="43"/>
    </row>
    <row r="45" spans="1:14" ht="14.25" customHeight="1" x14ac:dyDescent="0.3">
      <c r="A45" s="149" t="s">
        <v>2071</v>
      </c>
      <c r="B45" s="150">
        <v>46175</v>
      </c>
      <c r="C45" s="149" t="s">
        <v>2072</v>
      </c>
      <c r="D45" s="149" t="s">
        <v>2073</v>
      </c>
      <c r="E45" s="147" t="s">
        <v>148</v>
      </c>
      <c r="F45" s="149" t="str">
        <f>IFERROR(INDEX(Catálogo!$F$8:$F$491,MATCH(E45,Catálogo!$B$8:$B$491,0)),"")</f>
        <v>POLO PIQUET FEM.</v>
      </c>
      <c r="G45" s="148">
        <v>10</v>
      </c>
      <c r="H45" s="148">
        <v>10</v>
      </c>
      <c r="I45" s="149"/>
      <c r="J45" s="43" t="s">
        <v>2074</v>
      </c>
      <c r="K45" s="146">
        <v>46188</v>
      </c>
      <c r="L45" s="149"/>
      <c r="M45" s="149"/>
      <c r="N45" s="149"/>
    </row>
    <row r="46" spans="1:14" ht="14.25" customHeight="1" x14ac:dyDescent="0.3">
      <c r="A46" s="43" t="s">
        <v>2071</v>
      </c>
      <c r="B46" s="146">
        <v>46175</v>
      </c>
      <c r="C46" s="43" t="s">
        <v>2072</v>
      </c>
      <c r="D46" s="43" t="s">
        <v>2073</v>
      </c>
      <c r="E46" s="147" t="s">
        <v>149</v>
      </c>
      <c r="F46" s="43" t="str">
        <f>IFERROR(INDEX(Catálogo!$F$8:$F$491,MATCH(E46,Catálogo!$B$8:$B$491,0)),"")</f>
        <v>POLO PIQUET FEM.</v>
      </c>
      <c r="G46" s="148">
        <v>13</v>
      </c>
      <c r="H46" s="148">
        <v>13</v>
      </c>
      <c r="I46" s="43"/>
      <c r="J46" s="43" t="s">
        <v>2074</v>
      </c>
      <c r="K46" s="146">
        <v>46188</v>
      </c>
      <c r="L46" s="43"/>
      <c r="M46" s="43"/>
      <c r="N46" s="43"/>
    </row>
    <row r="47" spans="1:14" ht="14.25" customHeight="1" x14ac:dyDescent="0.3">
      <c r="A47" s="149" t="s">
        <v>2071</v>
      </c>
      <c r="B47" s="150">
        <v>46175</v>
      </c>
      <c r="C47" s="149" t="s">
        <v>2072</v>
      </c>
      <c r="D47" s="149" t="s">
        <v>2073</v>
      </c>
      <c r="E47" s="147" t="s">
        <v>150</v>
      </c>
      <c r="F47" s="149" t="str">
        <f>IFERROR(INDEX(Catálogo!$F$8:$F$491,MATCH(E47,Catálogo!$B$8:$B$491,0)),"")</f>
        <v>POLO PIQUET FEM.</v>
      </c>
      <c r="G47" s="148">
        <v>15</v>
      </c>
      <c r="H47" s="148">
        <v>15</v>
      </c>
      <c r="I47" s="149"/>
      <c r="J47" s="43" t="s">
        <v>2074</v>
      </c>
      <c r="K47" s="146">
        <v>46188</v>
      </c>
      <c r="L47" s="149"/>
      <c r="M47" s="149"/>
      <c r="N47" s="149"/>
    </row>
    <row r="48" spans="1:14" ht="14.25" customHeight="1" x14ac:dyDescent="0.3">
      <c r="A48" s="43" t="s">
        <v>2071</v>
      </c>
      <c r="B48" s="146">
        <v>46175</v>
      </c>
      <c r="C48" s="43" t="s">
        <v>2072</v>
      </c>
      <c r="D48" s="43" t="s">
        <v>2073</v>
      </c>
      <c r="E48" s="147" t="s">
        <v>151</v>
      </c>
      <c r="F48" s="43" t="str">
        <f>IFERROR(INDEX(Catálogo!$F$8:$F$491,MATCH(E48,Catálogo!$B$8:$B$491,0)),"")</f>
        <v>POLO PIQUET FEM.</v>
      </c>
      <c r="G48" s="148">
        <v>9</v>
      </c>
      <c r="H48" s="148">
        <v>9</v>
      </c>
      <c r="I48" s="43"/>
      <c r="J48" s="43" t="s">
        <v>2074</v>
      </c>
      <c r="K48" s="146">
        <v>46188</v>
      </c>
      <c r="L48" s="43"/>
      <c r="M48" s="43"/>
      <c r="N48" s="43"/>
    </row>
    <row r="49" spans="1:14" ht="14.25" customHeight="1" x14ac:dyDescent="0.3">
      <c r="A49" s="149" t="s">
        <v>2071</v>
      </c>
      <c r="B49" s="150">
        <v>46175</v>
      </c>
      <c r="C49" s="149" t="s">
        <v>2072</v>
      </c>
      <c r="D49" s="149" t="s">
        <v>2073</v>
      </c>
      <c r="E49" s="147" t="s">
        <v>152</v>
      </c>
      <c r="F49" s="149" t="str">
        <f>IFERROR(INDEX(Catálogo!$F$8:$F$491,MATCH(E49,Catálogo!$B$8:$B$491,0)),"")</f>
        <v>POLO PIQUET FEM.</v>
      </c>
      <c r="G49" s="148">
        <v>5</v>
      </c>
      <c r="H49" s="148">
        <v>5</v>
      </c>
      <c r="I49" s="149"/>
      <c r="J49" s="43" t="s">
        <v>2074</v>
      </c>
      <c r="K49" s="146">
        <v>46188</v>
      </c>
      <c r="L49" s="149"/>
      <c r="M49" s="149"/>
      <c r="N49" s="149"/>
    </row>
    <row r="50" spans="1:14" ht="14.25" customHeight="1" x14ac:dyDescent="0.3">
      <c r="A50" s="43" t="s">
        <v>2071</v>
      </c>
      <c r="B50" s="146">
        <v>46175</v>
      </c>
      <c r="C50" s="43" t="s">
        <v>2072</v>
      </c>
      <c r="D50" s="43" t="s">
        <v>2073</v>
      </c>
      <c r="E50" s="147" t="s">
        <v>153</v>
      </c>
      <c r="F50" s="43" t="str">
        <f>IFERROR(INDEX(Catálogo!$F$8:$F$491,MATCH(E50,Catálogo!$B$8:$B$491,0)),"")</f>
        <v>POLO PIQUET FEM.</v>
      </c>
      <c r="G50" s="148">
        <v>5</v>
      </c>
      <c r="H50" s="148">
        <v>5</v>
      </c>
      <c r="I50" s="43"/>
      <c r="J50" s="43" t="s">
        <v>2074</v>
      </c>
      <c r="K50" s="146">
        <v>46188</v>
      </c>
      <c r="L50" s="43"/>
      <c r="M50" s="43"/>
      <c r="N50" s="43"/>
    </row>
    <row r="51" spans="1:14" ht="14.25" customHeight="1" x14ac:dyDescent="0.3">
      <c r="A51" s="149" t="s">
        <v>2071</v>
      </c>
      <c r="B51" s="150">
        <v>46175</v>
      </c>
      <c r="C51" s="149" t="s">
        <v>2072</v>
      </c>
      <c r="D51" s="149" t="s">
        <v>2073</v>
      </c>
      <c r="E51" s="151" t="s">
        <v>154</v>
      </c>
      <c r="F51" s="149" t="str">
        <f>IFERROR(INDEX(Catálogo!$F$8:$F$491,MATCH(E51,Catálogo!$B$8:$B$491,0)),"")</f>
        <v>POLO PIMA FEM.</v>
      </c>
      <c r="G51" s="148">
        <v>8</v>
      </c>
      <c r="H51" s="148">
        <v>8</v>
      </c>
      <c r="I51" s="149"/>
      <c r="J51" s="43" t="s">
        <v>2074</v>
      </c>
      <c r="K51" s="146">
        <v>46188</v>
      </c>
      <c r="L51" s="149"/>
      <c r="M51" s="149"/>
      <c r="N51" s="149"/>
    </row>
    <row r="52" spans="1:14" ht="14.25" customHeight="1" x14ac:dyDescent="0.3">
      <c r="A52" s="43" t="s">
        <v>2071</v>
      </c>
      <c r="B52" s="146">
        <v>46175</v>
      </c>
      <c r="C52" s="43" t="s">
        <v>2072</v>
      </c>
      <c r="D52" s="43" t="s">
        <v>2073</v>
      </c>
      <c r="E52" s="147" t="s">
        <v>155</v>
      </c>
      <c r="F52" s="43" t="str">
        <f>IFERROR(INDEX(Catálogo!$F$8:$F$491,MATCH(E52,Catálogo!$B$8:$B$491,0)),"")</f>
        <v>POLO PIMA FEM.</v>
      </c>
      <c r="G52" s="148">
        <v>11</v>
      </c>
      <c r="H52" s="148">
        <v>11</v>
      </c>
      <c r="I52" s="43"/>
      <c r="J52" s="43" t="s">
        <v>2074</v>
      </c>
      <c r="K52" s="146">
        <v>46188</v>
      </c>
      <c r="L52" s="43"/>
      <c r="M52" s="43"/>
      <c r="N52" s="43"/>
    </row>
    <row r="53" spans="1:14" ht="14.25" customHeight="1" x14ac:dyDescent="0.3">
      <c r="A53" s="149" t="s">
        <v>2071</v>
      </c>
      <c r="B53" s="150">
        <v>46175</v>
      </c>
      <c r="C53" s="149" t="s">
        <v>2072</v>
      </c>
      <c r="D53" s="149" t="s">
        <v>2073</v>
      </c>
      <c r="E53" s="147" t="s">
        <v>156</v>
      </c>
      <c r="F53" s="149" t="str">
        <f>IFERROR(INDEX(Catálogo!$F$8:$F$491,MATCH(E53,Catálogo!$B$8:$B$491,0)),"")</f>
        <v>POLO PIMA FEM.</v>
      </c>
      <c r="G53" s="148">
        <v>14</v>
      </c>
      <c r="H53" s="148">
        <v>14</v>
      </c>
      <c r="I53" s="149"/>
      <c r="J53" s="43" t="s">
        <v>2074</v>
      </c>
      <c r="K53" s="146">
        <v>46188</v>
      </c>
      <c r="L53" s="149"/>
      <c r="M53" s="149"/>
      <c r="N53" s="149"/>
    </row>
    <row r="54" spans="1:14" ht="14.25" customHeight="1" x14ac:dyDescent="0.3">
      <c r="A54" s="43" t="s">
        <v>2071</v>
      </c>
      <c r="B54" s="146">
        <v>46175</v>
      </c>
      <c r="C54" s="43" t="s">
        <v>2072</v>
      </c>
      <c r="D54" s="43" t="s">
        <v>2073</v>
      </c>
      <c r="E54" s="147" t="s">
        <v>157</v>
      </c>
      <c r="F54" s="43" t="str">
        <f>IFERROR(INDEX(Catálogo!$F$8:$F$491,MATCH(E54,Catálogo!$B$8:$B$491,0)),"")</f>
        <v>POLO PIMA FEM.</v>
      </c>
      <c r="G54" s="148">
        <v>11</v>
      </c>
      <c r="H54" s="148">
        <v>11</v>
      </c>
      <c r="I54" s="43"/>
      <c r="J54" s="43" t="s">
        <v>2074</v>
      </c>
      <c r="K54" s="146">
        <v>46188</v>
      </c>
      <c r="L54" s="43"/>
      <c r="M54" s="43"/>
      <c r="N54" s="43"/>
    </row>
    <row r="55" spans="1:14" ht="14.25" customHeight="1" x14ac:dyDescent="0.3">
      <c r="A55" s="149" t="s">
        <v>2071</v>
      </c>
      <c r="B55" s="150">
        <v>46175</v>
      </c>
      <c r="C55" s="149" t="s">
        <v>2072</v>
      </c>
      <c r="D55" s="149" t="s">
        <v>2073</v>
      </c>
      <c r="E55" s="147" t="s">
        <v>158</v>
      </c>
      <c r="F55" s="149" t="str">
        <f>IFERROR(INDEX(Catálogo!$F$8:$F$491,MATCH(E55,Catálogo!$B$8:$B$491,0)),"")</f>
        <v>POLO PIMA FEM.</v>
      </c>
      <c r="G55" s="148">
        <v>6</v>
      </c>
      <c r="H55" s="148">
        <v>6</v>
      </c>
      <c r="I55" s="149"/>
      <c r="J55" s="43" t="s">
        <v>2074</v>
      </c>
      <c r="K55" s="146">
        <v>46188</v>
      </c>
      <c r="L55" s="149"/>
      <c r="M55" s="149"/>
      <c r="N55" s="149"/>
    </row>
    <row r="56" spans="1:14" ht="14.25" customHeight="1" x14ac:dyDescent="0.3">
      <c r="A56" s="43" t="s">
        <v>2071</v>
      </c>
      <c r="B56" s="146">
        <v>46175</v>
      </c>
      <c r="C56" s="43" t="s">
        <v>2072</v>
      </c>
      <c r="D56" s="43" t="s">
        <v>2073</v>
      </c>
      <c r="E56" s="147" t="s">
        <v>159</v>
      </c>
      <c r="F56" s="43" t="str">
        <f>IFERROR(INDEX(Catálogo!$F$8:$F$491,MATCH(E56,Catálogo!$B$8:$B$491,0)),"")</f>
        <v>POLO PIMA FEM.</v>
      </c>
      <c r="G56" s="148">
        <v>4</v>
      </c>
      <c r="H56" s="148">
        <v>4</v>
      </c>
      <c r="I56" s="43"/>
      <c r="J56" s="43" t="s">
        <v>2074</v>
      </c>
      <c r="K56" s="146">
        <v>46188</v>
      </c>
      <c r="L56" s="43"/>
      <c r="M56" s="43"/>
      <c r="N56" s="43"/>
    </row>
    <row r="57" spans="1:14" ht="14.25" customHeight="1" x14ac:dyDescent="0.3">
      <c r="A57" s="149" t="s">
        <v>2071</v>
      </c>
      <c r="B57" s="150">
        <v>46175</v>
      </c>
      <c r="C57" s="149" t="s">
        <v>2072</v>
      </c>
      <c r="D57" s="149" t="s">
        <v>2073</v>
      </c>
      <c r="E57" s="147" t="s">
        <v>160</v>
      </c>
      <c r="F57" s="149" t="str">
        <f>IFERROR(INDEX(Catálogo!$F$8:$F$491,MATCH(E57,Catálogo!$B$8:$B$491,0)),"")</f>
        <v>CAMISETA CICLISMO UNISSEX</v>
      </c>
      <c r="G57" s="148">
        <v>8</v>
      </c>
      <c r="H57" s="148">
        <v>8</v>
      </c>
      <c r="I57" s="149"/>
      <c r="J57" s="43" t="s">
        <v>2074</v>
      </c>
      <c r="K57" s="146">
        <v>46188</v>
      </c>
      <c r="L57" s="149"/>
      <c r="M57" s="149"/>
      <c r="N57" s="149"/>
    </row>
    <row r="58" spans="1:14" ht="14.25" customHeight="1" x14ac:dyDescent="0.3">
      <c r="A58" s="43" t="s">
        <v>2071</v>
      </c>
      <c r="B58" s="146">
        <v>46175</v>
      </c>
      <c r="C58" s="43" t="s">
        <v>2072</v>
      </c>
      <c r="D58" s="43" t="s">
        <v>2073</v>
      </c>
      <c r="E58" s="147" t="s">
        <v>161</v>
      </c>
      <c r="F58" s="43" t="str">
        <f>IFERROR(INDEX(Catálogo!$F$8:$F$491,MATCH(E58,Catálogo!$B$8:$B$491,0)),"")</f>
        <v>CAMISETA CICLISMO UNISSEX</v>
      </c>
      <c r="G58" s="148">
        <v>10</v>
      </c>
      <c r="H58" s="148">
        <v>10</v>
      </c>
      <c r="I58" s="43"/>
      <c r="J58" s="43" t="s">
        <v>2074</v>
      </c>
      <c r="K58" s="146">
        <v>46188</v>
      </c>
      <c r="L58" s="43"/>
      <c r="M58" s="43"/>
      <c r="N58" s="43"/>
    </row>
    <row r="59" spans="1:14" ht="14.25" customHeight="1" x14ac:dyDescent="0.3">
      <c r="A59" s="149" t="s">
        <v>2071</v>
      </c>
      <c r="B59" s="150">
        <v>46175</v>
      </c>
      <c r="C59" s="149" t="s">
        <v>2072</v>
      </c>
      <c r="D59" s="149" t="s">
        <v>2073</v>
      </c>
      <c r="E59" s="147" t="s">
        <v>162</v>
      </c>
      <c r="F59" s="149" t="str">
        <f>IFERROR(INDEX(Catálogo!$F$8:$F$491,MATCH(E59,Catálogo!$B$8:$B$491,0)),"")</f>
        <v>CAMISETA CICLISMO UNISSEX</v>
      </c>
      <c r="G59" s="148">
        <v>11</v>
      </c>
      <c r="H59" s="148">
        <v>11</v>
      </c>
      <c r="I59" s="149"/>
      <c r="J59" s="43" t="s">
        <v>2074</v>
      </c>
      <c r="K59" s="146">
        <v>46188</v>
      </c>
      <c r="L59" s="149"/>
      <c r="M59" s="149"/>
      <c r="N59" s="149"/>
    </row>
    <row r="60" spans="1:14" ht="14.25" customHeight="1" x14ac:dyDescent="0.3">
      <c r="A60" s="43" t="s">
        <v>2071</v>
      </c>
      <c r="B60" s="146">
        <v>46175</v>
      </c>
      <c r="C60" s="43" t="s">
        <v>2072</v>
      </c>
      <c r="D60" s="43" t="s">
        <v>2073</v>
      </c>
      <c r="E60" s="147" t="s">
        <v>163</v>
      </c>
      <c r="F60" s="43" t="str">
        <f>IFERROR(INDEX(Catálogo!$F$8:$F$491,MATCH(E60,Catálogo!$B$8:$B$491,0)),"")</f>
        <v>CAMISETA CICLISMO UNISSEX</v>
      </c>
      <c r="G60" s="148">
        <v>11</v>
      </c>
      <c r="H60" s="148">
        <v>11</v>
      </c>
      <c r="I60" s="43"/>
      <c r="J60" s="43" t="s">
        <v>2074</v>
      </c>
      <c r="K60" s="146">
        <v>46188</v>
      </c>
      <c r="L60" s="43"/>
      <c r="M60" s="43"/>
      <c r="N60" s="43"/>
    </row>
    <row r="61" spans="1:14" ht="14.25" customHeight="1" x14ac:dyDescent="0.3">
      <c r="A61" s="149" t="s">
        <v>2071</v>
      </c>
      <c r="B61" s="150">
        <v>46175</v>
      </c>
      <c r="C61" s="149" t="s">
        <v>2072</v>
      </c>
      <c r="D61" s="149" t="s">
        <v>2073</v>
      </c>
      <c r="E61" s="147" t="s">
        <v>164</v>
      </c>
      <c r="F61" s="149" t="str">
        <f>IFERROR(INDEX(Catálogo!$F$8:$F$491,MATCH(E61,Catálogo!$B$8:$B$491,0)),"")</f>
        <v>CAMISETA CICLISMO UNISSEX</v>
      </c>
      <c r="G61" s="148">
        <v>10</v>
      </c>
      <c r="H61" s="148">
        <v>10</v>
      </c>
      <c r="I61" s="149"/>
      <c r="J61" s="43" t="s">
        <v>2074</v>
      </c>
      <c r="K61" s="146">
        <v>46188</v>
      </c>
      <c r="L61" s="149"/>
      <c r="M61" s="149"/>
      <c r="N61" s="149"/>
    </row>
    <row r="62" spans="1:14" ht="14.25" customHeight="1" x14ac:dyDescent="0.3">
      <c r="A62" s="43" t="s">
        <v>2071</v>
      </c>
      <c r="B62" s="146">
        <v>46175</v>
      </c>
      <c r="C62" s="43" t="s">
        <v>2072</v>
      </c>
      <c r="D62" s="43" t="s">
        <v>2073</v>
      </c>
      <c r="E62" s="147" t="s">
        <v>165</v>
      </c>
      <c r="F62" s="43" t="str">
        <f>IFERROR(INDEX(Catálogo!$F$8:$F$491,MATCH(E62,Catálogo!$B$8:$B$491,0)),"")</f>
        <v>CAMISETA CICLISMO UNISSEX</v>
      </c>
      <c r="G62" s="148">
        <v>8</v>
      </c>
      <c r="H62" s="148">
        <v>8</v>
      </c>
      <c r="I62" s="43"/>
      <c r="J62" s="43" t="s">
        <v>2074</v>
      </c>
      <c r="K62" s="146">
        <v>46188</v>
      </c>
      <c r="L62" s="43"/>
      <c r="M62" s="43"/>
      <c r="N62" s="43"/>
    </row>
    <row r="63" spans="1:14" ht="14.25" customHeight="1" x14ac:dyDescent="0.3">
      <c r="A63" s="149" t="s">
        <v>2071</v>
      </c>
      <c r="B63" s="150">
        <v>46175</v>
      </c>
      <c r="C63" s="149" t="s">
        <v>2072</v>
      </c>
      <c r="D63" s="149" t="s">
        <v>2073</v>
      </c>
      <c r="E63" s="147" t="s">
        <v>166</v>
      </c>
      <c r="F63" s="149" t="str">
        <f>IFERROR(INDEX(Catálogo!$F$8:$F$491,MATCH(E63,Catálogo!$B$8:$B$491,0)),"")</f>
        <v>CAMISETA CICLISMO UNISSEX</v>
      </c>
      <c r="G63" s="148">
        <v>8</v>
      </c>
      <c r="H63" s="148">
        <v>8</v>
      </c>
      <c r="I63" s="149"/>
      <c r="J63" s="43" t="s">
        <v>2074</v>
      </c>
      <c r="K63" s="146">
        <v>46188</v>
      </c>
      <c r="L63" s="149"/>
      <c r="M63" s="149"/>
      <c r="N63" s="149"/>
    </row>
    <row r="64" spans="1:14" ht="14.25" customHeight="1" x14ac:dyDescent="0.3">
      <c r="A64" s="43" t="s">
        <v>2071</v>
      </c>
      <c r="B64" s="146">
        <v>46175</v>
      </c>
      <c r="C64" s="43" t="s">
        <v>2072</v>
      </c>
      <c r="D64" s="43" t="s">
        <v>2073</v>
      </c>
      <c r="E64" s="147" t="s">
        <v>167</v>
      </c>
      <c r="F64" s="43" t="str">
        <f>IFERROR(INDEX(Catálogo!$F$8:$F$491,MATCH(E64,Catálogo!$B$8:$B$491,0)),"")</f>
        <v>CAMISETA CICLISMO UNISSEX</v>
      </c>
      <c r="G64" s="148">
        <v>11</v>
      </c>
      <c r="H64" s="148">
        <v>11</v>
      </c>
      <c r="I64" s="43"/>
      <c r="J64" s="43" t="s">
        <v>2074</v>
      </c>
      <c r="K64" s="146">
        <v>46188</v>
      </c>
      <c r="L64" s="43"/>
      <c r="M64" s="43"/>
      <c r="N64" s="43"/>
    </row>
    <row r="65" spans="1:14" ht="14.25" customHeight="1" x14ac:dyDescent="0.3">
      <c r="A65" s="149" t="s">
        <v>2071</v>
      </c>
      <c r="B65" s="150">
        <v>46175</v>
      </c>
      <c r="C65" s="149" t="s">
        <v>2072</v>
      </c>
      <c r="D65" s="149" t="s">
        <v>2073</v>
      </c>
      <c r="E65" s="147" t="s">
        <v>168</v>
      </c>
      <c r="F65" s="149" t="str">
        <f>IFERROR(INDEX(Catálogo!$F$8:$F$491,MATCH(E65,Catálogo!$B$8:$B$491,0)),"")</f>
        <v>CAMISETA CICLISMO UNISSEX</v>
      </c>
      <c r="G65" s="148">
        <v>12</v>
      </c>
      <c r="H65" s="148">
        <v>12</v>
      </c>
      <c r="I65" s="149"/>
      <c r="J65" s="43" t="s">
        <v>2074</v>
      </c>
      <c r="K65" s="146">
        <v>46188</v>
      </c>
      <c r="L65" s="149"/>
      <c r="M65" s="149"/>
      <c r="N65" s="149"/>
    </row>
    <row r="66" spans="1:14" ht="14.25" customHeight="1" x14ac:dyDescent="0.3">
      <c r="A66" s="43" t="s">
        <v>2071</v>
      </c>
      <c r="B66" s="146">
        <v>46175</v>
      </c>
      <c r="C66" s="43" t="s">
        <v>2072</v>
      </c>
      <c r="D66" s="43" t="s">
        <v>2073</v>
      </c>
      <c r="E66" s="147" t="s">
        <v>169</v>
      </c>
      <c r="F66" s="43" t="str">
        <f>IFERROR(INDEX(Catálogo!$F$8:$F$491,MATCH(E66,Catálogo!$B$8:$B$491,0)),"")</f>
        <v>CAMISETA CICLISMO UNISSEX</v>
      </c>
      <c r="G66" s="148">
        <v>11</v>
      </c>
      <c r="H66" s="148">
        <v>11</v>
      </c>
      <c r="I66" s="43"/>
      <c r="J66" s="43" t="s">
        <v>2074</v>
      </c>
      <c r="K66" s="146">
        <v>46188</v>
      </c>
      <c r="L66" s="43"/>
      <c r="M66" s="43"/>
      <c r="N66" s="43"/>
    </row>
    <row r="67" spans="1:14" ht="14.25" customHeight="1" x14ac:dyDescent="0.3">
      <c r="A67" s="149" t="s">
        <v>2071</v>
      </c>
      <c r="B67" s="150">
        <v>46175</v>
      </c>
      <c r="C67" s="149" t="s">
        <v>2072</v>
      </c>
      <c r="D67" s="149" t="s">
        <v>2073</v>
      </c>
      <c r="E67" s="147" t="s">
        <v>170</v>
      </c>
      <c r="F67" s="149" t="str">
        <f>IFERROR(INDEX(Catálogo!$F$8:$F$491,MATCH(E67,Catálogo!$B$8:$B$491,0)),"")</f>
        <v>CAMISETA CICLISMO UNISSEX</v>
      </c>
      <c r="G67" s="148">
        <v>10</v>
      </c>
      <c r="H67" s="148">
        <v>10</v>
      </c>
      <c r="I67" s="149"/>
      <c r="J67" s="43" t="s">
        <v>2074</v>
      </c>
      <c r="K67" s="146">
        <v>46188</v>
      </c>
      <c r="L67" s="149"/>
      <c r="M67" s="149"/>
      <c r="N67" s="149"/>
    </row>
    <row r="68" spans="1:14" ht="14.25" customHeight="1" x14ac:dyDescent="0.3">
      <c r="A68" s="43" t="s">
        <v>2071</v>
      </c>
      <c r="B68" s="146">
        <v>46175</v>
      </c>
      <c r="C68" s="43" t="s">
        <v>2072</v>
      </c>
      <c r="D68" s="43" t="s">
        <v>2073</v>
      </c>
      <c r="E68" s="147" t="s">
        <v>171</v>
      </c>
      <c r="F68" s="43" t="str">
        <f>IFERROR(INDEX(Catálogo!$F$8:$F$491,MATCH(E68,Catálogo!$B$8:$B$491,0)),"")</f>
        <v>CAMISETA CICLISMO UNISSEX</v>
      </c>
      <c r="G68" s="148">
        <v>11</v>
      </c>
      <c r="H68" s="148">
        <v>11</v>
      </c>
      <c r="I68" s="43"/>
      <c r="J68" s="43" t="s">
        <v>2074</v>
      </c>
      <c r="K68" s="146">
        <v>46188</v>
      </c>
      <c r="L68" s="43"/>
      <c r="M68" s="43"/>
      <c r="N68" s="43"/>
    </row>
    <row r="69" spans="1:14" ht="14.25" customHeight="1" x14ac:dyDescent="0.3">
      <c r="A69" s="149" t="s">
        <v>2071</v>
      </c>
      <c r="B69" s="150">
        <v>46175</v>
      </c>
      <c r="C69" s="149" t="s">
        <v>2072</v>
      </c>
      <c r="D69" s="149" t="s">
        <v>2073</v>
      </c>
      <c r="E69" s="147" t="s">
        <v>172</v>
      </c>
      <c r="F69" s="149" t="str">
        <f>IFERROR(INDEX(Catálogo!$F$8:$F$491,MATCH(E69,Catálogo!$B$8:$B$491,0)),"")</f>
        <v>CAMISETA COPA FEM.</v>
      </c>
      <c r="G69" s="148">
        <v>9</v>
      </c>
      <c r="H69" s="148">
        <v>9</v>
      </c>
      <c r="I69" s="149"/>
      <c r="J69" s="43" t="s">
        <v>2074</v>
      </c>
      <c r="K69" s="146">
        <v>46188</v>
      </c>
      <c r="L69" s="149"/>
      <c r="M69" s="149"/>
      <c r="N69" s="149"/>
    </row>
    <row r="70" spans="1:14" ht="14.25" customHeight="1" x14ac:dyDescent="0.3">
      <c r="A70" s="43" t="s">
        <v>2071</v>
      </c>
      <c r="B70" s="146">
        <v>46175</v>
      </c>
      <c r="C70" s="43" t="s">
        <v>2072</v>
      </c>
      <c r="D70" s="43" t="s">
        <v>2073</v>
      </c>
      <c r="E70" s="147" t="s">
        <v>173</v>
      </c>
      <c r="F70" s="43" t="str">
        <f>IFERROR(INDEX(Catálogo!$F$8:$F$491,MATCH(E70,Catálogo!$B$8:$B$491,0)),"")</f>
        <v>CAMISETA COPA FEM.</v>
      </c>
      <c r="G70" s="148">
        <v>5</v>
      </c>
      <c r="H70" s="148">
        <v>5</v>
      </c>
      <c r="I70" s="43"/>
      <c r="J70" s="43" t="s">
        <v>2074</v>
      </c>
      <c r="K70" s="146">
        <v>46188</v>
      </c>
      <c r="L70" s="43"/>
      <c r="M70" s="43"/>
      <c r="N70" s="43"/>
    </row>
    <row r="71" spans="1:14" ht="14.25" customHeight="1" x14ac:dyDescent="0.3">
      <c r="A71" s="149" t="s">
        <v>2071</v>
      </c>
      <c r="B71" s="150">
        <v>46175</v>
      </c>
      <c r="C71" s="149" t="s">
        <v>2072</v>
      </c>
      <c r="D71" s="149" t="s">
        <v>2073</v>
      </c>
      <c r="E71" s="147" t="s">
        <v>174</v>
      </c>
      <c r="F71" s="149" t="str">
        <f>IFERROR(INDEX(Catálogo!$F$8:$F$491,MATCH(E71,Catálogo!$B$8:$B$491,0)),"")</f>
        <v>CAMISETA COPA FEM.</v>
      </c>
      <c r="G71" s="148">
        <v>12</v>
      </c>
      <c r="H71" s="148">
        <v>12</v>
      </c>
      <c r="I71" s="149"/>
      <c r="J71" s="43" t="s">
        <v>2074</v>
      </c>
      <c r="K71" s="146">
        <v>46188</v>
      </c>
      <c r="L71" s="149"/>
      <c r="M71" s="149"/>
      <c r="N71" s="149"/>
    </row>
    <row r="72" spans="1:14" ht="14.25" customHeight="1" x14ac:dyDescent="0.3">
      <c r="A72" s="43" t="s">
        <v>2071</v>
      </c>
      <c r="B72" s="146">
        <v>46175</v>
      </c>
      <c r="C72" s="43" t="s">
        <v>2072</v>
      </c>
      <c r="D72" s="43" t="s">
        <v>2073</v>
      </c>
      <c r="E72" s="147" t="s">
        <v>175</v>
      </c>
      <c r="F72" s="43" t="str">
        <f>IFERROR(INDEX(Catálogo!$F$8:$F$491,MATCH(E72,Catálogo!$B$8:$B$491,0)),"")</f>
        <v>CAMISETA COPA FEM.</v>
      </c>
      <c r="G72" s="148">
        <v>6</v>
      </c>
      <c r="H72" s="148">
        <v>6</v>
      </c>
      <c r="I72" s="43"/>
      <c r="J72" s="43" t="s">
        <v>2074</v>
      </c>
      <c r="K72" s="146">
        <v>46188</v>
      </c>
      <c r="L72" s="43"/>
      <c r="M72" s="43"/>
      <c r="N72" s="43"/>
    </row>
    <row r="73" spans="1:14" ht="14.25" customHeight="1" x14ac:dyDescent="0.3">
      <c r="A73" s="149" t="s">
        <v>2071</v>
      </c>
      <c r="B73" s="150">
        <v>46175</v>
      </c>
      <c r="C73" s="149" t="s">
        <v>2072</v>
      </c>
      <c r="D73" s="149" t="s">
        <v>2073</v>
      </c>
      <c r="E73" s="147" t="s">
        <v>176</v>
      </c>
      <c r="F73" s="149" t="str">
        <f>IFERROR(INDEX(Catálogo!$F$8:$F$491,MATCH(E73,Catálogo!$B$8:$B$491,0)),"")</f>
        <v>CAMISETA COPA FEM.</v>
      </c>
      <c r="G73" s="148">
        <v>7</v>
      </c>
      <c r="H73" s="148">
        <v>7</v>
      </c>
      <c r="I73" s="149"/>
      <c r="J73" s="43" t="s">
        <v>2074</v>
      </c>
      <c r="K73" s="146">
        <v>46188</v>
      </c>
      <c r="L73" s="149"/>
      <c r="M73" s="149"/>
      <c r="N73" s="149"/>
    </row>
    <row r="74" spans="1:14" ht="14.25" customHeight="1" x14ac:dyDescent="0.3">
      <c r="A74" s="43" t="s">
        <v>2071</v>
      </c>
      <c r="B74" s="146">
        <v>46175</v>
      </c>
      <c r="C74" s="43" t="s">
        <v>2072</v>
      </c>
      <c r="D74" s="43" t="s">
        <v>2073</v>
      </c>
      <c r="E74" s="147" t="s">
        <v>177</v>
      </c>
      <c r="F74" s="43" t="str">
        <f>IFERROR(INDEX(Catálogo!$F$8:$F$491,MATCH(E74,Catálogo!$B$8:$B$491,0)),"")</f>
        <v>POLO PIQUET FEM.</v>
      </c>
      <c r="G74" s="148">
        <v>8</v>
      </c>
      <c r="H74" s="148">
        <v>8</v>
      </c>
      <c r="I74" s="43"/>
      <c r="J74" s="43" t="s">
        <v>2074</v>
      </c>
      <c r="K74" s="146">
        <v>46188</v>
      </c>
      <c r="L74" s="43"/>
      <c r="M74" s="43"/>
      <c r="N74" s="43"/>
    </row>
    <row r="75" spans="1:14" ht="14.25" customHeight="1" x14ac:dyDescent="0.3">
      <c r="A75" s="149" t="s">
        <v>2071</v>
      </c>
      <c r="B75" s="150">
        <v>46175</v>
      </c>
      <c r="C75" s="149" t="s">
        <v>2072</v>
      </c>
      <c r="D75" s="149" t="s">
        <v>2073</v>
      </c>
      <c r="E75" s="147" t="s">
        <v>178</v>
      </c>
      <c r="F75" s="149" t="str">
        <f>IFERROR(INDEX(Catálogo!$F$8:$F$491,MATCH(E75,Catálogo!$B$8:$B$491,0)),"")</f>
        <v>POLO PIQUET FEM.</v>
      </c>
      <c r="G75" s="148">
        <v>13</v>
      </c>
      <c r="H75" s="148">
        <v>13</v>
      </c>
      <c r="I75" s="149"/>
      <c r="J75" s="43" t="s">
        <v>2074</v>
      </c>
      <c r="K75" s="146">
        <v>46188</v>
      </c>
      <c r="L75" s="149"/>
      <c r="M75" s="149"/>
      <c r="N75" s="149"/>
    </row>
    <row r="76" spans="1:14" ht="14.25" customHeight="1" x14ac:dyDescent="0.3">
      <c r="A76" s="43" t="s">
        <v>2071</v>
      </c>
      <c r="B76" s="146">
        <v>46175</v>
      </c>
      <c r="C76" s="43" t="s">
        <v>2072</v>
      </c>
      <c r="D76" s="43" t="s">
        <v>2073</v>
      </c>
      <c r="E76" s="147" t="s">
        <v>179</v>
      </c>
      <c r="F76" s="43" t="str">
        <f>IFERROR(INDEX(Catálogo!$F$8:$F$491,MATCH(E76,Catálogo!$B$8:$B$491,0)),"")</f>
        <v>POLO PIQUET FEM.</v>
      </c>
      <c r="G76" s="148">
        <v>15</v>
      </c>
      <c r="H76" s="148">
        <v>15</v>
      </c>
      <c r="I76" s="43"/>
      <c r="J76" s="43" t="s">
        <v>2074</v>
      </c>
      <c r="K76" s="146">
        <v>46188</v>
      </c>
      <c r="L76" s="43"/>
      <c r="M76" s="43"/>
      <c r="N76" s="43"/>
    </row>
    <row r="77" spans="1:14" ht="14.25" customHeight="1" x14ac:dyDescent="0.3">
      <c r="A77" s="149" t="s">
        <v>2071</v>
      </c>
      <c r="B77" s="150">
        <v>46175</v>
      </c>
      <c r="C77" s="149" t="s">
        <v>2072</v>
      </c>
      <c r="D77" s="149" t="s">
        <v>2073</v>
      </c>
      <c r="E77" s="147" t="s">
        <v>180</v>
      </c>
      <c r="F77" s="149" t="str">
        <f>IFERROR(INDEX(Catálogo!$F$8:$F$491,MATCH(E77,Catálogo!$B$8:$B$491,0)),"")</f>
        <v>POLO PIQUET FEM.</v>
      </c>
      <c r="G77" s="148">
        <v>8</v>
      </c>
      <c r="H77" s="148">
        <v>8</v>
      </c>
      <c r="I77" s="149"/>
      <c r="J77" s="43" t="s">
        <v>2074</v>
      </c>
      <c r="K77" s="146">
        <v>46188</v>
      </c>
      <c r="L77" s="149"/>
      <c r="M77" s="149"/>
      <c r="N77" s="149"/>
    </row>
    <row r="78" spans="1:14" ht="14.25" customHeight="1" x14ac:dyDescent="0.3">
      <c r="A78" s="43" t="s">
        <v>2071</v>
      </c>
      <c r="B78" s="146">
        <v>46175</v>
      </c>
      <c r="C78" s="43" t="s">
        <v>2072</v>
      </c>
      <c r="D78" s="43" t="s">
        <v>2073</v>
      </c>
      <c r="E78" s="147" t="s">
        <v>181</v>
      </c>
      <c r="F78" s="43" t="str">
        <f>IFERROR(INDEX(Catálogo!$F$8:$F$491,MATCH(E78,Catálogo!$B$8:$B$491,0)),"")</f>
        <v>POLO PIQUET FEM.</v>
      </c>
      <c r="G78" s="148">
        <v>4</v>
      </c>
      <c r="H78" s="148">
        <v>4</v>
      </c>
      <c r="I78" s="43"/>
      <c r="J78" s="43" t="s">
        <v>2074</v>
      </c>
      <c r="K78" s="146">
        <v>46188</v>
      </c>
      <c r="L78" s="43"/>
      <c r="M78" s="43"/>
      <c r="N78" s="43"/>
    </row>
    <row r="79" spans="1:14" ht="14.25" customHeight="1" x14ac:dyDescent="0.3">
      <c r="A79" s="149" t="s">
        <v>2071</v>
      </c>
      <c r="B79" s="150">
        <v>46175</v>
      </c>
      <c r="C79" s="149" t="s">
        <v>2072</v>
      </c>
      <c r="D79" s="149" t="s">
        <v>2073</v>
      </c>
      <c r="E79" s="147" t="s">
        <v>182</v>
      </c>
      <c r="F79" s="149" t="str">
        <f>IFERROR(INDEX(Catálogo!$F$8:$F$491,MATCH(E79,Catálogo!$B$8:$B$491,0)),"")</f>
        <v>POLO PIQUET FEM.</v>
      </c>
      <c r="G79" s="148">
        <v>5</v>
      </c>
      <c r="H79" s="148">
        <v>5</v>
      </c>
      <c r="I79" s="149"/>
      <c r="J79" s="43" t="s">
        <v>2074</v>
      </c>
      <c r="K79" s="146">
        <v>46188</v>
      </c>
      <c r="L79" s="149"/>
      <c r="M79" s="149"/>
      <c r="N79" s="149"/>
    </row>
    <row r="80" spans="1:14" ht="14.25" customHeight="1" x14ac:dyDescent="0.3">
      <c r="A80" s="43" t="s">
        <v>2071</v>
      </c>
      <c r="B80" s="146">
        <v>46175</v>
      </c>
      <c r="C80" s="43" t="s">
        <v>2072</v>
      </c>
      <c r="D80" s="43" t="s">
        <v>2073</v>
      </c>
      <c r="E80" s="147" t="s">
        <v>188</v>
      </c>
      <c r="F80" s="43" t="str">
        <f>IFERROR(INDEX(Catálogo!$F$8:$F$491,MATCH(E80,Catálogo!$B$8:$B$491,0)),"")</f>
        <v>JAQUETA COPA FEM.</v>
      </c>
      <c r="G80" s="148">
        <v>8</v>
      </c>
      <c r="H80" s="148">
        <v>8</v>
      </c>
      <c r="I80" s="43"/>
      <c r="J80" s="43" t="s">
        <v>2074</v>
      </c>
      <c r="K80" s="146">
        <v>46188</v>
      </c>
      <c r="L80" s="43"/>
      <c r="M80" s="43"/>
      <c r="N80" s="43"/>
    </row>
    <row r="81" spans="1:14" ht="14.25" customHeight="1" x14ac:dyDescent="0.3">
      <c r="A81" s="149" t="s">
        <v>2071</v>
      </c>
      <c r="B81" s="150">
        <v>46175</v>
      </c>
      <c r="C81" s="149" t="s">
        <v>2072</v>
      </c>
      <c r="D81" s="149" t="s">
        <v>2073</v>
      </c>
      <c r="E81" s="147" t="s">
        <v>189</v>
      </c>
      <c r="F81" s="149" t="str">
        <f>IFERROR(INDEX(Catálogo!$F$8:$F$491,MATCH(E81,Catálogo!$B$8:$B$491,0)),"")</f>
        <v>JAQUETA COPA FEM.</v>
      </c>
      <c r="G81" s="148">
        <v>1</v>
      </c>
      <c r="H81" s="148">
        <v>1</v>
      </c>
      <c r="I81" s="149"/>
      <c r="J81" s="43" t="s">
        <v>2074</v>
      </c>
      <c r="K81" s="146">
        <v>46188</v>
      </c>
      <c r="L81" s="149"/>
      <c r="M81" s="149"/>
      <c r="N81" s="149"/>
    </row>
    <row r="82" spans="1:14" ht="14.25" customHeight="1" x14ac:dyDescent="0.3">
      <c r="A82" s="43" t="s">
        <v>2071</v>
      </c>
      <c r="B82" s="146">
        <v>46175</v>
      </c>
      <c r="C82" s="43" t="s">
        <v>2072</v>
      </c>
      <c r="D82" s="43" t="s">
        <v>2073</v>
      </c>
      <c r="E82" s="147" t="s">
        <v>190</v>
      </c>
      <c r="F82" s="43" t="str">
        <f>IFERROR(INDEX(Catálogo!$F$8:$F$491,MATCH(E82,Catálogo!$B$8:$B$491,0)),"")</f>
        <v>JAQUETA COPA FEM.</v>
      </c>
      <c r="G82" s="148">
        <v>8</v>
      </c>
      <c r="H82" s="148">
        <v>8</v>
      </c>
      <c r="I82" s="43"/>
      <c r="J82" s="43" t="s">
        <v>2074</v>
      </c>
      <c r="K82" s="146">
        <v>46188</v>
      </c>
      <c r="L82" s="43"/>
      <c r="M82" s="43"/>
      <c r="N82" s="43"/>
    </row>
    <row r="83" spans="1:14" ht="14.25" customHeight="1" x14ac:dyDescent="0.3">
      <c r="A83" s="149" t="s">
        <v>2071</v>
      </c>
      <c r="B83" s="150">
        <v>46175</v>
      </c>
      <c r="C83" s="149" t="s">
        <v>2072</v>
      </c>
      <c r="D83" s="149" t="s">
        <v>2073</v>
      </c>
      <c r="E83" s="147" t="s">
        <v>191</v>
      </c>
      <c r="F83" s="149" t="str">
        <f>IFERROR(INDEX(Catálogo!$F$8:$F$491,MATCH(E83,Catálogo!$B$8:$B$491,0)),"")</f>
        <v>JAQUETA COPA FEM.</v>
      </c>
      <c r="G83" s="148">
        <v>16</v>
      </c>
      <c r="H83" s="148">
        <v>16</v>
      </c>
      <c r="I83" s="149"/>
      <c r="J83" s="43" t="s">
        <v>2074</v>
      </c>
      <c r="K83" s="146">
        <v>46188</v>
      </c>
      <c r="L83" s="149"/>
      <c r="M83" s="149"/>
      <c r="N83" s="149"/>
    </row>
    <row r="84" spans="1:14" ht="14.25" customHeight="1" x14ac:dyDescent="0.3">
      <c r="A84" s="43" t="s">
        <v>2071</v>
      </c>
      <c r="B84" s="146">
        <v>46175</v>
      </c>
      <c r="C84" s="43" t="s">
        <v>2072</v>
      </c>
      <c r="D84" s="43" t="s">
        <v>2073</v>
      </c>
      <c r="E84" s="147" t="s">
        <v>192</v>
      </c>
      <c r="F84" s="43" t="str">
        <f>IFERROR(INDEX(Catálogo!$F$8:$F$491,MATCH(E84,Catálogo!$B$8:$B$491,0)),"")</f>
        <v>POLO PIQUET FEM.</v>
      </c>
      <c r="G84" s="148">
        <v>10</v>
      </c>
      <c r="H84" s="148">
        <v>10</v>
      </c>
      <c r="I84" s="43"/>
      <c r="J84" s="43" t="s">
        <v>2074</v>
      </c>
      <c r="K84" s="146">
        <v>46188</v>
      </c>
      <c r="L84" s="43"/>
      <c r="M84" s="43"/>
      <c r="N84" s="43"/>
    </row>
    <row r="85" spans="1:14" ht="14.25" customHeight="1" x14ac:dyDescent="0.3">
      <c r="A85" s="149" t="s">
        <v>2071</v>
      </c>
      <c r="B85" s="150">
        <v>46175</v>
      </c>
      <c r="C85" s="149" t="s">
        <v>2072</v>
      </c>
      <c r="D85" s="149" t="s">
        <v>2073</v>
      </c>
      <c r="E85" s="147" t="s">
        <v>193</v>
      </c>
      <c r="F85" s="149" t="str">
        <f>IFERROR(INDEX(Catálogo!$F$8:$F$491,MATCH(E85,Catálogo!$B$8:$B$491,0)),"")</f>
        <v>POLO PIQUET FEM.</v>
      </c>
      <c r="G85" s="148">
        <v>13</v>
      </c>
      <c r="H85" s="148">
        <v>13</v>
      </c>
      <c r="I85" s="149"/>
      <c r="J85" s="43" t="s">
        <v>2074</v>
      </c>
      <c r="K85" s="146">
        <v>46188</v>
      </c>
      <c r="L85" s="149"/>
      <c r="M85" s="149"/>
      <c r="N85" s="149"/>
    </row>
    <row r="86" spans="1:14" ht="14.25" customHeight="1" x14ac:dyDescent="0.3">
      <c r="A86" s="43" t="s">
        <v>2071</v>
      </c>
      <c r="B86" s="146">
        <v>46175</v>
      </c>
      <c r="C86" s="43" t="s">
        <v>2072</v>
      </c>
      <c r="D86" s="43" t="s">
        <v>2073</v>
      </c>
      <c r="E86" s="147" t="s">
        <v>194</v>
      </c>
      <c r="F86" s="43" t="str">
        <f>IFERROR(INDEX(Catálogo!$F$8:$F$491,MATCH(E86,Catálogo!$B$8:$B$491,0)),"")</f>
        <v>POLO PIQUET FEM.</v>
      </c>
      <c r="G86" s="148">
        <v>15</v>
      </c>
      <c r="H86" s="148">
        <v>15</v>
      </c>
      <c r="I86" s="43"/>
      <c r="J86" s="43" t="s">
        <v>2074</v>
      </c>
      <c r="K86" s="146">
        <v>46188</v>
      </c>
      <c r="L86" s="43"/>
      <c r="M86" s="43"/>
      <c r="N86" s="43"/>
    </row>
    <row r="87" spans="1:14" ht="14.25" customHeight="1" x14ac:dyDescent="0.3">
      <c r="A87" s="149" t="s">
        <v>2071</v>
      </c>
      <c r="B87" s="150">
        <v>46175</v>
      </c>
      <c r="C87" s="149" t="s">
        <v>2072</v>
      </c>
      <c r="D87" s="149" t="s">
        <v>2073</v>
      </c>
      <c r="E87" s="147" t="s">
        <v>195</v>
      </c>
      <c r="F87" s="149" t="str">
        <f>IFERROR(INDEX(Catálogo!$F$8:$F$491,MATCH(E87,Catálogo!$B$8:$B$491,0)),"")</f>
        <v>POLO PIQUET FEM.</v>
      </c>
      <c r="G87" s="148">
        <v>9</v>
      </c>
      <c r="H87" s="148">
        <v>9</v>
      </c>
      <c r="I87" s="149"/>
      <c r="J87" s="43" t="s">
        <v>2074</v>
      </c>
      <c r="K87" s="146">
        <v>46188</v>
      </c>
      <c r="L87" s="149"/>
      <c r="M87" s="149"/>
      <c r="N87" s="149"/>
    </row>
    <row r="88" spans="1:14" ht="14.25" customHeight="1" x14ac:dyDescent="0.3">
      <c r="A88" s="43" t="s">
        <v>2071</v>
      </c>
      <c r="B88" s="146">
        <v>46175</v>
      </c>
      <c r="C88" s="43" t="s">
        <v>2072</v>
      </c>
      <c r="D88" s="43" t="s">
        <v>2073</v>
      </c>
      <c r="E88" s="147" t="s">
        <v>196</v>
      </c>
      <c r="F88" s="43" t="str">
        <f>IFERROR(INDEX(Catálogo!$F$8:$F$491,MATCH(E88,Catálogo!$B$8:$B$491,0)),"")</f>
        <v>POLO PIQUET FEM.</v>
      </c>
      <c r="G88" s="148">
        <v>5</v>
      </c>
      <c r="H88" s="148">
        <v>5</v>
      </c>
      <c r="I88" s="43"/>
      <c r="J88" s="43" t="s">
        <v>2074</v>
      </c>
      <c r="K88" s="146">
        <v>46188</v>
      </c>
      <c r="L88" s="43"/>
      <c r="M88" s="43"/>
      <c r="N88" s="43"/>
    </row>
    <row r="89" spans="1:14" ht="14.25" customHeight="1" x14ac:dyDescent="0.3">
      <c r="A89" s="149" t="s">
        <v>2071</v>
      </c>
      <c r="B89" s="150">
        <v>46175</v>
      </c>
      <c r="C89" s="149" t="s">
        <v>2072</v>
      </c>
      <c r="D89" s="149" t="s">
        <v>2073</v>
      </c>
      <c r="E89" s="147" t="s">
        <v>197</v>
      </c>
      <c r="F89" s="149" t="str">
        <f>IFERROR(INDEX(Catálogo!$F$8:$F$491,MATCH(E89,Catálogo!$B$8:$B$491,0)),"")</f>
        <v>POLO PIQUET FEM.</v>
      </c>
      <c r="G89" s="148">
        <v>5</v>
      </c>
      <c r="H89" s="148">
        <v>5</v>
      </c>
      <c r="I89" s="149"/>
      <c r="J89" s="43" t="s">
        <v>2074</v>
      </c>
      <c r="K89" s="146">
        <v>46188</v>
      </c>
      <c r="L89" s="149"/>
      <c r="M89" s="149"/>
      <c r="N89" s="149"/>
    </row>
    <row r="90" spans="1:14" ht="14.25" customHeight="1" x14ac:dyDescent="0.3">
      <c r="A90" s="43" t="s">
        <v>2071</v>
      </c>
      <c r="B90" s="146">
        <v>46175</v>
      </c>
      <c r="C90" s="43" t="s">
        <v>2072</v>
      </c>
      <c r="D90" s="43" t="s">
        <v>2073</v>
      </c>
      <c r="E90" s="147" t="s">
        <v>198</v>
      </c>
      <c r="F90" s="43" t="str">
        <f>IFERROR(INDEX(Catálogo!$F$8:$F$491,MATCH(E90,Catálogo!$B$8:$B$491,0)),"")</f>
        <v>POLO PIMA FEM.</v>
      </c>
      <c r="G90" s="148">
        <v>5</v>
      </c>
      <c r="H90" s="148">
        <v>5</v>
      </c>
      <c r="I90" s="43"/>
      <c r="J90" s="43" t="s">
        <v>2074</v>
      </c>
      <c r="K90" s="146">
        <v>46188</v>
      </c>
      <c r="L90" s="43"/>
      <c r="M90" s="43"/>
      <c r="N90" s="43"/>
    </row>
    <row r="91" spans="1:14" ht="14.25" customHeight="1" x14ac:dyDescent="0.3">
      <c r="A91" s="149" t="s">
        <v>2071</v>
      </c>
      <c r="B91" s="150">
        <v>46175</v>
      </c>
      <c r="C91" s="149" t="s">
        <v>2072</v>
      </c>
      <c r="D91" s="149" t="s">
        <v>2073</v>
      </c>
      <c r="E91" s="147" t="s">
        <v>199</v>
      </c>
      <c r="F91" s="149" t="str">
        <f>IFERROR(INDEX(Catálogo!$F$8:$F$491,MATCH(E91,Catálogo!$B$8:$B$491,0)),"")</f>
        <v>POLO PIMA FEM.</v>
      </c>
      <c r="G91" s="148">
        <v>10</v>
      </c>
      <c r="H91" s="148">
        <v>10</v>
      </c>
      <c r="I91" s="149"/>
      <c r="J91" s="43" t="s">
        <v>2074</v>
      </c>
      <c r="K91" s="146">
        <v>46188</v>
      </c>
      <c r="L91" s="149"/>
      <c r="M91" s="149"/>
      <c r="N91" s="149"/>
    </row>
    <row r="92" spans="1:14" ht="14.25" customHeight="1" x14ac:dyDescent="0.3">
      <c r="A92" s="43" t="s">
        <v>2071</v>
      </c>
      <c r="B92" s="146">
        <v>46175</v>
      </c>
      <c r="C92" s="43" t="s">
        <v>2072</v>
      </c>
      <c r="D92" s="43" t="s">
        <v>2073</v>
      </c>
      <c r="E92" s="147" t="s">
        <v>200</v>
      </c>
      <c r="F92" s="43" t="str">
        <f>IFERROR(INDEX(Catálogo!$F$8:$F$491,MATCH(E92,Catálogo!$B$8:$B$491,0)),"")</f>
        <v>POLO PIMA FEM.</v>
      </c>
      <c r="G92" s="148">
        <v>10</v>
      </c>
      <c r="H92" s="148">
        <v>10</v>
      </c>
      <c r="I92" s="43"/>
      <c r="J92" s="43" t="s">
        <v>2074</v>
      </c>
      <c r="K92" s="146">
        <v>46188</v>
      </c>
      <c r="L92" s="43"/>
      <c r="M92" s="43"/>
      <c r="N92" s="43"/>
    </row>
    <row r="93" spans="1:14" ht="14.25" customHeight="1" x14ac:dyDescent="0.3">
      <c r="A93" s="149" t="s">
        <v>2071</v>
      </c>
      <c r="B93" s="150">
        <v>46175</v>
      </c>
      <c r="C93" s="149" t="s">
        <v>2072</v>
      </c>
      <c r="D93" s="149" t="s">
        <v>2073</v>
      </c>
      <c r="E93" s="147" t="s">
        <v>201</v>
      </c>
      <c r="F93" s="149" t="str">
        <f>IFERROR(INDEX(Catálogo!$F$8:$F$491,MATCH(E93,Catálogo!$B$8:$B$491,0)),"")</f>
        <v>POLO PIMA FEM.</v>
      </c>
      <c r="G93" s="148">
        <v>5</v>
      </c>
      <c r="H93" s="148">
        <v>5</v>
      </c>
      <c r="I93" s="149"/>
      <c r="J93" s="43" t="s">
        <v>2074</v>
      </c>
      <c r="K93" s="146">
        <v>46188</v>
      </c>
      <c r="L93" s="149"/>
      <c r="M93" s="149"/>
      <c r="N93" s="149"/>
    </row>
    <row r="94" spans="1:14" ht="14.25" customHeight="1" x14ac:dyDescent="0.3">
      <c r="A94" s="43" t="s">
        <v>2071</v>
      </c>
      <c r="B94" s="146">
        <v>46175</v>
      </c>
      <c r="C94" s="43" t="s">
        <v>2072</v>
      </c>
      <c r="D94" s="43" t="s">
        <v>2073</v>
      </c>
      <c r="E94" s="147" t="s">
        <v>202</v>
      </c>
      <c r="F94" s="43" t="str">
        <f>IFERROR(INDEX(Catálogo!$F$8:$F$491,MATCH(E94,Catálogo!$B$8:$B$491,0)),"")</f>
        <v>POLO PIMA FEM.</v>
      </c>
      <c r="G94" s="148">
        <v>5</v>
      </c>
      <c r="H94" s="148">
        <v>5</v>
      </c>
      <c r="I94" s="43"/>
      <c r="J94" s="43" t="s">
        <v>2074</v>
      </c>
      <c r="K94" s="146">
        <v>46188</v>
      </c>
      <c r="L94" s="43"/>
      <c r="M94" s="43"/>
      <c r="N94" s="43"/>
    </row>
    <row r="95" spans="1:14" ht="14.25" customHeight="1" x14ac:dyDescent="0.3">
      <c r="A95" s="149" t="s">
        <v>2071</v>
      </c>
      <c r="B95" s="150">
        <v>46175</v>
      </c>
      <c r="C95" s="149" t="s">
        <v>2072</v>
      </c>
      <c r="D95" s="149" t="s">
        <v>2073</v>
      </c>
      <c r="E95" s="147" t="s">
        <v>203</v>
      </c>
      <c r="F95" s="149" t="str">
        <f>IFERROR(INDEX(Catálogo!$F$8:$F$491,MATCH(E95,Catálogo!$B$8:$B$491,0)),"")</f>
        <v>POLO PIMA FEM.</v>
      </c>
      <c r="G95" s="148">
        <v>5</v>
      </c>
      <c r="H95" s="148">
        <v>5</v>
      </c>
      <c r="I95" s="149"/>
      <c r="J95" s="43" t="s">
        <v>2074</v>
      </c>
      <c r="K95" s="146">
        <v>46188</v>
      </c>
      <c r="L95" s="149"/>
      <c r="M95" s="149"/>
      <c r="N95" s="149"/>
    </row>
    <row r="96" spans="1:14" ht="14.25" customHeight="1" x14ac:dyDescent="0.3">
      <c r="A96" s="43" t="s">
        <v>2071</v>
      </c>
      <c r="B96" s="146">
        <v>46175</v>
      </c>
      <c r="C96" s="43" t="s">
        <v>2072</v>
      </c>
      <c r="D96" s="43" t="s">
        <v>2073</v>
      </c>
      <c r="E96" s="147" t="s">
        <v>204</v>
      </c>
      <c r="F96" s="43" t="str">
        <f>IFERROR(INDEX(Catálogo!$F$8:$F$491,MATCH(E96,Catálogo!$B$8:$B$491,0)),"")</f>
        <v>CAMISETA COPA FEM.</v>
      </c>
      <c r="G96" s="148">
        <v>9</v>
      </c>
      <c r="H96" s="148">
        <v>9</v>
      </c>
      <c r="I96" s="43"/>
      <c r="J96" s="43" t="s">
        <v>2074</v>
      </c>
      <c r="K96" s="146">
        <v>46188</v>
      </c>
      <c r="L96" s="43"/>
      <c r="M96" s="43"/>
      <c r="N96" s="43"/>
    </row>
    <row r="97" spans="1:14" ht="14.25" customHeight="1" x14ac:dyDescent="0.3">
      <c r="A97" s="149" t="s">
        <v>2071</v>
      </c>
      <c r="B97" s="150">
        <v>46175</v>
      </c>
      <c r="C97" s="149" t="s">
        <v>2072</v>
      </c>
      <c r="D97" s="149" t="s">
        <v>2073</v>
      </c>
      <c r="E97" s="147" t="s">
        <v>205</v>
      </c>
      <c r="F97" s="149" t="str">
        <f>IFERROR(INDEX(Catálogo!$F$8:$F$491,MATCH(E97,Catálogo!$B$8:$B$491,0)),"")</f>
        <v>CAMISETA COPA FEM.</v>
      </c>
      <c r="G97" s="148">
        <v>10</v>
      </c>
      <c r="H97" s="148">
        <v>10</v>
      </c>
      <c r="I97" s="149"/>
      <c r="J97" s="43" t="s">
        <v>2074</v>
      </c>
      <c r="K97" s="146">
        <v>46188</v>
      </c>
      <c r="L97" s="149"/>
      <c r="M97" s="149"/>
      <c r="N97" s="149"/>
    </row>
    <row r="98" spans="1:14" ht="14.25" customHeight="1" x14ac:dyDescent="0.3">
      <c r="A98" s="43" t="s">
        <v>2071</v>
      </c>
      <c r="B98" s="146">
        <v>46175</v>
      </c>
      <c r="C98" s="43" t="s">
        <v>2072</v>
      </c>
      <c r="D98" s="43" t="s">
        <v>2073</v>
      </c>
      <c r="E98" s="147" t="s">
        <v>206</v>
      </c>
      <c r="F98" s="43" t="str">
        <f>IFERROR(INDEX(Catálogo!$F$8:$F$491,MATCH(E98,Catálogo!$B$8:$B$491,0)),"")</f>
        <v>CAMISETA COPA FEM.</v>
      </c>
      <c r="G98" s="148">
        <v>10</v>
      </c>
      <c r="H98" s="148">
        <v>10</v>
      </c>
      <c r="I98" s="43"/>
      <c r="J98" s="43" t="s">
        <v>2074</v>
      </c>
      <c r="K98" s="146">
        <v>46188</v>
      </c>
      <c r="L98" s="43"/>
      <c r="M98" s="43"/>
      <c r="N98" s="43"/>
    </row>
    <row r="99" spans="1:14" ht="14.25" customHeight="1" x14ac:dyDescent="0.3">
      <c r="A99" s="149" t="s">
        <v>2071</v>
      </c>
      <c r="B99" s="150">
        <v>46175</v>
      </c>
      <c r="C99" s="149" t="s">
        <v>2072</v>
      </c>
      <c r="D99" s="149" t="s">
        <v>2073</v>
      </c>
      <c r="E99" s="147" t="s">
        <v>207</v>
      </c>
      <c r="F99" s="149" t="str">
        <f>IFERROR(INDEX(Catálogo!$F$8:$F$491,MATCH(E99,Catálogo!$B$8:$B$491,0)),"")</f>
        <v>CAMISETA COPA FEM.</v>
      </c>
      <c r="G99" s="148">
        <v>10</v>
      </c>
      <c r="H99" s="148">
        <v>10</v>
      </c>
      <c r="I99" s="149"/>
      <c r="J99" s="43" t="s">
        <v>2074</v>
      </c>
      <c r="K99" s="146">
        <v>46188</v>
      </c>
      <c r="L99" s="149"/>
      <c r="M99" s="149"/>
      <c r="N99" s="149"/>
    </row>
    <row r="100" spans="1:14" ht="14.25" customHeight="1" x14ac:dyDescent="0.3">
      <c r="A100" s="43" t="s">
        <v>2071</v>
      </c>
      <c r="B100" s="146">
        <v>46175</v>
      </c>
      <c r="C100" s="43" t="s">
        <v>2072</v>
      </c>
      <c r="D100" s="43" t="s">
        <v>2073</v>
      </c>
      <c r="E100" s="147" t="s">
        <v>208</v>
      </c>
      <c r="F100" s="43" t="str">
        <f>IFERROR(INDEX(Catálogo!$F$8:$F$491,MATCH(E100,Catálogo!$B$8:$B$491,0)),"")</f>
        <v>CAMISETA COPA FEM.</v>
      </c>
      <c r="G100" s="148">
        <v>7</v>
      </c>
      <c r="H100" s="148">
        <v>7</v>
      </c>
      <c r="I100" s="43"/>
      <c r="J100" s="43" t="s">
        <v>2074</v>
      </c>
      <c r="K100" s="146">
        <v>46188</v>
      </c>
      <c r="L100" s="43"/>
      <c r="M100" s="43"/>
      <c r="N100" s="43"/>
    </row>
    <row r="101" spans="1:14" ht="14.25" customHeight="1" x14ac:dyDescent="0.3">
      <c r="A101" s="149" t="s">
        <v>2071</v>
      </c>
      <c r="B101" s="150">
        <v>46175</v>
      </c>
      <c r="C101" s="149" t="s">
        <v>2072</v>
      </c>
      <c r="D101" s="149" t="s">
        <v>2073</v>
      </c>
      <c r="E101" s="147" t="s">
        <v>209</v>
      </c>
      <c r="F101" s="149" t="str">
        <f>IFERROR(INDEX(Catálogo!$F$8:$F$491,MATCH(E101,Catálogo!$B$8:$B$491,0)),"")</f>
        <v>CAMISETA COPA FEM.</v>
      </c>
      <c r="G101" s="148">
        <v>9</v>
      </c>
      <c r="H101" s="148">
        <v>9</v>
      </c>
      <c r="I101" s="149"/>
      <c r="J101" s="43" t="s">
        <v>2074</v>
      </c>
      <c r="K101" s="146">
        <v>46188</v>
      </c>
      <c r="L101" s="149"/>
      <c r="M101" s="149"/>
      <c r="N101" s="149"/>
    </row>
    <row r="102" spans="1:14" ht="14.25" customHeight="1" x14ac:dyDescent="0.3">
      <c r="A102" s="43" t="s">
        <v>2071</v>
      </c>
      <c r="B102" s="146">
        <v>46175</v>
      </c>
      <c r="C102" s="43" t="s">
        <v>2072</v>
      </c>
      <c r="D102" s="43" t="s">
        <v>2073</v>
      </c>
      <c r="E102" s="147" t="s">
        <v>210</v>
      </c>
      <c r="F102" s="43" t="str">
        <f>IFERROR(INDEX(Catálogo!$F$8:$F$491,MATCH(E102,Catálogo!$B$8:$B$491,0)),"")</f>
        <v>CAMISETA COPA FEM.</v>
      </c>
      <c r="G102" s="148">
        <v>4</v>
      </c>
      <c r="H102" s="148">
        <v>4</v>
      </c>
      <c r="I102" s="43"/>
      <c r="J102" s="43" t="s">
        <v>2074</v>
      </c>
      <c r="K102" s="146">
        <v>46188</v>
      </c>
      <c r="L102" s="43"/>
      <c r="M102" s="43"/>
      <c r="N102" s="43"/>
    </row>
    <row r="103" spans="1:14" ht="14.25" customHeight="1" x14ac:dyDescent="0.3">
      <c r="A103" s="149" t="s">
        <v>2071</v>
      </c>
      <c r="B103" s="150">
        <v>46175</v>
      </c>
      <c r="C103" s="149" t="s">
        <v>2072</v>
      </c>
      <c r="D103" s="149" t="s">
        <v>2073</v>
      </c>
      <c r="E103" s="147" t="s">
        <v>211</v>
      </c>
      <c r="F103" s="149" t="str">
        <f>IFERROR(INDEX(Catálogo!$F$8:$F$491,MATCH(E103,Catálogo!$B$8:$B$491,0)),"")</f>
        <v>CAMISETA COPA FEM.</v>
      </c>
      <c r="G103" s="148">
        <v>5</v>
      </c>
      <c r="H103" s="148">
        <v>5</v>
      </c>
      <c r="I103" s="149"/>
      <c r="J103" s="43" t="s">
        <v>2074</v>
      </c>
      <c r="K103" s="146">
        <v>46188</v>
      </c>
      <c r="L103" s="149"/>
      <c r="M103" s="149"/>
      <c r="N103" s="149"/>
    </row>
    <row r="104" spans="1:14" ht="14.25" customHeight="1" x14ac:dyDescent="0.3">
      <c r="A104" s="43" t="s">
        <v>2071</v>
      </c>
      <c r="B104" s="146">
        <v>46175</v>
      </c>
      <c r="C104" s="43" t="s">
        <v>2072</v>
      </c>
      <c r="D104" s="43" t="s">
        <v>2073</v>
      </c>
      <c r="E104" s="147" t="s">
        <v>212</v>
      </c>
      <c r="F104" s="43" t="str">
        <f>IFERROR(INDEX(Catálogo!$F$8:$F$491,MATCH(E104,Catálogo!$B$8:$B$491,0)),"")</f>
        <v>CAMISETA COPA FEM.</v>
      </c>
      <c r="G104" s="148">
        <v>6</v>
      </c>
      <c r="H104" s="148">
        <v>6</v>
      </c>
      <c r="I104" s="43"/>
      <c r="J104" s="43" t="s">
        <v>2074</v>
      </c>
      <c r="K104" s="146">
        <v>46188</v>
      </c>
      <c r="L104" s="43"/>
      <c r="M104" s="43"/>
      <c r="N104" s="43"/>
    </row>
    <row r="105" spans="1:14" ht="14.25" customHeight="1" x14ac:dyDescent="0.3">
      <c r="A105" s="149" t="s">
        <v>2071</v>
      </c>
      <c r="B105" s="150">
        <v>46175</v>
      </c>
      <c r="C105" s="149" t="s">
        <v>2072</v>
      </c>
      <c r="D105" s="149" t="s">
        <v>2073</v>
      </c>
      <c r="E105" s="147" t="s">
        <v>213</v>
      </c>
      <c r="F105" s="149" t="str">
        <f>IFERROR(INDEX(Catálogo!$F$8:$F$491,MATCH(E105,Catálogo!$B$8:$B$491,0)),"")</f>
        <v>POLO BTG EM COTTON</v>
      </c>
      <c r="G105" s="148">
        <v>7</v>
      </c>
      <c r="H105" s="148">
        <v>7</v>
      </c>
      <c r="I105" s="149"/>
      <c r="J105" s="43" t="s">
        <v>2074</v>
      </c>
      <c r="K105" s="146">
        <v>46188</v>
      </c>
      <c r="L105" s="149"/>
      <c r="M105" s="149"/>
      <c r="N105" s="149"/>
    </row>
    <row r="106" spans="1:14" ht="14.25" customHeight="1" x14ac:dyDescent="0.3">
      <c r="A106" s="43" t="s">
        <v>2071</v>
      </c>
      <c r="B106" s="146">
        <v>46175</v>
      </c>
      <c r="C106" s="43" t="s">
        <v>2072</v>
      </c>
      <c r="D106" s="43" t="s">
        <v>2073</v>
      </c>
      <c r="E106" s="147" t="s">
        <v>214</v>
      </c>
      <c r="F106" s="43" t="str">
        <f>IFERROR(INDEX(Catálogo!$F$8:$F$491,MATCH(E106,Catálogo!$B$8:$B$491,0)),"")</f>
        <v>POLO BTG EM COTTON</v>
      </c>
      <c r="G106" s="148">
        <v>13</v>
      </c>
      <c r="H106" s="148">
        <v>13</v>
      </c>
      <c r="I106" s="43"/>
      <c r="J106" s="43" t="s">
        <v>2074</v>
      </c>
      <c r="K106" s="146">
        <v>46188</v>
      </c>
      <c r="L106" s="43"/>
      <c r="M106" s="43"/>
      <c r="N106" s="43"/>
    </row>
    <row r="107" spans="1:14" ht="14.25" customHeight="1" x14ac:dyDescent="0.3">
      <c r="A107" s="149" t="s">
        <v>2071</v>
      </c>
      <c r="B107" s="150">
        <v>46175</v>
      </c>
      <c r="C107" s="149" t="s">
        <v>2072</v>
      </c>
      <c r="D107" s="149" t="s">
        <v>2073</v>
      </c>
      <c r="E107" s="147" t="s">
        <v>215</v>
      </c>
      <c r="F107" s="149" t="str">
        <f>IFERROR(INDEX(Catálogo!$F$8:$F$491,MATCH(E107,Catálogo!$B$8:$B$491,0)),"")</f>
        <v>POLO BTG EM COTTON</v>
      </c>
      <c r="G107" s="148">
        <v>14</v>
      </c>
      <c r="H107" s="148">
        <v>14</v>
      </c>
      <c r="I107" s="149"/>
      <c r="J107" s="43" t="s">
        <v>2074</v>
      </c>
      <c r="K107" s="146">
        <v>46188</v>
      </c>
      <c r="L107" s="149"/>
      <c r="M107" s="149"/>
      <c r="N107" s="149"/>
    </row>
    <row r="108" spans="1:14" ht="14.25" customHeight="1" x14ac:dyDescent="0.3">
      <c r="A108" s="43" t="s">
        <v>2071</v>
      </c>
      <c r="B108" s="146">
        <v>46175</v>
      </c>
      <c r="C108" s="43" t="s">
        <v>2072</v>
      </c>
      <c r="D108" s="43" t="s">
        <v>2073</v>
      </c>
      <c r="E108" s="147" t="s">
        <v>216</v>
      </c>
      <c r="F108" s="43" t="str">
        <f>IFERROR(INDEX(Catálogo!$F$8:$F$491,MATCH(E108,Catálogo!$B$8:$B$491,0)),"")</f>
        <v>POLO BTG EM COTTON</v>
      </c>
      <c r="G108" s="148">
        <v>9</v>
      </c>
      <c r="H108" s="148">
        <v>9</v>
      </c>
      <c r="I108" s="43"/>
      <c r="J108" s="43" t="s">
        <v>2074</v>
      </c>
      <c r="K108" s="146">
        <v>46188</v>
      </c>
      <c r="L108" s="43"/>
      <c r="M108" s="43"/>
      <c r="N108" s="43"/>
    </row>
    <row r="109" spans="1:14" ht="14.25" customHeight="1" x14ac:dyDescent="0.3">
      <c r="A109" s="149" t="s">
        <v>2071</v>
      </c>
      <c r="B109" s="150">
        <v>46175</v>
      </c>
      <c r="C109" s="149" t="s">
        <v>2072</v>
      </c>
      <c r="D109" s="149" t="s">
        <v>2073</v>
      </c>
      <c r="E109" s="147" t="s">
        <v>217</v>
      </c>
      <c r="F109" s="149" t="str">
        <f>IFERROR(INDEX(Catálogo!$F$8:$F$491,MATCH(E109,Catálogo!$B$8:$B$491,0)),"")</f>
        <v>POLO BTG EM COTTON</v>
      </c>
      <c r="G109" s="148">
        <v>5</v>
      </c>
      <c r="H109" s="148">
        <v>5</v>
      </c>
      <c r="I109" s="149"/>
      <c r="J109" s="43" t="s">
        <v>2074</v>
      </c>
      <c r="K109" s="146">
        <v>46188</v>
      </c>
      <c r="L109" s="149"/>
      <c r="M109" s="149"/>
      <c r="N109" s="149"/>
    </row>
    <row r="110" spans="1:14" ht="14.25" customHeight="1" x14ac:dyDescent="0.3">
      <c r="A110" s="43" t="s">
        <v>2071</v>
      </c>
      <c r="B110" s="146">
        <v>46175</v>
      </c>
      <c r="C110" s="43" t="s">
        <v>2072</v>
      </c>
      <c r="D110" s="43" t="s">
        <v>2073</v>
      </c>
      <c r="E110" s="147" t="s">
        <v>218</v>
      </c>
      <c r="F110" s="43" t="str">
        <f>IFERROR(INDEX(Catálogo!$F$8:$F$491,MATCH(E110,Catálogo!$B$8:$B$491,0)),"")</f>
        <v>POLO BTG EM COTTON</v>
      </c>
      <c r="G110" s="148">
        <v>5</v>
      </c>
      <c r="H110" s="148">
        <v>5</v>
      </c>
      <c r="I110" s="43"/>
      <c r="J110" s="43" t="s">
        <v>2074</v>
      </c>
      <c r="K110" s="146">
        <v>46188</v>
      </c>
      <c r="L110" s="43"/>
      <c r="M110" s="43"/>
      <c r="N110" s="43"/>
    </row>
    <row r="111" spans="1:14" ht="14.25" customHeight="1" x14ac:dyDescent="0.3">
      <c r="A111" s="149" t="s">
        <v>2071</v>
      </c>
      <c r="B111" s="150">
        <v>46175</v>
      </c>
      <c r="C111" s="149" t="s">
        <v>2072</v>
      </c>
      <c r="D111" s="149" t="s">
        <v>2073</v>
      </c>
      <c r="E111" s="147" t="s">
        <v>219</v>
      </c>
      <c r="F111" s="149" t="str">
        <f>IFERROR(INDEX(Catálogo!$F$8:$F$491,MATCH(E111,Catálogo!$B$8:$B$491,0)),"")</f>
        <v>POLO PIQUET FEM.</v>
      </c>
      <c r="G111" s="148">
        <v>13</v>
      </c>
      <c r="H111" s="148">
        <v>13</v>
      </c>
      <c r="I111" s="149"/>
      <c r="J111" s="43" t="s">
        <v>2074</v>
      </c>
      <c r="K111" s="146">
        <v>46188</v>
      </c>
      <c r="L111" s="149"/>
      <c r="M111" s="149"/>
      <c r="N111" s="149"/>
    </row>
    <row r="112" spans="1:14" ht="14.25" customHeight="1" x14ac:dyDescent="0.3">
      <c r="A112" s="43" t="s">
        <v>2071</v>
      </c>
      <c r="B112" s="146">
        <v>46175</v>
      </c>
      <c r="C112" s="43" t="s">
        <v>2072</v>
      </c>
      <c r="D112" s="43" t="s">
        <v>2073</v>
      </c>
      <c r="E112" s="147" t="s">
        <v>220</v>
      </c>
      <c r="F112" s="43" t="str">
        <f>IFERROR(INDEX(Catálogo!$F$8:$F$491,MATCH(E112,Catálogo!$B$8:$B$491,0)),"")</f>
        <v>POLO PIQUET FEM.</v>
      </c>
      <c r="G112" s="148">
        <v>11</v>
      </c>
      <c r="H112" s="148">
        <v>11</v>
      </c>
      <c r="I112" s="43"/>
      <c r="J112" s="43" t="s">
        <v>2074</v>
      </c>
      <c r="K112" s="146">
        <v>46188</v>
      </c>
      <c r="L112" s="43"/>
      <c r="M112" s="43"/>
      <c r="N112" s="43"/>
    </row>
    <row r="113" spans="1:14" ht="14.25" customHeight="1" x14ac:dyDescent="0.3">
      <c r="A113" s="149" t="s">
        <v>2071</v>
      </c>
      <c r="B113" s="150">
        <v>46175</v>
      </c>
      <c r="C113" s="149" t="s">
        <v>2072</v>
      </c>
      <c r="D113" s="149" t="s">
        <v>2073</v>
      </c>
      <c r="E113" s="147" t="s">
        <v>221</v>
      </c>
      <c r="F113" s="149" t="str">
        <f>IFERROR(INDEX(Catálogo!$F$8:$F$491,MATCH(E113,Catálogo!$B$8:$B$491,0)),"")</f>
        <v>POLO PIQUET FEM.</v>
      </c>
      <c r="G113" s="148">
        <v>10</v>
      </c>
      <c r="H113" s="148">
        <v>10</v>
      </c>
      <c r="I113" s="149"/>
      <c r="J113" s="43" t="s">
        <v>2074</v>
      </c>
      <c r="K113" s="146">
        <v>46188</v>
      </c>
      <c r="L113" s="149"/>
      <c r="M113" s="149"/>
      <c r="N113" s="149"/>
    </row>
    <row r="114" spans="1:14" ht="14.25" customHeight="1" x14ac:dyDescent="0.3">
      <c r="A114" s="43" t="s">
        <v>2071</v>
      </c>
      <c r="B114" s="146">
        <v>46175</v>
      </c>
      <c r="C114" s="43" t="s">
        <v>2072</v>
      </c>
      <c r="D114" s="43" t="s">
        <v>2073</v>
      </c>
      <c r="E114" s="147" t="s">
        <v>222</v>
      </c>
      <c r="F114" s="43" t="str">
        <f>IFERROR(INDEX(Catálogo!$F$8:$F$491,MATCH(E114,Catálogo!$B$8:$B$491,0)),"")</f>
        <v>POLO PIQUET FEM.</v>
      </c>
      <c r="G114" s="148">
        <v>12</v>
      </c>
      <c r="H114" s="148">
        <v>12</v>
      </c>
      <c r="I114" s="43"/>
      <c r="J114" s="43" t="s">
        <v>2074</v>
      </c>
      <c r="K114" s="146">
        <v>46188</v>
      </c>
      <c r="L114" s="43"/>
      <c r="M114" s="43"/>
      <c r="N114" s="43"/>
    </row>
    <row r="115" spans="1:14" ht="14.25" customHeight="1" x14ac:dyDescent="0.3">
      <c r="A115" s="149" t="s">
        <v>2071</v>
      </c>
      <c r="B115" s="150">
        <v>46175</v>
      </c>
      <c r="C115" s="149" t="s">
        <v>2072</v>
      </c>
      <c r="D115" s="149" t="s">
        <v>2073</v>
      </c>
      <c r="E115" s="147" t="s">
        <v>223</v>
      </c>
      <c r="F115" s="149" t="str">
        <f>IFERROR(INDEX(Catálogo!$F$8:$F$491,MATCH(E115,Catálogo!$B$8:$B$491,0)),"")</f>
        <v>POLO PIQUET FEM.</v>
      </c>
      <c r="G115" s="148">
        <v>8</v>
      </c>
      <c r="H115" s="148">
        <v>8</v>
      </c>
      <c r="I115" s="149"/>
      <c r="J115" s="43" t="s">
        <v>2074</v>
      </c>
      <c r="K115" s="146">
        <v>46188</v>
      </c>
      <c r="L115" s="149"/>
      <c r="M115" s="149"/>
      <c r="N115" s="149"/>
    </row>
    <row r="116" spans="1:14" ht="14.25" customHeight="1" x14ac:dyDescent="0.3">
      <c r="A116" s="43" t="s">
        <v>2071</v>
      </c>
      <c r="B116" s="146">
        <v>46175</v>
      </c>
      <c r="C116" s="43" t="s">
        <v>2072</v>
      </c>
      <c r="D116" s="43" t="s">
        <v>2073</v>
      </c>
      <c r="E116" s="147" t="s">
        <v>224</v>
      </c>
      <c r="F116" s="43" t="str">
        <f>IFERROR(INDEX(Catálogo!$F$8:$F$491,MATCH(E116,Catálogo!$B$8:$B$491,0)),"")</f>
        <v>POLO PIQUET FEM.</v>
      </c>
      <c r="G116" s="148">
        <v>10</v>
      </c>
      <c r="H116" s="148">
        <v>10</v>
      </c>
      <c r="I116" s="43"/>
      <c r="J116" s="43" t="s">
        <v>2074</v>
      </c>
      <c r="K116" s="146">
        <v>46188</v>
      </c>
      <c r="L116" s="43"/>
      <c r="M116" s="43"/>
      <c r="N116" s="43"/>
    </row>
    <row r="117" spans="1:14" ht="14.25" customHeight="1" x14ac:dyDescent="0.3">
      <c r="A117" s="149" t="s">
        <v>2071</v>
      </c>
      <c r="B117" s="150">
        <v>46175</v>
      </c>
      <c r="C117" s="149" t="s">
        <v>2072</v>
      </c>
      <c r="D117" s="149" t="s">
        <v>2073</v>
      </c>
      <c r="E117" s="147" t="s">
        <v>234</v>
      </c>
      <c r="F117" s="149" t="str">
        <f>IFERROR(INDEX(Catálogo!$F$8:$F$491,MATCH(E117,Catálogo!$B$8:$B$491,0)),"")</f>
        <v>JAQUETA COPA FEM.</v>
      </c>
      <c r="G117" s="148">
        <v>1</v>
      </c>
      <c r="H117" s="148">
        <v>1</v>
      </c>
      <c r="I117" s="149"/>
      <c r="J117" s="43" t="s">
        <v>2074</v>
      </c>
      <c r="K117" s="146">
        <v>46188</v>
      </c>
      <c r="L117" s="149"/>
      <c r="M117" s="149"/>
      <c r="N117" s="149"/>
    </row>
    <row r="118" spans="1:14" ht="14.25" customHeight="1" x14ac:dyDescent="0.3">
      <c r="A118" s="43" t="s">
        <v>2071</v>
      </c>
      <c r="B118" s="146">
        <v>46175</v>
      </c>
      <c r="C118" s="43" t="s">
        <v>2072</v>
      </c>
      <c r="D118" s="43" t="s">
        <v>2073</v>
      </c>
      <c r="E118" s="147" t="s">
        <v>239</v>
      </c>
      <c r="F118" s="43" t="str">
        <f>IFERROR(INDEX(Catálogo!$F$8:$F$491,MATCH(E118,Catálogo!$B$8:$B$491,0)),"")</f>
        <v>JAQUETA COPA FEM.</v>
      </c>
      <c r="G118" s="148">
        <v>8</v>
      </c>
      <c r="H118" s="148">
        <v>8</v>
      </c>
      <c r="I118" s="43"/>
      <c r="J118" s="43" t="s">
        <v>2074</v>
      </c>
      <c r="K118" s="146">
        <v>46188</v>
      </c>
      <c r="L118" s="43"/>
      <c r="M118" s="43"/>
      <c r="N118" s="43"/>
    </row>
    <row r="119" spans="1:14" ht="14.25" customHeight="1" x14ac:dyDescent="0.3">
      <c r="A119" s="149" t="s">
        <v>2071</v>
      </c>
      <c r="B119" s="150">
        <v>46175</v>
      </c>
      <c r="C119" s="149" t="s">
        <v>2072</v>
      </c>
      <c r="D119" s="149" t="s">
        <v>2073</v>
      </c>
      <c r="E119" s="147" t="s">
        <v>241</v>
      </c>
      <c r="F119" s="149" t="str">
        <f>IFERROR(INDEX(Catálogo!$F$8:$F$491,MATCH(E119,Catálogo!$B$8:$B$491,0)),"")</f>
        <v>JAQUETA COPA FEM.</v>
      </c>
      <c r="G119" s="148">
        <v>8</v>
      </c>
      <c r="H119" s="148">
        <v>8</v>
      </c>
      <c r="I119" s="149"/>
      <c r="J119" s="43" t="s">
        <v>2074</v>
      </c>
      <c r="K119" s="146">
        <v>46188</v>
      </c>
      <c r="L119" s="149"/>
      <c r="M119" s="149"/>
      <c r="N119" s="149"/>
    </row>
    <row r="120" spans="1:14" ht="14.25" customHeight="1" x14ac:dyDescent="0.3">
      <c r="A120" s="43" t="s">
        <v>2071</v>
      </c>
      <c r="B120" s="146">
        <v>46175</v>
      </c>
      <c r="C120" s="43" t="s">
        <v>2072</v>
      </c>
      <c r="D120" s="43" t="s">
        <v>2073</v>
      </c>
      <c r="E120" s="147" t="s">
        <v>243</v>
      </c>
      <c r="F120" s="43" t="str">
        <f>IFERROR(INDEX(Catálogo!$F$8:$F$491,MATCH(E120,Catálogo!$B$8:$B$491,0)),"")</f>
        <v>CAMISETA COPA FEM.</v>
      </c>
      <c r="G120" s="148">
        <v>10</v>
      </c>
      <c r="H120" s="148">
        <v>10</v>
      </c>
      <c r="I120" s="43"/>
      <c r="J120" s="43" t="s">
        <v>2074</v>
      </c>
      <c r="K120" s="146">
        <v>46188</v>
      </c>
      <c r="L120" s="43"/>
      <c r="M120" s="43"/>
      <c r="N120" s="43"/>
    </row>
    <row r="121" spans="1:14" ht="14.25" customHeight="1" x14ac:dyDescent="0.3">
      <c r="A121" s="149" t="s">
        <v>2071</v>
      </c>
      <c r="B121" s="150">
        <v>46175</v>
      </c>
      <c r="C121" s="149" t="s">
        <v>2072</v>
      </c>
      <c r="D121" s="149" t="s">
        <v>2073</v>
      </c>
      <c r="E121" s="147" t="s">
        <v>244</v>
      </c>
      <c r="F121" s="149" t="str">
        <f>IFERROR(INDEX(Catálogo!$F$8:$F$491,MATCH(E121,Catálogo!$B$8:$B$491,0)),"")</f>
        <v>CAMISETA COPA FEM.</v>
      </c>
      <c r="G121" s="148">
        <v>9</v>
      </c>
      <c r="H121" s="148">
        <v>9</v>
      </c>
      <c r="I121" s="149"/>
      <c r="J121" s="43" t="s">
        <v>2074</v>
      </c>
      <c r="K121" s="146">
        <v>46188</v>
      </c>
      <c r="L121" s="149"/>
      <c r="M121" s="149"/>
      <c r="N121" s="149"/>
    </row>
    <row r="122" spans="1:14" ht="14.25" customHeight="1" x14ac:dyDescent="0.3">
      <c r="A122" s="43" t="s">
        <v>2071</v>
      </c>
      <c r="B122" s="146">
        <v>46175</v>
      </c>
      <c r="C122" s="43" t="s">
        <v>2072</v>
      </c>
      <c r="D122" s="43" t="s">
        <v>2073</v>
      </c>
      <c r="E122" s="147" t="s">
        <v>245</v>
      </c>
      <c r="F122" s="43" t="str">
        <f>IFERROR(INDEX(Catálogo!$F$8:$F$491,MATCH(E122,Catálogo!$B$8:$B$491,0)),"")</f>
        <v>CAMISETA COPA FEM.</v>
      </c>
      <c r="G122" s="148">
        <v>10</v>
      </c>
      <c r="H122" s="148">
        <v>10</v>
      </c>
      <c r="I122" s="43"/>
      <c r="J122" s="43" t="s">
        <v>2074</v>
      </c>
      <c r="K122" s="146">
        <v>46188</v>
      </c>
      <c r="L122" s="43"/>
      <c r="M122" s="43"/>
      <c r="N122" s="43"/>
    </row>
    <row r="123" spans="1:14" ht="14.25" customHeight="1" x14ac:dyDescent="0.3">
      <c r="A123" s="149" t="s">
        <v>2071</v>
      </c>
      <c r="B123" s="150">
        <v>46175</v>
      </c>
      <c r="C123" s="149" t="s">
        <v>2072</v>
      </c>
      <c r="D123" s="149" t="s">
        <v>2073</v>
      </c>
      <c r="E123" s="147" t="s">
        <v>246</v>
      </c>
      <c r="F123" s="149" t="str">
        <f>IFERROR(INDEX(Catálogo!$F$8:$F$491,MATCH(E123,Catálogo!$B$8:$B$491,0)),"")</f>
        <v>CAMISETA ESPORTE FEM.</v>
      </c>
      <c r="G123" s="148">
        <v>6</v>
      </c>
      <c r="H123" s="148">
        <v>6</v>
      </c>
      <c r="I123" s="149"/>
      <c r="J123" s="43" t="s">
        <v>2074</v>
      </c>
      <c r="K123" s="146">
        <v>46188</v>
      </c>
      <c r="L123" s="149"/>
      <c r="M123" s="149"/>
      <c r="N123" s="149"/>
    </row>
    <row r="124" spans="1:14" ht="14.25" customHeight="1" x14ac:dyDescent="0.3">
      <c r="A124" s="43" t="s">
        <v>2071</v>
      </c>
      <c r="B124" s="146">
        <v>46175</v>
      </c>
      <c r="C124" s="43" t="s">
        <v>2072</v>
      </c>
      <c r="D124" s="43" t="s">
        <v>2073</v>
      </c>
      <c r="E124" s="147" t="s">
        <v>247</v>
      </c>
      <c r="F124" s="43" t="str">
        <f>IFERROR(INDEX(Catálogo!$F$8:$F$491,MATCH(E124,Catálogo!$B$8:$B$491,0)),"")</f>
        <v>CAMISETA ESPORTE FEM.</v>
      </c>
      <c r="G124" s="148">
        <v>2</v>
      </c>
      <c r="H124" s="148">
        <v>2</v>
      </c>
      <c r="I124" s="43"/>
      <c r="J124" s="43" t="s">
        <v>2074</v>
      </c>
      <c r="K124" s="146">
        <v>46188</v>
      </c>
      <c r="L124" s="43"/>
      <c r="M124" s="43"/>
      <c r="N124" s="43"/>
    </row>
    <row r="125" spans="1:14" ht="14.25" customHeight="1" x14ac:dyDescent="0.3">
      <c r="A125" s="149" t="s">
        <v>2071</v>
      </c>
      <c r="B125" s="150">
        <v>46175</v>
      </c>
      <c r="C125" s="149" t="s">
        <v>2072</v>
      </c>
      <c r="D125" s="149" t="s">
        <v>2073</v>
      </c>
      <c r="E125" s="147" t="s">
        <v>248</v>
      </c>
      <c r="F125" s="149" t="str">
        <f>IFERROR(INDEX(Catálogo!$F$8:$F$491,MATCH(E125,Catálogo!$B$8:$B$491,0)),"")</f>
        <v>CAMISETA ESPORTE FEM.</v>
      </c>
      <c r="G125" s="148">
        <v>8</v>
      </c>
      <c r="H125" s="148">
        <v>8</v>
      </c>
      <c r="I125" s="149"/>
      <c r="J125" s="43" t="s">
        <v>2074</v>
      </c>
      <c r="K125" s="146">
        <v>46188</v>
      </c>
      <c r="L125" s="149"/>
      <c r="M125" s="149"/>
      <c r="N125" s="149"/>
    </row>
    <row r="126" spans="1:14" ht="14.25" customHeight="1" x14ac:dyDescent="0.3">
      <c r="A126" s="43" t="s">
        <v>2071</v>
      </c>
      <c r="B126" s="146">
        <v>46175</v>
      </c>
      <c r="C126" s="43" t="s">
        <v>2072</v>
      </c>
      <c r="D126" s="43" t="s">
        <v>2073</v>
      </c>
      <c r="E126" s="147" t="s">
        <v>249</v>
      </c>
      <c r="F126" s="43" t="str">
        <f>IFERROR(INDEX(Catálogo!$F$8:$F$491,MATCH(E126,Catálogo!$B$8:$B$491,0)),"")</f>
        <v>CAMISETA ESPORTE FEM.</v>
      </c>
      <c r="G126" s="148">
        <v>7</v>
      </c>
      <c r="H126" s="148">
        <v>7</v>
      </c>
      <c r="I126" s="43"/>
      <c r="J126" s="43" t="s">
        <v>2074</v>
      </c>
      <c r="K126" s="146">
        <v>46188</v>
      </c>
      <c r="L126" s="43"/>
      <c r="M126" s="43"/>
      <c r="N126" s="43"/>
    </row>
    <row r="127" spans="1:14" ht="14.25" customHeight="1" x14ac:dyDescent="0.3">
      <c r="A127" s="149" t="s">
        <v>2071</v>
      </c>
      <c r="B127" s="150">
        <v>46175</v>
      </c>
      <c r="C127" s="149" t="s">
        <v>2072</v>
      </c>
      <c r="D127" s="149" t="s">
        <v>2073</v>
      </c>
      <c r="E127" s="147" t="s">
        <v>251</v>
      </c>
      <c r="F127" s="149" t="str">
        <f>IFERROR(INDEX(Catálogo!$F$8:$F$491,MATCH(E127,Catálogo!$B$8:$B$491,0)),"")</f>
        <v>POLO PIQUET OUT. ROSA INFANTIL</v>
      </c>
      <c r="G127" s="148">
        <v>9</v>
      </c>
      <c r="H127" s="148">
        <v>9</v>
      </c>
      <c r="I127" s="149"/>
      <c r="J127" s="43" t="s">
        <v>2074</v>
      </c>
      <c r="K127" s="146">
        <v>46188</v>
      </c>
      <c r="L127" s="149"/>
      <c r="M127" s="149"/>
      <c r="N127" s="149"/>
    </row>
    <row r="128" spans="1:14" ht="14.25" customHeight="1" x14ac:dyDescent="0.3">
      <c r="A128" s="43" t="s">
        <v>2071</v>
      </c>
      <c r="B128" s="146">
        <v>46175</v>
      </c>
      <c r="C128" s="43" t="s">
        <v>2072</v>
      </c>
      <c r="D128" s="43" t="s">
        <v>2073</v>
      </c>
      <c r="E128" s="147" t="s">
        <v>252</v>
      </c>
      <c r="F128" s="43" t="str">
        <f>IFERROR(INDEX(Catálogo!$F$8:$F$491,MATCH(E128,Catálogo!$B$8:$B$491,0)),"")</f>
        <v>POLO PIQUET OUT. ROSA INFANTIL</v>
      </c>
      <c r="G128" s="148">
        <v>8</v>
      </c>
      <c r="H128" s="148">
        <v>8</v>
      </c>
      <c r="I128" s="43"/>
      <c r="J128" s="43" t="s">
        <v>2074</v>
      </c>
      <c r="K128" s="146">
        <v>46188</v>
      </c>
      <c r="L128" s="43"/>
      <c r="M128" s="43"/>
      <c r="N128" s="43"/>
    </row>
    <row r="129" spans="1:14" ht="14.25" customHeight="1" x14ac:dyDescent="0.3">
      <c r="A129" s="149" t="s">
        <v>2071</v>
      </c>
      <c r="B129" s="150">
        <v>46175</v>
      </c>
      <c r="C129" s="149" t="s">
        <v>2072</v>
      </c>
      <c r="D129" s="149" t="s">
        <v>2073</v>
      </c>
      <c r="E129" s="147" t="s">
        <v>253</v>
      </c>
      <c r="F129" s="149" t="str">
        <f>IFERROR(INDEX(Catálogo!$F$8:$F$491,MATCH(E129,Catálogo!$B$8:$B$491,0)),"")</f>
        <v>POLO PIQUET OUT. ROSA INFANTIL</v>
      </c>
      <c r="G129" s="148">
        <v>8</v>
      </c>
      <c r="H129" s="148">
        <v>8</v>
      </c>
      <c r="I129" s="149"/>
      <c r="J129" s="43" t="s">
        <v>2074</v>
      </c>
      <c r="K129" s="146">
        <v>46188</v>
      </c>
      <c r="L129" s="149"/>
      <c r="M129" s="149"/>
      <c r="N129" s="149"/>
    </row>
    <row r="130" spans="1:14" ht="14.25" customHeight="1" x14ac:dyDescent="0.3">
      <c r="A130" s="43" t="s">
        <v>2071</v>
      </c>
      <c r="B130" s="146">
        <v>46175</v>
      </c>
      <c r="C130" s="43" t="s">
        <v>2072</v>
      </c>
      <c r="D130" s="43" t="s">
        <v>2073</v>
      </c>
      <c r="E130" s="147" t="s">
        <v>254</v>
      </c>
      <c r="F130" s="43" t="str">
        <f>IFERROR(INDEX(Catálogo!$F$8:$F$491,MATCH(E130,Catálogo!$B$8:$B$491,0)),"")</f>
        <v>POLO PIQUET OUT. ROSA INFANTIL</v>
      </c>
      <c r="G130" s="148">
        <v>9</v>
      </c>
      <c r="H130" s="148">
        <v>9</v>
      </c>
      <c r="I130" s="43"/>
      <c r="J130" s="43" t="s">
        <v>2074</v>
      </c>
      <c r="K130" s="146">
        <v>46188</v>
      </c>
      <c r="L130" s="43"/>
      <c r="M130" s="43"/>
      <c r="N130" s="43"/>
    </row>
    <row r="131" spans="1:14" ht="14.25" customHeight="1" x14ac:dyDescent="0.3">
      <c r="A131" s="149" t="s">
        <v>2071</v>
      </c>
      <c r="B131" s="150">
        <v>46175</v>
      </c>
      <c r="C131" s="149" t="s">
        <v>2072</v>
      </c>
      <c r="D131" s="149" t="s">
        <v>2073</v>
      </c>
      <c r="E131" s="147" t="s">
        <v>255</v>
      </c>
      <c r="F131" s="149" t="str">
        <f>IFERROR(INDEX(Catálogo!$F$8:$F$491,MATCH(E131,Catálogo!$B$8:$B$491,0)),"")</f>
        <v>POLO PIQUET OUT. ROSA INFANTIL</v>
      </c>
      <c r="G131" s="148">
        <v>6</v>
      </c>
      <c r="H131" s="148">
        <v>6</v>
      </c>
      <c r="I131" s="149"/>
      <c r="J131" s="43" t="s">
        <v>2074</v>
      </c>
      <c r="K131" s="146">
        <v>46188</v>
      </c>
      <c r="L131" s="149"/>
      <c r="M131" s="149"/>
      <c r="N131" s="149"/>
    </row>
    <row r="132" spans="1:14" ht="14.25" customHeight="1" x14ac:dyDescent="0.3">
      <c r="A132" s="43" t="s">
        <v>2071</v>
      </c>
      <c r="B132" s="146">
        <v>46175</v>
      </c>
      <c r="C132" s="43" t="s">
        <v>2072</v>
      </c>
      <c r="D132" s="43" t="s">
        <v>2073</v>
      </c>
      <c r="E132" s="147" t="s">
        <v>256</v>
      </c>
      <c r="F132" s="43" t="str">
        <f>IFERROR(INDEX(Catálogo!$F$8:$F$491,MATCH(E132,Catálogo!$B$8:$B$491,0)),"")</f>
        <v>POLO PIQUET OUT. ROSA INFANTIL</v>
      </c>
      <c r="G132" s="148">
        <v>2</v>
      </c>
      <c r="H132" s="148">
        <v>2</v>
      </c>
      <c r="I132" s="43"/>
      <c r="J132" s="43" t="s">
        <v>2074</v>
      </c>
      <c r="K132" s="146">
        <v>46188</v>
      </c>
      <c r="L132" s="43"/>
      <c r="M132" s="43"/>
      <c r="N132" s="43"/>
    </row>
    <row r="133" spans="1:14" ht="14.25" customHeight="1" x14ac:dyDescent="0.3">
      <c r="A133" s="149" t="s">
        <v>2071</v>
      </c>
      <c r="B133" s="150">
        <v>46175</v>
      </c>
      <c r="C133" s="149" t="s">
        <v>2072</v>
      </c>
      <c r="D133" s="149" t="s">
        <v>2073</v>
      </c>
      <c r="E133" s="147" t="s">
        <v>257</v>
      </c>
      <c r="F133" s="149" t="str">
        <f>IFERROR(INDEX(Catálogo!$F$8:$F$491,MATCH(E133,Catálogo!$B$8:$B$491,0)),"")</f>
        <v>POLO PIQUET MESCLA INFANTIL</v>
      </c>
      <c r="G133" s="148">
        <v>10</v>
      </c>
      <c r="H133" s="148">
        <v>10</v>
      </c>
      <c r="I133" s="149"/>
      <c r="J133" s="43" t="s">
        <v>2074</v>
      </c>
      <c r="K133" s="146">
        <v>46188</v>
      </c>
      <c r="L133" s="149"/>
      <c r="M133" s="149"/>
      <c r="N133" s="149"/>
    </row>
    <row r="134" spans="1:14" ht="14.25" customHeight="1" x14ac:dyDescent="0.3">
      <c r="A134" s="43" t="s">
        <v>2071</v>
      </c>
      <c r="B134" s="146">
        <v>46175</v>
      </c>
      <c r="C134" s="43" t="s">
        <v>2072</v>
      </c>
      <c r="D134" s="43" t="s">
        <v>2073</v>
      </c>
      <c r="E134" s="147" t="s">
        <v>258</v>
      </c>
      <c r="F134" s="43" t="str">
        <f>IFERROR(INDEX(Catálogo!$F$8:$F$491,MATCH(E134,Catálogo!$B$8:$B$491,0)),"")</f>
        <v>POLO PIQUET MESCLA INFANTIL</v>
      </c>
      <c r="G134" s="148">
        <v>9</v>
      </c>
      <c r="H134" s="148">
        <v>9</v>
      </c>
      <c r="I134" s="43"/>
      <c r="J134" s="43" t="s">
        <v>2074</v>
      </c>
      <c r="K134" s="146">
        <v>46188</v>
      </c>
      <c r="L134" s="43"/>
      <c r="M134" s="43"/>
      <c r="N134" s="43"/>
    </row>
    <row r="135" spans="1:14" ht="14.25" customHeight="1" x14ac:dyDescent="0.3">
      <c r="A135" s="149" t="s">
        <v>2071</v>
      </c>
      <c r="B135" s="150">
        <v>46175</v>
      </c>
      <c r="C135" s="149" t="s">
        <v>2072</v>
      </c>
      <c r="D135" s="149" t="s">
        <v>2073</v>
      </c>
      <c r="E135" s="147" t="s">
        <v>259</v>
      </c>
      <c r="F135" s="149" t="str">
        <f>IFERROR(INDEX(Catálogo!$F$8:$F$491,MATCH(E135,Catálogo!$B$8:$B$491,0)),"")</f>
        <v>POLO PIQUET MESCLA INFANTIL</v>
      </c>
      <c r="G135" s="148">
        <v>10</v>
      </c>
      <c r="H135" s="148">
        <v>10</v>
      </c>
      <c r="I135" s="149"/>
      <c r="J135" s="43" t="s">
        <v>2074</v>
      </c>
      <c r="K135" s="146">
        <v>46188</v>
      </c>
      <c r="L135" s="149"/>
      <c r="M135" s="149"/>
      <c r="N135" s="149"/>
    </row>
    <row r="136" spans="1:14" ht="14.25" customHeight="1" x14ac:dyDescent="0.3">
      <c r="A136" s="43" t="s">
        <v>2071</v>
      </c>
      <c r="B136" s="146">
        <v>46175</v>
      </c>
      <c r="C136" s="43" t="s">
        <v>2072</v>
      </c>
      <c r="D136" s="43" t="s">
        <v>2073</v>
      </c>
      <c r="E136" s="147" t="s">
        <v>260</v>
      </c>
      <c r="F136" s="43" t="str">
        <f>IFERROR(INDEX(Catálogo!$F$8:$F$491,MATCH(E136,Catálogo!$B$8:$B$491,0)),"")</f>
        <v>POLO PIQUET MESCLA INFANTIL</v>
      </c>
      <c r="G136" s="148">
        <v>10</v>
      </c>
      <c r="H136" s="148">
        <v>10</v>
      </c>
      <c r="I136" s="43"/>
      <c r="J136" s="43" t="s">
        <v>2074</v>
      </c>
      <c r="K136" s="146">
        <v>46188</v>
      </c>
      <c r="L136" s="43"/>
      <c r="M136" s="43"/>
      <c r="N136" s="43"/>
    </row>
    <row r="137" spans="1:14" ht="14.25" customHeight="1" x14ac:dyDescent="0.3">
      <c r="A137" s="149" t="s">
        <v>2071</v>
      </c>
      <c r="B137" s="150">
        <v>46175</v>
      </c>
      <c r="C137" s="149" t="s">
        <v>2072</v>
      </c>
      <c r="D137" s="149" t="s">
        <v>2073</v>
      </c>
      <c r="E137" s="147" t="s">
        <v>261</v>
      </c>
      <c r="F137" s="149" t="str">
        <f>IFERROR(INDEX(Catálogo!$F$8:$F$491,MATCH(E137,Catálogo!$B$8:$B$491,0)),"")</f>
        <v>POLO PIQUET MESCLA INFANTIL</v>
      </c>
      <c r="G137" s="148">
        <v>9</v>
      </c>
      <c r="H137" s="148">
        <v>9</v>
      </c>
      <c r="I137" s="149"/>
      <c r="J137" s="43" t="s">
        <v>2074</v>
      </c>
      <c r="K137" s="146">
        <v>46188</v>
      </c>
      <c r="L137" s="149"/>
      <c r="M137" s="149"/>
      <c r="N137" s="149"/>
    </row>
    <row r="138" spans="1:14" ht="14.25" customHeight="1" x14ac:dyDescent="0.3">
      <c r="A138" s="43" t="s">
        <v>2071</v>
      </c>
      <c r="B138" s="146">
        <v>46175</v>
      </c>
      <c r="C138" s="43" t="s">
        <v>2072</v>
      </c>
      <c r="D138" s="43" t="s">
        <v>2073</v>
      </c>
      <c r="E138" s="147" t="s">
        <v>262</v>
      </c>
      <c r="F138" s="43" t="str">
        <f>IFERROR(INDEX(Catálogo!$F$8:$F$491,MATCH(E138,Catálogo!$B$8:$B$491,0)),"")</f>
        <v>POLO PIQUET MESCLA INFANTIL</v>
      </c>
      <c r="G138" s="148">
        <v>4</v>
      </c>
      <c r="H138" s="148">
        <v>4</v>
      </c>
      <c r="I138" s="43"/>
      <c r="J138" s="43" t="s">
        <v>2074</v>
      </c>
      <c r="K138" s="146">
        <v>46188</v>
      </c>
      <c r="L138" s="43"/>
      <c r="M138" s="43"/>
      <c r="N138" s="43"/>
    </row>
    <row r="139" spans="1:14" ht="14.25" customHeight="1" x14ac:dyDescent="0.3">
      <c r="A139" s="149" t="s">
        <v>2071</v>
      </c>
      <c r="B139" s="150">
        <v>46175</v>
      </c>
      <c r="C139" s="149" t="s">
        <v>2072</v>
      </c>
      <c r="D139" s="149" t="s">
        <v>2073</v>
      </c>
      <c r="E139" s="147" t="s">
        <v>263</v>
      </c>
      <c r="F139" s="149" t="str">
        <f>IFERROR(INDEX(Catálogo!$F$8:$F$491,MATCH(E139,Catálogo!$B$8:$B$491,0)),"")</f>
        <v>POLO PIQUET MESCLA INFANTIL</v>
      </c>
      <c r="G139" s="148">
        <v>8</v>
      </c>
      <c r="H139" s="148">
        <v>8</v>
      </c>
      <c r="I139" s="149"/>
      <c r="J139" s="43" t="s">
        <v>2074</v>
      </c>
      <c r="K139" s="146">
        <v>46188</v>
      </c>
      <c r="L139" s="149"/>
      <c r="M139" s="149"/>
      <c r="N139" s="149"/>
    </row>
    <row r="140" spans="1:14" ht="14.25" customHeight="1" x14ac:dyDescent="0.3">
      <c r="A140" s="43" t="s">
        <v>2071</v>
      </c>
      <c r="B140" s="146">
        <v>46175</v>
      </c>
      <c r="C140" s="43" t="s">
        <v>2072</v>
      </c>
      <c r="D140" s="43" t="s">
        <v>2073</v>
      </c>
      <c r="E140" s="147" t="s">
        <v>289</v>
      </c>
      <c r="F140" s="43" t="str">
        <f>IFERROR(INDEX(Catálogo!$F$8:$F$491,MATCH(E140,Catálogo!$B$8:$B$491,0)),"")</f>
        <v>POLO BASICA FEM.</v>
      </c>
      <c r="G140" s="148">
        <v>30</v>
      </c>
      <c r="H140" s="148">
        <v>30</v>
      </c>
      <c r="I140" s="43"/>
      <c r="J140" s="43" t="s">
        <v>2074</v>
      </c>
      <c r="K140" s="146">
        <v>46188</v>
      </c>
      <c r="L140" s="43"/>
      <c r="M140" s="43"/>
      <c r="N140" s="43"/>
    </row>
    <row r="141" spans="1:14" ht="14.25" customHeight="1" x14ac:dyDescent="0.3">
      <c r="A141" s="149" t="s">
        <v>2071</v>
      </c>
      <c r="B141" s="150">
        <v>46175</v>
      </c>
      <c r="C141" s="149" t="s">
        <v>2072</v>
      </c>
      <c r="D141" s="149" t="s">
        <v>2073</v>
      </c>
      <c r="E141" s="147" t="s">
        <v>538</v>
      </c>
      <c r="F141" s="43" t="str">
        <f>IFERROR(INDEX(Catálogo!$F$8:$F$491,MATCH(E141,Catálogo!$B$8:$B$491,0)),"")</f>
        <v/>
      </c>
      <c r="G141" s="148">
        <v>30</v>
      </c>
      <c r="H141" s="148">
        <v>30</v>
      </c>
      <c r="I141" s="149"/>
      <c r="J141" s="43" t="s">
        <v>2074</v>
      </c>
      <c r="K141" s="146">
        <v>46188</v>
      </c>
      <c r="L141" s="149"/>
      <c r="M141" s="149"/>
      <c r="N141" s="149"/>
    </row>
    <row r="142" spans="1:14" ht="14.25" customHeight="1" x14ac:dyDescent="0.3">
      <c r="A142" s="43" t="s">
        <v>2071</v>
      </c>
      <c r="B142" s="146">
        <v>46175</v>
      </c>
      <c r="C142" s="43" t="s">
        <v>2072</v>
      </c>
      <c r="D142" s="43" t="s">
        <v>2073</v>
      </c>
      <c r="E142" s="147" t="s">
        <v>295</v>
      </c>
      <c r="F142" s="43" t="str">
        <f>IFERROR(INDEX(Catálogo!$F$8:$F$491,MATCH(E142,Catálogo!$B$8:$B$491,0)),"")</f>
        <v>TRICO GOLA CARECA FEM.</v>
      </c>
      <c r="G142" s="148">
        <v>3</v>
      </c>
      <c r="H142" s="148">
        <v>3</v>
      </c>
      <c r="I142" s="43"/>
      <c r="J142" s="43" t="s">
        <v>2074</v>
      </c>
      <c r="K142" s="146">
        <v>46188</v>
      </c>
      <c r="L142" s="43"/>
      <c r="M142" s="43"/>
      <c r="N142" s="43"/>
    </row>
    <row r="143" spans="1:14" ht="14.25" customHeight="1" x14ac:dyDescent="0.3">
      <c r="A143" s="149" t="s">
        <v>2071</v>
      </c>
      <c r="B143" s="150">
        <v>46175</v>
      </c>
      <c r="C143" s="149" t="s">
        <v>2072</v>
      </c>
      <c r="D143" s="149" t="s">
        <v>2073</v>
      </c>
      <c r="E143" s="147" t="s">
        <v>298</v>
      </c>
      <c r="F143" s="149" t="str">
        <f>IFERROR(INDEX(Catálogo!$F$8:$F$491,MATCH(E143,Catálogo!$B$8:$B$491,0)),"")</f>
        <v>TRICO GOLA CARECA FEM.</v>
      </c>
      <c r="G143" s="148">
        <v>4</v>
      </c>
      <c r="H143" s="148">
        <v>4</v>
      </c>
      <c r="I143" s="149"/>
      <c r="J143" s="43" t="s">
        <v>2074</v>
      </c>
      <c r="K143" s="146">
        <v>46188</v>
      </c>
      <c r="L143" s="149"/>
      <c r="M143" s="149"/>
      <c r="N143" s="149"/>
    </row>
    <row r="144" spans="1:14" ht="14.25" customHeight="1" x14ac:dyDescent="0.3">
      <c r="A144" s="43" t="s">
        <v>2071</v>
      </c>
      <c r="B144" s="146">
        <v>46175</v>
      </c>
      <c r="C144" s="43" t="s">
        <v>2072</v>
      </c>
      <c r="D144" s="43" t="s">
        <v>2073</v>
      </c>
      <c r="E144" s="147" t="s">
        <v>335</v>
      </c>
      <c r="F144" s="43" t="str">
        <f>IFERROR(INDEX(Catálogo!$F$8:$F$491,MATCH(E144,Catálogo!$B$8:$B$491,0)),"")</f>
        <v>RAQUETE FRESCOBOL</v>
      </c>
      <c r="G144" s="148">
        <v>6</v>
      </c>
      <c r="H144" s="148">
        <v>6</v>
      </c>
      <c r="I144" s="43"/>
      <c r="J144" s="43" t="s">
        <v>2074</v>
      </c>
      <c r="K144" s="146">
        <v>46188</v>
      </c>
      <c r="L144" s="43"/>
      <c r="M144" s="43"/>
      <c r="N144" s="43"/>
    </row>
    <row r="145" spans="1:14" ht="14.25" customHeight="1" x14ac:dyDescent="0.3">
      <c r="A145" s="149" t="s">
        <v>2071</v>
      </c>
      <c r="B145" s="150">
        <v>46175</v>
      </c>
      <c r="C145" s="149" t="s">
        <v>2072</v>
      </c>
      <c r="D145" s="149" t="s">
        <v>2073</v>
      </c>
      <c r="E145" s="147" t="s">
        <v>336</v>
      </c>
      <c r="F145" s="149" t="str">
        <f>IFERROR(INDEX(Catálogo!$F$8:$F$491,MATCH(E145,Catálogo!$B$8:$B$491,0)),"")</f>
        <v>VISEIRA BIC- ELASTICO</v>
      </c>
      <c r="G145" s="148">
        <v>10</v>
      </c>
      <c r="H145" s="148">
        <v>10</v>
      </c>
      <c r="I145" s="149"/>
      <c r="J145" s="43" t="s">
        <v>2074</v>
      </c>
      <c r="K145" s="146">
        <v>46188</v>
      </c>
      <c r="L145" s="149"/>
      <c r="M145" s="149"/>
      <c r="N145" s="149"/>
    </row>
    <row r="146" spans="1:14" ht="14.25" customHeight="1" x14ac:dyDescent="0.3">
      <c r="A146" s="43" t="s">
        <v>2071</v>
      </c>
      <c r="B146" s="146">
        <v>46175</v>
      </c>
      <c r="C146" s="43" t="s">
        <v>2072</v>
      </c>
      <c r="D146" s="43" t="s">
        <v>2073</v>
      </c>
      <c r="E146" s="147" t="s">
        <v>337</v>
      </c>
      <c r="F146" s="43" t="str">
        <f>IFERROR(INDEX(Catálogo!$F$8:$F$491,MATCH(E146,Catálogo!$B$8:$B$491,0)),"")</f>
        <v>VISEIRA BIC- ELASTICO</v>
      </c>
      <c r="G146" s="148">
        <v>12</v>
      </c>
      <c r="H146" s="148">
        <v>12</v>
      </c>
      <c r="I146" s="43"/>
      <c r="J146" s="43" t="s">
        <v>2074</v>
      </c>
      <c r="K146" s="146">
        <v>46188</v>
      </c>
      <c r="L146" s="43"/>
      <c r="M146" s="43"/>
      <c r="N146" s="43"/>
    </row>
    <row r="147" spans="1:14" ht="14.25" customHeight="1" x14ac:dyDescent="0.3">
      <c r="A147" s="149" t="s">
        <v>2071</v>
      </c>
      <c r="B147" s="150">
        <v>46175</v>
      </c>
      <c r="C147" s="149" t="s">
        <v>2072</v>
      </c>
      <c r="D147" s="149" t="s">
        <v>2073</v>
      </c>
      <c r="E147" s="147" t="s">
        <v>338</v>
      </c>
      <c r="F147" s="149" t="str">
        <f>IFERROR(INDEX(Catálogo!$F$8:$F$491,MATCH(E147,Catálogo!$B$8:$B$491,0)),"")</f>
        <v>LANCHEIRA TERMICA GG</v>
      </c>
      <c r="G147" s="148">
        <v>30</v>
      </c>
      <c r="H147" s="148">
        <v>30</v>
      </c>
      <c r="I147" s="149"/>
      <c r="J147" s="43" t="s">
        <v>2074</v>
      </c>
      <c r="K147" s="146">
        <v>46188</v>
      </c>
      <c r="L147" s="149"/>
      <c r="M147" s="149"/>
      <c r="N147" s="149"/>
    </row>
    <row r="148" spans="1:14" ht="14.25" customHeight="1" x14ac:dyDescent="0.3">
      <c r="A148" s="43" t="s">
        <v>2071</v>
      </c>
      <c r="B148" s="146">
        <v>46175</v>
      </c>
      <c r="C148" s="43" t="s">
        <v>2072</v>
      </c>
      <c r="D148" s="43" t="s">
        <v>2073</v>
      </c>
      <c r="E148" s="147" t="s">
        <v>348</v>
      </c>
      <c r="F148" s="43" t="str">
        <f>IFERROR(INDEX(Catálogo!$F$8:$F$491,MATCH(E148,Catálogo!$B$8:$B$491,0)),"")</f>
        <v>MALINHA DE MÃO</v>
      </c>
      <c r="G148" s="148">
        <v>24</v>
      </c>
      <c r="H148" s="148">
        <v>24</v>
      </c>
      <c r="I148" s="43"/>
      <c r="J148" s="43" t="s">
        <v>2074</v>
      </c>
      <c r="K148" s="146">
        <v>46188</v>
      </c>
      <c r="L148" s="43"/>
      <c r="M148" s="43"/>
      <c r="N148" s="43"/>
    </row>
    <row r="149" spans="1:14" ht="14.25" customHeight="1" x14ac:dyDescent="0.3">
      <c r="A149" s="149" t="s">
        <v>2071</v>
      </c>
      <c r="B149" s="150">
        <v>46175</v>
      </c>
      <c r="C149" s="149" t="s">
        <v>2072</v>
      </c>
      <c r="D149" s="149" t="s">
        <v>2073</v>
      </c>
      <c r="E149" s="147" t="s">
        <v>359</v>
      </c>
      <c r="F149" s="149" t="str">
        <f>IFERROR(INDEX(Catálogo!$F$8:$F$491,MATCH(E149,Catálogo!$B$8:$B$491,0)),"")</f>
        <v>CANECA CERÂMICA</v>
      </c>
      <c r="G149" s="148">
        <v>46</v>
      </c>
      <c r="H149" s="148">
        <v>46</v>
      </c>
      <c r="I149" s="149"/>
      <c r="J149" s="43" t="s">
        <v>2074</v>
      </c>
      <c r="K149" s="146">
        <v>46188</v>
      </c>
      <c r="L149" s="149"/>
      <c r="M149" s="149"/>
      <c r="N149" s="149"/>
    </row>
    <row r="150" spans="1:14" ht="14.25" customHeight="1" x14ac:dyDescent="0.3">
      <c r="A150" s="43" t="s">
        <v>2071</v>
      </c>
      <c r="B150" s="146">
        <v>46175</v>
      </c>
      <c r="C150" s="43" t="s">
        <v>2072</v>
      </c>
      <c r="D150" s="43" t="s">
        <v>2073</v>
      </c>
      <c r="E150" s="147" t="s">
        <v>361</v>
      </c>
      <c r="F150" s="43" t="str">
        <f>IFERROR(INDEX(Catálogo!$F$8:$F$491,MATCH(E150,Catálogo!$B$8:$B$491,0)),"")</f>
        <v>COPO STALEY</v>
      </c>
      <c r="G150" s="148">
        <v>3</v>
      </c>
      <c r="H150" s="148">
        <v>3</v>
      </c>
      <c r="I150" s="43"/>
      <c r="J150" s="43" t="s">
        <v>2074</v>
      </c>
      <c r="K150" s="146">
        <v>46188</v>
      </c>
      <c r="L150" s="43"/>
      <c r="M150" s="43"/>
      <c r="N150" s="43"/>
    </row>
    <row r="151" spans="1:14" ht="14.25" customHeight="1" x14ac:dyDescent="0.3">
      <c r="A151" s="149" t="s">
        <v>2071</v>
      </c>
      <c r="B151" s="150">
        <v>46175</v>
      </c>
      <c r="C151" s="149" t="s">
        <v>2072</v>
      </c>
      <c r="D151" s="149" t="s">
        <v>2073</v>
      </c>
      <c r="E151" s="147" t="s">
        <v>363</v>
      </c>
      <c r="F151" s="149" t="str">
        <f>IFERROR(INDEX(Catálogo!$F$8:$F$491,MATCH(E151,Catálogo!$B$8:$B$491,0)),"")</f>
        <v>COPO CAFÉ - G</v>
      </c>
      <c r="G151" s="148">
        <v>21</v>
      </c>
      <c r="H151" s="148">
        <v>21</v>
      </c>
      <c r="I151" s="149"/>
      <c r="J151" s="43" t="s">
        <v>2074</v>
      </c>
      <c r="K151" s="146">
        <v>46188</v>
      </c>
      <c r="L151" s="149"/>
      <c r="M151" s="149"/>
      <c r="N151" s="149"/>
    </row>
    <row r="152" spans="1:14" ht="14.25" customHeight="1" x14ac:dyDescent="0.3">
      <c r="A152" s="43" t="s">
        <v>2071</v>
      </c>
      <c r="B152" s="146">
        <v>46175</v>
      </c>
      <c r="C152" s="43" t="s">
        <v>2072</v>
      </c>
      <c r="D152" s="43" t="s">
        <v>2073</v>
      </c>
      <c r="E152" s="147" t="s">
        <v>364</v>
      </c>
      <c r="F152" s="43" t="str">
        <f>IFERROR(INDEX(Catálogo!$F$8:$F$491,MATCH(E152,Catálogo!$B$8:$B$491,0)),"")</f>
        <v>GARRAFA STALEY</v>
      </c>
      <c r="G152" s="148">
        <v>6</v>
      </c>
      <c r="H152" s="148">
        <v>6</v>
      </c>
      <c r="I152" s="43"/>
      <c r="J152" s="43" t="s">
        <v>2074</v>
      </c>
      <c r="K152" s="146">
        <v>46188</v>
      </c>
      <c r="L152" s="43"/>
      <c r="M152" s="43"/>
      <c r="N152" s="43"/>
    </row>
    <row r="153" spans="1:14" ht="14.25" customHeight="1" x14ac:dyDescent="0.3">
      <c r="A153" s="149" t="s">
        <v>2071</v>
      </c>
      <c r="B153" s="150">
        <v>46175</v>
      </c>
      <c r="C153" s="149" t="s">
        <v>2072</v>
      </c>
      <c r="D153" s="149" t="s">
        <v>2073</v>
      </c>
      <c r="E153" s="147" t="s">
        <v>365</v>
      </c>
      <c r="F153" s="149" t="str">
        <f>IFERROR(INDEX(Catálogo!$F$8:$F$491,MATCH(E153,Catálogo!$B$8:$B$491,0)),"")</f>
        <v>GARRAFA STALEY</v>
      </c>
      <c r="G153" s="148">
        <v>3</v>
      </c>
      <c r="H153" s="148">
        <v>3</v>
      </c>
      <c r="I153" s="149"/>
      <c r="J153" s="43" t="s">
        <v>2074</v>
      </c>
      <c r="K153" s="146">
        <v>46188</v>
      </c>
      <c r="L153" s="149"/>
      <c r="M153" s="149"/>
      <c r="N153" s="149"/>
    </row>
    <row r="154" spans="1:14" ht="14.25" customHeight="1" x14ac:dyDescent="0.3">
      <c r="A154" s="43" t="s">
        <v>2071</v>
      </c>
      <c r="B154" s="146">
        <v>46175</v>
      </c>
      <c r="C154" s="43" t="s">
        <v>2072</v>
      </c>
      <c r="D154" s="43" t="s">
        <v>2073</v>
      </c>
      <c r="E154" s="147" t="s">
        <v>366</v>
      </c>
      <c r="F154" s="43" t="str">
        <f>IFERROR(INDEX(Catálogo!$F$8:$F$491,MATCH(E154,Catálogo!$B$8:$B$491,0)),"")</f>
        <v>COPO CAFÉ - P</v>
      </c>
      <c r="G154" s="148">
        <v>26</v>
      </c>
      <c r="H154" s="148">
        <v>26</v>
      </c>
      <c r="I154" s="43"/>
      <c r="J154" s="43" t="s">
        <v>2074</v>
      </c>
      <c r="K154" s="146">
        <v>46188</v>
      </c>
      <c r="L154" s="43"/>
      <c r="M154" s="43"/>
      <c r="N154" s="43"/>
    </row>
    <row r="155" spans="1:14" ht="14.25" customHeight="1" x14ac:dyDescent="0.3">
      <c r="A155" s="149" t="s">
        <v>2071</v>
      </c>
      <c r="B155" s="150">
        <v>46175</v>
      </c>
      <c r="C155" s="149" t="s">
        <v>2072</v>
      </c>
      <c r="D155" s="149" t="s">
        <v>2073</v>
      </c>
      <c r="E155" s="147" t="s">
        <v>367</v>
      </c>
      <c r="F155" s="149" t="str">
        <f>IFERROR(INDEX(Catálogo!$F$8:$F$491,MATCH(E155,Catálogo!$B$8:$B$491,0)),"")</f>
        <v>CANECA TREMICA FOKUS</v>
      </c>
      <c r="G155" s="148">
        <v>20</v>
      </c>
      <c r="H155" s="148">
        <v>20</v>
      </c>
      <c r="I155" s="149"/>
      <c r="J155" s="43" t="s">
        <v>2074</v>
      </c>
      <c r="K155" s="146">
        <v>46188</v>
      </c>
      <c r="L155" s="149"/>
      <c r="M155" s="149"/>
      <c r="N155" s="149"/>
    </row>
    <row r="156" spans="1:14" ht="14.25" customHeight="1" x14ac:dyDescent="0.3">
      <c r="A156" s="43" t="s">
        <v>2071</v>
      </c>
      <c r="B156" s="146">
        <v>46175</v>
      </c>
      <c r="C156" s="43" t="s">
        <v>2072</v>
      </c>
      <c r="D156" s="43" t="s">
        <v>2073</v>
      </c>
      <c r="E156" s="147" t="s">
        <v>368</v>
      </c>
      <c r="F156" s="43" t="str">
        <f>IFERROR(INDEX(Catálogo!$F$8:$F$491,MATCH(E156,Catálogo!$B$8:$B$491,0)),"")</f>
        <v>COPO TERMICO BEERCUP</v>
      </c>
      <c r="G156" s="148">
        <v>4</v>
      </c>
      <c r="H156" s="148">
        <v>4</v>
      </c>
      <c r="I156" s="43"/>
      <c r="J156" s="43" t="s">
        <v>2074</v>
      </c>
      <c r="K156" s="146">
        <v>46188</v>
      </c>
      <c r="L156" s="43"/>
      <c r="M156" s="43"/>
      <c r="N156" s="43"/>
    </row>
    <row r="157" spans="1:14" ht="14.25" customHeight="1" x14ac:dyDescent="0.3">
      <c r="A157" s="149" t="s">
        <v>2071</v>
      </c>
      <c r="B157" s="150">
        <v>46175</v>
      </c>
      <c r="C157" s="149" t="s">
        <v>2072</v>
      </c>
      <c r="D157" s="149" t="s">
        <v>2073</v>
      </c>
      <c r="E157" s="147" t="s">
        <v>369</v>
      </c>
      <c r="F157" s="149" t="str">
        <f>IFERROR(INDEX(Catálogo!$F$8:$F$491,MATCH(E157,Catálogo!$B$8:$B$491,0)),"")</f>
        <v>COPO TERMICO THERMOCUP</v>
      </c>
      <c r="G157" s="148">
        <v>17</v>
      </c>
      <c r="H157" s="148">
        <v>17</v>
      </c>
      <c r="I157" s="149"/>
      <c r="J157" s="43" t="s">
        <v>2074</v>
      </c>
      <c r="K157" s="146">
        <v>46188</v>
      </c>
      <c r="L157" s="149"/>
      <c r="M157" s="149"/>
      <c r="N157" s="149"/>
    </row>
    <row r="158" spans="1:14" ht="14.25" customHeight="1" x14ac:dyDescent="0.3">
      <c r="A158" s="43" t="s">
        <v>2071</v>
      </c>
      <c r="B158" s="146">
        <v>46175</v>
      </c>
      <c r="C158" s="43" t="s">
        <v>2072</v>
      </c>
      <c r="D158" s="43" t="s">
        <v>2073</v>
      </c>
      <c r="E158" s="147" t="s">
        <v>370</v>
      </c>
      <c r="F158" s="43" t="str">
        <f>IFERROR(INDEX(Catálogo!$F$8:$F$491,MATCH(E158,Catálogo!$B$8:$B$491,0)),"")</f>
        <v>COPO TERMICO THERMOCUP</v>
      </c>
      <c r="G158" s="148">
        <v>4</v>
      </c>
      <c r="H158" s="148">
        <v>4</v>
      </c>
      <c r="I158" s="43"/>
      <c r="J158" s="43" t="s">
        <v>2074</v>
      </c>
      <c r="K158" s="146">
        <v>46188</v>
      </c>
      <c r="L158" s="43"/>
      <c r="M158" s="43"/>
      <c r="N158" s="43"/>
    </row>
    <row r="159" spans="1:14" ht="14.25" customHeight="1" x14ac:dyDescent="0.3">
      <c r="A159" s="149" t="s">
        <v>2071</v>
      </c>
      <c r="B159" s="150">
        <v>46175</v>
      </c>
      <c r="C159" s="149" t="s">
        <v>2072</v>
      </c>
      <c r="D159" s="149" t="s">
        <v>2073</v>
      </c>
      <c r="E159" s="147" t="s">
        <v>371</v>
      </c>
      <c r="F159" s="149" t="str">
        <f>IFERROR(INDEX(Catálogo!$F$8:$F$491,MATCH(E159,Catálogo!$B$8:$B$491,0)),"")</f>
        <v>CANETA BTG COM LOGO</v>
      </c>
      <c r="G159" s="148">
        <v>6</v>
      </c>
      <c r="H159" s="148">
        <v>6</v>
      </c>
      <c r="I159" s="149"/>
      <c r="J159" s="43" t="s">
        <v>2074</v>
      </c>
      <c r="K159" s="146">
        <v>46188</v>
      </c>
      <c r="L159" s="149"/>
      <c r="M159" s="149"/>
      <c r="N159" s="149"/>
    </row>
    <row r="160" spans="1:14" ht="14.25" customHeight="1" x14ac:dyDescent="0.3">
      <c r="A160" s="43" t="s">
        <v>2071</v>
      </c>
      <c r="B160" s="146">
        <v>46175</v>
      </c>
      <c r="C160" s="43" t="s">
        <v>2072</v>
      </c>
      <c r="D160" s="43" t="s">
        <v>2073</v>
      </c>
      <c r="E160" s="147" t="s">
        <v>372</v>
      </c>
      <c r="F160" s="43" t="str">
        <f>IFERROR(INDEX(Catálogo!$F$8:$F$491,MATCH(E160,Catálogo!$B$8:$B$491,0)),"")</f>
        <v>CANETA BTG COM LOGO</v>
      </c>
      <c r="G160" s="148">
        <v>43</v>
      </c>
      <c r="H160" s="148">
        <v>43</v>
      </c>
      <c r="I160" s="43"/>
      <c r="J160" s="43" t="s">
        <v>2074</v>
      </c>
      <c r="K160" s="146">
        <v>46188</v>
      </c>
      <c r="L160" s="43"/>
      <c r="M160" s="43"/>
      <c r="N160" s="43"/>
    </row>
    <row r="161" spans="1:14" ht="14.25" customHeight="1" x14ac:dyDescent="0.3">
      <c r="A161" s="149" t="s">
        <v>2071</v>
      </c>
      <c r="B161" s="150">
        <v>46175</v>
      </c>
      <c r="C161" s="149" t="s">
        <v>2072</v>
      </c>
      <c r="D161" s="149" t="s">
        <v>2073</v>
      </c>
      <c r="E161" s="147" t="s">
        <v>373</v>
      </c>
      <c r="F161" s="149" t="str">
        <f>IFERROR(INDEX(Catálogo!$F$8:$F$491,MATCH(E161,Catálogo!$B$8:$B$491,0)),"")</f>
        <v>COPO TERMICO THERMOCUP</v>
      </c>
      <c r="G161" s="148">
        <v>1</v>
      </c>
      <c r="H161" s="148">
        <v>1</v>
      </c>
      <c r="I161" s="149"/>
      <c r="J161" s="43" t="s">
        <v>2074</v>
      </c>
      <c r="K161" s="146">
        <v>46188</v>
      </c>
      <c r="L161" s="149"/>
      <c r="M161" s="149"/>
      <c r="N161" s="149"/>
    </row>
    <row r="162" spans="1:14" ht="14.25" customHeight="1" x14ac:dyDescent="0.3">
      <c r="A162" s="43" t="s">
        <v>2071</v>
      </c>
      <c r="B162" s="146">
        <v>46175</v>
      </c>
      <c r="C162" s="43" t="s">
        <v>2072</v>
      </c>
      <c r="D162" s="43" t="s">
        <v>2073</v>
      </c>
      <c r="E162" s="147" t="s">
        <v>374</v>
      </c>
      <c r="F162" s="43" t="str">
        <f>IFERROR(INDEX(Catálogo!$F$8:$F$491,MATCH(E162,Catálogo!$B$8:$B$491,0)),"")</f>
        <v>GARRAFA VYTA</v>
      </c>
      <c r="G162" s="148">
        <v>10</v>
      </c>
      <c r="H162" s="148">
        <v>10</v>
      </c>
      <c r="I162" s="43"/>
      <c r="J162" s="43" t="s">
        <v>2074</v>
      </c>
      <c r="K162" s="146">
        <v>46188</v>
      </c>
      <c r="L162" s="43"/>
      <c r="M162" s="43"/>
      <c r="N162" s="43"/>
    </row>
    <row r="163" spans="1:14" ht="14.25" customHeight="1" x14ac:dyDescent="0.3">
      <c r="A163" s="149" t="s">
        <v>2071</v>
      </c>
      <c r="B163" s="150">
        <v>46175</v>
      </c>
      <c r="C163" s="149" t="s">
        <v>2072</v>
      </c>
      <c r="D163" s="149" t="s">
        <v>2073</v>
      </c>
      <c r="E163" s="147" t="s">
        <v>377</v>
      </c>
      <c r="F163" s="149" t="str">
        <f>IFERROR(INDEX(Catálogo!$F$8:$F$491,MATCH(E163,Catálogo!$B$8:$B$491,0)),"")</f>
        <v>CAMISETA FIO EGIPCIO MASC.</v>
      </c>
      <c r="G163" s="148">
        <v>25</v>
      </c>
      <c r="H163" s="148">
        <v>25</v>
      </c>
      <c r="I163" s="149"/>
      <c r="J163" s="43" t="s">
        <v>2074</v>
      </c>
      <c r="K163" s="146">
        <v>46188</v>
      </c>
      <c r="L163" s="149"/>
      <c r="M163" s="149"/>
      <c r="N163" s="149"/>
    </row>
    <row r="164" spans="1:14" ht="14.25" customHeight="1" x14ac:dyDescent="0.3">
      <c r="A164" s="43" t="s">
        <v>2071</v>
      </c>
      <c r="B164" s="146">
        <v>46175</v>
      </c>
      <c r="C164" s="43" t="s">
        <v>2072</v>
      </c>
      <c r="D164" s="43" t="s">
        <v>2073</v>
      </c>
      <c r="E164" s="147" t="s">
        <v>378</v>
      </c>
      <c r="F164" s="43" t="str">
        <f>IFERROR(INDEX(Catálogo!$F$8:$F$491,MATCH(E164,Catálogo!$B$8:$B$491,0)),"")</f>
        <v>CAMISETA FIO EGIPCIO MASC.</v>
      </c>
      <c r="G164" s="148">
        <v>25</v>
      </c>
      <c r="H164" s="148">
        <v>25</v>
      </c>
      <c r="I164" s="43"/>
      <c r="J164" s="43" t="s">
        <v>2074</v>
      </c>
      <c r="K164" s="146">
        <v>46188</v>
      </c>
      <c r="L164" s="43"/>
      <c r="M164" s="43"/>
      <c r="N164" s="43"/>
    </row>
    <row r="165" spans="1:14" ht="14.25" customHeight="1" x14ac:dyDescent="0.3">
      <c r="A165" s="149" t="s">
        <v>2071</v>
      </c>
      <c r="B165" s="150">
        <v>46175</v>
      </c>
      <c r="C165" s="149" t="s">
        <v>2072</v>
      </c>
      <c r="D165" s="149" t="s">
        <v>2073</v>
      </c>
      <c r="E165" s="147" t="s">
        <v>379</v>
      </c>
      <c r="F165" s="149" t="str">
        <f>IFERROR(INDEX(Catálogo!$F$8:$F$491,MATCH(E165,Catálogo!$B$8:$B$491,0)),"")</f>
        <v>CAMISETA FIO EGIPCIO MASC.</v>
      </c>
      <c r="G165" s="148">
        <v>25</v>
      </c>
      <c r="H165" s="148">
        <v>25</v>
      </c>
      <c r="I165" s="149"/>
      <c r="J165" s="43" t="s">
        <v>2074</v>
      </c>
      <c r="K165" s="146">
        <v>46188</v>
      </c>
      <c r="L165" s="149"/>
      <c r="M165" s="149"/>
      <c r="N165" s="149"/>
    </row>
    <row r="166" spans="1:14" ht="14.25" customHeight="1" x14ac:dyDescent="0.3">
      <c r="A166" s="43" t="s">
        <v>2071</v>
      </c>
      <c r="B166" s="146">
        <v>46175</v>
      </c>
      <c r="C166" s="43" t="s">
        <v>2072</v>
      </c>
      <c r="D166" s="43" t="s">
        <v>2073</v>
      </c>
      <c r="E166" s="147" t="s">
        <v>380</v>
      </c>
      <c r="F166" s="43" t="str">
        <f>IFERROR(INDEX(Catálogo!$F$8:$F$491,MATCH(E166,Catálogo!$B$8:$B$491,0)),"")</f>
        <v>CAMISETA FIO EGIPCIO MASC.</v>
      </c>
      <c r="G166" s="148">
        <v>2</v>
      </c>
      <c r="H166" s="148">
        <v>2</v>
      </c>
      <c r="I166" s="43"/>
      <c r="J166" s="43" t="s">
        <v>2074</v>
      </c>
      <c r="K166" s="146">
        <v>46188</v>
      </c>
      <c r="L166" s="43"/>
      <c r="M166" s="43"/>
      <c r="N166" s="43"/>
    </row>
    <row r="167" spans="1:14" ht="14.25" customHeight="1" x14ac:dyDescent="0.3">
      <c r="A167" s="149" t="s">
        <v>2071</v>
      </c>
      <c r="B167" s="150">
        <v>46175</v>
      </c>
      <c r="C167" s="149" t="s">
        <v>2072</v>
      </c>
      <c r="D167" s="149" t="s">
        <v>2073</v>
      </c>
      <c r="E167" s="147" t="s">
        <v>381</v>
      </c>
      <c r="F167" s="149" t="str">
        <f>IFERROR(INDEX(Catálogo!$F$8:$F$491,MATCH(E167,Catálogo!$B$8:$B$491,0)),"")</f>
        <v>CAMISETA FIO EGIPCIO MASC.</v>
      </c>
      <c r="G167" s="148">
        <v>16</v>
      </c>
      <c r="H167" s="148">
        <v>16</v>
      </c>
      <c r="I167" s="149"/>
      <c r="J167" s="43" t="s">
        <v>2074</v>
      </c>
      <c r="K167" s="146">
        <v>46188</v>
      </c>
      <c r="L167" s="149"/>
      <c r="M167" s="149"/>
      <c r="N167" s="149"/>
    </row>
    <row r="168" spans="1:14" ht="14.25" customHeight="1" x14ac:dyDescent="0.3">
      <c r="A168" s="43" t="s">
        <v>2071</v>
      </c>
      <c r="B168" s="146">
        <v>46175</v>
      </c>
      <c r="C168" s="43" t="s">
        <v>2072</v>
      </c>
      <c r="D168" s="43" t="s">
        <v>2073</v>
      </c>
      <c r="E168" s="147" t="s">
        <v>382</v>
      </c>
      <c r="F168" s="43" t="str">
        <f>IFERROR(INDEX(Catálogo!$F$8:$F$491,MATCH(E168,Catálogo!$B$8:$B$491,0)),"")</f>
        <v>CAMISETA FIO EGIPCIO FEM.</v>
      </c>
      <c r="G168" s="148">
        <v>17</v>
      </c>
      <c r="H168" s="148">
        <v>17</v>
      </c>
      <c r="I168" s="43"/>
      <c r="J168" s="43" t="s">
        <v>2074</v>
      </c>
      <c r="K168" s="146">
        <v>46188</v>
      </c>
      <c r="L168" s="43"/>
      <c r="M168" s="43"/>
      <c r="N168" s="43"/>
    </row>
    <row r="169" spans="1:14" ht="14.25" customHeight="1" x14ac:dyDescent="0.3">
      <c r="A169" s="149" t="s">
        <v>2071</v>
      </c>
      <c r="B169" s="150">
        <v>46175</v>
      </c>
      <c r="C169" s="149" t="s">
        <v>2072</v>
      </c>
      <c r="D169" s="149" t="s">
        <v>2073</v>
      </c>
      <c r="E169" s="147" t="s">
        <v>383</v>
      </c>
      <c r="F169" s="149" t="str">
        <f>IFERROR(INDEX(Catálogo!$F$8:$F$491,MATCH(E169,Catálogo!$B$8:$B$491,0)),"")</f>
        <v>CAMISETA FIO EGIPCIO FEM.</v>
      </c>
      <c r="G169" s="148">
        <v>6</v>
      </c>
      <c r="H169" s="148">
        <v>6</v>
      </c>
      <c r="I169" s="149"/>
      <c r="J169" s="43" t="s">
        <v>2074</v>
      </c>
      <c r="K169" s="146">
        <v>46188</v>
      </c>
      <c r="L169" s="149"/>
      <c r="M169" s="149"/>
      <c r="N169" s="149"/>
    </row>
    <row r="170" spans="1:14" ht="14.25" customHeight="1" x14ac:dyDescent="0.3">
      <c r="A170" s="43" t="s">
        <v>2071</v>
      </c>
      <c r="B170" s="146">
        <v>46175</v>
      </c>
      <c r="C170" s="43" t="s">
        <v>2072</v>
      </c>
      <c r="D170" s="43" t="s">
        <v>2073</v>
      </c>
      <c r="E170" s="147" t="s">
        <v>384</v>
      </c>
      <c r="F170" s="43" t="str">
        <f>IFERROR(INDEX(Catálogo!$F$8:$F$491,MATCH(E170,Catálogo!$B$8:$B$491,0)),"")</f>
        <v>CAMISETA FIO EGIPCIO FEM.</v>
      </c>
      <c r="G170" s="148">
        <v>6</v>
      </c>
      <c r="H170" s="148">
        <v>6</v>
      </c>
      <c r="I170" s="43"/>
      <c r="J170" s="43" t="s">
        <v>2074</v>
      </c>
      <c r="K170" s="146">
        <v>46188</v>
      </c>
      <c r="L170" s="43"/>
      <c r="M170" s="43"/>
      <c r="N170" s="43"/>
    </row>
    <row r="171" spans="1:14" ht="14.25" customHeight="1" x14ac:dyDescent="0.3">
      <c r="A171" s="149" t="s">
        <v>2071</v>
      </c>
      <c r="B171" s="150">
        <v>46175</v>
      </c>
      <c r="C171" s="149" t="s">
        <v>2072</v>
      </c>
      <c r="D171" s="149" t="s">
        <v>2073</v>
      </c>
      <c r="E171" s="147" t="s">
        <v>385</v>
      </c>
      <c r="F171" s="149" t="str">
        <f>IFERROR(INDEX(Catálogo!$F$8:$F$491,MATCH(E171,Catálogo!$B$8:$B$491,0)),"")</f>
        <v>CAMISETA ESPORTE MASC.</v>
      </c>
      <c r="G171" s="148">
        <v>7</v>
      </c>
      <c r="H171" s="148">
        <v>7</v>
      </c>
      <c r="I171" s="149"/>
      <c r="J171" s="43" t="s">
        <v>2074</v>
      </c>
      <c r="K171" s="146">
        <v>46188</v>
      </c>
      <c r="L171" s="149"/>
      <c r="M171" s="149"/>
      <c r="N171" s="149"/>
    </row>
    <row r="172" spans="1:14" ht="14.25" customHeight="1" x14ac:dyDescent="0.3">
      <c r="A172" s="43" t="s">
        <v>2071</v>
      </c>
      <c r="B172" s="146">
        <v>46175</v>
      </c>
      <c r="C172" s="43" t="s">
        <v>2072</v>
      </c>
      <c r="D172" s="43" t="s">
        <v>2073</v>
      </c>
      <c r="E172" s="147" t="s">
        <v>386</v>
      </c>
      <c r="F172" s="43" t="str">
        <f>IFERROR(INDEX(Catálogo!$F$8:$F$491,MATCH(E172,Catálogo!$B$8:$B$491,0)),"")</f>
        <v>CAMISETA ESPORTE MASC.</v>
      </c>
      <c r="G172" s="148">
        <v>11</v>
      </c>
      <c r="H172" s="148">
        <v>11</v>
      </c>
      <c r="I172" s="43"/>
      <c r="J172" s="43" t="s">
        <v>2074</v>
      </c>
      <c r="K172" s="146">
        <v>46188</v>
      </c>
      <c r="L172" s="43"/>
      <c r="M172" s="43"/>
      <c r="N172" s="43"/>
    </row>
    <row r="173" spans="1:14" ht="14.25" customHeight="1" x14ac:dyDescent="0.3">
      <c r="A173" s="149" t="s">
        <v>2071</v>
      </c>
      <c r="B173" s="150">
        <v>46175</v>
      </c>
      <c r="C173" s="149" t="s">
        <v>2072</v>
      </c>
      <c r="D173" s="149" t="s">
        <v>2073</v>
      </c>
      <c r="E173" s="147" t="s">
        <v>387</v>
      </c>
      <c r="F173" s="149" t="str">
        <f>IFERROR(INDEX(Catálogo!$F$8:$F$491,MATCH(E173,Catálogo!$B$8:$B$491,0)),"")</f>
        <v>CAMISETA ESPORTE MASC.</v>
      </c>
      <c r="G173" s="148">
        <v>3</v>
      </c>
      <c r="H173" s="148">
        <v>3</v>
      </c>
      <c r="I173" s="149"/>
      <c r="J173" s="43" t="s">
        <v>2074</v>
      </c>
      <c r="K173" s="146">
        <v>46188</v>
      </c>
      <c r="L173" s="149"/>
      <c r="M173" s="149"/>
      <c r="N173" s="149"/>
    </row>
    <row r="174" spans="1:14" ht="14.25" customHeight="1" x14ac:dyDescent="0.3">
      <c r="A174" s="43" t="s">
        <v>2071</v>
      </c>
      <c r="B174" s="146">
        <v>46175</v>
      </c>
      <c r="C174" s="43" t="s">
        <v>2072</v>
      </c>
      <c r="D174" s="43" t="s">
        <v>2073</v>
      </c>
      <c r="E174" s="147" t="s">
        <v>388</v>
      </c>
      <c r="F174" s="43" t="str">
        <f>IFERROR(INDEX(Catálogo!$F$8:$F$491,MATCH(E174,Catálogo!$B$8:$B$491,0)),"")</f>
        <v>LENÇO ECHARPE FEM</v>
      </c>
      <c r="G174" s="148">
        <v>6</v>
      </c>
      <c r="H174" s="148">
        <v>6</v>
      </c>
      <c r="I174" s="43"/>
      <c r="J174" s="43" t="s">
        <v>2074</v>
      </c>
      <c r="K174" s="146">
        <v>46188</v>
      </c>
      <c r="L174" s="43"/>
      <c r="M174" s="43"/>
      <c r="N174" s="43"/>
    </row>
    <row r="175" spans="1:14" ht="14.25" customHeight="1" x14ac:dyDescent="0.3">
      <c r="A175" s="149" t="s">
        <v>2071</v>
      </c>
      <c r="B175" s="150">
        <v>46175</v>
      </c>
      <c r="C175" s="149" t="s">
        <v>2072</v>
      </c>
      <c r="D175" s="149" t="s">
        <v>2073</v>
      </c>
      <c r="E175" s="147" t="s">
        <v>389</v>
      </c>
      <c r="F175" s="149" t="str">
        <f>IFERROR(INDEX(Catálogo!$F$8:$F$491,MATCH(E175,Catálogo!$B$8:$B$491,0)),"")</f>
        <v>LENÇO ECHARPE FEM</v>
      </c>
      <c r="G175" s="148">
        <v>6</v>
      </c>
      <c r="H175" s="148">
        <v>6</v>
      </c>
      <c r="I175" s="149"/>
      <c r="J175" s="43" t="s">
        <v>2074</v>
      </c>
      <c r="K175" s="146">
        <v>46188</v>
      </c>
      <c r="L175" s="149"/>
      <c r="M175" s="149"/>
      <c r="N175" s="149"/>
    </row>
    <row r="176" spans="1:14" ht="14.25" customHeight="1" x14ac:dyDescent="0.3">
      <c r="A176" s="43" t="s">
        <v>2071</v>
      </c>
      <c r="B176" s="146">
        <v>46175</v>
      </c>
      <c r="C176" s="43" t="s">
        <v>2072</v>
      </c>
      <c r="D176" s="43" t="s">
        <v>2073</v>
      </c>
      <c r="E176" s="147" t="s">
        <v>390</v>
      </c>
      <c r="F176" s="43" t="str">
        <f>IFERROR(INDEX(Catálogo!$F$8:$F$491,MATCH(E176,Catálogo!$B$8:$B$491,0)),"")</f>
        <v>LENÇO ECHARPE FEM</v>
      </c>
      <c r="G176" s="148">
        <v>6</v>
      </c>
      <c r="H176" s="148">
        <v>6</v>
      </c>
      <c r="I176" s="43"/>
      <c r="J176" s="43" t="s">
        <v>2074</v>
      </c>
      <c r="K176" s="146">
        <v>46188</v>
      </c>
      <c r="L176" s="43"/>
      <c r="M176" s="43"/>
      <c r="N176" s="43"/>
    </row>
    <row r="177" spans="1:14" ht="14.25" customHeight="1" x14ac:dyDescent="0.3">
      <c r="A177" s="149" t="s">
        <v>2071</v>
      </c>
      <c r="B177" s="150">
        <v>46175</v>
      </c>
      <c r="C177" s="149" t="s">
        <v>2072</v>
      </c>
      <c r="D177" s="149" t="s">
        <v>2073</v>
      </c>
      <c r="E177" s="147" t="s">
        <v>391</v>
      </c>
      <c r="F177" s="149" t="str">
        <f>IFERROR(INDEX(Catálogo!$F$8:$F$491,MATCH(E177,Catálogo!$B$8:$B$491,0)),"")</f>
        <v>LENÇO ECHARPE FEM</v>
      </c>
      <c r="G177" s="148">
        <v>6</v>
      </c>
      <c r="H177" s="148">
        <v>6</v>
      </c>
      <c r="I177" s="149"/>
      <c r="J177" s="43" t="s">
        <v>2074</v>
      </c>
      <c r="K177" s="146">
        <v>46188</v>
      </c>
      <c r="L177" s="149"/>
      <c r="M177" s="149"/>
      <c r="N177" s="149"/>
    </row>
    <row r="178" spans="1:14" ht="14.25" customHeight="1" x14ac:dyDescent="0.3">
      <c r="A178" s="43" t="s">
        <v>2071</v>
      </c>
      <c r="B178" s="146">
        <v>46175</v>
      </c>
      <c r="C178" s="43" t="s">
        <v>2072</v>
      </c>
      <c r="D178" s="43" t="s">
        <v>2073</v>
      </c>
      <c r="E178" s="147" t="s">
        <v>395</v>
      </c>
      <c r="F178" s="43" t="str">
        <f>IFERROR(INDEX(Catálogo!$F$8:$F$491,MATCH(E178,Catálogo!$B$8:$B$491,0)),"")</f>
        <v>SHORTS ESPORTE UNISSEX</v>
      </c>
      <c r="G178" s="148">
        <v>5</v>
      </c>
      <c r="H178" s="148">
        <v>5</v>
      </c>
      <c r="I178" s="43"/>
      <c r="J178" s="43" t="s">
        <v>2074</v>
      </c>
      <c r="K178" s="146">
        <v>46188</v>
      </c>
      <c r="L178" s="43"/>
      <c r="M178" s="43"/>
      <c r="N178" s="43"/>
    </row>
    <row r="179" spans="1:14" ht="14.25" customHeight="1" x14ac:dyDescent="0.3">
      <c r="A179" s="149" t="s">
        <v>2071</v>
      </c>
      <c r="B179" s="150">
        <v>46175</v>
      </c>
      <c r="C179" s="149" t="s">
        <v>2072</v>
      </c>
      <c r="D179" s="149" t="s">
        <v>2073</v>
      </c>
      <c r="E179" s="147" t="s">
        <v>396</v>
      </c>
      <c r="F179" s="149" t="str">
        <f>IFERROR(INDEX(Catálogo!$F$8:$F$491,MATCH(E179,Catálogo!$B$8:$B$491,0)),"")</f>
        <v>SHORTS ESPORTE UNISSEX</v>
      </c>
      <c r="G179" s="148">
        <v>3</v>
      </c>
      <c r="H179" s="148">
        <v>3</v>
      </c>
      <c r="I179" s="149"/>
      <c r="J179" s="43" t="s">
        <v>2074</v>
      </c>
      <c r="K179" s="146">
        <v>46188</v>
      </c>
      <c r="L179" s="149"/>
      <c r="M179" s="149"/>
      <c r="N179" s="149"/>
    </row>
    <row r="180" spans="1:14" ht="14.25" customHeight="1" x14ac:dyDescent="0.3">
      <c r="A180" s="43" t="s">
        <v>2071</v>
      </c>
      <c r="B180" s="146">
        <v>46175</v>
      </c>
      <c r="C180" s="43" t="s">
        <v>2072</v>
      </c>
      <c r="D180" s="43" t="s">
        <v>2073</v>
      </c>
      <c r="E180" s="147" t="s">
        <v>397</v>
      </c>
      <c r="F180" s="43" t="str">
        <f>IFERROR(INDEX(Catálogo!$F$8:$F$491,MATCH(E180,Catálogo!$B$8:$B$491,0)),"")</f>
        <v>SHORTS ESPORTE UNISSEX</v>
      </c>
      <c r="G180" s="148">
        <v>4</v>
      </c>
      <c r="H180" s="148">
        <v>4</v>
      </c>
      <c r="I180" s="43"/>
      <c r="J180" s="43" t="s">
        <v>2074</v>
      </c>
      <c r="K180" s="146">
        <v>46188</v>
      </c>
      <c r="L180" s="43"/>
      <c r="M180" s="43"/>
      <c r="N180" s="43"/>
    </row>
    <row r="181" spans="1:14" ht="14.25" customHeight="1" x14ac:dyDescent="0.3">
      <c r="A181" s="149" t="s">
        <v>2071</v>
      </c>
      <c r="B181" s="150">
        <v>46175</v>
      </c>
      <c r="C181" s="149" t="s">
        <v>2072</v>
      </c>
      <c r="D181" s="149" t="s">
        <v>2073</v>
      </c>
      <c r="E181" s="147" t="s">
        <v>398</v>
      </c>
      <c r="F181" s="149" t="str">
        <f>IFERROR(INDEX(Catálogo!$F$8:$F$491,MATCH(E181,Catálogo!$B$8:$B$491,0)),"")</f>
        <v>SHORTS ESPORTE UNISSEX</v>
      </c>
      <c r="G181" s="148">
        <v>5</v>
      </c>
      <c r="H181" s="148">
        <v>5</v>
      </c>
      <c r="I181" s="149"/>
      <c r="J181" s="43" t="s">
        <v>2074</v>
      </c>
      <c r="K181" s="146">
        <v>46188</v>
      </c>
      <c r="L181" s="149"/>
      <c r="M181" s="149"/>
      <c r="N181" s="149"/>
    </row>
    <row r="182" spans="1:14" ht="14.25" customHeight="1" x14ac:dyDescent="0.3">
      <c r="A182" s="43" t="s">
        <v>2071</v>
      </c>
      <c r="B182" s="146">
        <v>46175</v>
      </c>
      <c r="C182" s="43" t="s">
        <v>2072</v>
      </c>
      <c r="D182" s="43" t="s">
        <v>2073</v>
      </c>
      <c r="E182" s="147" t="s">
        <v>399</v>
      </c>
      <c r="F182" s="43" t="str">
        <f>IFERROR(INDEX(Catálogo!$F$8:$F$491,MATCH(E182,Catálogo!$B$8:$B$491,0)),"")</f>
        <v>SHORTS ESPORTE UNISSEX</v>
      </c>
      <c r="G182" s="148">
        <v>4</v>
      </c>
      <c r="H182" s="148">
        <v>4</v>
      </c>
      <c r="I182" s="43"/>
      <c r="J182" s="43" t="s">
        <v>2074</v>
      </c>
      <c r="K182" s="146">
        <v>46188</v>
      </c>
      <c r="L182" s="43"/>
      <c r="M182" s="43"/>
      <c r="N182" s="43"/>
    </row>
    <row r="183" spans="1:14" ht="14.25" customHeight="1" x14ac:dyDescent="0.3">
      <c r="A183" s="149" t="s">
        <v>2071</v>
      </c>
      <c r="B183" s="150">
        <v>46175</v>
      </c>
      <c r="C183" s="149" t="s">
        <v>2072</v>
      </c>
      <c r="D183" s="149" t="s">
        <v>2073</v>
      </c>
      <c r="E183" s="147" t="s">
        <v>400</v>
      </c>
      <c r="F183" s="149" t="str">
        <f>IFERROR(INDEX(Catálogo!$F$8:$F$491,MATCH(E183,Catálogo!$B$8:$B$491,0)),"")</f>
        <v>BERMUDA FEMININA BTG</v>
      </c>
      <c r="G183" s="148">
        <v>10</v>
      </c>
      <c r="H183" s="148">
        <v>10</v>
      </c>
      <c r="I183" s="149"/>
      <c r="J183" s="43" t="s">
        <v>2074</v>
      </c>
      <c r="K183" s="146">
        <v>46188</v>
      </c>
      <c r="L183" s="149"/>
      <c r="M183" s="149"/>
      <c r="N183" s="149"/>
    </row>
    <row r="184" spans="1:14" ht="14.25" customHeight="1" x14ac:dyDescent="0.3">
      <c r="A184" s="43" t="s">
        <v>2071</v>
      </c>
      <c r="B184" s="146">
        <v>46175</v>
      </c>
      <c r="C184" s="43" t="s">
        <v>2072</v>
      </c>
      <c r="D184" s="43" t="s">
        <v>2073</v>
      </c>
      <c r="E184" s="147" t="s">
        <v>401</v>
      </c>
      <c r="F184" s="43" t="str">
        <f>IFERROR(INDEX(Catálogo!$F$8:$F$491,MATCH(E184,Catálogo!$B$8:$B$491,0)),"")</f>
        <v>BERMUDA FEMININA BTG</v>
      </c>
      <c r="G184" s="148">
        <v>10</v>
      </c>
      <c r="H184" s="148">
        <v>10</v>
      </c>
      <c r="I184" s="43"/>
      <c r="J184" s="43" t="s">
        <v>2074</v>
      </c>
      <c r="K184" s="146">
        <v>46188</v>
      </c>
      <c r="L184" s="43"/>
      <c r="M184" s="43"/>
      <c r="N184" s="43"/>
    </row>
    <row r="185" spans="1:14" ht="14.25" customHeight="1" x14ac:dyDescent="0.3">
      <c r="A185" s="149" t="s">
        <v>2071</v>
      </c>
      <c r="B185" s="150">
        <v>46175</v>
      </c>
      <c r="C185" s="149" t="s">
        <v>2072</v>
      </c>
      <c r="D185" s="149" t="s">
        <v>2073</v>
      </c>
      <c r="E185" s="147" t="s">
        <v>402</v>
      </c>
      <c r="F185" s="149" t="str">
        <f>IFERROR(INDEX(Catálogo!$F$8:$F$491,MATCH(E185,Catálogo!$B$8:$B$491,0)),"")</f>
        <v>BERMUDA FEMININA BTG</v>
      </c>
      <c r="G185" s="148">
        <v>10</v>
      </c>
      <c r="H185" s="148">
        <v>10</v>
      </c>
      <c r="I185" s="149"/>
      <c r="J185" s="43" t="s">
        <v>2074</v>
      </c>
      <c r="K185" s="146">
        <v>46188</v>
      </c>
      <c r="L185" s="149"/>
      <c r="M185" s="149"/>
      <c r="N185" s="149"/>
    </row>
    <row r="186" spans="1:14" ht="14.25" customHeight="1" x14ac:dyDescent="0.3">
      <c r="A186" s="43" t="s">
        <v>2071</v>
      </c>
      <c r="B186" s="146">
        <v>46175</v>
      </c>
      <c r="C186" s="43" t="s">
        <v>2072</v>
      </c>
      <c r="D186" s="43" t="s">
        <v>2073</v>
      </c>
      <c r="E186" s="147" t="s">
        <v>403</v>
      </c>
      <c r="F186" s="43" t="str">
        <f>IFERROR(INDEX(Catálogo!$F$8:$F$491,MATCH(E186,Catálogo!$B$8:$B$491,0)),"")</f>
        <v>BERMUDA FEMININA BTG</v>
      </c>
      <c r="G186" s="148">
        <v>10</v>
      </c>
      <c r="H186" s="148">
        <v>10</v>
      </c>
      <c r="I186" s="43"/>
      <c r="J186" s="43" t="s">
        <v>2074</v>
      </c>
      <c r="K186" s="146">
        <v>46188</v>
      </c>
      <c r="L186" s="43"/>
      <c r="M186" s="43"/>
      <c r="N186" s="43"/>
    </row>
    <row r="187" spans="1:14" ht="14.25" customHeight="1" x14ac:dyDescent="0.3">
      <c r="A187" s="149" t="s">
        <v>2071</v>
      </c>
      <c r="B187" s="150">
        <v>46175</v>
      </c>
      <c r="C187" s="149" t="s">
        <v>2072</v>
      </c>
      <c r="D187" s="149" t="s">
        <v>2073</v>
      </c>
      <c r="E187" s="147" t="s">
        <v>406</v>
      </c>
      <c r="F187" s="149" t="str">
        <f>IFERROR(INDEX(Catálogo!$F$8:$F$491,MATCH(E187,Catálogo!$B$8:$B$491,0)),"")</f>
        <v>MANGUITO BIKE</v>
      </c>
      <c r="G187" s="148">
        <v>10</v>
      </c>
      <c r="H187" s="148">
        <v>10</v>
      </c>
      <c r="I187" s="149"/>
      <c r="J187" s="43" t="s">
        <v>2074</v>
      </c>
      <c r="K187" s="146">
        <v>46188</v>
      </c>
      <c r="L187" s="149"/>
      <c r="M187" s="149"/>
      <c r="N187" s="149"/>
    </row>
    <row r="188" spans="1:14" ht="14.25" customHeight="1" x14ac:dyDescent="0.3">
      <c r="A188" s="43" t="s">
        <v>2071</v>
      </c>
      <c r="B188" s="146">
        <v>46175</v>
      </c>
      <c r="C188" s="43" t="s">
        <v>2072</v>
      </c>
      <c r="D188" s="43" t="s">
        <v>2073</v>
      </c>
      <c r="E188" s="147" t="s">
        <v>407</v>
      </c>
      <c r="F188" s="43" t="str">
        <f>IFERROR(INDEX(Catálogo!$F$8:$F$491,MATCH(E188,Catálogo!$B$8:$B$491,0)),"")</f>
        <v>MANGUITO BIKE</v>
      </c>
      <c r="G188" s="148">
        <v>8</v>
      </c>
      <c r="H188" s="148">
        <v>8</v>
      </c>
      <c r="I188" s="43"/>
      <c r="J188" s="43" t="s">
        <v>2074</v>
      </c>
      <c r="K188" s="146">
        <v>46188</v>
      </c>
      <c r="L188" s="43"/>
      <c r="M188" s="43"/>
      <c r="N188" s="43"/>
    </row>
    <row r="189" spans="1:14" ht="14.25" customHeight="1" x14ac:dyDescent="0.3">
      <c r="A189" s="149" t="s">
        <v>2071</v>
      </c>
      <c r="B189" s="150">
        <v>46175</v>
      </c>
      <c r="C189" s="149" t="s">
        <v>2072</v>
      </c>
      <c r="D189" s="149" t="s">
        <v>2073</v>
      </c>
      <c r="E189" s="147" t="s">
        <v>408</v>
      </c>
      <c r="F189" s="149" t="str">
        <f>IFERROR(INDEX(Catálogo!$F$8:$F$491,MATCH(E189,Catálogo!$B$8:$B$491,0)),"")</f>
        <v>MANGUITO BIKE</v>
      </c>
      <c r="G189" s="148">
        <v>12</v>
      </c>
      <c r="H189" s="148">
        <v>12</v>
      </c>
      <c r="I189" s="149"/>
      <c r="J189" s="43" t="s">
        <v>2074</v>
      </c>
      <c r="K189" s="146">
        <v>46188</v>
      </c>
      <c r="L189" s="149"/>
      <c r="M189" s="149"/>
      <c r="N189" s="149"/>
    </row>
    <row r="190" spans="1:14" ht="14.25" customHeight="1" x14ac:dyDescent="0.3">
      <c r="A190" s="43" t="s">
        <v>2071</v>
      </c>
      <c r="B190" s="146">
        <v>46175</v>
      </c>
      <c r="C190" s="43" t="s">
        <v>2072</v>
      </c>
      <c r="D190" s="43" t="s">
        <v>2073</v>
      </c>
      <c r="E190" s="147" t="s">
        <v>415</v>
      </c>
      <c r="F190" s="43" t="str">
        <f>IFERROR(INDEX(Catálogo!$F$8:$F$491,MATCH(E190,Catálogo!$B$8:$B$491,0)),"")</f>
        <v>BONÉ ESTRUTURADO - BTG</v>
      </c>
      <c r="G190" s="148">
        <v>33</v>
      </c>
      <c r="H190" s="148">
        <v>33</v>
      </c>
      <c r="I190" s="43"/>
      <c r="J190" s="43" t="s">
        <v>2074</v>
      </c>
      <c r="K190" s="146">
        <v>46188</v>
      </c>
      <c r="L190" s="43"/>
      <c r="M190" s="43"/>
      <c r="N190" s="43"/>
    </row>
    <row r="191" spans="1:14" ht="14.25" customHeight="1" x14ac:dyDescent="0.3">
      <c r="A191" s="149" t="s">
        <v>2071</v>
      </c>
      <c r="B191" s="150">
        <v>46175</v>
      </c>
      <c r="C191" s="149" t="s">
        <v>2072</v>
      </c>
      <c r="D191" s="149" t="s">
        <v>2073</v>
      </c>
      <c r="E191" s="147" t="s">
        <v>416</v>
      </c>
      <c r="F191" s="149" t="str">
        <f>IFERROR(INDEX(Catálogo!$F$8:$F$491,MATCH(E191,Catálogo!$B$8:$B$491,0)),"")</f>
        <v>BONE BRIM - BTG</v>
      </c>
      <c r="G191" s="148">
        <v>20</v>
      </c>
      <c r="H191" s="148">
        <v>20</v>
      </c>
      <c r="I191" s="149"/>
      <c r="J191" s="43" t="s">
        <v>2074</v>
      </c>
      <c r="K191" s="146">
        <v>46188</v>
      </c>
      <c r="L191" s="149"/>
      <c r="M191" s="149"/>
      <c r="N191" s="149"/>
    </row>
    <row r="192" spans="1:14" ht="14.25" customHeight="1" x14ac:dyDescent="0.3">
      <c r="A192" s="43" t="s">
        <v>2071</v>
      </c>
      <c r="B192" s="146">
        <v>46175</v>
      </c>
      <c r="C192" s="43" t="s">
        <v>2072</v>
      </c>
      <c r="D192" s="43" t="s">
        <v>2073</v>
      </c>
      <c r="E192" s="147" t="s">
        <v>420</v>
      </c>
      <c r="F192" s="43" t="str">
        <f>IFERROR(INDEX(Catálogo!$F$8:$F$491,MATCH(E192,Catálogo!$B$8:$B$491,0)),"")</f>
        <v>GARRAFA PAN INOX</v>
      </c>
      <c r="G192" s="148">
        <v>6</v>
      </c>
      <c r="H192" s="148">
        <v>6</v>
      </c>
      <c r="I192" s="43"/>
      <c r="J192" s="43" t="s">
        <v>2074</v>
      </c>
      <c r="K192" s="146">
        <v>46188</v>
      </c>
      <c r="L192" s="43"/>
      <c r="M192" s="43"/>
      <c r="N192" s="43"/>
    </row>
    <row r="193" spans="1:14" ht="14.25" customHeight="1" x14ac:dyDescent="0.3">
      <c r="A193" s="149" t="s">
        <v>2071</v>
      </c>
      <c r="B193" s="150">
        <v>46175</v>
      </c>
      <c r="C193" s="149" t="s">
        <v>2072</v>
      </c>
      <c r="D193" s="149" t="s">
        <v>2073</v>
      </c>
      <c r="E193" s="147" t="s">
        <v>421</v>
      </c>
      <c r="F193" s="149" t="str">
        <f>IFERROR(INDEX(Catálogo!$F$8:$F$491,MATCH(E193,Catálogo!$B$8:$B$491,0)),"")</f>
        <v>CANECA TREMICA FOKUS</v>
      </c>
      <c r="G193" s="148">
        <v>9</v>
      </c>
      <c r="H193" s="148">
        <v>9</v>
      </c>
      <c r="I193" s="149"/>
      <c r="J193" s="43" t="s">
        <v>2074</v>
      </c>
      <c r="K193" s="146">
        <v>46188</v>
      </c>
      <c r="L193" s="149"/>
      <c r="M193" s="149"/>
      <c r="N193" s="149"/>
    </row>
    <row r="194" spans="1:14" ht="14.25" customHeight="1" x14ac:dyDescent="0.3">
      <c r="A194" s="43" t="s">
        <v>2071</v>
      </c>
      <c r="B194" s="146">
        <v>46175</v>
      </c>
      <c r="C194" s="43" t="s">
        <v>2072</v>
      </c>
      <c r="D194" s="43" t="s">
        <v>2073</v>
      </c>
      <c r="E194" s="147" t="s">
        <v>428</v>
      </c>
      <c r="F194" s="43" t="str">
        <f>IFERROR(INDEX(Catálogo!$F$8:$F$491,MATCH(E194,Catálogo!$B$8:$B$491,0)),"")</f>
        <v>CAMISETA FIO EGIPCIO FEM.</v>
      </c>
      <c r="G194" s="148">
        <v>8</v>
      </c>
      <c r="H194" s="148">
        <v>8</v>
      </c>
      <c r="I194" s="43"/>
      <c r="J194" s="43" t="s">
        <v>2074</v>
      </c>
      <c r="K194" s="146">
        <v>46188</v>
      </c>
      <c r="L194" s="43"/>
      <c r="M194" s="43"/>
      <c r="N194" s="43"/>
    </row>
    <row r="195" spans="1:14" ht="14.25" customHeight="1" x14ac:dyDescent="0.3">
      <c r="A195" s="149" t="s">
        <v>2071</v>
      </c>
      <c r="B195" s="150">
        <v>46175</v>
      </c>
      <c r="C195" s="149" t="s">
        <v>2072</v>
      </c>
      <c r="D195" s="149" t="s">
        <v>2073</v>
      </c>
      <c r="E195" s="147" t="s">
        <v>429</v>
      </c>
      <c r="F195" s="149" t="str">
        <f>IFERROR(INDEX(Catálogo!$F$8:$F$491,MATCH(E195,Catálogo!$B$8:$B$491,0)),"")</f>
        <v>CAMISETA FIO EGIPCIO FEM.</v>
      </c>
      <c r="G195" s="148">
        <v>5</v>
      </c>
      <c r="H195" s="148">
        <v>5</v>
      </c>
      <c r="I195" s="149"/>
      <c r="J195" s="43" t="s">
        <v>2074</v>
      </c>
      <c r="K195" s="146">
        <v>46188</v>
      </c>
      <c r="L195" s="149"/>
      <c r="M195" s="149"/>
      <c r="N195" s="149"/>
    </row>
    <row r="196" spans="1:14" ht="14.25" customHeight="1" x14ac:dyDescent="0.3">
      <c r="A196" s="43" t="s">
        <v>2071</v>
      </c>
      <c r="B196" s="146">
        <v>46175</v>
      </c>
      <c r="C196" s="43" t="s">
        <v>2072</v>
      </c>
      <c r="D196" s="43" t="s">
        <v>2073</v>
      </c>
      <c r="E196" s="147" t="s">
        <v>430</v>
      </c>
      <c r="F196" s="43" t="str">
        <f>IFERROR(INDEX(Catálogo!$F$8:$F$491,MATCH(E196,Catálogo!$B$8:$B$491,0)),"")</f>
        <v>CAMISETA FIO EGIPCIO FEM.</v>
      </c>
      <c r="G196" s="148">
        <v>5</v>
      </c>
      <c r="H196" s="148">
        <v>5</v>
      </c>
      <c r="I196" s="43"/>
      <c r="J196" s="43" t="s">
        <v>2074</v>
      </c>
      <c r="K196" s="146">
        <v>46188</v>
      </c>
      <c r="L196" s="43"/>
      <c r="M196" s="43"/>
      <c r="N196" s="43"/>
    </row>
    <row r="197" spans="1:14" ht="14.25" customHeight="1" x14ac:dyDescent="0.3">
      <c r="A197" s="149" t="s">
        <v>2071</v>
      </c>
      <c r="B197" s="150">
        <v>46175</v>
      </c>
      <c r="C197" s="149" t="s">
        <v>2072</v>
      </c>
      <c r="D197" s="149" t="s">
        <v>2073</v>
      </c>
      <c r="E197" s="147" t="s">
        <v>431</v>
      </c>
      <c r="F197" s="149" t="str">
        <f>IFERROR(INDEX(Catálogo!$F$8:$F$491,MATCH(E197,Catálogo!$B$8:$B$491,0)),"")</f>
        <v>CAMISETA FIO EGIPCIO FEM.</v>
      </c>
      <c r="G197" s="148">
        <v>5</v>
      </c>
      <c r="H197" s="148">
        <v>5</v>
      </c>
      <c r="I197" s="149"/>
      <c r="J197" s="43" t="s">
        <v>2074</v>
      </c>
      <c r="K197" s="146">
        <v>46188</v>
      </c>
      <c r="L197" s="149"/>
      <c r="M197" s="149"/>
      <c r="N197" s="149"/>
    </row>
    <row r="198" spans="1:14" ht="14.25" customHeight="1" x14ac:dyDescent="0.3">
      <c r="A198" s="43" t="s">
        <v>2071</v>
      </c>
      <c r="B198" s="146">
        <v>46175</v>
      </c>
      <c r="C198" s="43" t="s">
        <v>2072</v>
      </c>
      <c r="D198" s="43" t="s">
        <v>2073</v>
      </c>
      <c r="E198" s="147" t="s">
        <v>432</v>
      </c>
      <c r="F198" s="43" t="str">
        <f>IFERROR(INDEX(Catálogo!$F$8:$F$491,MATCH(E198,Catálogo!$B$8:$B$491,0)),"")</f>
        <v>CAMISETA FIO EGIPCIO FEM.</v>
      </c>
      <c r="G198" s="148">
        <v>2</v>
      </c>
      <c r="H198" s="148">
        <v>2</v>
      </c>
      <c r="I198" s="43"/>
      <c r="J198" s="43" t="s">
        <v>2074</v>
      </c>
      <c r="K198" s="146">
        <v>46188</v>
      </c>
      <c r="L198" s="43"/>
      <c r="M198" s="43"/>
      <c r="N198" s="43"/>
    </row>
    <row r="199" spans="1:14" ht="14.25" customHeight="1" x14ac:dyDescent="0.3">
      <c r="A199" s="149" t="s">
        <v>2071</v>
      </c>
      <c r="B199" s="150">
        <v>46175</v>
      </c>
      <c r="C199" s="149" t="s">
        <v>2072</v>
      </c>
      <c r="D199" s="149" t="s">
        <v>2073</v>
      </c>
      <c r="E199" s="147" t="s">
        <v>433</v>
      </c>
      <c r="F199" s="149" t="str">
        <f>IFERROR(INDEX(Catálogo!$F$8:$F$491,MATCH(E199,Catálogo!$B$8:$B$491,0)),"")</f>
        <v>CAMISETA FIO EGIPCIO FEM.</v>
      </c>
      <c r="G199" s="148">
        <v>6</v>
      </c>
      <c r="H199" s="148">
        <v>6</v>
      </c>
      <c r="I199" s="149"/>
      <c r="J199" s="43" t="s">
        <v>2074</v>
      </c>
      <c r="K199" s="146">
        <v>46188</v>
      </c>
      <c r="L199" s="149"/>
      <c r="M199" s="149"/>
      <c r="N199" s="149"/>
    </row>
    <row r="200" spans="1:14" ht="14.25" customHeight="1" x14ac:dyDescent="0.3">
      <c r="A200" s="43" t="s">
        <v>2071</v>
      </c>
      <c r="B200" s="146">
        <v>46175</v>
      </c>
      <c r="C200" s="43" t="s">
        <v>2072</v>
      </c>
      <c r="D200" s="43" t="s">
        <v>2073</v>
      </c>
      <c r="E200" s="147" t="s">
        <v>434</v>
      </c>
      <c r="F200" s="43" t="str">
        <f>IFERROR(INDEX(Catálogo!$F$8:$F$491,MATCH(E200,Catálogo!$B$8:$B$491,0)),"")</f>
        <v>CAMISETA FIO EGIPCIO FEM.</v>
      </c>
      <c r="G200" s="148">
        <v>6</v>
      </c>
      <c r="H200" s="148">
        <v>6</v>
      </c>
      <c r="I200" s="43"/>
      <c r="J200" s="43" t="s">
        <v>2074</v>
      </c>
      <c r="K200" s="146">
        <v>46188</v>
      </c>
      <c r="L200" s="43"/>
      <c r="M200" s="43"/>
      <c r="N200" s="43"/>
    </row>
    <row r="201" spans="1:14" ht="14.25" customHeight="1" x14ac:dyDescent="0.3">
      <c r="A201" s="149" t="s">
        <v>2071</v>
      </c>
      <c r="B201" s="150">
        <v>46175</v>
      </c>
      <c r="C201" s="149" t="s">
        <v>2072</v>
      </c>
      <c r="D201" s="149" t="s">
        <v>2073</v>
      </c>
      <c r="E201" s="147" t="s">
        <v>437</v>
      </c>
      <c r="F201" s="149" t="str">
        <f>IFERROR(INDEX(Catálogo!$F$8:$F$491,MATCH(E201,Catálogo!$B$8:$B$491,0)),"")</f>
        <v>PORTA CARTÃO - COURO</v>
      </c>
      <c r="G201" s="148">
        <v>5</v>
      </c>
      <c r="H201" s="148">
        <v>5</v>
      </c>
      <c r="I201" s="149"/>
      <c r="J201" s="43" t="s">
        <v>2074</v>
      </c>
      <c r="K201" s="146">
        <v>46188</v>
      </c>
      <c r="L201" s="149"/>
      <c r="M201" s="149"/>
      <c r="N201" s="149"/>
    </row>
    <row r="202" spans="1:14" ht="14.25" customHeight="1" x14ac:dyDescent="0.3">
      <c r="A202" s="43" t="s">
        <v>2071</v>
      </c>
      <c r="B202" s="146">
        <v>46175</v>
      </c>
      <c r="C202" s="43" t="s">
        <v>2072</v>
      </c>
      <c r="D202" s="43" t="s">
        <v>2073</v>
      </c>
      <c r="E202" s="147" t="s">
        <v>440</v>
      </c>
      <c r="F202" s="43" t="str">
        <f>IFERROR(INDEX(Catálogo!$F$8:$F$491,MATCH(E202,Catálogo!$B$8:$B$491,0)),"")</f>
        <v>PORTA PASSAPORTE + TAG MALA</v>
      </c>
      <c r="G202" s="148">
        <v>11</v>
      </c>
      <c r="H202" s="148">
        <v>11</v>
      </c>
      <c r="I202" s="43"/>
      <c r="J202" s="43" t="s">
        <v>2074</v>
      </c>
      <c r="K202" s="146">
        <v>46188</v>
      </c>
      <c r="L202" s="43"/>
      <c r="M202" s="43"/>
      <c r="N202" s="43"/>
    </row>
    <row r="203" spans="1:14" ht="14.25" customHeight="1" x14ac:dyDescent="0.3">
      <c r="A203" s="149" t="s">
        <v>2071</v>
      </c>
      <c r="B203" s="150">
        <v>46175</v>
      </c>
      <c r="C203" s="149" t="s">
        <v>2072</v>
      </c>
      <c r="D203" s="149" t="s">
        <v>2073</v>
      </c>
      <c r="E203" s="147" t="s">
        <v>441</v>
      </c>
      <c r="F203" s="149" t="str">
        <f>IFERROR(INDEX(Catálogo!$F$8:$F$491,MATCH(E203,Catálogo!$B$8:$B$491,0)),"")</f>
        <v>BOLSINHA DE MÃO EM COURO</v>
      </c>
      <c r="G203" s="148">
        <v>15</v>
      </c>
      <c r="H203" s="148">
        <v>15</v>
      </c>
      <c r="I203" s="149"/>
      <c r="J203" s="43" t="s">
        <v>2074</v>
      </c>
      <c r="K203" s="146">
        <v>46188</v>
      </c>
      <c r="L203" s="149"/>
      <c r="M203" s="149"/>
      <c r="N203" s="149"/>
    </row>
    <row r="204" spans="1:14" ht="14.25" customHeight="1" x14ac:dyDescent="0.3">
      <c r="A204" s="43" t="s">
        <v>2071</v>
      </c>
      <c r="B204" s="146">
        <v>46175</v>
      </c>
      <c r="C204" s="43" t="s">
        <v>2072</v>
      </c>
      <c r="D204" s="43" t="s">
        <v>2073</v>
      </c>
      <c r="E204" s="147" t="s">
        <v>442</v>
      </c>
      <c r="F204" s="43" t="str">
        <f>IFERROR(INDEX(Catálogo!$F$8:$F$491,MATCH(E204,Catálogo!$B$8:$B$491,0)),"")</f>
        <v>BOLSINHA DE MÃO EM COURO</v>
      </c>
      <c r="G204" s="148">
        <v>20</v>
      </c>
      <c r="H204" s="148">
        <v>20</v>
      </c>
      <c r="I204" s="43"/>
      <c r="J204" s="43" t="s">
        <v>2074</v>
      </c>
      <c r="K204" s="146">
        <v>46188</v>
      </c>
      <c r="L204" s="43"/>
      <c r="M204" s="43"/>
      <c r="N204" s="43"/>
    </row>
    <row r="205" spans="1:14" ht="14.25" customHeight="1" x14ac:dyDescent="0.3">
      <c r="A205" s="149" t="s">
        <v>2071</v>
      </c>
      <c r="B205" s="150">
        <v>46175</v>
      </c>
      <c r="C205" s="149" t="s">
        <v>2072</v>
      </c>
      <c r="D205" s="149" t="s">
        <v>2073</v>
      </c>
      <c r="E205" s="147" t="s">
        <v>450</v>
      </c>
      <c r="F205" s="149" t="str">
        <f>IFERROR(INDEX(Catálogo!$F$8:$F$491,MATCH(E205,Catálogo!$B$8:$B$491,0)),"")</f>
        <v>LEGGING BTG</v>
      </c>
      <c r="G205" s="148">
        <v>5</v>
      </c>
      <c r="H205" s="148">
        <v>5</v>
      </c>
      <c r="I205" s="149"/>
      <c r="J205" s="43" t="s">
        <v>2074</v>
      </c>
      <c r="K205" s="146">
        <v>46188</v>
      </c>
      <c r="L205" s="149"/>
      <c r="M205" s="149"/>
      <c r="N205" s="149"/>
    </row>
    <row r="206" spans="1:14" ht="14.25" customHeight="1" x14ac:dyDescent="0.3">
      <c r="A206" s="43" t="s">
        <v>2071</v>
      </c>
      <c r="B206" s="146">
        <v>46175</v>
      </c>
      <c r="C206" s="43" t="s">
        <v>2072</v>
      </c>
      <c r="D206" s="43" t="s">
        <v>2073</v>
      </c>
      <c r="E206" s="147" t="s">
        <v>451</v>
      </c>
      <c r="F206" s="43" t="str">
        <f>IFERROR(INDEX(Catálogo!$F$8:$F$491,MATCH(E206,Catálogo!$B$8:$B$491,0)),"")</f>
        <v>LEGGING BTG</v>
      </c>
      <c r="G206" s="148">
        <v>10</v>
      </c>
      <c r="H206" s="148">
        <v>10</v>
      </c>
      <c r="I206" s="43"/>
      <c r="J206" s="43" t="s">
        <v>2074</v>
      </c>
      <c r="K206" s="146">
        <v>46188</v>
      </c>
      <c r="L206" s="43"/>
      <c r="M206" s="43"/>
      <c r="N206" s="43"/>
    </row>
    <row r="207" spans="1:14" ht="14.25" customHeight="1" x14ac:dyDescent="0.3">
      <c r="A207" s="149" t="s">
        <v>2071</v>
      </c>
      <c r="B207" s="150">
        <v>46175</v>
      </c>
      <c r="C207" s="149" t="s">
        <v>2072</v>
      </c>
      <c r="D207" s="149" t="s">
        <v>2073</v>
      </c>
      <c r="E207" s="147" t="s">
        <v>452</v>
      </c>
      <c r="F207" s="149" t="str">
        <f>IFERROR(INDEX(Catálogo!$F$8:$F$491,MATCH(E207,Catálogo!$B$8:$B$491,0)),"")</f>
        <v>LEGGING BTG</v>
      </c>
      <c r="G207" s="148">
        <v>5</v>
      </c>
      <c r="H207" s="148">
        <v>5</v>
      </c>
      <c r="I207" s="149"/>
      <c r="J207" s="43" t="s">
        <v>2074</v>
      </c>
      <c r="K207" s="146">
        <v>46188</v>
      </c>
      <c r="L207" s="149"/>
      <c r="M207" s="149"/>
      <c r="N207" s="149"/>
    </row>
    <row r="208" spans="1:14" ht="14.25" customHeight="1" x14ac:dyDescent="0.3">
      <c r="A208" s="43" t="s">
        <v>2071</v>
      </c>
      <c r="B208" s="146">
        <v>46175</v>
      </c>
      <c r="C208" s="43" t="s">
        <v>2072</v>
      </c>
      <c r="D208" s="43" t="s">
        <v>2073</v>
      </c>
      <c r="E208" s="147" t="s">
        <v>453</v>
      </c>
      <c r="F208" s="43" t="str">
        <f>IFERROR(INDEX(Catálogo!$F$8:$F$491,MATCH(E208,Catálogo!$B$8:$B$491,0)),"")</f>
        <v>LEGGING BTG</v>
      </c>
      <c r="G208" s="148">
        <v>3</v>
      </c>
      <c r="H208" s="148">
        <v>3</v>
      </c>
      <c r="I208" s="43"/>
      <c r="J208" s="43" t="s">
        <v>2074</v>
      </c>
      <c r="K208" s="146">
        <v>46188</v>
      </c>
      <c r="L208" s="43"/>
      <c r="M208" s="43"/>
      <c r="N208" s="43"/>
    </row>
    <row r="209" spans="1:14" ht="14.25" customHeight="1" x14ac:dyDescent="0.3">
      <c r="A209" s="149" t="s">
        <v>2071</v>
      </c>
      <c r="B209" s="150">
        <v>46175</v>
      </c>
      <c r="C209" s="149" t="s">
        <v>2072</v>
      </c>
      <c r="D209" s="149" t="s">
        <v>2073</v>
      </c>
      <c r="E209" s="147" t="s">
        <v>455</v>
      </c>
      <c r="F209" s="149" t="str">
        <f>IFERROR(INDEX(Catálogo!$F$8:$F$491,MATCH(E209,Catálogo!$B$8:$B$491,0)),"")</f>
        <v>MANEQUIM CRIANÇA</v>
      </c>
      <c r="G209" s="148">
        <v>1</v>
      </c>
      <c r="H209" s="148">
        <v>1</v>
      </c>
      <c r="I209" s="149"/>
      <c r="J209" s="43" t="s">
        <v>2074</v>
      </c>
      <c r="K209" s="146">
        <v>46188</v>
      </c>
      <c r="L209" s="149"/>
      <c r="M209" s="149"/>
      <c r="N209" s="149"/>
    </row>
    <row r="210" spans="1:14" ht="14.25" customHeight="1" x14ac:dyDescent="0.3">
      <c r="A210" s="43" t="s">
        <v>2071</v>
      </c>
      <c r="B210" s="146">
        <v>46175</v>
      </c>
      <c r="C210" s="43" t="s">
        <v>2072</v>
      </c>
      <c r="D210" s="43" t="s">
        <v>2073</v>
      </c>
      <c r="E210" s="147" t="s">
        <v>456</v>
      </c>
      <c r="F210" s="43" t="str">
        <f>IFERROR(INDEX(Catálogo!$F$8:$F$491,MATCH(E210,Catálogo!$B$8:$B$491,0)),"")</f>
        <v>MANEQUIM MULHER</v>
      </c>
      <c r="G210" s="148">
        <v>3</v>
      </c>
      <c r="H210" s="148">
        <v>3</v>
      </c>
      <c r="I210" s="43"/>
      <c r="J210" s="43" t="s">
        <v>2074</v>
      </c>
      <c r="K210" s="146">
        <v>46188</v>
      </c>
      <c r="L210" s="43"/>
      <c r="M210" s="43"/>
      <c r="N210" s="43"/>
    </row>
    <row r="211" spans="1:14" ht="14.25" customHeight="1" x14ac:dyDescent="0.3">
      <c r="A211" s="149" t="s">
        <v>2071</v>
      </c>
      <c r="B211" s="150">
        <v>46175</v>
      </c>
      <c r="C211" s="149" t="s">
        <v>2072</v>
      </c>
      <c r="D211" s="149" t="s">
        <v>2073</v>
      </c>
      <c r="E211" s="147" t="s">
        <v>457</v>
      </c>
      <c r="F211" s="149" t="str">
        <f>IFERROR(INDEX(Catálogo!$F$8:$F$491,MATCH(E211,Catálogo!$B$8:$B$491,0)),"")</f>
        <v>MANEQUIM MASCULINO</v>
      </c>
      <c r="G211" s="148">
        <v>2</v>
      </c>
      <c r="H211" s="148">
        <v>2</v>
      </c>
      <c r="I211" s="149"/>
      <c r="J211" s="43" t="s">
        <v>2074</v>
      </c>
      <c r="K211" s="146">
        <v>46188</v>
      </c>
      <c r="L211" s="149"/>
      <c r="M211" s="149"/>
      <c r="N211" s="149"/>
    </row>
    <row r="212" spans="1:14" ht="14.25" customHeight="1" x14ac:dyDescent="0.3">
      <c r="A212" s="43" t="s">
        <v>2071</v>
      </c>
      <c r="B212" s="146">
        <v>46175</v>
      </c>
      <c r="C212" s="43" t="s">
        <v>2072</v>
      </c>
      <c r="D212" s="43" t="s">
        <v>2073</v>
      </c>
      <c r="E212" s="147" t="s">
        <v>475</v>
      </c>
      <c r="F212" s="43" t="str">
        <f>IFERROR(INDEX(Catálogo!$F$8:$F$491,MATCH(E212,Catálogo!$B$8:$B$491,0)),"")</f>
        <v>POLO BASICA MASC.</v>
      </c>
      <c r="G212" s="148">
        <v>25</v>
      </c>
      <c r="H212" s="148">
        <v>25</v>
      </c>
      <c r="I212" s="43"/>
      <c r="J212" s="43" t="s">
        <v>2074</v>
      </c>
      <c r="K212" s="146">
        <v>46188</v>
      </c>
      <c r="L212" s="43"/>
      <c r="M212" s="43"/>
      <c r="N212" s="43"/>
    </row>
    <row r="213" spans="1:14" ht="14.25" customHeight="1" x14ac:dyDescent="0.3">
      <c r="A213" s="149" t="s">
        <v>2071</v>
      </c>
      <c r="B213" s="150">
        <v>46175</v>
      </c>
      <c r="C213" s="149" t="s">
        <v>2072</v>
      </c>
      <c r="D213" s="149" t="s">
        <v>2073</v>
      </c>
      <c r="E213" s="151" t="s">
        <v>476</v>
      </c>
      <c r="F213" s="149" t="str">
        <f>IFERROR(INDEX(Catálogo!$F$8:$F$491,MATCH(E213,Catálogo!$B$8:$B$491,0)),"")</f>
        <v>POLO BASICA MASC.</v>
      </c>
      <c r="G213" s="148">
        <v>25</v>
      </c>
      <c r="H213" s="148">
        <v>25</v>
      </c>
      <c r="I213" s="149"/>
      <c r="J213" s="43" t="s">
        <v>2074</v>
      </c>
      <c r="K213" s="146">
        <v>46188</v>
      </c>
      <c r="L213" s="149"/>
      <c r="M213" s="149"/>
      <c r="N213" s="149"/>
    </row>
    <row r="214" spans="1:14" ht="14.25" customHeight="1" x14ac:dyDescent="0.3">
      <c r="A214" s="43" t="s">
        <v>2071</v>
      </c>
      <c r="B214" s="146">
        <v>46175</v>
      </c>
      <c r="C214" s="43" t="s">
        <v>2072</v>
      </c>
      <c r="D214" s="43" t="s">
        <v>2073</v>
      </c>
      <c r="E214" s="151" t="s">
        <v>481</v>
      </c>
      <c r="F214" s="43" t="str">
        <f>IFERROR(INDEX(Catálogo!$F$8:$F$491,MATCH(E214,Catálogo!$B$8:$B$491,0)),"")</f>
        <v>CAMISETA FIO EGIPCIO MASC.</v>
      </c>
      <c r="G214" s="148">
        <v>25</v>
      </c>
      <c r="H214" s="148">
        <v>25</v>
      </c>
      <c r="I214" s="43"/>
      <c r="J214" s="43" t="s">
        <v>2074</v>
      </c>
      <c r="K214" s="146">
        <v>46188</v>
      </c>
      <c r="L214" s="43"/>
      <c r="M214" s="43"/>
      <c r="N214" s="43"/>
    </row>
    <row r="215" spans="1:14" ht="14.25" customHeight="1" x14ac:dyDescent="0.3">
      <c r="A215" s="149" t="s">
        <v>2071</v>
      </c>
      <c r="B215" s="150">
        <v>46175</v>
      </c>
      <c r="C215" s="149" t="s">
        <v>2072</v>
      </c>
      <c r="D215" s="149" t="s">
        <v>2073</v>
      </c>
      <c r="E215" s="147" t="s">
        <v>482</v>
      </c>
      <c r="F215" s="149" t="str">
        <f>IFERROR(INDEX(Catálogo!$F$8:$F$491,MATCH(E215,Catálogo!$B$8:$B$491,0)),"")</f>
        <v>CAMISETA FIO EGIPCIO MASC.</v>
      </c>
      <c r="G215" s="148">
        <v>25</v>
      </c>
      <c r="H215" s="148">
        <v>25</v>
      </c>
      <c r="I215" s="149"/>
      <c r="J215" s="43" t="s">
        <v>2074</v>
      </c>
      <c r="K215" s="146">
        <v>46188</v>
      </c>
      <c r="L215" s="149"/>
      <c r="M215" s="149"/>
      <c r="N215" s="149"/>
    </row>
    <row r="216" spans="1:14" ht="14.25" customHeight="1" x14ac:dyDescent="0.3">
      <c r="A216" s="43" t="s">
        <v>2071</v>
      </c>
      <c r="B216" s="146">
        <v>46175</v>
      </c>
      <c r="C216" s="43" t="s">
        <v>2072</v>
      </c>
      <c r="D216" s="43" t="s">
        <v>2073</v>
      </c>
      <c r="E216" s="147" t="s">
        <v>483</v>
      </c>
      <c r="F216" s="43" t="str">
        <f>IFERROR(INDEX(Catálogo!$F$8:$F$491,MATCH(E216,Catálogo!$B$8:$B$491,0)),"")</f>
        <v>CAMISETA FIO EGIPCIO MASC.</v>
      </c>
      <c r="G216" s="148">
        <v>25</v>
      </c>
      <c r="H216" s="148">
        <v>25</v>
      </c>
      <c r="I216" s="43"/>
      <c r="J216" s="43" t="s">
        <v>2074</v>
      </c>
      <c r="K216" s="146">
        <v>46188</v>
      </c>
      <c r="L216" s="43"/>
      <c r="M216" s="43"/>
      <c r="N216" s="43"/>
    </row>
    <row r="217" spans="1:14" ht="14.25" customHeight="1" x14ac:dyDescent="0.3">
      <c r="A217" s="149" t="s">
        <v>2071</v>
      </c>
      <c r="B217" s="150">
        <v>46175</v>
      </c>
      <c r="C217" s="149" t="s">
        <v>2072</v>
      </c>
      <c r="D217" s="149" t="s">
        <v>2073</v>
      </c>
      <c r="E217" s="147" t="s">
        <v>484</v>
      </c>
      <c r="F217" s="149" t="str">
        <f>IFERROR(INDEX(Catálogo!$F$8:$F$491,MATCH(E217,Catálogo!$B$8:$B$491,0)),"")</f>
        <v>CAMISETA FIO EGIPCIO MASC.</v>
      </c>
      <c r="G217" s="148">
        <v>25</v>
      </c>
      <c r="H217" s="148">
        <v>25</v>
      </c>
      <c r="I217" s="149"/>
      <c r="J217" s="43" t="s">
        <v>2074</v>
      </c>
      <c r="K217" s="146">
        <v>46188</v>
      </c>
      <c r="L217" s="149"/>
      <c r="M217" s="149"/>
      <c r="N217" s="149"/>
    </row>
    <row r="218" spans="1:14" ht="14.25" customHeight="1" x14ac:dyDescent="0.3">
      <c r="A218" s="43" t="s">
        <v>2071</v>
      </c>
      <c r="B218" s="146">
        <v>46175</v>
      </c>
      <c r="C218" s="43" t="s">
        <v>2072</v>
      </c>
      <c r="D218" s="43" t="s">
        <v>2073</v>
      </c>
      <c r="E218" s="147" t="s">
        <v>491</v>
      </c>
      <c r="F218" s="43" t="str">
        <f>IFERROR(INDEX(Catálogo!$F$8:$F$491,MATCH(E218,Catálogo!$B$8:$B$491,0)),"")</f>
        <v>POLO BASICA SIDE WALK</v>
      </c>
      <c r="G218" s="148">
        <v>25</v>
      </c>
      <c r="H218" s="148">
        <v>25</v>
      </c>
      <c r="I218" s="43"/>
      <c r="J218" s="43" t="s">
        <v>2074</v>
      </c>
      <c r="K218" s="146">
        <v>46188</v>
      </c>
      <c r="L218" s="43"/>
      <c r="M218" s="43"/>
      <c r="N218" s="43"/>
    </row>
    <row r="219" spans="1:14" ht="14.25" customHeight="1" x14ac:dyDescent="0.3">
      <c r="A219" s="149" t="s">
        <v>2071</v>
      </c>
      <c r="B219" s="150">
        <v>46175</v>
      </c>
      <c r="C219" s="149" t="s">
        <v>2072</v>
      </c>
      <c r="D219" s="149" t="s">
        <v>2073</v>
      </c>
      <c r="E219" s="147" t="s">
        <v>492</v>
      </c>
      <c r="F219" s="149" t="str">
        <f>IFERROR(INDEX(Catálogo!$F$8:$F$491,MATCH(E219,Catálogo!$B$8:$B$491,0)),"")</f>
        <v>CAMISETA FIO EGIPCIO MASC.</v>
      </c>
      <c r="G219" s="148">
        <v>25</v>
      </c>
      <c r="H219" s="148">
        <v>25</v>
      </c>
      <c r="I219" s="149"/>
      <c r="J219" s="43" t="s">
        <v>2074</v>
      </c>
      <c r="K219" s="146">
        <v>46188</v>
      </c>
      <c r="L219" s="149"/>
      <c r="M219" s="149"/>
      <c r="N219" s="149"/>
    </row>
    <row r="220" spans="1:14" ht="14.25" customHeight="1" x14ac:dyDescent="0.3">
      <c r="A220" s="43" t="s">
        <v>2071</v>
      </c>
      <c r="B220" s="146">
        <v>46175</v>
      </c>
      <c r="C220" s="43" t="s">
        <v>2072</v>
      </c>
      <c r="D220" s="43" t="s">
        <v>2073</v>
      </c>
      <c r="E220" s="147" t="s">
        <v>493</v>
      </c>
      <c r="F220" s="43" t="str">
        <f>IFERROR(INDEX(Catálogo!$F$8:$F$491,MATCH(E220,Catálogo!$B$8:$B$491,0)),"")</f>
        <v>POLO BASICA FEM.</v>
      </c>
      <c r="G220" s="148">
        <v>25</v>
      </c>
      <c r="H220" s="148">
        <v>25</v>
      </c>
      <c r="I220" s="43"/>
      <c r="J220" s="43" t="s">
        <v>2074</v>
      </c>
      <c r="K220" s="146">
        <v>46188</v>
      </c>
      <c r="L220" s="43"/>
      <c r="M220" s="43"/>
      <c r="N220" s="43"/>
    </row>
    <row r="221" spans="1:14" ht="14.25" customHeight="1" x14ac:dyDescent="0.3">
      <c r="A221" s="149" t="s">
        <v>2071</v>
      </c>
      <c r="B221" s="150">
        <v>46175</v>
      </c>
      <c r="C221" s="149" t="s">
        <v>2072</v>
      </c>
      <c r="D221" s="149" t="s">
        <v>2073</v>
      </c>
      <c r="E221" s="147" t="s">
        <v>494</v>
      </c>
      <c r="F221" s="149" t="str">
        <f>IFERROR(INDEX(Catálogo!$F$8:$F$491,MATCH(E221,Catálogo!$B$8:$B$491,0)),"")</f>
        <v>POLO BASICA FEM.</v>
      </c>
      <c r="G221" s="148">
        <v>25</v>
      </c>
      <c r="H221" s="148">
        <v>25</v>
      </c>
      <c r="I221" s="149"/>
      <c r="J221" s="43" t="s">
        <v>2074</v>
      </c>
      <c r="K221" s="146">
        <v>46188</v>
      </c>
      <c r="L221" s="149"/>
      <c r="M221" s="149"/>
      <c r="N221" s="149"/>
    </row>
    <row r="222" spans="1:14" ht="14.25" customHeight="1" x14ac:dyDescent="0.3">
      <c r="A222" s="43" t="s">
        <v>2071</v>
      </c>
      <c r="B222" s="146">
        <v>46175</v>
      </c>
      <c r="C222" s="43" t="s">
        <v>2072</v>
      </c>
      <c r="D222" s="43" t="s">
        <v>2073</v>
      </c>
      <c r="E222" s="147" t="s">
        <v>495</v>
      </c>
      <c r="F222" s="43" t="str">
        <f>IFERROR(INDEX(Catálogo!$F$8:$F$491,MATCH(E222,Catálogo!$B$8:$B$491,0)),"")</f>
        <v>CAMISETA FIO EGIPCIO MASC.</v>
      </c>
      <c r="G222" s="148">
        <v>2</v>
      </c>
      <c r="H222" s="148">
        <v>2</v>
      </c>
      <c r="I222" s="43"/>
      <c r="J222" s="43" t="s">
        <v>2074</v>
      </c>
      <c r="K222" s="146">
        <v>46188</v>
      </c>
      <c r="L222" s="43"/>
      <c r="M222" s="43"/>
      <c r="N222" s="43"/>
    </row>
    <row r="223" spans="1:14" ht="14.25" customHeight="1" x14ac:dyDescent="0.3">
      <c r="A223" s="149" t="s">
        <v>2071</v>
      </c>
      <c r="B223" s="150">
        <v>46175</v>
      </c>
      <c r="C223" s="149" t="s">
        <v>2072</v>
      </c>
      <c r="D223" s="149" t="s">
        <v>2073</v>
      </c>
      <c r="E223" s="147" t="s">
        <v>496</v>
      </c>
      <c r="F223" s="149" t="str">
        <f>IFERROR(INDEX(Catálogo!$F$8:$F$491,MATCH(E223,Catálogo!$B$8:$B$491,0)),"")</f>
        <v>CAMISETA FIO EGIPCIO MASC.</v>
      </c>
      <c r="G223" s="148">
        <v>1</v>
      </c>
      <c r="H223" s="148">
        <v>1</v>
      </c>
      <c r="I223" s="149"/>
      <c r="J223" s="43" t="s">
        <v>2074</v>
      </c>
      <c r="K223" s="146">
        <v>46188</v>
      </c>
      <c r="L223" s="149"/>
      <c r="M223" s="149"/>
      <c r="N223" s="149"/>
    </row>
    <row r="224" spans="1:14" ht="14.25" customHeight="1" x14ac:dyDescent="0.3">
      <c r="A224" s="43" t="s">
        <v>2071</v>
      </c>
      <c r="B224" s="146">
        <v>46175</v>
      </c>
      <c r="C224" s="43" t="s">
        <v>2072</v>
      </c>
      <c r="D224" s="43" t="s">
        <v>2073</v>
      </c>
      <c r="E224" s="147" t="s">
        <v>499</v>
      </c>
      <c r="F224" s="43" t="str">
        <f>IFERROR(INDEX(Catálogo!$F$8:$F$491,MATCH(E224,Catálogo!$B$8:$B$491,0)),"")</f>
        <v>POLO BASICA MASC.</v>
      </c>
      <c r="G224" s="148">
        <v>5</v>
      </c>
      <c r="H224" s="148">
        <v>5</v>
      </c>
      <c r="I224" s="43"/>
      <c r="J224" s="43" t="s">
        <v>2074</v>
      </c>
      <c r="K224" s="146">
        <v>46188</v>
      </c>
      <c r="L224" s="43"/>
      <c r="M224" s="43"/>
      <c r="N224" s="43"/>
    </row>
    <row r="225" spans="1:14" ht="14.25" customHeight="1" x14ac:dyDescent="0.3">
      <c r="A225" s="149" t="s">
        <v>2071</v>
      </c>
      <c r="B225" s="150">
        <v>46175</v>
      </c>
      <c r="C225" s="149" t="s">
        <v>2072</v>
      </c>
      <c r="D225" s="149" t="s">
        <v>2073</v>
      </c>
      <c r="E225" s="147" t="s">
        <v>500</v>
      </c>
      <c r="F225" s="149" t="str">
        <f>IFERROR(INDEX(Catálogo!$F$8:$F$491,MATCH(E225,Catálogo!$B$8:$B$491,0)),"")</f>
        <v>POLO BASICA MASC.</v>
      </c>
      <c r="G225" s="148">
        <v>5</v>
      </c>
      <c r="H225" s="148">
        <v>5</v>
      </c>
      <c r="I225" s="149"/>
      <c r="J225" s="43" t="s">
        <v>2074</v>
      </c>
      <c r="K225" s="146">
        <v>46188</v>
      </c>
      <c r="L225" s="149"/>
      <c r="M225" s="149"/>
      <c r="N225" s="149"/>
    </row>
    <row r="226" spans="1:14" ht="14.25" customHeight="1" x14ac:dyDescent="0.3">
      <c r="A226" s="43" t="s">
        <v>2071</v>
      </c>
      <c r="B226" s="146">
        <v>46175</v>
      </c>
      <c r="C226" s="43" t="s">
        <v>2072</v>
      </c>
      <c r="D226" s="43" t="s">
        <v>2073</v>
      </c>
      <c r="E226" s="147" t="s">
        <v>530</v>
      </c>
      <c r="F226" s="43" t="str">
        <f>IFERROR(INDEX(Catálogo!$F$8:$F$491,MATCH(E226,Catálogo!$B$8:$B$491,0)),"")</f>
        <v>POLO BASICA MASC.</v>
      </c>
      <c r="G226" s="148">
        <v>25</v>
      </c>
      <c r="H226" s="148">
        <v>25</v>
      </c>
      <c r="I226" s="43"/>
      <c r="J226" s="43" t="s">
        <v>2074</v>
      </c>
      <c r="K226" s="146">
        <v>46188</v>
      </c>
      <c r="L226" s="43"/>
      <c r="M226" s="43"/>
      <c r="N226" s="43"/>
    </row>
    <row r="227" spans="1:14" ht="14.25" customHeight="1" x14ac:dyDescent="0.3">
      <c r="A227" s="149" t="s">
        <v>2071</v>
      </c>
      <c r="B227" s="150">
        <v>46175</v>
      </c>
      <c r="C227" s="149" t="s">
        <v>2072</v>
      </c>
      <c r="D227" s="149" t="s">
        <v>2073</v>
      </c>
      <c r="E227" s="147" t="s">
        <v>532</v>
      </c>
      <c r="F227" s="149" t="str">
        <f>IFERROR(INDEX(Catálogo!$F$8:$F$491,MATCH(E227,Catálogo!$B$8:$B$491,0)),"")</f>
        <v>GARRAFA TERMICA EM INOX</v>
      </c>
      <c r="G227" s="148">
        <v>1</v>
      </c>
      <c r="H227" s="148">
        <v>1</v>
      </c>
      <c r="I227" s="149"/>
      <c r="J227" s="43" t="s">
        <v>2074</v>
      </c>
      <c r="K227" s="146">
        <v>46188</v>
      </c>
      <c r="L227" s="149"/>
      <c r="M227" s="149"/>
      <c r="N227" s="149"/>
    </row>
    <row r="228" spans="1:14" ht="14.25" customHeight="1" x14ac:dyDescent="0.3">
      <c r="A228" s="43" t="s">
        <v>2071</v>
      </c>
      <c r="B228" s="146">
        <v>46175</v>
      </c>
      <c r="C228" s="43" t="s">
        <v>2072</v>
      </c>
      <c r="D228" s="43" t="s">
        <v>2073</v>
      </c>
      <c r="E228" s="147" t="s">
        <v>533</v>
      </c>
      <c r="F228" s="43" t="str">
        <f>IFERROR(INDEX(Catálogo!$F$8:$F$491,MATCH(E228,Catálogo!$B$8:$B$491,0)),"")</f>
        <v>COPO STANLEY</v>
      </c>
      <c r="G228" s="148">
        <v>6</v>
      </c>
      <c r="H228" s="148">
        <v>6</v>
      </c>
      <c r="I228" s="43"/>
      <c r="J228" s="43" t="s">
        <v>2074</v>
      </c>
      <c r="K228" s="146">
        <v>46188</v>
      </c>
      <c r="L228" s="43"/>
      <c r="M228" s="43"/>
      <c r="N228" s="43"/>
    </row>
    <row r="229" spans="1:14" ht="14.25" customHeight="1" x14ac:dyDescent="0.3">
      <c r="A229" s="149" t="s">
        <v>2071</v>
      </c>
      <c r="B229" s="150">
        <v>46178</v>
      </c>
      <c r="C229" s="149" t="s">
        <v>2072</v>
      </c>
      <c r="D229" s="149" t="s">
        <v>2073</v>
      </c>
      <c r="E229" s="152" t="s">
        <v>264</v>
      </c>
      <c r="F229" s="149" t="str">
        <f>IFERROR(INDEX(Catálogo!$F$8:$F$491,MATCH(E229,Catálogo!$B$8:$B$491,0)),"")</f>
        <v>POLO PIQUET CINZA-RISCOS FEM.</v>
      </c>
      <c r="G229" s="153">
        <v>10</v>
      </c>
      <c r="H229" s="153">
        <v>10</v>
      </c>
      <c r="I229" s="149"/>
      <c r="J229" s="43" t="s">
        <v>2074</v>
      </c>
      <c r="K229" s="146">
        <v>46188</v>
      </c>
      <c r="L229" s="149"/>
      <c r="M229" s="149"/>
      <c r="N229" s="149"/>
    </row>
    <row r="230" spans="1:14" ht="14.25" customHeight="1" x14ac:dyDescent="0.3">
      <c r="A230" s="43" t="s">
        <v>2071</v>
      </c>
      <c r="B230" s="154">
        <v>46178</v>
      </c>
      <c r="C230" s="43" t="s">
        <v>2072</v>
      </c>
      <c r="D230" s="43" t="s">
        <v>2073</v>
      </c>
      <c r="E230" s="155" t="s">
        <v>265</v>
      </c>
      <c r="F230" s="43" t="str">
        <f>IFERROR(INDEX(Catálogo!$F$8:$F$491,MATCH(E230,Catálogo!$B$8:$B$491,0)),"")</f>
        <v>POLO PIQUET CINZA-RISCOS FEM.</v>
      </c>
      <c r="G230" s="153">
        <v>1</v>
      </c>
      <c r="H230" s="153">
        <v>1</v>
      </c>
      <c r="I230" s="43"/>
      <c r="J230" s="43" t="s">
        <v>2074</v>
      </c>
      <c r="K230" s="146">
        <v>46188</v>
      </c>
      <c r="L230" s="43"/>
      <c r="M230" s="43"/>
      <c r="N230" s="43"/>
    </row>
    <row r="231" spans="1:14" ht="14.25" customHeight="1" x14ac:dyDescent="0.3">
      <c r="A231" s="149" t="s">
        <v>2071</v>
      </c>
      <c r="B231" s="150">
        <v>46178</v>
      </c>
      <c r="C231" s="149" t="s">
        <v>2072</v>
      </c>
      <c r="D231" s="149" t="s">
        <v>2073</v>
      </c>
      <c r="E231" s="155" t="s">
        <v>266</v>
      </c>
      <c r="F231" s="149" t="str">
        <f>IFERROR(INDEX(Catálogo!$F$8:$F$491,MATCH(E231,Catálogo!$B$8:$B$491,0)),"")</f>
        <v>POLO PIQUET CINZA-RISCOS FEM.</v>
      </c>
      <c r="G231" s="153">
        <v>1</v>
      </c>
      <c r="H231" s="153">
        <v>1</v>
      </c>
      <c r="I231" s="149"/>
      <c r="J231" s="43" t="s">
        <v>2074</v>
      </c>
      <c r="K231" s="146">
        <v>46188</v>
      </c>
      <c r="L231" s="149"/>
      <c r="M231" s="149"/>
      <c r="N231" s="149"/>
    </row>
    <row r="232" spans="1:14" ht="14.25" customHeight="1" x14ac:dyDescent="0.3">
      <c r="A232" s="43" t="s">
        <v>2071</v>
      </c>
      <c r="B232" s="146">
        <v>46178</v>
      </c>
      <c r="C232" s="43" t="s">
        <v>2072</v>
      </c>
      <c r="D232" s="43" t="s">
        <v>2073</v>
      </c>
      <c r="E232" s="155" t="s">
        <v>266</v>
      </c>
      <c r="F232" s="43" t="str">
        <f>IFERROR(INDEX(Catálogo!$F$8:$F$491,MATCH(E232,Catálogo!$B$8:$B$491,0)),"")</f>
        <v>POLO PIQUET CINZA-RISCOS FEM.</v>
      </c>
      <c r="G232" s="153">
        <v>10</v>
      </c>
      <c r="H232" s="153">
        <v>10</v>
      </c>
      <c r="I232" s="43"/>
      <c r="J232" s="43" t="s">
        <v>2074</v>
      </c>
      <c r="K232" s="146">
        <v>46188</v>
      </c>
      <c r="L232" s="43"/>
      <c r="M232" s="43"/>
      <c r="N232" s="43"/>
    </row>
    <row r="233" spans="1:14" ht="14.25" customHeight="1" x14ac:dyDescent="0.3">
      <c r="A233" s="149" t="s">
        <v>2071</v>
      </c>
      <c r="B233" s="150">
        <v>46178</v>
      </c>
      <c r="C233" s="149" t="s">
        <v>2072</v>
      </c>
      <c r="D233" s="149" t="s">
        <v>2073</v>
      </c>
      <c r="E233" s="155" t="s">
        <v>268</v>
      </c>
      <c r="F233" s="149" t="str">
        <f>IFERROR(INDEX(Catálogo!$F$8:$F$491,MATCH(E233,Catálogo!$B$8:$B$491,0)),"")</f>
        <v>POLO PIQUET CINZA-RISCOS FEM.</v>
      </c>
      <c r="G233" s="153">
        <v>1</v>
      </c>
      <c r="H233" s="153">
        <v>1</v>
      </c>
      <c r="I233" s="149"/>
      <c r="J233" s="43" t="s">
        <v>2074</v>
      </c>
      <c r="K233" s="146">
        <v>46188</v>
      </c>
      <c r="L233" s="149"/>
      <c r="M233" s="149"/>
      <c r="N233" s="149"/>
    </row>
    <row r="234" spans="1:14" ht="14.25" customHeight="1" x14ac:dyDescent="0.3">
      <c r="A234" s="43" t="s">
        <v>2071</v>
      </c>
      <c r="B234" s="154">
        <v>46178</v>
      </c>
      <c r="C234" s="43" t="s">
        <v>2072</v>
      </c>
      <c r="D234" s="43" t="s">
        <v>2073</v>
      </c>
      <c r="E234" s="147" t="s">
        <v>279</v>
      </c>
      <c r="F234" s="43" t="str">
        <f>IFERROR(INDEX(Catálogo!$F$8:$F$491,MATCH(E234,Catálogo!$B$8:$B$491,0)),"")</f>
        <v>POLO PIQUET FEM.</v>
      </c>
      <c r="G234" s="153">
        <v>10</v>
      </c>
      <c r="H234" s="153">
        <v>10</v>
      </c>
      <c r="I234" s="43"/>
      <c r="J234" s="43" t="s">
        <v>2074</v>
      </c>
      <c r="K234" s="146">
        <v>46188</v>
      </c>
      <c r="L234" s="43"/>
      <c r="M234" s="43"/>
      <c r="N234" s="43"/>
    </row>
    <row r="235" spans="1:14" ht="14.25" customHeight="1" x14ac:dyDescent="0.3">
      <c r="A235" s="149" t="s">
        <v>2071</v>
      </c>
      <c r="B235" s="150">
        <v>46178</v>
      </c>
      <c r="C235" s="149" t="s">
        <v>2072</v>
      </c>
      <c r="D235" s="149" t="s">
        <v>2073</v>
      </c>
      <c r="E235" s="151" t="s">
        <v>280</v>
      </c>
      <c r="F235" s="149" t="str">
        <f>IFERROR(INDEX(Catálogo!$F$8:$F$491,MATCH(E235,Catálogo!$B$8:$B$491,0)),"")</f>
        <v>POLO PIQUET FEM.</v>
      </c>
      <c r="G235" s="153">
        <v>10</v>
      </c>
      <c r="H235" s="153">
        <v>10</v>
      </c>
      <c r="I235" s="149"/>
      <c r="J235" s="43" t="s">
        <v>2074</v>
      </c>
      <c r="K235" s="146">
        <v>46188</v>
      </c>
      <c r="L235" s="149"/>
      <c r="M235" s="149"/>
      <c r="N235" s="149"/>
    </row>
    <row r="236" spans="1:14" ht="14.25" customHeight="1" x14ac:dyDescent="0.3">
      <c r="A236" s="43" t="s">
        <v>2071</v>
      </c>
      <c r="B236" s="154">
        <v>46178</v>
      </c>
      <c r="C236" s="43" t="s">
        <v>2072</v>
      </c>
      <c r="D236" s="43" t="s">
        <v>2073</v>
      </c>
      <c r="E236" s="151" t="s">
        <v>281</v>
      </c>
      <c r="F236" s="43" t="str">
        <f>IFERROR(INDEX(Catálogo!$F$8:$F$491,MATCH(E236,Catálogo!$B$8:$B$491,0)),"")</f>
        <v>POLO PIQUET FEM.</v>
      </c>
      <c r="G236" s="153">
        <v>10</v>
      </c>
      <c r="H236" s="153">
        <v>10</v>
      </c>
      <c r="I236" s="43"/>
      <c r="J236" s="43" t="s">
        <v>2074</v>
      </c>
      <c r="K236" s="146">
        <v>46188</v>
      </c>
      <c r="L236" s="43"/>
      <c r="M236" s="43"/>
      <c r="N236" s="43"/>
    </row>
    <row r="237" spans="1:14" ht="14.25" customHeight="1" x14ac:dyDescent="0.3">
      <c r="A237" s="149" t="s">
        <v>2071</v>
      </c>
      <c r="B237" s="150">
        <v>46178</v>
      </c>
      <c r="C237" s="149" t="s">
        <v>2072</v>
      </c>
      <c r="D237" s="149" t="s">
        <v>2073</v>
      </c>
      <c r="E237" s="151" t="s">
        <v>282</v>
      </c>
      <c r="F237" s="149" t="str">
        <f>IFERROR(INDEX(Catálogo!$F$8:$F$491,MATCH(E237,Catálogo!$B$8:$B$491,0)),"")</f>
        <v>POLO PIQUET FEM.</v>
      </c>
      <c r="G237" s="153">
        <v>10</v>
      </c>
      <c r="H237" s="153">
        <v>10</v>
      </c>
      <c r="I237" s="149"/>
      <c r="J237" s="43" t="s">
        <v>2074</v>
      </c>
      <c r="K237" s="146">
        <v>46188</v>
      </c>
      <c r="L237" s="149"/>
      <c r="M237" s="149"/>
      <c r="N237" s="149"/>
    </row>
    <row r="238" spans="1:14" ht="14.25" customHeight="1" x14ac:dyDescent="0.3">
      <c r="A238" s="43" t="s">
        <v>2071</v>
      </c>
      <c r="B238" s="154">
        <v>46178</v>
      </c>
      <c r="C238" s="43" t="s">
        <v>2072</v>
      </c>
      <c r="D238" s="43" t="s">
        <v>2073</v>
      </c>
      <c r="E238" s="151" t="s">
        <v>283</v>
      </c>
      <c r="F238" s="43" t="str">
        <f>IFERROR(INDEX(Catálogo!$F$8:$F$491,MATCH(E238,Catálogo!$B$8:$B$491,0)),"")</f>
        <v>POLO PIQUET FEM.</v>
      </c>
      <c r="G238" s="153">
        <v>10</v>
      </c>
      <c r="H238" s="153">
        <v>10</v>
      </c>
      <c r="I238" s="43"/>
      <c r="J238" s="43" t="s">
        <v>2074</v>
      </c>
      <c r="K238" s="146">
        <v>46188</v>
      </c>
      <c r="L238" s="43"/>
      <c r="M238" s="43"/>
      <c r="N238" s="43"/>
    </row>
    <row r="239" spans="1:14" ht="14.25" customHeight="1" x14ac:dyDescent="0.3">
      <c r="A239" s="149" t="s">
        <v>2071</v>
      </c>
      <c r="B239" s="150">
        <v>46178</v>
      </c>
      <c r="C239" s="149" t="s">
        <v>2072</v>
      </c>
      <c r="D239" s="149" t="s">
        <v>2073</v>
      </c>
      <c r="E239" s="151" t="s">
        <v>284</v>
      </c>
      <c r="F239" s="149" t="str">
        <f>IFERROR(INDEX(Catálogo!$F$8:$F$491,MATCH(E239,Catálogo!$B$8:$B$491,0)),"")</f>
        <v>POLO PIQUET FEM.</v>
      </c>
      <c r="G239" s="153">
        <v>10</v>
      </c>
      <c r="H239" s="153">
        <v>10</v>
      </c>
      <c r="I239" s="149"/>
      <c r="J239" s="43" t="s">
        <v>2074</v>
      </c>
      <c r="K239" s="146">
        <v>46188</v>
      </c>
      <c r="L239" s="149"/>
      <c r="M239" s="149"/>
      <c r="N239" s="149"/>
    </row>
    <row r="240" spans="1:14" ht="14.25" customHeight="1" x14ac:dyDescent="0.3">
      <c r="A240" s="43" t="s">
        <v>2071</v>
      </c>
      <c r="B240" s="154">
        <v>46178</v>
      </c>
      <c r="C240" s="43" t="s">
        <v>2072</v>
      </c>
      <c r="D240" s="43" t="s">
        <v>2073</v>
      </c>
      <c r="E240" s="155" t="s">
        <v>291</v>
      </c>
      <c r="F240" s="43" t="str">
        <f>IFERROR(INDEX(Catálogo!$F$8:$F$491,MATCH(E240,Catálogo!$B$8:$B$491,0)),"")</f>
        <v>POLO PIQUET MASC.</v>
      </c>
      <c r="G240" s="153">
        <v>10</v>
      </c>
      <c r="H240" s="153">
        <v>10</v>
      </c>
      <c r="I240" s="43"/>
      <c r="J240" s="43" t="s">
        <v>2074</v>
      </c>
      <c r="K240" s="146">
        <v>46188</v>
      </c>
      <c r="L240" s="43"/>
      <c r="M240" s="43"/>
      <c r="N240" s="43"/>
    </row>
    <row r="241" spans="1:14" ht="14.25" customHeight="1" x14ac:dyDescent="0.3">
      <c r="A241" s="149" t="s">
        <v>2071</v>
      </c>
      <c r="B241" s="150">
        <v>46178</v>
      </c>
      <c r="C241" s="149" t="s">
        <v>2072</v>
      </c>
      <c r="D241" s="149" t="s">
        <v>2073</v>
      </c>
      <c r="E241" s="155" t="s">
        <v>292</v>
      </c>
      <c r="F241" s="149" t="str">
        <f>IFERROR(INDEX(Catálogo!$F$8:$F$491,MATCH(E241,Catálogo!$B$8:$B$491,0)),"")</f>
        <v>POLO PIQUET MASC.</v>
      </c>
      <c r="G241" s="153">
        <v>10</v>
      </c>
      <c r="H241" s="153">
        <v>10</v>
      </c>
      <c r="I241" s="149"/>
      <c r="J241" s="43" t="s">
        <v>2074</v>
      </c>
      <c r="K241" s="146">
        <v>46188</v>
      </c>
      <c r="L241" s="149"/>
      <c r="M241" s="149"/>
      <c r="N241" s="149"/>
    </row>
    <row r="242" spans="1:14" ht="14.25" customHeight="1" x14ac:dyDescent="0.3">
      <c r="A242" s="43" t="s">
        <v>2071</v>
      </c>
      <c r="B242" s="154">
        <v>46178</v>
      </c>
      <c r="C242" s="43" t="s">
        <v>2072</v>
      </c>
      <c r="D242" s="43" t="s">
        <v>2073</v>
      </c>
      <c r="E242" s="155" t="s">
        <v>293</v>
      </c>
      <c r="F242" s="43" t="str">
        <f>IFERROR(INDEX(Catálogo!$F$8:$F$491,MATCH(E242,Catálogo!$B$8:$B$491,0)),"")</f>
        <v>POLO PIQUET MASC.</v>
      </c>
      <c r="G242" s="153">
        <v>13</v>
      </c>
      <c r="H242" s="153">
        <v>13</v>
      </c>
      <c r="I242" s="43"/>
      <c r="J242" s="43" t="s">
        <v>2074</v>
      </c>
      <c r="K242" s="146">
        <v>46188</v>
      </c>
      <c r="L242" s="43"/>
      <c r="M242" s="43"/>
      <c r="N242" s="43"/>
    </row>
    <row r="243" spans="1:14" ht="14.25" customHeight="1" x14ac:dyDescent="0.3">
      <c r="A243" s="149" t="s">
        <v>2071</v>
      </c>
      <c r="B243" s="150">
        <v>46178</v>
      </c>
      <c r="C243" s="149" t="s">
        <v>2072</v>
      </c>
      <c r="D243" s="149" t="s">
        <v>2073</v>
      </c>
      <c r="E243" s="155" t="s">
        <v>294</v>
      </c>
      <c r="F243" s="149" t="str">
        <f>IFERROR(INDEX(Catálogo!$F$8:$F$491,MATCH(E243,Catálogo!$B$8:$B$491,0)),"")</f>
        <v>POLO PIQUET MASC.</v>
      </c>
      <c r="G243" s="153">
        <v>20</v>
      </c>
      <c r="H243" s="153">
        <v>20</v>
      </c>
      <c r="I243" s="149"/>
      <c r="J243" s="43" t="s">
        <v>2074</v>
      </c>
      <c r="K243" s="146">
        <v>46188</v>
      </c>
      <c r="L243" s="149"/>
      <c r="M243" s="149"/>
      <c r="N243" s="149"/>
    </row>
    <row r="244" spans="1:14" ht="14.25" customHeight="1" x14ac:dyDescent="0.3">
      <c r="A244" s="43" t="s">
        <v>2071</v>
      </c>
      <c r="B244" s="154">
        <v>46178</v>
      </c>
      <c r="C244" s="43" t="s">
        <v>2072</v>
      </c>
      <c r="D244" s="43" t="s">
        <v>2073</v>
      </c>
      <c r="E244" s="152" t="s">
        <v>507</v>
      </c>
      <c r="F244" s="43" t="str">
        <f>IFERROR(INDEX(Catálogo!$F$8:$F$491,MATCH(E244,Catálogo!$B$8:$B$491,0)),"")</f>
        <v>POLO PIQUET RISCOS MASC.</v>
      </c>
      <c r="G244" s="153">
        <v>20</v>
      </c>
      <c r="H244" s="153">
        <v>20</v>
      </c>
      <c r="I244" s="43"/>
      <c r="J244" s="43" t="s">
        <v>2074</v>
      </c>
      <c r="K244" s="146">
        <v>46188</v>
      </c>
      <c r="L244" s="43"/>
      <c r="M244" s="43"/>
      <c r="N244" s="43"/>
    </row>
    <row r="245" spans="1:14" ht="14.25" customHeight="1" x14ac:dyDescent="0.3">
      <c r="A245" s="149" t="s">
        <v>2071</v>
      </c>
      <c r="B245" s="150">
        <v>46178</v>
      </c>
      <c r="C245" s="149" t="s">
        <v>2072</v>
      </c>
      <c r="D245" s="149" t="s">
        <v>2073</v>
      </c>
      <c r="E245" s="155" t="s">
        <v>508</v>
      </c>
      <c r="F245" s="149" t="str">
        <f>IFERROR(INDEX(Catálogo!$F$8:$F$491,MATCH(E245,Catálogo!$B$8:$B$491,0)),"")</f>
        <v>POLO PIQUET RISCOS MASC.</v>
      </c>
      <c r="G245" s="153">
        <v>10</v>
      </c>
      <c r="H245" s="153">
        <v>10</v>
      </c>
      <c r="I245" s="149"/>
      <c r="J245" s="43" t="s">
        <v>2074</v>
      </c>
      <c r="K245" s="146">
        <v>46188</v>
      </c>
      <c r="L245" s="149"/>
      <c r="M245" s="149"/>
      <c r="N245" s="149"/>
    </row>
    <row r="246" spans="1:14" ht="14.25" customHeight="1" x14ac:dyDescent="0.3">
      <c r="A246" s="43" t="s">
        <v>2071</v>
      </c>
      <c r="B246" s="154">
        <v>46178</v>
      </c>
      <c r="C246" s="43" t="s">
        <v>2072</v>
      </c>
      <c r="D246" s="43" t="s">
        <v>2073</v>
      </c>
      <c r="E246" s="155" t="s">
        <v>509</v>
      </c>
      <c r="F246" s="43" t="str">
        <f>IFERROR(INDEX(Catálogo!$F$8:$F$491,MATCH(E246,Catálogo!$B$8:$B$491,0)),"")</f>
        <v>POLO PIQUET RISCOS MASC.</v>
      </c>
      <c r="G246" s="153">
        <v>20</v>
      </c>
      <c r="H246" s="153">
        <v>20</v>
      </c>
      <c r="I246" s="43"/>
      <c r="J246" s="43" t="s">
        <v>2074</v>
      </c>
      <c r="K246" s="146">
        <v>46188</v>
      </c>
      <c r="L246" s="43"/>
      <c r="M246" s="43"/>
      <c r="N246" s="43"/>
    </row>
    <row r="247" spans="1:14" ht="14.25" customHeight="1" x14ac:dyDescent="0.3">
      <c r="A247" s="149" t="s">
        <v>2071</v>
      </c>
      <c r="B247" s="150">
        <v>46178</v>
      </c>
      <c r="C247" s="149" t="s">
        <v>2072</v>
      </c>
      <c r="D247" s="149" t="s">
        <v>2073</v>
      </c>
      <c r="E247" s="155" t="s">
        <v>510</v>
      </c>
      <c r="F247" s="149" t="str">
        <f>IFERROR(INDEX(Catálogo!$F$8:$F$491,MATCH(E247,Catálogo!$B$8:$B$491,0)),"")</f>
        <v>POLO PIQUET RISCOS MASC.</v>
      </c>
      <c r="G247" s="153">
        <v>10</v>
      </c>
      <c r="H247" s="153">
        <v>10</v>
      </c>
      <c r="I247" s="149"/>
      <c r="J247" s="43" t="s">
        <v>2074</v>
      </c>
      <c r="K247" s="146">
        <v>46188</v>
      </c>
      <c r="L247" s="149"/>
      <c r="M247" s="149"/>
      <c r="N247" s="149"/>
    </row>
    <row r="248" spans="1:14" ht="14.25" customHeight="1" x14ac:dyDescent="0.3">
      <c r="A248" s="43"/>
      <c r="B248" s="43"/>
      <c r="C248" s="43"/>
      <c r="D248" s="43"/>
      <c r="E248" s="43"/>
      <c r="F248" s="43" t="str">
        <f>IFERROR(INDEX(Catálogo!$F$8:$F$491,MATCH(E248,Catálogo!$B$8:$B$491,0)),"")</f>
        <v/>
      </c>
      <c r="G248" s="47"/>
      <c r="H248" s="47"/>
      <c r="I248" s="43"/>
      <c r="J248" s="43"/>
      <c r="K248" s="43"/>
      <c r="L248" s="43"/>
      <c r="M248" s="43"/>
      <c r="N248" s="43"/>
    </row>
    <row r="249" spans="1:14" ht="14.25" customHeight="1" x14ac:dyDescent="0.3">
      <c r="A249" s="149"/>
      <c r="B249" s="149"/>
      <c r="C249" s="149"/>
      <c r="D249" s="149"/>
      <c r="E249" s="149"/>
      <c r="F249" s="149" t="str">
        <f>IFERROR(INDEX(Catálogo!$F$8:$F$491,MATCH(E249,Catálogo!$B$8:$B$491,0)),"")</f>
        <v/>
      </c>
      <c r="G249" s="156"/>
      <c r="H249" s="156"/>
      <c r="I249" s="149"/>
      <c r="J249" s="149"/>
      <c r="K249" s="149"/>
      <c r="L249" s="149"/>
      <c r="M249" s="149"/>
      <c r="N249" s="149"/>
    </row>
    <row r="250" spans="1:14" ht="14.25" customHeight="1" x14ac:dyDescent="0.3">
      <c r="A250" s="43"/>
      <c r="B250" s="43"/>
      <c r="C250" s="43"/>
      <c r="D250" s="43"/>
      <c r="E250" s="43"/>
      <c r="F250" s="43" t="str">
        <f>IFERROR(INDEX(Catálogo!$F$8:$F$491,MATCH(E250,Catálogo!$B$8:$B$491,0)),"")</f>
        <v/>
      </c>
      <c r="G250" s="47"/>
      <c r="H250" s="47"/>
      <c r="I250" s="43"/>
      <c r="J250" s="43"/>
      <c r="K250" s="43"/>
      <c r="L250" s="43"/>
      <c r="M250" s="43"/>
      <c r="N250" s="43"/>
    </row>
    <row r="251" spans="1:14" ht="14.25" customHeight="1" x14ac:dyDescent="0.3">
      <c r="A251" s="149"/>
      <c r="B251" s="149"/>
      <c r="C251" s="149"/>
      <c r="D251" s="149"/>
      <c r="E251" s="149"/>
      <c r="F251" s="149" t="str">
        <f>IFERROR(INDEX(Catálogo!$F$8:$F$491,MATCH(E251,Catálogo!$B$8:$B$491,0)),"")</f>
        <v/>
      </c>
      <c r="G251" s="156"/>
      <c r="H251" s="156"/>
      <c r="I251" s="149"/>
      <c r="J251" s="149"/>
      <c r="K251" s="149"/>
      <c r="L251" s="149"/>
      <c r="M251" s="149"/>
      <c r="N251" s="149"/>
    </row>
    <row r="252" spans="1:14" ht="14.25" customHeight="1" x14ac:dyDescent="0.3">
      <c r="A252" s="43"/>
      <c r="B252" s="43"/>
      <c r="C252" s="43"/>
      <c r="D252" s="43"/>
      <c r="E252" s="43"/>
      <c r="F252" s="43" t="str">
        <f>IFERROR(INDEX(Catálogo!$F$8:$F$491,MATCH(E252,Catálogo!$B$8:$B$491,0)),"")</f>
        <v/>
      </c>
      <c r="G252" s="47"/>
      <c r="H252" s="47"/>
      <c r="I252" s="43"/>
      <c r="J252" s="43"/>
      <c r="K252" s="43"/>
      <c r="L252" s="43"/>
      <c r="M252" s="43"/>
      <c r="N252" s="43"/>
    </row>
    <row r="253" spans="1:14" ht="14.25" customHeight="1" x14ac:dyDescent="0.3">
      <c r="A253" s="149"/>
      <c r="B253" s="149"/>
      <c r="C253" s="149"/>
      <c r="D253" s="149"/>
      <c r="E253" s="149"/>
      <c r="F253" s="149" t="str">
        <f>IFERROR(INDEX(Catálogo!$F$8:$F$491,MATCH(E253,Catálogo!$B$8:$B$491,0)),"")</f>
        <v/>
      </c>
      <c r="G253" s="156"/>
      <c r="H253" s="156"/>
      <c r="I253" s="149"/>
      <c r="J253" s="149"/>
      <c r="K253" s="149"/>
      <c r="L253" s="149"/>
      <c r="M253" s="149"/>
      <c r="N253" s="149"/>
    </row>
    <row r="254" spans="1:14" ht="14.25" customHeight="1" x14ac:dyDescent="0.3">
      <c r="A254" s="43"/>
      <c r="B254" s="43"/>
      <c r="C254" s="43"/>
      <c r="D254" s="43"/>
      <c r="E254" s="43"/>
      <c r="F254" s="43" t="str">
        <f>IFERROR(INDEX(Catálogo!$F$8:$F$491,MATCH(E254,Catálogo!$B$8:$B$491,0)),"")</f>
        <v/>
      </c>
      <c r="G254" s="47"/>
      <c r="H254" s="47"/>
      <c r="I254" s="43"/>
      <c r="J254" s="43"/>
      <c r="K254" s="43"/>
      <c r="L254" s="43"/>
      <c r="M254" s="43"/>
      <c r="N254" s="43"/>
    </row>
    <row r="255" spans="1:14" ht="14.25" customHeight="1" x14ac:dyDescent="0.3">
      <c r="A255" s="149"/>
      <c r="B255" s="149"/>
      <c r="C255" s="149"/>
      <c r="D255" s="149"/>
      <c r="E255" s="149"/>
      <c r="F255" s="149" t="str">
        <f>IFERROR(INDEX(Catálogo!$F$8:$F$491,MATCH(E255,Catálogo!$B$8:$B$491,0)),"")</f>
        <v/>
      </c>
      <c r="G255" s="156"/>
      <c r="H255" s="156"/>
      <c r="I255" s="149"/>
      <c r="J255" s="149"/>
      <c r="K255" s="149"/>
      <c r="L255" s="149"/>
      <c r="M255" s="149"/>
      <c r="N255" s="149"/>
    </row>
    <row r="256" spans="1:14" ht="14.25" customHeight="1" x14ac:dyDescent="0.3">
      <c r="A256" s="43"/>
      <c r="B256" s="43"/>
      <c r="C256" s="43"/>
      <c r="D256" s="43"/>
      <c r="E256" s="43"/>
      <c r="F256" s="43" t="str">
        <f>IFERROR(INDEX(Catálogo!$F$8:$F$491,MATCH(E256,Catálogo!$B$8:$B$491,0)),"")</f>
        <v/>
      </c>
      <c r="G256" s="47"/>
      <c r="H256" s="47"/>
      <c r="I256" s="43"/>
      <c r="J256" s="43"/>
      <c r="K256" s="43"/>
      <c r="L256" s="43"/>
      <c r="M256" s="43"/>
      <c r="N256" s="43"/>
    </row>
    <row r="257" spans="1:14" ht="14.25" customHeight="1" x14ac:dyDescent="0.3">
      <c r="A257" s="149"/>
      <c r="B257" s="149"/>
      <c r="C257" s="149"/>
      <c r="D257" s="149"/>
      <c r="E257" s="149"/>
      <c r="F257" s="149" t="str">
        <f>IFERROR(INDEX(Catálogo!$F$8:$F$491,MATCH(E257,Catálogo!$B$8:$B$491,0)),"")</f>
        <v/>
      </c>
      <c r="G257" s="156"/>
      <c r="H257" s="156"/>
      <c r="I257" s="149"/>
      <c r="J257" s="149"/>
      <c r="K257" s="149"/>
      <c r="L257" s="149"/>
      <c r="M257" s="149"/>
      <c r="N257" s="149"/>
    </row>
    <row r="258" spans="1:14" ht="14.25" customHeight="1" x14ac:dyDescent="0.3">
      <c r="A258" s="43"/>
      <c r="B258" s="43"/>
      <c r="C258" s="43"/>
      <c r="D258" s="43"/>
      <c r="E258" s="43"/>
      <c r="F258" s="43" t="str">
        <f>IFERROR(INDEX(Catálogo!$F$8:$F$491,MATCH(E258,Catálogo!$B$8:$B$491,0)),"")</f>
        <v/>
      </c>
      <c r="G258" s="47"/>
      <c r="H258" s="47"/>
      <c r="I258" s="43"/>
      <c r="J258" s="43"/>
      <c r="K258" s="43"/>
      <c r="L258" s="43"/>
      <c r="M258" s="43"/>
      <c r="N258" s="43"/>
    </row>
    <row r="259" spans="1:14" ht="14.25" customHeight="1" x14ac:dyDescent="0.3">
      <c r="A259" s="149"/>
      <c r="B259" s="149"/>
      <c r="C259" s="149"/>
      <c r="D259" s="149"/>
      <c r="E259" s="149"/>
      <c r="F259" s="149" t="str">
        <f>IFERROR(INDEX(Catálogo!$F$8:$F$491,MATCH(E259,Catálogo!$B$8:$B$491,0)),"")</f>
        <v/>
      </c>
      <c r="G259" s="156"/>
      <c r="H259" s="156"/>
      <c r="I259" s="149"/>
      <c r="J259" s="149"/>
      <c r="K259" s="149"/>
      <c r="L259" s="149"/>
      <c r="M259" s="149"/>
      <c r="N259" s="149"/>
    </row>
    <row r="260" spans="1:14" ht="14.25" customHeight="1" x14ac:dyDescent="0.3">
      <c r="A260" s="43"/>
      <c r="B260" s="43"/>
      <c r="C260" s="43"/>
      <c r="D260" s="43"/>
      <c r="E260" s="43"/>
      <c r="F260" s="43" t="str">
        <f>IFERROR(INDEX(Catálogo!$F$8:$F$491,MATCH(E260,Catálogo!$B$8:$B$491,0)),"")</f>
        <v/>
      </c>
      <c r="G260" s="47"/>
      <c r="H260" s="47"/>
      <c r="I260" s="43"/>
      <c r="J260" s="43"/>
      <c r="K260" s="43"/>
      <c r="L260" s="43"/>
      <c r="M260" s="43"/>
      <c r="N260" s="43"/>
    </row>
    <row r="261" spans="1:14" ht="14.25" customHeight="1" x14ac:dyDescent="0.3">
      <c r="A261" s="149"/>
      <c r="B261" s="149"/>
      <c r="C261" s="149"/>
      <c r="D261" s="149"/>
      <c r="E261" s="149"/>
      <c r="F261" s="149" t="str">
        <f>IFERROR(INDEX(Catálogo!$F$8:$F$491,MATCH(E261,Catálogo!$B$8:$B$491,0)),"")</f>
        <v/>
      </c>
      <c r="G261" s="156"/>
      <c r="H261" s="156"/>
      <c r="I261" s="149"/>
      <c r="J261" s="149"/>
      <c r="K261" s="149"/>
      <c r="L261" s="149"/>
      <c r="M261" s="149"/>
      <c r="N261" s="149"/>
    </row>
    <row r="262" spans="1:14" ht="14.25" customHeight="1" x14ac:dyDescent="0.3">
      <c r="A262" s="43"/>
      <c r="B262" s="43"/>
      <c r="C262" s="43"/>
      <c r="D262" s="43"/>
      <c r="E262" s="43"/>
      <c r="F262" s="43" t="str">
        <f>IFERROR(INDEX(Catálogo!$F$8:$F$491,MATCH(E262,Catálogo!$B$8:$B$491,0)),"")</f>
        <v/>
      </c>
      <c r="G262" s="47"/>
      <c r="H262" s="47"/>
      <c r="I262" s="43"/>
      <c r="J262" s="43"/>
      <c r="K262" s="43"/>
      <c r="L262" s="43"/>
      <c r="M262" s="43"/>
      <c r="N262" s="43"/>
    </row>
    <row r="263" spans="1:14" ht="14.25" customHeight="1" x14ac:dyDescent="0.3">
      <c r="A263" s="149"/>
      <c r="B263" s="149"/>
      <c r="C263" s="149"/>
      <c r="D263" s="149"/>
      <c r="E263" s="149"/>
      <c r="F263" s="149" t="str">
        <f>IFERROR(INDEX(Catálogo!$F$8:$F$491,MATCH(E263,Catálogo!$B$8:$B$491,0)),"")</f>
        <v/>
      </c>
      <c r="G263" s="156"/>
      <c r="H263" s="156"/>
      <c r="I263" s="149"/>
      <c r="J263" s="149"/>
      <c r="K263" s="149"/>
      <c r="L263" s="149"/>
      <c r="M263" s="149"/>
      <c r="N263" s="149"/>
    </row>
    <row r="264" spans="1:14" ht="14.25" customHeight="1" x14ac:dyDescent="0.3">
      <c r="A264" s="43"/>
      <c r="B264" s="43"/>
      <c r="C264" s="43"/>
      <c r="D264" s="43"/>
      <c r="E264" s="43"/>
      <c r="F264" s="43" t="str">
        <f>IFERROR(INDEX(Catálogo!$F$8:$F$491,MATCH(E264,Catálogo!$B$8:$B$491,0)),"")</f>
        <v/>
      </c>
      <c r="G264" s="47"/>
      <c r="H264" s="47"/>
      <c r="I264" s="43"/>
      <c r="J264" s="43"/>
      <c r="K264" s="43"/>
      <c r="L264" s="43"/>
      <c r="M264" s="43"/>
      <c r="N264" s="43"/>
    </row>
    <row r="265" spans="1:14" ht="14.25" customHeight="1" x14ac:dyDescent="0.3">
      <c r="A265" s="149"/>
      <c r="B265" s="149"/>
      <c r="C265" s="149"/>
      <c r="D265" s="149"/>
      <c r="E265" s="149"/>
      <c r="F265" s="149" t="str">
        <f>IFERROR(INDEX(Catálogo!$F$8:$F$491,MATCH(E265,Catálogo!$B$8:$B$491,0)),"")</f>
        <v/>
      </c>
      <c r="G265" s="156"/>
      <c r="H265" s="156"/>
      <c r="I265" s="149"/>
      <c r="J265" s="149"/>
      <c r="K265" s="149"/>
      <c r="L265" s="149"/>
      <c r="M265" s="149"/>
      <c r="N265" s="149"/>
    </row>
    <row r="266" spans="1:14" ht="14.25" customHeight="1" x14ac:dyDescent="0.3">
      <c r="A266" s="43"/>
      <c r="B266" s="43"/>
      <c r="C266" s="43"/>
      <c r="D266" s="43"/>
      <c r="E266" s="43"/>
      <c r="F266" s="43" t="str">
        <f>IFERROR(INDEX(Catálogo!$F$8:$F$491,MATCH(E266,Catálogo!$B$8:$B$491,0)),"")</f>
        <v/>
      </c>
      <c r="G266" s="47"/>
      <c r="H266" s="47"/>
      <c r="I266" s="43"/>
      <c r="J266" s="43"/>
      <c r="K266" s="43"/>
      <c r="L266" s="43"/>
      <c r="M266" s="43"/>
      <c r="N266" s="43"/>
    </row>
    <row r="267" spans="1:14" ht="14.25" customHeight="1" x14ac:dyDescent="0.3">
      <c r="A267" s="149"/>
      <c r="B267" s="149"/>
      <c r="C267" s="149"/>
      <c r="D267" s="149"/>
      <c r="E267" s="149"/>
      <c r="F267" s="149" t="str">
        <f>IFERROR(INDEX(Catálogo!$F$8:$F$491,MATCH(E267,Catálogo!$B$8:$B$491,0)),"")</f>
        <v/>
      </c>
      <c r="G267" s="156"/>
      <c r="H267" s="156"/>
      <c r="I267" s="149"/>
      <c r="J267" s="149"/>
      <c r="K267" s="149"/>
      <c r="L267" s="149"/>
      <c r="M267" s="149"/>
      <c r="N267" s="149"/>
    </row>
    <row r="268" spans="1:14" ht="14.25" customHeight="1" x14ac:dyDescent="0.3">
      <c r="A268" s="43"/>
      <c r="B268" s="43"/>
      <c r="C268" s="43"/>
      <c r="D268" s="43"/>
      <c r="E268" s="43"/>
      <c r="F268" s="43" t="str">
        <f>IFERROR(INDEX(Catálogo!$F$8:$F$491,MATCH(E268,Catálogo!$B$8:$B$491,0)),"")</f>
        <v/>
      </c>
      <c r="G268" s="47"/>
      <c r="H268" s="47"/>
      <c r="I268" s="43"/>
      <c r="J268" s="43"/>
      <c r="K268" s="43"/>
      <c r="L268" s="43"/>
      <c r="M268" s="43"/>
      <c r="N268" s="43"/>
    </row>
    <row r="269" spans="1:14" ht="14.25" customHeight="1" x14ac:dyDescent="0.3">
      <c r="A269" s="149"/>
      <c r="B269" s="149"/>
      <c r="C269" s="149"/>
      <c r="D269" s="149"/>
      <c r="E269" s="149"/>
      <c r="F269" s="149" t="str">
        <f>IFERROR(INDEX(Catálogo!$F$8:$F$491,MATCH(E269,Catálogo!$B$8:$B$491,0)),"")</f>
        <v/>
      </c>
      <c r="G269" s="156"/>
      <c r="H269" s="156"/>
      <c r="I269" s="149"/>
      <c r="J269" s="149"/>
      <c r="K269" s="149"/>
      <c r="L269" s="149"/>
      <c r="M269" s="149"/>
      <c r="N269" s="149"/>
    </row>
    <row r="270" spans="1:14" ht="14.25" customHeight="1" x14ac:dyDescent="0.3">
      <c r="A270" s="43"/>
      <c r="B270" s="43"/>
      <c r="C270" s="43"/>
      <c r="D270" s="43"/>
      <c r="E270" s="43"/>
      <c r="F270" s="43" t="str">
        <f>IFERROR(INDEX(Catálogo!$F$8:$F$491,MATCH(E270,Catálogo!$B$8:$B$491,0)),"")</f>
        <v/>
      </c>
      <c r="G270" s="47"/>
      <c r="H270" s="47"/>
      <c r="I270" s="43"/>
      <c r="J270" s="43"/>
      <c r="K270" s="43"/>
      <c r="L270" s="43"/>
      <c r="M270" s="43"/>
      <c r="N270" s="43"/>
    </row>
    <row r="271" spans="1:14" ht="14.25" customHeight="1" x14ac:dyDescent="0.3">
      <c r="A271" s="149"/>
      <c r="B271" s="149"/>
      <c r="C271" s="149"/>
      <c r="D271" s="149"/>
      <c r="E271" s="149"/>
      <c r="F271" s="149" t="str">
        <f>IFERROR(INDEX(Catálogo!$F$8:$F$491,MATCH(E271,Catálogo!$B$8:$B$491,0)),"")</f>
        <v/>
      </c>
      <c r="G271" s="156"/>
      <c r="H271" s="156"/>
      <c r="I271" s="149"/>
      <c r="J271" s="149"/>
      <c r="K271" s="149"/>
      <c r="L271" s="149"/>
      <c r="M271" s="149"/>
      <c r="N271" s="149"/>
    </row>
    <row r="272" spans="1:14" ht="14.25" customHeight="1" x14ac:dyDescent="0.3">
      <c r="A272" s="43"/>
      <c r="B272" s="43"/>
      <c r="C272" s="43"/>
      <c r="D272" s="43"/>
      <c r="E272" s="43"/>
      <c r="F272" s="43" t="str">
        <f>IFERROR(INDEX(Catálogo!$F$8:$F$491,MATCH(E272,Catálogo!$B$8:$B$491,0)),"")</f>
        <v/>
      </c>
      <c r="G272" s="47"/>
      <c r="H272" s="47"/>
      <c r="I272" s="43"/>
      <c r="J272" s="43"/>
      <c r="K272" s="43"/>
      <c r="L272" s="43"/>
      <c r="M272" s="43"/>
      <c r="N272" s="43"/>
    </row>
    <row r="273" spans="1:14" ht="14.25" customHeight="1" x14ac:dyDescent="0.3">
      <c r="A273" s="149"/>
      <c r="B273" s="149"/>
      <c r="C273" s="149"/>
      <c r="D273" s="149"/>
      <c r="E273" s="149"/>
      <c r="F273" s="149" t="str">
        <f>IFERROR(INDEX(Catálogo!$F$8:$F$491,MATCH(E273,Catálogo!$B$8:$B$491,0)),"")</f>
        <v/>
      </c>
      <c r="G273" s="156"/>
      <c r="H273" s="156"/>
      <c r="I273" s="149"/>
      <c r="J273" s="149"/>
      <c r="K273" s="149"/>
      <c r="L273" s="149"/>
      <c r="M273" s="149"/>
      <c r="N273" s="149"/>
    </row>
    <row r="274" spans="1:14" ht="14.25" customHeight="1" x14ac:dyDescent="0.3">
      <c r="A274" s="43"/>
      <c r="B274" s="43"/>
      <c r="C274" s="43"/>
      <c r="D274" s="43"/>
      <c r="E274" s="43"/>
      <c r="F274" s="43" t="str">
        <f>IFERROR(INDEX(Catálogo!$F$8:$F$491,MATCH(E274,Catálogo!$B$8:$B$491,0)),"")</f>
        <v/>
      </c>
      <c r="G274" s="47"/>
      <c r="H274" s="47"/>
      <c r="I274" s="43"/>
      <c r="J274" s="43"/>
      <c r="K274" s="43"/>
      <c r="L274" s="43"/>
      <c r="M274" s="43"/>
      <c r="N274" s="43"/>
    </row>
    <row r="275" spans="1:14" ht="14.25" customHeight="1" x14ac:dyDescent="0.3">
      <c r="A275" s="149"/>
      <c r="B275" s="149"/>
      <c r="C275" s="149"/>
      <c r="D275" s="149"/>
      <c r="E275" s="149"/>
      <c r="F275" s="149" t="str">
        <f>IFERROR(INDEX(Catálogo!$F$8:$F$491,MATCH(E275,Catálogo!$B$8:$B$491,0)),"")</f>
        <v/>
      </c>
      <c r="G275" s="156"/>
      <c r="H275" s="156"/>
      <c r="I275" s="149"/>
      <c r="J275" s="149"/>
      <c r="K275" s="149"/>
      <c r="L275" s="149"/>
      <c r="M275" s="149"/>
      <c r="N275" s="149"/>
    </row>
    <row r="276" spans="1:14" ht="14.25" customHeight="1" x14ac:dyDescent="0.3">
      <c r="A276" s="43"/>
      <c r="B276" s="43"/>
      <c r="C276" s="43"/>
      <c r="D276" s="43"/>
      <c r="E276" s="43"/>
      <c r="F276" s="43" t="str">
        <f>IFERROR(INDEX(Catálogo!$F$8:$F$491,MATCH(E276,Catálogo!$B$8:$B$491,0)),"")</f>
        <v/>
      </c>
      <c r="G276" s="47"/>
      <c r="H276" s="47"/>
      <c r="I276" s="43"/>
      <c r="J276" s="43"/>
      <c r="K276" s="43"/>
      <c r="L276" s="43"/>
      <c r="M276" s="43"/>
      <c r="N276" s="43"/>
    </row>
    <row r="277" spans="1:14" ht="14.25" customHeight="1" x14ac:dyDescent="0.3">
      <c r="A277" s="149"/>
      <c r="B277" s="149"/>
      <c r="C277" s="149"/>
      <c r="D277" s="149"/>
      <c r="E277" s="149"/>
      <c r="F277" s="149" t="str">
        <f>IFERROR(INDEX(Catálogo!$F$8:$F$491,MATCH(E277,Catálogo!$B$8:$B$491,0)),"")</f>
        <v/>
      </c>
      <c r="G277" s="156"/>
      <c r="H277" s="156"/>
      <c r="I277" s="149"/>
      <c r="J277" s="149"/>
      <c r="K277" s="149"/>
      <c r="L277" s="149"/>
      <c r="M277" s="149"/>
      <c r="N277" s="149"/>
    </row>
    <row r="278" spans="1:14" ht="14.25" customHeight="1" x14ac:dyDescent="0.3">
      <c r="A278" s="43"/>
      <c r="B278" s="43"/>
      <c r="C278" s="43"/>
      <c r="D278" s="43"/>
      <c r="E278" s="43"/>
      <c r="F278" s="43" t="str">
        <f>IFERROR(INDEX(Catálogo!$F$8:$F$491,MATCH(E278,Catálogo!$B$8:$B$491,0)),"")</f>
        <v/>
      </c>
      <c r="G278" s="47"/>
      <c r="H278" s="47"/>
      <c r="I278" s="43"/>
      <c r="J278" s="43"/>
      <c r="K278" s="43"/>
      <c r="L278" s="43"/>
      <c r="M278" s="43"/>
      <c r="N278" s="43"/>
    </row>
    <row r="279" spans="1:14" ht="14.25" customHeight="1" x14ac:dyDescent="0.3">
      <c r="A279" s="149"/>
      <c r="B279" s="149"/>
      <c r="C279" s="149"/>
      <c r="D279" s="149"/>
      <c r="E279" s="149"/>
      <c r="F279" s="149" t="str">
        <f>IFERROR(INDEX(Catálogo!$F$8:$F$491,MATCH(E279,Catálogo!$B$8:$B$491,0)),"")</f>
        <v/>
      </c>
      <c r="G279" s="156"/>
      <c r="H279" s="156"/>
      <c r="I279" s="149"/>
      <c r="J279" s="149"/>
      <c r="K279" s="149"/>
      <c r="L279" s="149"/>
      <c r="M279" s="149"/>
      <c r="N279" s="149"/>
    </row>
    <row r="280" spans="1:14" ht="14.25" customHeight="1" x14ac:dyDescent="0.3">
      <c r="A280" s="43"/>
      <c r="B280" s="43"/>
      <c r="C280" s="43"/>
      <c r="D280" s="43"/>
      <c r="E280" s="43"/>
      <c r="F280" s="43" t="str">
        <f>IFERROR(INDEX(Catálogo!$F$8:$F$491,MATCH(E280,Catálogo!$B$8:$B$491,0)),"")</f>
        <v/>
      </c>
      <c r="G280" s="47"/>
      <c r="H280" s="47"/>
      <c r="I280" s="43"/>
      <c r="J280" s="43"/>
      <c r="K280" s="43"/>
      <c r="L280" s="43"/>
      <c r="M280" s="43"/>
      <c r="N280" s="43"/>
    </row>
    <row r="281" spans="1:14" ht="14.25" customHeight="1" x14ac:dyDescent="0.3">
      <c r="A281" s="149"/>
      <c r="B281" s="149"/>
      <c r="C281" s="149"/>
      <c r="D281" s="149"/>
      <c r="E281" s="149"/>
      <c r="F281" s="149" t="str">
        <f>IFERROR(INDEX(Catálogo!$F$8:$F$491,MATCH(E281,Catálogo!$B$8:$B$491,0)),"")</f>
        <v/>
      </c>
      <c r="G281" s="156"/>
      <c r="H281" s="156"/>
      <c r="I281" s="149"/>
      <c r="J281" s="149"/>
      <c r="K281" s="149"/>
      <c r="L281" s="149"/>
      <c r="M281" s="149"/>
      <c r="N281" s="149"/>
    </row>
    <row r="282" spans="1:14" ht="14.25" customHeight="1" x14ac:dyDescent="0.3">
      <c r="A282" s="43"/>
      <c r="B282" s="43"/>
      <c r="C282" s="43"/>
      <c r="D282" s="43"/>
      <c r="E282" s="43"/>
      <c r="F282" s="43" t="str">
        <f>IFERROR(INDEX(Catálogo!$F$8:$F$491,MATCH(E282,Catálogo!$B$8:$B$491,0)),"")</f>
        <v/>
      </c>
      <c r="G282" s="47"/>
      <c r="H282" s="47"/>
      <c r="I282" s="43"/>
      <c r="J282" s="43"/>
      <c r="K282" s="43"/>
      <c r="L282" s="43"/>
      <c r="M282" s="43"/>
      <c r="N282" s="43"/>
    </row>
    <row r="283" spans="1:14" ht="14.25" customHeight="1" x14ac:dyDescent="0.3">
      <c r="A283" s="149"/>
      <c r="B283" s="149"/>
      <c r="C283" s="149"/>
      <c r="D283" s="149"/>
      <c r="E283" s="149"/>
      <c r="F283" s="149" t="str">
        <f>IFERROR(INDEX(Catálogo!$F$8:$F$491,MATCH(E283,Catálogo!$B$8:$B$491,0)),"")</f>
        <v/>
      </c>
      <c r="G283" s="156"/>
      <c r="H283" s="156"/>
      <c r="I283" s="149"/>
      <c r="J283" s="149"/>
      <c r="K283" s="149"/>
      <c r="L283" s="149"/>
      <c r="M283" s="149"/>
      <c r="N283" s="149"/>
    </row>
    <row r="284" spans="1:14" ht="14.25" customHeight="1" x14ac:dyDescent="0.3">
      <c r="A284" s="43"/>
      <c r="B284" s="43"/>
      <c r="C284" s="43"/>
      <c r="D284" s="43"/>
      <c r="E284" s="43"/>
      <c r="F284" s="43" t="str">
        <f>IFERROR(INDEX(Catálogo!$F$8:$F$491,MATCH(E284,Catálogo!$B$8:$B$491,0)),"")</f>
        <v/>
      </c>
      <c r="G284" s="47"/>
      <c r="H284" s="47"/>
      <c r="I284" s="43"/>
      <c r="J284" s="43"/>
      <c r="K284" s="43"/>
      <c r="L284" s="43"/>
      <c r="M284" s="43"/>
      <c r="N284" s="43"/>
    </row>
    <row r="285" spans="1:14" ht="14.25" customHeight="1" x14ac:dyDescent="0.3">
      <c r="A285" s="149"/>
      <c r="B285" s="149"/>
      <c r="C285" s="149"/>
      <c r="D285" s="149"/>
      <c r="E285" s="149"/>
      <c r="F285" s="149" t="str">
        <f>IFERROR(INDEX(Catálogo!$F$8:$F$491,MATCH(E285,Catálogo!$B$8:$B$491,0)),"")</f>
        <v/>
      </c>
      <c r="G285" s="156"/>
      <c r="H285" s="156"/>
      <c r="I285" s="149"/>
      <c r="J285" s="149"/>
      <c r="K285" s="149"/>
      <c r="L285" s="149"/>
      <c r="M285" s="149"/>
      <c r="N285" s="149"/>
    </row>
    <row r="286" spans="1:14" ht="14.25" customHeight="1" x14ac:dyDescent="0.3">
      <c r="A286" s="43"/>
      <c r="B286" s="43"/>
      <c r="C286" s="43"/>
      <c r="D286" s="43"/>
      <c r="E286" s="43"/>
      <c r="F286" s="43" t="str">
        <f>IFERROR(INDEX(Catálogo!$F$8:$F$491,MATCH(E286,Catálogo!$B$8:$B$491,0)),"")</f>
        <v/>
      </c>
      <c r="G286" s="47"/>
      <c r="H286" s="47"/>
      <c r="I286" s="43"/>
      <c r="J286" s="43"/>
      <c r="K286" s="43"/>
      <c r="L286" s="43"/>
      <c r="M286" s="43"/>
      <c r="N286" s="43"/>
    </row>
    <row r="287" spans="1:14" ht="14.25" customHeight="1" x14ac:dyDescent="0.3">
      <c r="A287" s="149"/>
      <c r="B287" s="149"/>
      <c r="C287" s="149"/>
      <c r="D287" s="149"/>
      <c r="E287" s="149"/>
      <c r="F287" s="149" t="str">
        <f>IFERROR(INDEX(Catálogo!$F$8:$F$491,MATCH(E287,Catálogo!$B$8:$B$491,0)),"")</f>
        <v/>
      </c>
      <c r="G287" s="156"/>
      <c r="H287" s="156"/>
      <c r="I287" s="149"/>
      <c r="J287" s="149"/>
      <c r="K287" s="149"/>
      <c r="L287" s="149"/>
      <c r="M287" s="149"/>
      <c r="N287" s="149"/>
    </row>
    <row r="288" spans="1:14" ht="14.25" customHeight="1" x14ac:dyDescent="0.3">
      <c r="A288" s="43"/>
      <c r="B288" s="43"/>
      <c r="C288" s="43"/>
      <c r="D288" s="43"/>
      <c r="E288" s="43"/>
      <c r="F288" s="43" t="str">
        <f>IFERROR(INDEX(Catálogo!$F$8:$F$491,MATCH(E288,Catálogo!$B$8:$B$491,0)),"")</f>
        <v/>
      </c>
      <c r="G288" s="47"/>
      <c r="H288" s="47"/>
      <c r="I288" s="43"/>
      <c r="J288" s="43"/>
      <c r="K288" s="43"/>
      <c r="L288" s="43"/>
      <c r="M288" s="43"/>
      <c r="N288" s="43"/>
    </row>
    <row r="289" spans="1:14" ht="14.25" customHeight="1" x14ac:dyDescent="0.3">
      <c r="A289" s="149"/>
      <c r="B289" s="149"/>
      <c r="C289" s="149"/>
      <c r="D289" s="149"/>
      <c r="E289" s="149"/>
      <c r="F289" s="149" t="str">
        <f>IFERROR(INDEX(Catálogo!$F$8:$F$491,MATCH(E289,Catálogo!$B$8:$B$491,0)),"")</f>
        <v/>
      </c>
      <c r="G289" s="156"/>
      <c r="H289" s="156"/>
      <c r="I289" s="149"/>
      <c r="J289" s="149"/>
      <c r="K289" s="149"/>
      <c r="L289" s="149"/>
      <c r="M289" s="149"/>
      <c r="N289" s="149"/>
    </row>
    <row r="290" spans="1:14" ht="14.25" customHeight="1" x14ac:dyDescent="0.3">
      <c r="A290" s="43"/>
      <c r="B290" s="43"/>
      <c r="C290" s="43"/>
      <c r="D290" s="43"/>
      <c r="E290" s="43"/>
      <c r="F290" s="43" t="str">
        <f>IFERROR(INDEX(Catálogo!$F$8:$F$491,MATCH(E290,Catálogo!$B$8:$B$491,0)),"")</f>
        <v/>
      </c>
      <c r="G290" s="47"/>
      <c r="H290" s="47"/>
      <c r="I290" s="43"/>
      <c r="J290" s="43"/>
      <c r="K290" s="43"/>
      <c r="L290" s="43"/>
      <c r="M290" s="43"/>
      <c r="N290" s="43"/>
    </row>
    <row r="291" spans="1:14" ht="14.25" customHeight="1" x14ac:dyDescent="0.3">
      <c r="A291" s="149"/>
      <c r="B291" s="149"/>
      <c r="C291" s="149"/>
      <c r="D291" s="149"/>
      <c r="E291" s="149"/>
      <c r="F291" s="149" t="str">
        <f>IFERROR(INDEX(Catálogo!$F$8:$F$491,MATCH(E291,Catálogo!$B$8:$B$491,0)),"")</f>
        <v/>
      </c>
      <c r="G291" s="156"/>
      <c r="H291" s="156"/>
      <c r="I291" s="149"/>
      <c r="J291" s="149"/>
      <c r="K291" s="149"/>
      <c r="L291" s="149"/>
      <c r="M291" s="149"/>
      <c r="N291" s="149"/>
    </row>
    <row r="292" spans="1:14" ht="14.25" customHeight="1" x14ac:dyDescent="0.3">
      <c r="A292" s="43"/>
      <c r="B292" s="43"/>
      <c r="C292" s="43"/>
      <c r="D292" s="43"/>
      <c r="E292" s="43"/>
      <c r="F292" s="43" t="str">
        <f>IFERROR(INDEX(Catálogo!$F$8:$F$491,MATCH(E292,Catálogo!$B$8:$B$491,0)),"")</f>
        <v/>
      </c>
      <c r="G292" s="47"/>
      <c r="H292" s="47"/>
      <c r="I292" s="43"/>
      <c r="J292" s="43"/>
      <c r="K292" s="43"/>
      <c r="L292" s="43"/>
      <c r="M292" s="43"/>
      <c r="N292" s="43"/>
    </row>
    <row r="293" spans="1:14" ht="14.25" customHeight="1" x14ac:dyDescent="0.3">
      <c r="A293" s="149"/>
      <c r="B293" s="149"/>
      <c r="C293" s="149"/>
      <c r="D293" s="149"/>
      <c r="E293" s="149"/>
      <c r="F293" s="149" t="str">
        <f>IFERROR(INDEX(Catálogo!$F$8:$F$491,MATCH(E293,Catálogo!$B$8:$B$491,0)),"")</f>
        <v/>
      </c>
      <c r="G293" s="156"/>
      <c r="H293" s="156"/>
      <c r="I293" s="149"/>
      <c r="J293" s="149"/>
      <c r="K293" s="149"/>
      <c r="L293" s="149"/>
      <c r="M293" s="149"/>
      <c r="N293" s="149"/>
    </row>
    <row r="294" spans="1:14" ht="14.25" customHeight="1" x14ac:dyDescent="0.3">
      <c r="A294" s="43"/>
      <c r="B294" s="43"/>
      <c r="C294" s="43"/>
      <c r="D294" s="43"/>
      <c r="E294" s="43"/>
      <c r="F294" s="43" t="str">
        <f>IFERROR(INDEX(Catálogo!$F$8:$F$491,MATCH(E294,Catálogo!$B$8:$B$491,0)),"")</f>
        <v/>
      </c>
      <c r="G294" s="47"/>
      <c r="H294" s="47"/>
      <c r="I294" s="43"/>
      <c r="J294" s="43"/>
      <c r="K294" s="43"/>
      <c r="L294" s="43"/>
      <c r="M294" s="43"/>
      <c r="N294" s="43"/>
    </row>
    <row r="295" spans="1:14" ht="14.25" customHeight="1" x14ac:dyDescent="0.3">
      <c r="A295" s="149"/>
      <c r="B295" s="149"/>
      <c r="C295" s="149"/>
      <c r="D295" s="149"/>
      <c r="E295" s="149"/>
      <c r="F295" s="149" t="str">
        <f>IFERROR(INDEX(Catálogo!$F$8:$F$491,MATCH(E295,Catálogo!$B$8:$B$491,0)),"")</f>
        <v/>
      </c>
      <c r="G295" s="156"/>
      <c r="H295" s="156"/>
      <c r="I295" s="149"/>
      <c r="J295" s="149"/>
      <c r="K295" s="149"/>
      <c r="L295" s="149"/>
      <c r="M295" s="149"/>
      <c r="N295" s="149"/>
    </row>
    <row r="296" spans="1:14" ht="14.25" customHeight="1" x14ac:dyDescent="0.3">
      <c r="A296" s="43"/>
      <c r="B296" s="43"/>
      <c r="C296" s="43"/>
      <c r="D296" s="43"/>
      <c r="E296" s="43"/>
      <c r="F296" s="43" t="str">
        <f>IFERROR(INDEX(Catálogo!$F$8:$F$491,MATCH(E296,Catálogo!$B$8:$B$491,0)),"")</f>
        <v/>
      </c>
      <c r="G296" s="47"/>
      <c r="H296" s="47"/>
      <c r="I296" s="43"/>
      <c r="J296" s="43"/>
      <c r="K296" s="43"/>
      <c r="L296" s="43"/>
      <c r="M296" s="43"/>
      <c r="N296" s="43"/>
    </row>
    <row r="297" spans="1:14" ht="14.25" customHeight="1" x14ac:dyDescent="0.3">
      <c r="A297" s="149"/>
      <c r="B297" s="149"/>
      <c r="C297" s="149"/>
      <c r="D297" s="149"/>
      <c r="E297" s="149"/>
      <c r="F297" s="149" t="str">
        <f>IFERROR(INDEX(Catálogo!$F$8:$F$491,MATCH(E297,Catálogo!$B$8:$B$491,0)),"")</f>
        <v/>
      </c>
      <c r="G297" s="156"/>
      <c r="H297" s="156"/>
      <c r="I297" s="149"/>
      <c r="J297" s="149"/>
      <c r="K297" s="149"/>
      <c r="L297" s="149"/>
      <c r="M297" s="149"/>
      <c r="N297" s="149"/>
    </row>
    <row r="298" spans="1:14" ht="14.25" customHeight="1" x14ac:dyDescent="0.3">
      <c r="A298" s="43"/>
      <c r="B298" s="43"/>
      <c r="C298" s="43"/>
      <c r="D298" s="43"/>
      <c r="E298" s="43"/>
      <c r="F298" s="43" t="str">
        <f>IFERROR(INDEX(Catálogo!$F$8:$F$491,MATCH(E298,Catálogo!$B$8:$B$491,0)),"")</f>
        <v/>
      </c>
      <c r="G298" s="47"/>
      <c r="H298" s="47"/>
      <c r="I298" s="43"/>
      <c r="J298" s="43"/>
      <c r="K298" s="43"/>
      <c r="L298" s="43"/>
      <c r="M298" s="43"/>
      <c r="N298" s="43"/>
    </row>
    <row r="299" spans="1:14" ht="14.25" customHeight="1" x14ac:dyDescent="0.3">
      <c r="A299" s="149"/>
      <c r="B299" s="149"/>
      <c r="C299" s="149"/>
      <c r="D299" s="149"/>
      <c r="E299" s="149"/>
      <c r="F299" s="149" t="str">
        <f>IFERROR(INDEX(Catálogo!$F$8:$F$491,MATCH(E299,Catálogo!$B$8:$B$491,0)),"")</f>
        <v/>
      </c>
      <c r="G299" s="156"/>
      <c r="H299" s="156"/>
      <c r="I299" s="149"/>
      <c r="J299" s="149"/>
      <c r="K299" s="149"/>
      <c r="L299" s="149"/>
      <c r="M299" s="149"/>
      <c r="N299" s="149"/>
    </row>
    <row r="300" spans="1:14" ht="14.25" customHeight="1" x14ac:dyDescent="0.3">
      <c r="A300" s="43"/>
      <c r="B300" s="43"/>
      <c r="C300" s="43"/>
      <c r="D300" s="43"/>
      <c r="E300" s="43"/>
      <c r="F300" s="43" t="str">
        <f>IFERROR(INDEX(Catálogo!$F$8:$F$491,MATCH(E300,Catálogo!$B$8:$B$491,0)),"")</f>
        <v/>
      </c>
      <c r="G300" s="47"/>
      <c r="H300" s="47"/>
      <c r="I300" s="43"/>
      <c r="J300" s="43"/>
      <c r="K300" s="43"/>
      <c r="L300" s="43"/>
      <c r="M300" s="43"/>
      <c r="N300" s="43"/>
    </row>
    <row r="301" spans="1:14" ht="14.25" customHeight="1" x14ac:dyDescent="0.3">
      <c r="A301" s="149"/>
      <c r="B301" s="149"/>
      <c r="C301" s="149"/>
      <c r="D301" s="149"/>
      <c r="E301" s="149"/>
      <c r="F301" s="149" t="str">
        <f>IFERROR(INDEX(Catálogo!$F$8:$F$491,MATCH(E301,Catálogo!$B$8:$B$491,0)),"")</f>
        <v/>
      </c>
      <c r="G301" s="156"/>
      <c r="H301" s="156"/>
      <c r="I301" s="149"/>
      <c r="J301" s="149"/>
      <c r="K301" s="149"/>
      <c r="L301" s="149"/>
      <c r="M301" s="149"/>
      <c r="N301" s="149"/>
    </row>
    <row r="302" spans="1:14" ht="14.25" customHeight="1" x14ac:dyDescent="0.3">
      <c r="A302" s="43"/>
      <c r="B302" s="43"/>
      <c r="C302" s="43"/>
      <c r="D302" s="43"/>
      <c r="E302" s="43"/>
      <c r="F302" s="43" t="str">
        <f>IFERROR(INDEX(Catálogo!$F$8:$F$491,MATCH(E302,Catálogo!$B$8:$B$491,0)),"")</f>
        <v/>
      </c>
      <c r="G302" s="47"/>
      <c r="H302" s="47"/>
      <c r="I302" s="43"/>
      <c r="J302" s="43"/>
      <c r="K302" s="43"/>
      <c r="L302" s="43"/>
      <c r="M302" s="43"/>
      <c r="N302" s="43"/>
    </row>
    <row r="303" spans="1:14" ht="14.25" customHeight="1" x14ac:dyDescent="0.3">
      <c r="A303" s="149"/>
      <c r="B303" s="149"/>
      <c r="C303" s="149"/>
      <c r="D303" s="149"/>
      <c r="E303" s="149"/>
      <c r="F303" s="149" t="str">
        <f>IFERROR(INDEX(Catálogo!$F$8:$F$491,MATCH(E303,Catálogo!$B$8:$B$491,0)),"")</f>
        <v/>
      </c>
      <c r="G303" s="156"/>
      <c r="H303" s="156"/>
      <c r="I303" s="149"/>
      <c r="J303" s="149"/>
      <c r="K303" s="149"/>
      <c r="L303" s="149"/>
      <c r="M303" s="149"/>
      <c r="N303" s="149"/>
    </row>
    <row r="304" spans="1:14" ht="14.25" customHeight="1" x14ac:dyDescent="0.3">
      <c r="A304" s="43"/>
      <c r="B304" s="43"/>
      <c r="C304" s="43"/>
      <c r="D304" s="43"/>
      <c r="E304" s="43"/>
      <c r="F304" s="43" t="str">
        <f>IFERROR(INDEX(Catálogo!$F$8:$F$491,MATCH(E304,Catálogo!$B$8:$B$491,0)),"")</f>
        <v/>
      </c>
      <c r="G304" s="47"/>
      <c r="H304" s="47"/>
      <c r="I304" s="43"/>
      <c r="J304" s="43"/>
      <c r="K304" s="43"/>
      <c r="L304" s="43"/>
      <c r="M304" s="43"/>
      <c r="N304" s="43"/>
    </row>
    <row r="305" spans="1:14" ht="14.25" customHeight="1" x14ac:dyDescent="0.3">
      <c r="A305" s="149"/>
      <c r="B305" s="149"/>
      <c r="C305" s="149"/>
      <c r="D305" s="149"/>
      <c r="E305" s="149"/>
      <c r="F305" s="149" t="str">
        <f>IFERROR(INDEX(Catálogo!$F$8:$F$491,MATCH(E305,Catálogo!$B$8:$B$491,0)),"")</f>
        <v/>
      </c>
      <c r="G305" s="156"/>
      <c r="H305" s="156"/>
      <c r="I305" s="149"/>
      <c r="J305" s="149"/>
      <c r="K305" s="149"/>
      <c r="L305" s="149"/>
      <c r="M305" s="149"/>
      <c r="N305" s="149"/>
    </row>
    <row r="306" spans="1:14" ht="14.25" customHeight="1" x14ac:dyDescent="0.3">
      <c r="A306" s="43"/>
      <c r="B306" s="43"/>
      <c r="C306" s="43"/>
      <c r="D306" s="43"/>
      <c r="E306" s="43"/>
      <c r="F306" s="43" t="str">
        <f>IFERROR(INDEX(Catálogo!$F$8:$F$491,MATCH(E306,Catálogo!$B$8:$B$491,0)),"")</f>
        <v/>
      </c>
      <c r="G306" s="47"/>
      <c r="H306" s="47"/>
      <c r="I306" s="43"/>
      <c r="J306" s="43"/>
      <c r="K306" s="43"/>
      <c r="L306" s="43"/>
      <c r="M306" s="43"/>
      <c r="N306" s="43"/>
    </row>
    <row r="307" spans="1:14" ht="14.25" customHeight="1" x14ac:dyDescent="0.3">
      <c r="A307" s="149"/>
      <c r="B307" s="149"/>
      <c r="C307" s="149"/>
      <c r="D307" s="149"/>
      <c r="E307" s="149"/>
      <c r="F307" s="149" t="str">
        <f>IFERROR(INDEX(Catálogo!$F$8:$F$491,MATCH(E307,Catálogo!$B$8:$B$491,0)),"")</f>
        <v/>
      </c>
      <c r="G307" s="156"/>
      <c r="H307" s="156"/>
      <c r="I307" s="149"/>
      <c r="J307" s="149"/>
      <c r="K307" s="149"/>
      <c r="L307" s="149"/>
      <c r="M307" s="149"/>
      <c r="N307" s="149"/>
    </row>
    <row r="308" spans="1:14" ht="14.25" customHeight="1" x14ac:dyDescent="0.3">
      <c r="A308" s="43"/>
      <c r="B308" s="43"/>
      <c r="C308" s="43"/>
      <c r="D308" s="43"/>
      <c r="E308" s="43"/>
      <c r="F308" s="43" t="str">
        <f>IFERROR(INDEX(Catálogo!$F$8:$F$491,MATCH(E308,Catálogo!$B$8:$B$491,0)),"")</f>
        <v/>
      </c>
      <c r="G308" s="47"/>
      <c r="H308" s="47"/>
      <c r="I308" s="43"/>
      <c r="J308" s="43"/>
      <c r="K308" s="43"/>
      <c r="L308" s="43"/>
      <c r="M308" s="43"/>
      <c r="N308" s="43"/>
    </row>
    <row r="309" spans="1:14" ht="14.25" customHeight="1" x14ac:dyDescent="0.3">
      <c r="A309" s="149"/>
      <c r="B309" s="149"/>
      <c r="C309" s="149"/>
      <c r="D309" s="149"/>
      <c r="E309" s="149"/>
      <c r="F309" s="149" t="str">
        <f>IFERROR(INDEX(Catálogo!$F$8:$F$491,MATCH(E309,Catálogo!$B$8:$B$491,0)),"")</f>
        <v/>
      </c>
      <c r="G309" s="156"/>
      <c r="H309" s="156"/>
      <c r="I309" s="149"/>
      <c r="J309" s="149"/>
      <c r="K309" s="149"/>
      <c r="L309" s="149"/>
      <c r="M309" s="149"/>
      <c r="N309" s="149"/>
    </row>
    <row r="310" spans="1:14" ht="14.25" customHeight="1" x14ac:dyDescent="0.3">
      <c r="A310" s="43"/>
      <c r="B310" s="43"/>
      <c r="C310" s="43"/>
      <c r="D310" s="43"/>
      <c r="E310" s="43"/>
      <c r="F310" s="43" t="str">
        <f>IFERROR(INDEX(Catálogo!$F$8:$F$491,MATCH(E310,Catálogo!$B$8:$B$491,0)),"")</f>
        <v/>
      </c>
      <c r="G310" s="47"/>
      <c r="H310" s="47"/>
      <c r="I310" s="43"/>
      <c r="J310" s="43"/>
      <c r="K310" s="43"/>
      <c r="L310" s="43"/>
      <c r="M310" s="43"/>
      <c r="N310" s="43"/>
    </row>
    <row r="311" spans="1:14" ht="14.25" customHeight="1" x14ac:dyDescent="0.3">
      <c r="A311" s="149"/>
      <c r="B311" s="149"/>
      <c r="C311" s="149"/>
      <c r="D311" s="149"/>
      <c r="E311" s="149"/>
      <c r="F311" s="149" t="str">
        <f>IFERROR(INDEX(Catálogo!$F$8:$F$491,MATCH(E311,Catálogo!$B$8:$B$491,0)),"")</f>
        <v/>
      </c>
      <c r="G311" s="156"/>
      <c r="H311" s="156"/>
      <c r="I311" s="149"/>
      <c r="J311" s="149"/>
      <c r="K311" s="149"/>
      <c r="L311" s="149"/>
      <c r="M311" s="149"/>
      <c r="N311" s="149"/>
    </row>
    <row r="312" spans="1:14" ht="14.25" customHeight="1" x14ac:dyDescent="0.3">
      <c r="A312" s="43"/>
      <c r="B312" s="43"/>
      <c r="C312" s="43"/>
      <c r="D312" s="43"/>
      <c r="E312" s="43"/>
      <c r="F312" s="43" t="str">
        <f>IFERROR(INDEX(Catálogo!$F$8:$F$491,MATCH(E312,Catálogo!$B$8:$B$491,0)),"")</f>
        <v/>
      </c>
      <c r="G312" s="47"/>
      <c r="H312" s="47"/>
      <c r="I312" s="43"/>
      <c r="J312" s="43"/>
      <c r="K312" s="43"/>
      <c r="L312" s="43"/>
      <c r="M312" s="43"/>
      <c r="N312" s="43"/>
    </row>
    <row r="313" spans="1:14" ht="14.25" customHeight="1" x14ac:dyDescent="0.3">
      <c r="A313" s="149"/>
      <c r="B313" s="149"/>
      <c r="C313" s="149"/>
      <c r="D313" s="149"/>
      <c r="E313" s="149"/>
      <c r="F313" s="149" t="str">
        <f>IFERROR(INDEX(Catálogo!$F$8:$F$491,MATCH(E313,Catálogo!$B$8:$B$491,0)),"")</f>
        <v/>
      </c>
      <c r="G313" s="156"/>
      <c r="H313" s="156"/>
      <c r="I313" s="149"/>
      <c r="J313" s="149"/>
      <c r="K313" s="149"/>
      <c r="L313" s="149"/>
      <c r="M313" s="149"/>
      <c r="N313" s="149"/>
    </row>
    <row r="314" spans="1:14" ht="14.25" customHeight="1" x14ac:dyDescent="0.3">
      <c r="A314" s="43"/>
      <c r="B314" s="43"/>
      <c r="C314" s="43"/>
      <c r="D314" s="43"/>
      <c r="E314" s="43"/>
      <c r="F314" s="43" t="str">
        <f>IFERROR(INDEX(Catálogo!$F$8:$F$491,MATCH(E314,Catálogo!$B$8:$B$491,0)),"")</f>
        <v/>
      </c>
      <c r="G314" s="47"/>
      <c r="H314" s="47"/>
      <c r="I314" s="43"/>
      <c r="J314" s="43"/>
      <c r="K314" s="43"/>
      <c r="L314" s="43"/>
      <c r="M314" s="43"/>
      <c r="N314" s="43"/>
    </row>
    <row r="315" spans="1:14" ht="14.25" customHeight="1" x14ac:dyDescent="0.3">
      <c r="A315" s="149"/>
      <c r="B315" s="149"/>
      <c r="C315" s="149"/>
      <c r="D315" s="149"/>
      <c r="E315" s="149"/>
      <c r="F315" s="149" t="str">
        <f>IFERROR(INDEX(Catálogo!$F$8:$F$491,MATCH(E315,Catálogo!$B$8:$B$491,0)),"")</f>
        <v/>
      </c>
      <c r="G315" s="156"/>
      <c r="H315" s="156"/>
      <c r="I315" s="149"/>
      <c r="J315" s="149"/>
      <c r="K315" s="149"/>
      <c r="L315" s="149"/>
      <c r="M315" s="149"/>
      <c r="N315" s="149"/>
    </row>
    <row r="316" spans="1:14" ht="14.25" customHeight="1" x14ac:dyDescent="0.3">
      <c r="A316" s="43"/>
      <c r="B316" s="43"/>
      <c r="C316" s="43"/>
      <c r="D316" s="43"/>
      <c r="E316" s="43"/>
      <c r="F316" s="43" t="str">
        <f>IFERROR(INDEX(Catálogo!$F$8:$F$491,MATCH(E316,Catálogo!$B$8:$B$491,0)),"")</f>
        <v/>
      </c>
      <c r="G316" s="47"/>
      <c r="H316" s="47"/>
      <c r="I316" s="43"/>
      <c r="J316" s="43"/>
      <c r="K316" s="43"/>
      <c r="L316" s="43"/>
      <c r="M316" s="43"/>
      <c r="N316" s="43"/>
    </row>
    <row r="317" spans="1:14" ht="14.25" customHeight="1" x14ac:dyDescent="0.3">
      <c r="A317" s="149"/>
      <c r="B317" s="149"/>
      <c r="C317" s="149"/>
      <c r="D317" s="149"/>
      <c r="E317" s="149"/>
      <c r="F317" s="149" t="str">
        <f>IFERROR(INDEX(Catálogo!$F$8:$F$491,MATCH(E317,Catálogo!$B$8:$B$491,0)),"")</f>
        <v/>
      </c>
      <c r="G317" s="156"/>
      <c r="H317" s="156"/>
      <c r="I317" s="149"/>
      <c r="J317" s="149"/>
      <c r="K317" s="149"/>
      <c r="L317" s="149"/>
      <c r="M317" s="149"/>
      <c r="N317" s="149"/>
    </row>
    <row r="318" spans="1:14" ht="14.25" customHeight="1" x14ac:dyDescent="0.3">
      <c r="A318" s="43"/>
      <c r="B318" s="43"/>
      <c r="C318" s="43"/>
      <c r="D318" s="43"/>
      <c r="E318" s="43"/>
      <c r="F318" s="43" t="str">
        <f>IFERROR(INDEX(Catálogo!$F$8:$F$491,MATCH(E318,Catálogo!$B$8:$B$491,0)),"")</f>
        <v/>
      </c>
      <c r="G318" s="47"/>
      <c r="H318" s="47"/>
      <c r="I318" s="43"/>
      <c r="J318" s="43"/>
      <c r="K318" s="43"/>
      <c r="L318" s="43"/>
      <c r="M318" s="43"/>
      <c r="N318" s="43"/>
    </row>
    <row r="319" spans="1:14" ht="14.25" customHeight="1" x14ac:dyDescent="0.3">
      <c r="A319" s="149"/>
      <c r="B319" s="149"/>
      <c r="C319" s="149"/>
      <c r="D319" s="149"/>
      <c r="E319" s="149"/>
      <c r="F319" s="149" t="str">
        <f>IFERROR(INDEX(Catálogo!$F$8:$F$491,MATCH(E319,Catálogo!$B$8:$B$491,0)),"")</f>
        <v/>
      </c>
      <c r="G319" s="156"/>
      <c r="H319" s="156"/>
      <c r="I319" s="149"/>
      <c r="J319" s="149"/>
      <c r="K319" s="149"/>
      <c r="L319" s="149"/>
      <c r="M319" s="149"/>
      <c r="N319" s="149"/>
    </row>
    <row r="320" spans="1:14" ht="14.25" customHeight="1" x14ac:dyDescent="0.3">
      <c r="A320" s="43"/>
      <c r="B320" s="43"/>
      <c r="C320" s="43"/>
      <c r="D320" s="43"/>
      <c r="E320" s="43"/>
      <c r="F320" s="43" t="str">
        <f>IFERROR(INDEX(Catálogo!$F$8:$F$491,MATCH(E320,Catálogo!$B$8:$B$491,0)),"")</f>
        <v/>
      </c>
      <c r="G320" s="47"/>
      <c r="H320" s="47"/>
      <c r="I320" s="43"/>
      <c r="J320" s="43"/>
      <c r="K320" s="43"/>
      <c r="L320" s="43"/>
      <c r="M320" s="43"/>
      <c r="N320" s="43"/>
    </row>
    <row r="321" spans="1:14" ht="14.25" customHeight="1" x14ac:dyDescent="0.3">
      <c r="A321" s="149"/>
      <c r="B321" s="149"/>
      <c r="C321" s="149"/>
      <c r="D321" s="149"/>
      <c r="E321" s="149"/>
      <c r="F321" s="149" t="str">
        <f>IFERROR(INDEX(Catálogo!$F$8:$F$491,MATCH(E321,Catálogo!$B$8:$B$491,0)),"")</f>
        <v/>
      </c>
      <c r="G321" s="156"/>
      <c r="H321" s="156"/>
      <c r="I321" s="149"/>
      <c r="J321" s="149"/>
      <c r="K321" s="149"/>
      <c r="L321" s="149"/>
      <c r="M321" s="149"/>
      <c r="N321" s="149"/>
    </row>
    <row r="322" spans="1:14" ht="14.25" customHeight="1" x14ac:dyDescent="0.3">
      <c r="A322" s="43"/>
      <c r="B322" s="43"/>
      <c r="C322" s="43"/>
      <c r="D322" s="43"/>
      <c r="E322" s="43"/>
      <c r="F322" s="43" t="str">
        <f>IFERROR(INDEX(Catálogo!$F$8:$F$491,MATCH(E322,Catálogo!$B$8:$B$491,0)),"")</f>
        <v/>
      </c>
      <c r="G322" s="47"/>
      <c r="H322" s="47"/>
      <c r="I322" s="43"/>
      <c r="J322" s="43"/>
      <c r="K322" s="43"/>
      <c r="L322" s="43"/>
      <c r="M322" s="43"/>
      <c r="N322" s="43"/>
    </row>
    <row r="323" spans="1:14" ht="14.25" customHeight="1" x14ac:dyDescent="0.3">
      <c r="A323" s="149"/>
      <c r="B323" s="149"/>
      <c r="C323" s="149"/>
      <c r="D323" s="149"/>
      <c r="E323" s="149"/>
      <c r="F323" s="149" t="str">
        <f>IFERROR(INDEX(Catálogo!$F$8:$F$491,MATCH(E323,Catálogo!$B$8:$B$491,0)),"")</f>
        <v/>
      </c>
      <c r="G323" s="156"/>
      <c r="H323" s="156"/>
      <c r="I323" s="149"/>
      <c r="J323" s="149"/>
      <c r="K323" s="149"/>
      <c r="L323" s="149"/>
      <c r="M323" s="149"/>
      <c r="N323" s="149"/>
    </row>
    <row r="324" spans="1:14" ht="14.25" customHeight="1" x14ac:dyDescent="0.3">
      <c r="A324" s="43"/>
      <c r="B324" s="43"/>
      <c r="C324" s="43"/>
      <c r="D324" s="43"/>
      <c r="E324" s="43"/>
      <c r="F324" s="43" t="str">
        <f>IFERROR(INDEX(Catálogo!$F$8:$F$491,MATCH(E324,Catálogo!$B$8:$B$491,0)),"")</f>
        <v/>
      </c>
      <c r="G324" s="47"/>
      <c r="H324" s="47"/>
      <c r="I324" s="43"/>
      <c r="J324" s="43"/>
      <c r="K324" s="43"/>
      <c r="L324" s="43"/>
      <c r="M324" s="43"/>
      <c r="N324" s="43"/>
    </row>
    <row r="325" spans="1:14" ht="14.25" customHeight="1" x14ac:dyDescent="0.3">
      <c r="A325" s="149"/>
      <c r="B325" s="149"/>
      <c r="C325" s="149"/>
      <c r="D325" s="149"/>
      <c r="E325" s="149"/>
      <c r="F325" s="149" t="str">
        <f>IFERROR(INDEX(Catálogo!$F$8:$F$491,MATCH(E325,Catálogo!$B$8:$B$491,0)),"")</f>
        <v/>
      </c>
      <c r="G325" s="156"/>
      <c r="H325" s="156"/>
      <c r="I325" s="149"/>
      <c r="J325" s="149"/>
      <c r="K325" s="149"/>
      <c r="L325" s="149"/>
      <c r="M325" s="149"/>
      <c r="N325" s="149"/>
    </row>
    <row r="326" spans="1:14" ht="14.25" customHeight="1" x14ac:dyDescent="0.3">
      <c r="A326" s="43"/>
      <c r="B326" s="43"/>
      <c r="C326" s="43"/>
      <c r="D326" s="43"/>
      <c r="E326" s="43"/>
      <c r="F326" s="43" t="str">
        <f>IFERROR(INDEX(Catálogo!$F$8:$F$491,MATCH(E326,Catálogo!$B$8:$B$491,0)),"")</f>
        <v/>
      </c>
      <c r="G326" s="47"/>
      <c r="H326" s="47"/>
      <c r="I326" s="43"/>
      <c r="J326" s="43"/>
      <c r="K326" s="43"/>
      <c r="L326" s="43"/>
      <c r="M326" s="43"/>
      <c r="N326" s="43"/>
    </row>
    <row r="327" spans="1:14" ht="14.25" customHeight="1" x14ac:dyDescent="0.3">
      <c r="A327" s="149"/>
      <c r="B327" s="149"/>
      <c r="C327" s="149"/>
      <c r="D327" s="149"/>
      <c r="E327" s="149"/>
      <c r="F327" s="149" t="str">
        <f>IFERROR(INDEX(Catálogo!$F$8:$F$491,MATCH(E327,Catálogo!$B$8:$B$491,0)),"")</f>
        <v/>
      </c>
      <c r="G327" s="156"/>
      <c r="H327" s="156"/>
      <c r="I327" s="149"/>
      <c r="J327" s="149"/>
      <c r="K327" s="149"/>
      <c r="L327" s="149"/>
      <c r="M327" s="149"/>
      <c r="N327" s="149"/>
    </row>
    <row r="328" spans="1:14" ht="14.25" customHeight="1" x14ac:dyDescent="0.3">
      <c r="A328" s="43"/>
      <c r="B328" s="43"/>
      <c r="C328" s="43"/>
      <c r="D328" s="43"/>
      <c r="E328" s="43"/>
      <c r="F328" s="43" t="str">
        <f>IFERROR(INDEX(Catálogo!$F$8:$F$491,MATCH(E328,Catálogo!$B$8:$B$491,0)),"")</f>
        <v/>
      </c>
      <c r="G328" s="47"/>
      <c r="H328" s="47"/>
      <c r="I328" s="43"/>
      <c r="J328" s="43"/>
      <c r="K328" s="43"/>
      <c r="L328" s="43"/>
      <c r="M328" s="43"/>
      <c r="N328" s="43"/>
    </row>
    <row r="329" spans="1:14" ht="14.25" customHeight="1" x14ac:dyDescent="0.3">
      <c r="A329" s="149"/>
      <c r="B329" s="149"/>
      <c r="C329" s="149"/>
      <c r="D329" s="149"/>
      <c r="E329" s="149"/>
      <c r="F329" s="149" t="str">
        <f>IFERROR(INDEX(Catálogo!$F$8:$F$491,MATCH(E329,Catálogo!$B$8:$B$491,0)),"")</f>
        <v/>
      </c>
      <c r="G329" s="156"/>
      <c r="H329" s="156"/>
      <c r="I329" s="149"/>
      <c r="J329" s="149"/>
      <c r="K329" s="149"/>
      <c r="L329" s="149"/>
      <c r="M329" s="149"/>
      <c r="N329" s="149"/>
    </row>
    <row r="330" spans="1:14" ht="14.25" customHeight="1" x14ac:dyDescent="0.3">
      <c r="A330" s="43"/>
      <c r="B330" s="43"/>
      <c r="C330" s="43"/>
      <c r="D330" s="43"/>
      <c r="E330" s="43"/>
      <c r="F330" s="43" t="str">
        <f>IFERROR(INDEX(Catálogo!$F$8:$F$491,MATCH(E330,Catálogo!$B$8:$B$491,0)),"")</f>
        <v/>
      </c>
      <c r="G330" s="47"/>
      <c r="H330" s="47"/>
      <c r="I330" s="43"/>
      <c r="J330" s="43"/>
      <c r="K330" s="43"/>
      <c r="L330" s="43"/>
      <c r="M330" s="43"/>
      <c r="N330" s="43"/>
    </row>
    <row r="331" spans="1:14" ht="14.25" customHeight="1" x14ac:dyDescent="0.3">
      <c r="A331" s="149"/>
      <c r="B331" s="149"/>
      <c r="C331" s="149"/>
      <c r="D331" s="149"/>
      <c r="E331" s="149"/>
      <c r="F331" s="149" t="str">
        <f>IFERROR(INDEX(Catálogo!$F$8:$F$491,MATCH(E331,Catálogo!$B$8:$B$491,0)),"")</f>
        <v/>
      </c>
      <c r="G331" s="156"/>
      <c r="H331" s="156"/>
      <c r="I331" s="149"/>
      <c r="J331" s="149"/>
      <c r="K331" s="149"/>
      <c r="L331" s="149"/>
      <c r="M331" s="149"/>
      <c r="N331" s="149"/>
    </row>
    <row r="332" spans="1:14" ht="14.25" customHeight="1" x14ac:dyDescent="0.3">
      <c r="A332" s="43"/>
      <c r="B332" s="43"/>
      <c r="C332" s="43"/>
      <c r="D332" s="43"/>
      <c r="E332" s="43"/>
      <c r="F332" s="43" t="str">
        <f>IFERROR(INDEX(Catálogo!$F$8:$F$491,MATCH(E332,Catálogo!$B$8:$B$491,0)),"")</f>
        <v/>
      </c>
      <c r="G332" s="47"/>
      <c r="H332" s="47"/>
      <c r="I332" s="43"/>
      <c r="J332" s="43"/>
      <c r="K332" s="43"/>
      <c r="L332" s="43"/>
      <c r="M332" s="43"/>
      <c r="N332" s="43"/>
    </row>
    <row r="333" spans="1:14" ht="14.25" customHeight="1" x14ac:dyDescent="0.3">
      <c r="A333" s="149"/>
      <c r="B333" s="149"/>
      <c r="C333" s="149"/>
      <c r="D333" s="149"/>
      <c r="E333" s="149"/>
      <c r="F333" s="149" t="str">
        <f>IFERROR(INDEX(Catálogo!$F$8:$F$491,MATCH(E333,Catálogo!$B$8:$B$491,0)),"")</f>
        <v/>
      </c>
      <c r="G333" s="156"/>
      <c r="H333" s="156"/>
      <c r="I333" s="149"/>
      <c r="J333" s="149"/>
      <c r="K333" s="149"/>
      <c r="L333" s="149"/>
      <c r="M333" s="149"/>
      <c r="N333" s="149"/>
    </row>
    <row r="334" spans="1:14" ht="14.25" customHeight="1" x14ac:dyDescent="0.3">
      <c r="A334" s="43"/>
      <c r="B334" s="43"/>
      <c r="C334" s="43"/>
      <c r="D334" s="43"/>
      <c r="E334" s="43"/>
      <c r="F334" s="43" t="str">
        <f>IFERROR(INDEX(Catálogo!$F$8:$F$491,MATCH(E334,Catálogo!$B$8:$B$491,0)),"")</f>
        <v/>
      </c>
      <c r="G334" s="47"/>
      <c r="H334" s="47"/>
      <c r="I334" s="43"/>
      <c r="J334" s="43"/>
      <c r="K334" s="43"/>
      <c r="L334" s="43"/>
      <c r="M334" s="43"/>
      <c r="N334" s="43"/>
    </row>
    <row r="335" spans="1:14" ht="14.25" customHeight="1" x14ac:dyDescent="0.3">
      <c r="A335" s="149"/>
      <c r="B335" s="149"/>
      <c r="C335" s="149"/>
      <c r="D335" s="149"/>
      <c r="E335" s="149"/>
      <c r="F335" s="149" t="str">
        <f>IFERROR(INDEX(Catálogo!$F$8:$F$491,MATCH(E335,Catálogo!$B$8:$B$491,0)),"")</f>
        <v/>
      </c>
      <c r="G335" s="156"/>
      <c r="H335" s="156"/>
      <c r="I335" s="149"/>
      <c r="J335" s="149"/>
      <c r="K335" s="149"/>
      <c r="L335" s="149"/>
      <c r="M335" s="149"/>
      <c r="N335" s="149"/>
    </row>
    <row r="336" spans="1:14" ht="14.25" customHeight="1" x14ac:dyDescent="0.3">
      <c r="A336" s="43"/>
      <c r="B336" s="43"/>
      <c r="C336" s="43"/>
      <c r="D336" s="43"/>
      <c r="E336" s="43"/>
      <c r="F336" s="43" t="str">
        <f>IFERROR(INDEX(Catálogo!$F$8:$F$491,MATCH(E336,Catálogo!$B$8:$B$491,0)),"")</f>
        <v/>
      </c>
      <c r="G336" s="47"/>
      <c r="H336" s="47"/>
      <c r="I336" s="43"/>
      <c r="J336" s="43"/>
      <c r="K336" s="43"/>
      <c r="L336" s="43"/>
      <c r="M336" s="43"/>
      <c r="N336" s="43"/>
    </row>
    <row r="337" spans="1:14" ht="14.25" customHeight="1" x14ac:dyDescent="0.3">
      <c r="A337" s="149"/>
      <c r="B337" s="149"/>
      <c r="C337" s="149"/>
      <c r="D337" s="149"/>
      <c r="E337" s="149"/>
      <c r="F337" s="149" t="str">
        <f>IFERROR(INDEX(Catálogo!$F$8:$F$491,MATCH(E337,Catálogo!$B$8:$B$491,0)),"")</f>
        <v/>
      </c>
      <c r="G337" s="156"/>
      <c r="H337" s="156"/>
      <c r="I337" s="149"/>
      <c r="J337" s="149"/>
      <c r="K337" s="149"/>
      <c r="L337" s="149"/>
      <c r="M337" s="149"/>
      <c r="N337" s="149"/>
    </row>
    <row r="338" spans="1:14" ht="14.25" customHeight="1" x14ac:dyDescent="0.3">
      <c r="A338" s="43"/>
      <c r="B338" s="43"/>
      <c r="C338" s="43"/>
      <c r="D338" s="43"/>
      <c r="E338" s="43"/>
      <c r="F338" s="43" t="str">
        <f>IFERROR(INDEX(Catálogo!$F$8:$F$491,MATCH(E338,Catálogo!$B$8:$B$491,0)),"")</f>
        <v/>
      </c>
      <c r="G338" s="47"/>
      <c r="H338" s="47"/>
      <c r="I338" s="43"/>
      <c r="J338" s="43"/>
      <c r="K338" s="43"/>
      <c r="L338" s="43"/>
      <c r="M338" s="43"/>
      <c r="N338" s="43"/>
    </row>
    <row r="339" spans="1:14" ht="14.25" customHeight="1" x14ac:dyDescent="0.3">
      <c r="A339" s="149"/>
      <c r="B339" s="149"/>
      <c r="C339" s="149"/>
      <c r="D339" s="149"/>
      <c r="E339" s="149"/>
      <c r="F339" s="149" t="str">
        <f>IFERROR(INDEX(Catálogo!$F$8:$F$491,MATCH(E339,Catálogo!$B$8:$B$491,0)),"")</f>
        <v/>
      </c>
      <c r="G339" s="156"/>
      <c r="H339" s="156"/>
      <c r="I339" s="149"/>
      <c r="J339" s="149"/>
      <c r="K339" s="149"/>
      <c r="L339" s="149"/>
      <c r="M339" s="149"/>
      <c r="N339" s="149"/>
    </row>
    <row r="340" spans="1:14" ht="14.25" customHeight="1" x14ac:dyDescent="0.3">
      <c r="A340" s="43"/>
      <c r="B340" s="43"/>
      <c r="C340" s="43"/>
      <c r="D340" s="43"/>
      <c r="E340" s="43"/>
      <c r="F340" s="43" t="str">
        <f>IFERROR(INDEX(Catálogo!$F$8:$F$491,MATCH(E340,Catálogo!$B$8:$B$491,0)),"")</f>
        <v/>
      </c>
      <c r="G340" s="47"/>
      <c r="H340" s="47"/>
      <c r="I340" s="43"/>
      <c r="J340" s="43"/>
      <c r="K340" s="43"/>
      <c r="L340" s="43"/>
      <c r="M340" s="43"/>
      <c r="N340" s="43"/>
    </row>
    <row r="341" spans="1:14" ht="14.25" customHeight="1" x14ac:dyDescent="0.3">
      <c r="A341" s="149"/>
      <c r="B341" s="149"/>
      <c r="C341" s="149"/>
      <c r="D341" s="149"/>
      <c r="E341" s="149"/>
      <c r="F341" s="149" t="str">
        <f>IFERROR(INDEX(Catálogo!$F$8:$F$491,MATCH(E341,Catálogo!$B$8:$B$491,0)),"")</f>
        <v/>
      </c>
      <c r="G341" s="156"/>
      <c r="H341" s="156"/>
      <c r="I341" s="149"/>
      <c r="J341" s="149"/>
      <c r="K341" s="149"/>
      <c r="L341" s="149"/>
      <c r="M341" s="149"/>
      <c r="N341" s="149"/>
    </row>
    <row r="342" spans="1:14" ht="14.25" customHeight="1" x14ac:dyDescent="0.3">
      <c r="A342" s="43"/>
      <c r="B342" s="43"/>
      <c r="C342" s="43"/>
      <c r="D342" s="43"/>
      <c r="E342" s="43"/>
      <c r="F342" s="43" t="str">
        <f>IFERROR(INDEX(Catálogo!$F$8:$F$491,MATCH(E342,Catálogo!$B$8:$B$491,0)),"")</f>
        <v/>
      </c>
      <c r="G342" s="47"/>
      <c r="H342" s="47"/>
      <c r="I342" s="43"/>
      <c r="J342" s="43"/>
      <c r="K342" s="43"/>
      <c r="L342" s="43"/>
      <c r="M342" s="43"/>
      <c r="N342" s="43"/>
    </row>
    <row r="343" spans="1:14" ht="14.25" customHeight="1" x14ac:dyDescent="0.3">
      <c r="A343" s="149"/>
      <c r="B343" s="149"/>
      <c r="C343" s="149"/>
      <c r="D343" s="149"/>
      <c r="E343" s="149"/>
      <c r="F343" s="149" t="str">
        <f>IFERROR(INDEX(Catálogo!$F$8:$F$491,MATCH(E343,Catálogo!$B$8:$B$491,0)),"")</f>
        <v/>
      </c>
      <c r="G343" s="156"/>
      <c r="H343" s="156"/>
      <c r="I343" s="149"/>
      <c r="J343" s="149"/>
      <c r="K343" s="149"/>
      <c r="L343" s="149"/>
      <c r="M343" s="149"/>
      <c r="N343" s="149"/>
    </row>
    <row r="344" spans="1:14" ht="14.25" customHeight="1" x14ac:dyDescent="0.3">
      <c r="A344" s="43"/>
      <c r="B344" s="43"/>
      <c r="C344" s="43"/>
      <c r="D344" s="43"/>
      <c r="E344" s="43"/>
      <c r="F344" s="43" t="str">
        <f>IFERROR(INDEX(Catálogo!$F$8:$F$491,MATCH(E344,Catálogo!$B$8:$B$491,0)),"")</f>
        <v/>
      </c>
      <c r="G344" s="47"/>
      <c r="H344" s="47"/>
      <c r="I344" s="43"/>
      <c r="J344" s="43"/>
      <c r="K344" s="43"/>
      <c r="L344" s="43"/>
      <c r="M344" s="43"/>
      <c r="N344" s="43"/>
    </row>
    <row r="345" spans="1:14" ht="14.25" customHeight="1" x14ac:dyDescent="0.3">
      <c r="A345" s="149"/>
      <c r="B345" s="149"/>
      <c r="C345" s="149"/>
      <c r="D345" s="149"/>
      <c r="E345" s="149"/>
      <c r="F345" s="149" t="str">
        <f>IFERROR(INDEX(Catálogo!$F$8:$F$491,MATCH(E345,Catálogo!$B$8:$B$491,0)),"")</f>
        <v/>
      </c>
      <c r="G345" s="156"/>
      <c r="H345" s="156"/>
      <c r="I345" s="149"/>
      <c r="J345" s="149"/>
      <c r="K345" s="149"/>
      <c r="L345" s="149"/>
      <c r="M345" s="149"/>
      <c r="N345" s="149"/>
    </row>
    <row r="346" spans="1:14" ht="14.25" customHeight="1" x14ac:dyDescent="0.3">
      <c r="A346" s="43"/>
      <c r="B346" s="43"/>
      <c r="C346" s="43"/>
      <c r="D346" s="43"/>
      <c r="E346" s="43"/>
      <c r="F346" s="43" t="str">
        <f>IFERROR(INDEX(Catálogo!$F$8:$F$491,MATCH(E346,Catálogo!$B$8:$B$491,0)),"")</f>
        <v/>
      </c>
      <c r="G346" s="47"/>
      <c r="H346" s="47"/>
      <c r="I346" s="43"/>
      <c r="J346" s="43"/>
      <c r="K346" s="43"/>
      <c r="L346" s="43"/>
      <c r="M346" s="43"/>
      <c r="N346" s="43"/>
    </row>
    <row r="347" spans="1:14" ht="14.25" customHeight="1" x14ac:dyDescent="0.3">
      <c r="A347" s="149"/>
      <c r="B347" s="149"/>
      <c r="C347" s="149"/>
      <c r="D347" s="149"/>
      <c r="E347" s="149"/>
      <c r="F347" s="149" t="str">
        <f>IFERROR(INDEX(Catálogo!$F$8:$F$491,MATCH(E347,Catálogo!$B$8:$B$491,0)),"")</f>
        <v/>
      </c>
      <c r="G347" s="156"/>
      <c r="H347" s="156"/>
      <c r="I347" s="149"/>
      <c r="J347" s="149"/>
      <c r="K347" s="149"/>
      <c r="L347" s="149"/>
      <c r="M347" s="149"/>
      <c r="N347" s="149"/>
    </row>
    <row r="348" spans="1:14" ht="14.25" customHeight="1" x14ac:dyDescent="0.3">
      <c r="A348" s="43"/>
      <c r="B348" s="43"/>
      <c r="C348" s="43"/>
      <c r="D348" s="43"/>
      <c r="E348" s="43"/>
      <c r="F348" s="43" t="str">
        <f>IFERROR(INDEX(Catálogo!$F$8:$F$491,MATCH(E348,Catálogo!$B$8:$B$491,0)),"")</f>
        <v/>
      </c>
      <c r="G348" s="47"/>
      <c r="H348" s="47"/>
      <c r="I348" s="43"/>
      <c r="J348" s="43"/>
      <c r="K348" s="43"/>
      <c r="L348" s="43"/>
      <c r="M348" s="43"/>
      <c r="N348" s="43"/>
    </row>
    <row r="349" spans="1:14" ht="14.25" customHeight="1" x14ac:dyDescent="0.3">
      <c r="A349" s="149"/>
      <c r="B349" s="149"/>
      <c r="C349" s="149"/>
      <c r="D349" s="149"/>
      <c r="E349" s="149"/>
      <c r="F349" s="149" t="str">
        <f>IFERROR(INDEX(Catálogo!$F$8:$F$491,MATCH(E349,Catálogo!$B$8:$B$491,0)),"")</f>
        <v/>
      </c>
      <c r="G349" s="156"/>
      <c r="H349" s="156"/>
      <c r="I349" s="149"/>
      <c r="J349" s="149"/>
      <c r="K349" s="149"/>
      <c r="L349" s="149"/>
      <c r="M349" s="149"/>
      <c r="N349" s="149"/>
    </row>
    <row r="350" spans="1:14" ht="14.25" customHeight="1" x14ac:dyDescent="0.3">
      <c r="A350" s="43"/>
      <c r="B350" s="43"/>
      <c r="C350" s="43"/>
      <c r="D350" s="43"/>
      <c r="E350" s="43"/>
      <c r="F350" s="43" t="str">
        <f>IFERROR(INDEX(Catálogo!$F$8:$F$491,MATCH(E350,Catálogo!$B$8:$B$491,0)),"")</f>
        <v/>
      </c>
      <c r="G350" s="47"/>
      <c r="H350" s="47"/>
      <c r="I350" s="43"/>
      <c r="J350" s="43"/>
      <c r="K350" s="43"/>
      <c r="L350" s="43"/>
      <c r="M350" s="43"/>
      <c r="N350" s="43"/>
    </row>
    <row r="351" spans="1:14" ht="14.25" customHeight="1" x14ac:dyDescent="0.3">
      <c r="A351" s="149"/>
      <c r="B351" s="149"/>
      <c r="C351" s="149"/>
      <c r="D351" s="149"/>
      <c r="E351" s="149"/>
      <c r="F351" s="149" t="str">
        <f>IFERROR(INDEX(Catálogo!$F$8:$F$491,MATCH(E351,Catálogo!$B$8:$B$491,0)),"")</f>
        <v/>
      </c>
      <c r="G351" s="156"/>
      <c r="H351" s="156"/>
      <c r="I351" s="149"/>
      <c r="J351" s="149"/>
      <c r="K351" s="149"/>
      <c r="L351" s="149"/>
      <c r="M351" s="149"/>
      <c r="N351" s="149"/>
    </row>
    <row r="352" spans="1:14" ht="14.25" customHeight="1" x14ac:dyDescent="0.3">
      <c r="A352" s="43"/>
      <c r="B352" s="43"/>
      <c r="C352" s="43"/>
      <c r="D352" s="43"/>
      <c r="E352" s="43"/>
      <c r="F352" s="43" t="str">
        <f>IFERROR(INDEX(Catálogo!$F$8:$F$491,MATCH(E352,Catálogo!$B$8:$B$491,0)),"")</f>
        <v/>
      </c>
      <c r="G352" s="47"/>
      <c r="H352" s="47"/>
      <c r="I352" s="43"/>
      <c r="J352" s="43"/>
      <c r="K352" s="43"/>
      <c r="L352" s="43"/>
      <c r="M352" s="43"/>
      <c r="N352" s="43"/>
    </row>
    <row r="353" spans="1:14" ht="14.25" customHeight="1" x14ac:dyDescent="0.3">
      <c r="A353" s="149"/>
      <c r="B353" s="149"/>
      <c r="C353" s="149"/>
      <c r="D353" s="149"/>
      <c r="E353" s="149"/>
      <c r="F353" s="149" t="str">
        <f>IFERROR(INDEX(Catálogo!$F$8:$F$491,MATCH(E353,Catálogo!$B$8:$B$491,0)),"")</f>
        <v/>
      </c>
      <c r="G353" s="156"/>
      <c r="H353" s="156"/>
      <c r="I353" s="149"/>
      <c r="J353" s="149"/>
      <c r="K353" s="149"/>
      <c r="L353" s="149"/>
      <c r="M353" s="149"/>
      <c r="N353" s="149"/>
    </row>
    <row r="354" spans="1:14" ht="14.25" customHeight="1" x14ac:dyDescent="0.3">
      <c r="A354" s="43"/>
      <c r="B354" s="43"/>
      <c r="C354" s="43"/>
      <c r="D354" s="43"/>
      <c r="E354" s="43"/>
      <c r="F354" s="43" t="str">
        <f>IFERROR(INDEX(Catálogo!$F$8:$F$491,MATCH(E354,Catálogo!$B$8:$B$491,0)),"")</f>
        <v/>
      </c>
      <c r="G354" s="47"/>
      <c r="H354" s="47"/>
      <c r="I354" s="43"/>
      <c r="J354" s="43"/>
      <c r="K354" s="43"/>
      <c r="L354" s="43"/>
      <c r="M354" s="43"/>
      <c r="N354" s="43"/>
    </row>
    <row r="355" spans="1:14" ht="14.25" customHeight="1" x14ac:dyDescent="0.3">
      <c r="A355" s="149"/>
      <c r="B355" s="149"/>
      <c r="C355" s="149"/>
      <c r="D355" s="149"/>
      <c r="E355" s="149"/>
      <c r="F355" s="149" t="str">
        <f>IFERROR(INDEX(Catálogo!$F$8:$F$491,MATCH(E355,Catálogo!$B$8:$B$491,0)),"")</f>
        <v/>
      </c>
      <c r="G355" s="156"/>
      <c r="H355" s="156"/>
      <c r="I355" s="149"/>
      <c r="J355" s="149"/>
      <c r="K355" s="149"/>
      <c r="L355" s="149"/>
      <c r="M355" s="149"/>
      <c r="N355" s="149"/>
    </row>
    <row r="356" spans="1:14" ht="14.25" customHeight="1" x14ac:dyDescent="0.3">
      <c r="A356" s="43"/>
      <c r="B356" s="43"/>
      <c r="C356" s="43"/>
      <c r="D356" s="43"/>
      <c r="E356" s="43"/>
      <c r="F356" s="43" t="str">
        <f>IFERROR(INDEX(Catálogo!$F$8:$F$491,MATCH(E356,Catálogo!$B$8:$B$491,0)),"")</f>
        <v/>
      </c>
      <c r="G356" s="47"/>
      <c r="H356" s="47"/>
      <c r="I356" s="43"/>
      <c r="J356" s="43"/>
      <c r="K356" s="43"/>
      <c r="L356" s="43"/>
      <c r="M356" s="43"/>
      <c r="N356" s="43"/>
    </row>
    <row r="357" spans="1:14" ht="14.25" customHeight="1" x14ac:dyDescent="0.3">
      <c r="A357" s="149"/>
      <c r="B357" s="149"/>
      <c r="C357" s="149"/>
      <c r="D357" s="149"/>
      <c r="E357" s="149"/>
      <c r="F357" s="149" t="str">
        <f>IFERROR(INDEX(Catálogo!$F$8:$F$491,MATCH(E357,Catálogo!$B$8:$B$491,0)),"")</f>
        <v/>
      </c>
      <c r="G357" s="156"/>
      <c r="H357" s="156"/>
      <c r="I357" s="149"/>
      <c r="J357" s="149"/>
      <c r="K357" s="149"/>
      <c r="L357" s="149"/>
      <c r="M357" s="149"/>
      <c r="N357" s="149"/>
    </row>
    <row r="358" spans="1:14" ht="14.25" customHeight="1" x14ac:dyDescent="0.3">
      <c r="A358" s="43"/>
      <c r="B358" s="43"/>
      <c r="C358" s="43"/>
      <c r="D358" s="43"/>
      <c r="E358" s="43"/>
      <c r="F358" s="43" t="str">
        <f>IFERROR(INDEX(Catálogo!$F$8:$F$491,MATCH(E358,Catálogo!$B$8:$B$491,0)),"")</f>
        <v/>
      </c>
      <c r="G358" s="47"/>
      <c r="H358" s="47"/>
      <c r="I358" s="43"/>
      <c r="J358" s="43"/>
      <c r="K358" s="43"/>
      <c r="L358" s="43"/>
      <c r="M358" s="43"/>
      <c r="N358" s="43"/>
    </row>
    <row r="359" spans="1:14" ht="14.25" customHeight="1" x14ac:dyDescent="0.3">
      <c r="A359" s="149"/>
      <c r="B359" s="149"/>
      <c r="C359" s="149"/>
      <c r="D359" s="149"/>
      <c r="E359" s="149"/>
      <c r="F359" s="149" t="str">
        <f>IFERROR(INDEX(Catálogo!$F$8:$F$491,MATCH(E359,Catálogo!$B$8:$B$491,0)),"")</f>
        <v/>
      </c>
      <c r="G359" s="156"/>
      <c r="H359" s="156"/>
      <c r="I359" s="149"/>
      <c r="J359" s="149"/>
      <c r="K359" s="149"/>
      <c r="L359" s="149"/>
      <c r="M359" s="149"/>
      <c r="N359" s="149"/>
    </row>
    <row r="360" spans="1:14" ht="14.25" customHeight="1" x14ac:dyDescent="0.3">
      <c r="A360" s="43"/>
      <c r="B360" s="43"/>
      <c r="C360" s="43"/>
      <c r="D360" s="43"/>
      <c r="E360" s="43"/>
      <c r="F360" s="43" t="str">
        <f>IFERROR(INDEX(Catálogo!$F$8:$F$491,MATCH(E360,Catálogo!$B$8:$B$491,0)),"")</f>
        <v/>
      </c>
      <c r="G360" s="47"/>
      <c r="H360" s="47"/>
      <c r="I360" s="43"/>
      <c r="J360" s="43"/>
      <c r="K360" s="43"/>
      <c r="L360" s="43"/>
      <c r="M360" s="43"/>
      <c r="N360" s="43"/>
    </row>
    <row r="361" spans="1:14" ht="14.25" customHeight="1" x14ac:dyDescent="0.3">
      <c r="A361" s="149"/>
      <c r="B361" s="149"/>
      <c r="C361" s="149"/>
      <c r="D361" s="149"/>
      <c r="E361" s="149"/>
      <c r="F361" s="149" t="str">
        <f>IFERROR(INDEX(Catálogo!$F$8:$F$491,MATCH(E361,Catálogo!$B$8:$B$491,0)),"")</f>
        <v/>
      </c>
      <c r="G361" s="156"/>
      <c r="H361" s="156"/>
      <c r="I361" s="149"/>
      <c r="J361" s="149"/>
      <c r="K361" s="149"/>
      <c r="L361" s="149"/>
      <c r="M361" s="149"/>
      <c r="N361" s="149"/>
    </row>
    <row r="362" spans="1:14" ht="14.25" customHeight="1" x14ac:dyDescent="0.3">
      <c r="A362" s="43"/>
      <c r="B362" s="43"/>
      <c r="C362" s="43"/>
      <c r="D362" s="43"/>
      <c r="E362" s="43"/>
      <c r="F362" s="43" t="str">
        <f>IFERROR(INDEX(Catálogo!$F$8:$F$491,MATCH(E362,Catálogo!$B$8:$B$491,0)),"")</f>
        <v/>
      </c>
      <c r="G362" s="47"/>
      <c r="H362" s="47"/>
      <c r="I362" s="43"/>
      <c r="J362" s="43"/>
      <c r="K362" s="43"/>
      <c r="L362" s="43"/>
      <c r="M362" s="43"/>
      <c r="N362" s="43"/>
    </row>
    <row r="363" spans="1:14" ht="14.25" customHeight="1" x14ac:dyDescent="0.3">
      <c r="A363" s="149"/>
      <c r="B363" s="149"/>
      <c r="C363" s="149"/>
      <c r="D363" s="149"/>
      <c r="E363" s="149"/>
      <c r="F363" s="149" t="str">
        <f>IFERROR(INDEX(Catálogo!$F$8:$F$491,MATCH(E363,Catálogo!$B$8:$B$491,0)),"")</f>
        <v/>
      </c>
      <c r="G363" s="156"/>
      <c r="H363" s="156"/>
      <c r="I363" s="149"/>
      <c r="J363" s="149"/>
      <c r="K363" s="149"/>
      <c r="L363" s="149"/>
      <c r="M363" s="149"/>
      <c r="N363" s="149"/>
    </row>
    <row r="364" spans="1:14" ht="14.25" customHeight="1" x14ac:dyDescent="0.3">
      <c r="A364" s="43"/>
      <c r="B364" s="43"/>
      <c r="C364" s="43"/>
      <c r="D364" s="43"/>
      <c r="E364" s="43"/>
      <c r="F364" s="43" t="str">
        <f>IFERROR(INDEX(Catálogo!$F$8:$F$491,MATCH(E364,Catálogo!$B$8:$B$491,0)),"")</f>
        <v/>
      </c>
      <c r="G364" s="47"/>
      <c r="H364" s="47"/>
      <c r="I364" s="43"/>
      <c r="J364" s="43"/>
      <c r="K364" s="43"/>
      <c r="L364" s="43"/>
      <c r="M364" s="43"/>
      <c r="N364" s="43"/>
    </row>
    <row r="365" spans="1:14" ht="14.25" customHeight="1" x14ac:dyDescent="0.3">
      <c r="A365" s="149"/>
      <c r="B365" s="149"/>
      <c r="C365" s="149"/>
      <c r="D365" s="149"/>
      <c r="E365" s="149"/>
      <c r="F365" s="149" t="str">
        <f>IFERROR(INDEX(Catálogo!$F$8:$F$491,MATCH(E365,Catálogo!$B$8:$B$491,0)),"")</f>
        <v/>
      </c>
      <c r="G365" s="156"/>
      <c r="H365" s="156"/>
      <c r="I365" s="149"/>
      <c r="J365" s="149"/>
      <c r="K365" s="149"/>
      <c r="L365" s="149"/>
      <c r="M365" s="149"/>
      <c r="N365" s="149"/>
    </row>
    <row r="366" spans="1:14" ht="14.25" customHeight="1" x14ac:dyDescent="0.3">
      <c r="A366" s="43"/>
      <c r="B366" s="43"/>
      <c r="C366" s="43"/>
      <c r="D366" s="43"/>
      <c r="E366" s="43"/>
      <c r="F366" s="43" t="str">
        <f>IFERROR(INDEX(Catálogo!$F$8:$F$491,MATCH(E366,Catálogo!$B$8:$B$491,0)),"")</f>
        <v/>
      </c>
      <c r="G366" s="47"/>
      <c r="H366" s="47"/>
      <c r="I366" s="43"/>
      <c r="J366" s="43"/>
      <c r="K366" s="43"/>
      <c r="L366" s="43"/>
      <c r="M366" s="43"/>
      <c r="N366" s="43"/>
    </row>
    <row r="367" spans="1:14" ht="14.25" customHeight="1" x14ac:dyDescent="0.3">
      <c r="A367" s="149"/>
      <c r="B367" s="149"/>
      <c r="C367" s="149"/>
      <c r="D367" s="149"/>
      <c r="E367" s="149"/>
      <c r="F367" s="149" t="str">
        <f>IFERROR(INDEX(Catálogo!$F$8:$F$491,MATCH(E367,Catálogo!$B$8:$B$491,0)),"")</f>
        <v/>
      </c>
      <c r="G367" s="156"/>
      <c r="H367" s="156"/>
      <c r="I367" s="149"/>
      <c r="J367" s="149"/>
      <c r="K367" s="149"/>
      <c r="L367" s="149"/>
      <c r="M367" s="149"/>
      <c r="N367" s="149"/>
    </row>
    <row r="368" spans="1:14" ht="14.25" customHeight="1" x14ac:dyDescent="0.3">
      <c r="A368" s="43"/>
      <c r="B368" s="43"/>
      <c r="C368" s="43"/>
      <c r="D368" s="43"/>
      <c r="E368" s="43"/>
      <c r="F368" s="43" t="str">
        <f>IFERROR(INDEX(Catálogo!$F$8:$F$491,MATCH(E368,Catálogo!$B$8:$B$491,0)),"")</f>
        <v/>
      </c>
      <c r="G368" s="47"/>
      <c r="H368" s="47"/>
      <c r="I368" s="43"/>
      <c r="J368" s="43"/>
      <c r="K368" s="43"/>
      <c r="L368" s="43"/>
      <c r="M368" s="43"/>
      <c r="N368" s="43"/>
    </row>
    <row r="369" spans="1:14" ht="14.25" customHeight="1" x14ac:dyDescent="0.3">
      <c r="A369" s="149"/>
      <c r="B369" s="149"/>
      <c r="C369" s="149"/>
      <c r="D369" s="149"/>
      <c r="E369" s="149"/>
      <c r="F369" s="149" t="str">
        <f>IFERROR(INDEX(Catálogo!$F$8:$F$491,MATCH(E369,Catálogo!$B$8:$B$491,0)),"")</f>
        <v/>
      </c>
      <c r="G369" s="156"/>
      <c r="H369" s="156"/>
      <c r="I369" s="149"/>
      <c r="J369" s="149"/>
      <c r="K369" s="149"/>
      <c r="L369" s="149"/>
      <c r="M369" s="149"/>
      <c r="N369" s="149"/>
    </row>
    <row r="370" spans="1:14" ht="14.25" customHeight="1" x14ac:dyDescent="0.3">
      <c r="A370" s="43"/>
      <c r="B370" s="43"/>
      <c r="C370" s="43"/>
      <c r="D370" s="43"/>
      <c r="E370" s="43"/>
      <c r="F370" s="43" t="str">
        <f>IFERROR(INDEX(Catálogo!$F$8:$F$491,MATCH(E370,Catálogo!$B$8:$B$491,0)),"")</f>
        <v/>
      </c>
      <c r="G370" s="47"/>
      <c r="H370" s="47"/>
      <c r="I370" s="43"/>
      <c r="J370" s="43"/>
      <c r="K370" s="43"/>
      <c r="L370" s="43"/>
      <c r="M370" s="43"/>
      <c r="N370" s="43"/>
    </row>
    <row r="371" spans="1:14" ht="14.25" customHeight="1" x14ac:dyDescent="0.3">
      <c r="A371" s="149"/>
      <c r="B371" s="149"/>
      <c r="C371" s="149"/>
      <c r="D371" s="149"/>
      <c r="E371" s="149"/>
      <c r="F371" s="149" t="str">
        <f>IFERROR(INDEX(Catálogo!$F$8:$F$491,MATCH(E371,Catálogo!$B$8:$B$491,0)),"")</f>
        <v/>
      </c>
      <c r="G371" s="156"/>
      <c r="H371" s="156"/>
      <c r="I371" s="149"/>
      <c r="J371" s="149"/>
      <c r="K371" s="149"/>
      <c r="L371" s="149"/>
      <c r="M371" s="149"/>
      <c r="N371" s="149"/>
    </row>
    <row r="372" spans="1:14" ht="14.25" customHeight="1" x14ac:dyDescent="0.3">
      <c r="A372" s="43"/>
      <c r="B372" s="43"/>
      <c r="C372" s="43"/>
      <c r="D372" s="43"/>
      <c r="E372" s="43"/>
      <c r="F372" s="43" t="str">
        <f>IFERROR(INDEX(Catálogo!$F$8:$F$491,MATCH(E372,Catálogo!$B$8:$B$491,0)),"")</f>
        <v/>
      </c>
      <c r="G372" s="47"/>
      <c r="H372" s="47"/>
      <c r="I372" s="43"/>
      <c r="J372" s="43"/>
      <c r="K372" s="43"/>
      <c r="L372" s="43"/>
      <c r="M372" s="43"/>
      <c r="N372" s="43"/>
    </row>
    <row r="373" spans="1:14" ht="14.25" customHeight="1" x14ac:dyDescent="0.3">
      <c r="A373" s="149"/>
      <c r="B373" s="149"/>
      <c r="C373" s="149"/>
      <c r="D373" s="149"/>
      <c r="E373" s="149"/>
      <c r="F373" s="149" t="str">
        <f>IFERROR(INDEX(Catálogo!$F$8:$F$491,MATCH(E373,Catálogo!$B$8:$B$491,0)),"")</f>
        <v/>
      </c>
      <c r="G373" s="156"/>
      <c r="H373" s="156"/>
      <c r="I373" s="149"/>
      <c r="J373" s="149"/>
      <c r="K373" s="149"/>
      <c r="L373" s="149"/>
      <c r="M373" s="149"/>
      <c r="N373" s="149"/>
    </row>
    <row r="374" spans="1:14" ht="14.25" customHeight="1" x14ac:dyDescent="0.3">
      <c r="A374" s="43"/>
      <c r="B374" s="43"/>
      <c r="C374" s="43"/>
      <c r="D374" s="43"/>
      <c r="E374" s="43"/>
      <c r="F374" s="43" t="str">
        <f>IFERROR(INDEX(Catálogo!$F$8:$F$491,MATCH(E374,Catálogo!$B$8:$B$491,0)),"")</f>
        <v/>
      </c>
      <c r="G374" s="47"/>
      <c r="H374" s="47"/>
      <c r="I374" s="43"/>
      <c r="J374" s="43"/>
      <c r="K374" s="43"/>
      <c r="L374" s="43"/>
      <c r="M374" s="43"/>
      <c r="N374" s="43"/>
    </row>
    <row r="375" spans="1:14" ht="14.25" customHeight="1" x14ac:dyDescent="0.3">
      <c r="A375" s="149"/>
      <c r="B375" s="149"/>
      <c r="C375" s="149"/>
      <c r="D375" s="149"/>
      <c r="E375" s="149"/>
      <c r="F375" s="149" t="str">
        <f>IFERROR(INDEX(Catálogo!$F$8:$F$491,MATCH(E375,Catálogo!$B$8:$B$491,0)),"")</f>
        <v/>
      </c>
      <c r="G375" s="156"/>
      <c r="H375" s="156"/>
      <c r="I375" s="149"/>
      <c r="J375" s="149"/>
      <c r="K375" s="149"/>
      <c r="L375" s="149"/>
      <c r="M375" s="149"/>
      <c r="N375" s="149"/>
    </row>
    <row r="376" spans="1:14" ht="14.25" customHeight="1" x14ac:dyDescent="0.3">
      <c r="A376" s="43"/>
      <c r="B376" s="43"/>
      <c r="C376" s="43"/>
      <c r="D376" s="43"/>
      <c r="E376" s="43"/>
      <c r="F376" s="43" t="str">
        <f>IFERROR(INDEX(Catálogo!$F$8:$F$491,MATCH(E376,Catálogo!$B$8:$B$491,0)),"")</f>
        <v/>
      </c>
      <c r="G376" s="47"/>
      <c r="H376" s="47"/>
      <c r="I376" s="43"/>
      <c r="J376" s="43"/>
      <c r="K376" s="43"/>
      <c r="L376" s="43"/>
      <c r="M376" s="43"/>
      <c r="N376" s="43"/>
    </row>
    <row r="377" spans="1:14" ht="14.25" customHeight="1" x14ac:dyDescent="0.3">
      <c r="A377" s="149"/>
      <c r="B377" s="149"/>
      <c r="C377" s="149"/>
      <c r="D377" s="149"/>
      <c r="E377" s="149"/>
      <c r="F377" s="149" t="str">
        <f>IFERROR(INDEX(Catálogo!$F$8:$F$491,MATCH(E377,Catálogo!$B$8:$B$491,0)),"")</f>
        <v/>
      </c>
      <c r="G377" s="156"/>
      <c r="H377" s="156"/>
      <c r="I377" s="149"/>
      <c r="J377" s="149"/>
      <c r="K377" s="149"/>
      <c r="L377" s="149"/>
      <c r="M377" s="149"/>
      <c r="N377" s="149"/>
    </row>
    <row r="378" spans="1:14" ht="14.25" customHeight="1" x14ac:dyDescent="0.3">
      <c r="A378" s="43"/>
      <c r="B378" s="43"/>
      <c r="C378" s="43"/>
      <c r="D378" s="43"/>
      <c r="E378" s="43"/>
      <c r="F378" s="43" t="str">
        <f>IFERROR(INDEX(Catálogo!$F$8:$F$491,MATCH(E378,Catálogo!$B$8:$B$491,0)),"")</f>
        <v/>
      </c>
      <c r="G378" s="47"/>
      <c r="H378" s="47"/>
      <c r="I378" s="43"/>
      <c r="J378" s="43"/>
      <c r="K378" s="43"/>
      <c r="L378" s="43"/>
      <c r="M378" s="43"/>
      <c r="N378" s="43"/>
    </row>
    <row r="379" spans="1:14" ht="14.25" customHeight="1" x14ac:dyDescent="0.3">
      <c r="A379" s="149"/>
      <c r="B379" s="149"/>
      <c r="C379" s="149"/>
      <c r="D379" s="149"/>
      <c r="E379" s="149"/>
      <c r="F379" s="149" t="str">
        <f>IFERROR(INDEX(Catálogo!$F$8:$F$491,MATCH(E379,Catálogo!$B$8:$B$491,0)),"")</f>
        <v/>
      </c>
      <c r="G379" s="156"/>
      <c r="H379" s="156"/>
      <c r="I379" s="149"/>
      <c r="J379" s="149"/>
      <c r="K379" s="149"/>
      <c r="L379" s="149"/>
      <c r="M379" s="149"/>
      <c r="N379" s="149"/>
    </row>
    <row r="380" spans="1:14" ht="14.25" customHeight="1" x14ac:dyDescent="0.3">
      <c r="A380" s="43"/>
      <c r="B380" s="43"/>
      <c r="C380" s="43"/>
      <c r="D380" s="43"/>
      <c r="E380" s="43"/>
      <c r="F380" s="43" t="str">
        <f>IFERROR(INDEX(Catálogo!$F$8:$F$491,MATCH(E380,Catálogo!$B$8:$B$491,0)),"")</f>
        <v/>
      </c>
      <c r="G380" s="47"/>
      <c r="H380" s="47"/>
      <c r="I380" s="43"/>
      <c r="J380" s="43"/>
      <c r="K380" s="43"/>
      <c r="L380" s="43"/>
      <c r="M380" s="43"/>
      <c r="N380" s="43"/>
    </row>
    <row r="381" spans="1:14" ht="14.25" customHeight="1" x14ac:dyDescent="0.3">
      <c r="A381" s="149"/>
      <c r="B381" s="149"/>
      <c r="C381" s="149"/>
      <c r="D381" s="149"/>
      <c r="E381" s="149"/>
      <c r="F381" s="149" t="str">
        <f>IFERROR(INDEX(Catálogo!$F$8:$F$491,MATCH(E381,Catálogo!$B$8:$B$491,0)),"")</f>
        <v/>
      </c>
      <c r="G381" s="156"/>
      <c r="H381" s="156"/>
      <c r="I381" s="149"/>
      <c r="J381" s="149"/>
      <c r="K381" s="149"/>
      <c r="L381" s="149"/>
      <c r="M381" s="149"/>
      <c r="N381" s="149"/>
    </row>
    <row r="382" spans="1:14" ht="14.25" customHeight="1" x14ac:dyDescent="0.3">
      <c r="A382" s="43"/>
      <c r="B382" s="43"/>
      <c r="C382" s="43"/>
      <c r="D382" s="43"/>
      <c r="E382" s="43"/>
      <c r="F382" s="43" t="str">
        <f>IFERROR(INDEX(Catálogo!$F$8:$F$491,MATCH(E382,Catálogo!$B$8:$B$491,0)),"")</f>
        <v/>
      </c>
      <c r="G382" s="47"/>
      <c r="H382" s="47"/>
      <c r="I382" s="43"/>
      <c r="J382" s="43"/>
      <c r="K382" s="43"/>
      <c r="L382" s="43"/>
      <c r="M382" s="43"/>
      <c r="N382" s="43"/>
    </row>
    <row r="383" spans="1:14" ht="14.25" customHeight="1" x14ac:dyDescent="0.3">
      <c r="A383" s="149"/>
      <c r="B383" s="149"/>
      <c r="C383" s="149"/>
      <c r="D383" s="149"/>
      <c r="E383" s="149"/>
      <c r="F383" s="149" t="str">
        <f>IFERROR(INDEX(Catálogo!$F$8:$F$491,MATCH(E383,Catálogo!$B$8:$B$491,0)),"")</f>
        <v/>
      </c>
      <c r="G383" s="156"/>
      <c r="H383" s="156"/>
      <c r="I383" s="149"/>
      <c r="J383" s="149"/>
      <c r="K383" s="149"/>
      <c r="L383" s="149"/>
      <c r="M383" s="149"/>
      <c r="N383" s="149"/>
    </row>
    <row r="384" spans="1:14" ht="14.25" customHeight="1" x14ac:dyDescent="0.3">
      <c r="A384" s="43"/>
      <c r="B384" s="43"/>
      <c r="C384" s="43"/>
      <c r="D384" s="43"/>
      <c r="E384" s="43"/>
      <c r="F384" s="43" t="str">
        <f>IFERROR(INDEX(Catálogo!$F$8:$F$491,MATCH(E384,Catálogo!$B$8:$B$491,0)),"")</f>
        <v/>
      </c>
      <c r="G384" s="47"/>
      <c r="H384" s="47"/>
      <c r="I384" s="43"/>
      <c r="J384" s="43"/>
      <c r="K384" s="43"/>
      <c r="L384" s="43"/>
      <c r="M384" s="43"/>
      <c r="N384" s="43"/>
    </row>
    <row r="385" spans="1:14" ht="14.25" customHeight="1" x14ac:dyDescent="0.3">
      <c r="A385" s="149"/>
      <c r="B385" s="149"/>
      <c r="C385" s="149"/>
      <c r="D385" s="149"/>
      <c r="E385" s="149"/>
      <c r="F385" s="149" t="str">
        <f>IFERROR(INDEX(Catálogo!$F$8:$F$491,MATCH(E385,Catálogo!$B$8:$B$491,0)),"")</f>
        <v/>
      </c>
      <c r="G385" s="156"/>
      <c r="H385" s="156"/>
      <c r="I385" s="149"/>
      <c r="J385" s="149"/>
      <c r="K385" s="149"/>
      <c r="L385" s="149"/>
      <c r="M385" s="149"/>
      <c r="N385" s="149"/>
    </row>
    <row r="386" spans="1:14" ht="14.25" customHeight="1" x14ac:dyDescent="0.3">
      <c r="A386" s="43"/>
      <c r="B386" s="43"/>
      <c r="C386" s="43"/>
      <c r="D386" s="43"/>
      <c r="E386" s="43"/>
      <c r="F386" s="43" t="str">
        <f>IFERROR(INDEX(Catálogo!$F$8:$F$491,MATCH(E386,Catálogo!$B$8:$B$491,0)),"")</f>
        <v/>
      </c>
      <c r="G386" s="47"/>
      <c r="H386" s="47"/>
      <c r="I386" s="43"/>
      <c r="J386" s="43"/>
      <c r="K386" s="43"/>
      <c r="L386" s="43"/>
      <c r="M386" s="43"/>
      <c r="N386" s="43"/>
    </row>
    <row r="387" spans="1:14" ht="14.25" customHeight="1" x14ac:dyDescent="0.3">
      <c r="A387" s="149"/>
      <c r="B387" s="149"/>
      <c r="C387" s="149"/>
      <c r="D387" s="149"/>
      <c r="E387" s="149"/>
      <c r="F387" s="149" t="str">
        <f>IFERROR(INDEX(Catálogo!$F$8:$F$491,MATCH(E387,Catálogo!$B$8:$B$491,0)),"")</f>
        <v/>
      </c>
      <c r="G387" s="156"/>
      <c r="H387" s="156"/>
      <c r="I387" s="149"/>
      <c r="J387" s="149"/>
      <c r="K387" s="149"/>
      <c r="L387" s="149"/>
      <c r="M387" s="149"/>
      <c r="N387" s="149"/>
    </row>
    <row r="388" spans="1:14" ht="14.25" customHeight="1" x14ac:dyDescent="0.3">
      <c r="A388" s="43"/>
      <c r="B388" s="43"/>
      <c r="C388" s="43"/>
      <c r="D388" s="43"/>
      <c r="E388" s="43"/>
      <c r="F388" s="43" t="str">
        <f>IFERROR(INDEX(Catálogo!$F$8:$F$491,MATCH(E388,Catálogo!$B$8:$B$491,0)),"")</f>
        <v/>
      </c>
      <c r="G388" s="47"/>
      <c r="H388" s="47"/>
      <c r="I388" s="43"/>
      <c r="J388" s="43"/>
      <c r="K388" s="43"/>
      <c r="L388" s="43"/>
      <c r="M388" s="43"/>
      <c r="N388" s="43"/>
    </row>
    <row r="389" spans="1:14" ht="14.25" customHeight="1" x14ac:dyDescent="0.3">
      <c r="A389" s="149"/>
      <c r="B389" s="149"/>
      <c r="C389" s="149"/>
      <c r="D389" s="149"/>
      <c r="E389" s="149"/>
      <c r="F389" s="149" t="str">
        <f>IFERROR(INDEX(Catálogo!$F$8:$F$491,MATCH(E389,Catálogo!$B$8:$B$491,0)),"")</f>
        <v/>
      </c>
      <c r="G389" s="156"/>
      <c r="H389" s="156"/>
      <c r="I389" s="149"/>
      <c r="J389" s="149"/>
      <c r="K389" s="149"/>
      <c r="L389" s="149"/>
      <c r="M389" s="149"/>
      <c r="N389" s="149"/>
    </row>
    <row r="390" spans="1:14" ht="14.25" customHeight="1" x14ac:dyDescent="0.3">
      <c r="A390" s="43"/>
      <c r="B390" s="43"/>
      <c r="C390" s="43"/>
      <c r="D390" s="43"/>
      <c r="E390" s="43"/>
      <c r="F390" s="43" t="str">
        <f>IFERROR(INDEX(Catálogo!$F$8:$F$491,MATCH(E390,Catálogo!$B$8:$B$491,0)),"")</f>
        <v/>
      </c>
      <c r="G390" s="47"/>
      <c r="H390" s="47"/>
      <c r="I390" s="43"/>
      <c r="J390" s="43"/>
      <c r="K390" s="43"/>
      <c r="L390" s="43"/>
      <c r="M390" s="43"/>
      <c r="N390" s="43"/>
    </row>
    <row r="391" spans="1:14" ht="14.25" customHeight="1" x14ac:dyDescent="0.3">
      <c r="A391" s="149"/>
      <c r="B391" s="149"/>
      <c r="C391" s="149"/>
      <c r="D391" s="149"/>
      <c r="E391" s="149"/>
      <c r="F391" s="149" t="str">
        <f>IFERROR(INDEX(Catálogo!$F$8:$F$491,MATCH(E391,Catálogo!$B$8:$B$491,0)),"")</f>
        <v/>
      </c>
      <c r="G391" s="156"/>
      <c r="H391" s="156"/>
      <c r="I391" s="149"/>
      <c r="J391" s="149"/>
      <c r="K391" s="149"/>
      <c r="L391" s="149"/>
      <c r="M391" s="149"/>
      <c r="N391" s="149"/>
    </row>
    <row r="392" spans="1:14" ht="14.25" customHeight="1" x14ac:dyDescent="0.3">
      <c r="A392" s="43"/>
      <c r="B392" s="43"/>
      <c r="C392" s="43"/>
      <c r="D392" s="43"/>
      <c r="E392" s="43"/>
      <c r="F392" s="43" t="str">
        <f>IFERROR(INDEX(Catálogo!$F$8:$F$491,MATCH(E392,Catálogo!$B$8:$B$491,0)),"")</f>
        <v/>
      </c>
      <c r="G392" s="47"/>
      <c r="H392" s="47"/>
      <c r="I392" s="43"/>
      <c r="J392" s="43"/>
      <c r="K392" s="43"/>
      <c r="L392" s="43"/>
      <c r="M392" s="43"/>
      <c r="N392" s="43"/>
    </row>
    <row r="393" spans="1:14" ht="14.25" customHeight="1" x14ac:dyDescent="0.3">
      <c r="A393" s="149"/>
      <c r="B393" s="149"/>
      <c r="C393" s="149"/>
      <c r="D393" s="149"/>
      <c r="E393" s="149"/>
      <c r="F393" s="149" t="str">
        <f>IFERROR(INDEX(Catálogo!$F$8:$F$491,MATCH(E393,Catálogo!$B$8:$B$491,0)),"")</f>
        <v/>
      </c>
      <c r="G393" s="156"/>
      <c r="H393" s="156"/>
      <c r="I393" s="149"/>
      <c r="J393" s="149"/>
      <c r="K393" s="149"/>
      <c r="L393" s="149"/>
      <c r="M393" s="149"/>
      <c r="N393" s="149"/>
    </row>
    <row r="394" spans="1:14" ht="14.25" customHeight="1" x14ac:dyDescent="0.3">
      <c r="A394" s="43"/>
      <c r="B394" s="43"/>
      <c r="C394" s="43"/>
      <c r="D394" s="43"/>
      <c r="E394" s="43"/>
      <c r="F394" s="43" t="str">
        <f>IFERROR(INDEX(Catálogo!$F$8:$F$491,MATCH(E394,Catálogo!$B$8:$B$491,0)),"")</f>
        <v/>
      </c>
      <c r="G394" s="47"/>
      <c r="H394" s="47"/>
      <c r="I394" s="43"/>
      <c r="J394" s="43"/>
      <c r="K394" s="43"/>
      <c r="L394" s="43"/>
      <c r="M394" s="43"/>
      <c r="N394" s="43"/>
    </row>
    <row r="395" spans="1:14" ht="14.25" customHeight="1" x14ac:dyDescent="0.3">
      <c r="A395" s="149"/>
      <c r="B395" s="149"/>
      <c r="C395" s="149"/>
      <c r="D395" s="149"/>
      <c r="E395" s="149"/>
      <c r="F395" s="149" t="str">
        <f>IFERROR(INDEX(Catálogo!$F$8:$F$491,MATCH(E395,Catálogo!$B$8:$B$491,0)),"")</f>
        <v/>
      </c>
      <c r="G395" s="156"/>
      <c r="H395" s="156"/>
      <c r="I395" s="149"/>
      <c r="J395" s="149"/>
      <c r="K395" s="149"/>
      <c r="L395" s="149"/>
      <c r="M395" s="149"/>
      <c r="N395" s="149"/>
    </row>
    <row r="396" spans="1:14" ht="14.25" customHeight="1" x14ac:dyDescent="0.3">
      <c r="A396" s="43"/>
      <c r="B396" s="43"/>
      <c r="C396" s="43"/>
      <c r="D396" s="43"/>
      <c r="E396" s="43"/>
      <c r="F396" s="43" t="str">
        <f>IFERROR(INDEX(Catálogo!$F$8:$F$491,MATCH(E396,Catálogo!$B$8:$B$491,0)),"")</f>
        <v/>
      </c>
      <c r="G396" s="47"/>
      <c r="H396" s="47"/>
      <c r="I396" s="43"/>
      <c r="J396" s="43"/>
      <c r="K396" s="43"/>
      <c r="L396" s="43"/>
      <c r="M396" s="43"/>
      <c r="N396" s="43"/>
    </row>
    <row r="397" spans="1:14" ht="14.25" customHeight="1" x14ac:dyDescent="0.3">
      <c r="A397" s="149"/>
      <c r="B397" s="149"/>
      <c r="C397" s="149"/>
      <c r="D397" s="149"/>
      <c r="E397" s="149"/>
      <c r="F397" s="149" t="str">
        <f>IFERROR(INDEX(Catálogo!$F$8:$F$491,MATCH(E397,Catálogo!$B$8:$B$491,0)),"")</f>
        <v/>
      </c>
      <c r="G397" s="156"/>
      <c r="H397" s="156"/>
      <c r="I397" s="149"/>
      <c r="J397" s="149"/>
      <c r="K397" s="149"/>
      <c r="L397" s="149"/>
      <c r="M397" s="149"/>
      <c r="N397" s="149"/>
    </row>
    <row r="398" spans="1:14" ht="14.25" customHeight="1" x14ac:dyDescent="0.3">
      <c r="A398" s="43"/>
      <c r="B398" s="43"/>
      <c r="C398" s="43"/>
      <c r="D398" s="43"/>
      <c r="E398" s="43"/>
      <c r="F398" s="43" t="str">
        <f>IFERROR(INDEX(Catálogo!$F$8:$F$491,MATCH(E398,Catálogo!$B$8:$B$491,0)),"")</f>
        <v/>
      </c>
      <c r="G398" s="47"/>
      <c r="H398" s="47"/>
      <c r="I398" s="43"/>
      <c r="J398" s="43"/>
      <c r="K398" s="43"/>
      <c r="L398" s="43"/>
      <c r="M398" s="43"/>
      <c r="N398" s="43"/>
    </row>
    <row r="399" spans="1:14" ht="14.25" customHeight="1" x14ac:dyDescent="0.3">
      <c r="A399" s="149"/>
      <c r="B399" s="149"/>
      <c r="C399" s="149"/>
      <c r="D399" s="149"/>
      <c r="E399" s="149"/>
      <c r="F399" s="149" t="str">
        <f>IFERROR(INDEX(Catálogo!$F$8:$F$491,MATCH(E399,Catálogo!$B$8:$B$491,0)),"")</f>
        <v/>
      </c>
      <c r="G399" s="156"/>
      <c r="H399" s="156"/>
      <c r="I399" s="149"/>
      <c r="J399" s="149"/>
      <c r="K399" s="149"/>
      <c r="L399" s="149"/>
      <c r="M399" s="149"/>
      <c r="N399" s="149"/>
    </row>
    <row r="400" spans="1:14" ht="14.25" customHeight="1" x14ac:dyDescent="0.3">
      <c r="A400" s="43"/>
      <c r="B400" s="43"/>
      <c r="C400" s="43"/>
      <c r="D400" s="43"/>
      <c r="E400" s="43"/>
      <c r="F400" s="43" t="str">
        <f>IFERROR(INDEX(Catálogo!$F$8:$F$491,MATCH(E400,Catálogo!$B$8:$B$491,0)),"")</f>
        <v/>
      </c>
      <c r="G400" s="47"/>
      <c r="H400" s="47"/>
      <c r="I400" s="43"/>
      <c r="J400" s="43"/>
      <c r="K400" s="43"/>
      <c r="L400" s="43"/>
      <c r="M400" s="43"/>
      <c r="N400" s="43"/>
    </row>
    <row r="401" spans="1:14" ht="14.25" customHeight="1" x14ac:dyDescent="0.3">
      <c r="A401" s="149"/>
      <c r="B401" s="149"/>
      <c r="C401" s="149"/>
      <c r="D401" s="149"/>
      <c r="E401" s="149"/>
      <c r="F401" s="149" t="str">
        <f>IFERROR(INDEX(Catálogo!$F$8:$F$491,MATCH(E401,Catálogo!$B$8:$B$491,0)),"")</f>
        <v/>
      </c>
      <c r="G401" s="156"/>
      <c r="H401" s="156"/>
      <c r="I401" s="149"/>
      <c r="J401" s="149"/>
      <c r="K401" s="149"/>
      <c r="L401" s="149"/>
      <c r="M401" s="149"/>
      <c r="N401" s="149"/>
    </row>
    <row r="402" spans="1:14" ht="14.25" customHeight="1" x14ac:dyDescent="0.3">
      <c r="A402" s="43"/>
      <c r="B402" s="43"/>
      <c r="C402" s="43"/>
      <c r="D402" s="43"/>
      <c r="E402" s="43"/>
      <c r="F402" s="43" t="str">
        <f>IFERROR(INDEX(Catálogo!$F$8:$F$491,MATCH(E402,Catálogo!$B$8:$B$491,0)),"")</f>
        <v/>
      </c>
      <c r="G402" s="47"/>
      <c r="H402" s="47"/>
      <c r="I402" s="43"/>
      <c r="J402" s="43"/>
      <c r="K402" s="43"/>
      <c r="L402" s="43"/>
      <c r="M402" s="43"/>
      <c r="N402" s="43"/>
    </row>
    <row r="403" spans="1:14" ht="14.25" customHeight="1" x14ac:dyDescent="0.3">
      <c r="A403" s="149"/>
      <c r="B403" s="149"/>
      <c r="C403" s="149"/>
      <c r="D403" s="149"/>
      <c r="E403" s="149"/>
      <c r="F403" s="149" t="str">
        <f>IFERROR(INDEX(Catálogo!$F$8:$F$491,MATCH(E403,Catálogo!$B$8:$B$491,0)),"")</f>
        <v/>
      </c>
      <c r="G403" s="156"/>
      <c r="H403" s="156"/>
      <c r="I403" s="149"/>
      <c r="J403" s="149"/>
      <c r="K403" s="149"/>
      <c r="L403" s="149"/>
      <c r="M403" s="149"/>
      <c r="N403" s="149"/>
    </row>
    <row r="404" spans="1:14" ht="14.25" customHeight="1" x14ac:dyDescent="0.3">
      <c r="A404" s="43"/>
      <c r="B404" s="43"/>
      <c r="C404" s="43"/>
      <c r="D404" s="43"/>
      <c r="E404" s="43"/>
      <c r="F404" s="43" t="str">
        <f>IFERROR(INDEX(Catálogo!$F$8:$F$491,MATCH(E404,Catálogo!$B$8:$B$491,0)),"")</f>
        <v/>
      </c>
      <c r="G404" s="47"/>
      <c r="H404" s="47"/>
      <c r="I404" s="43"/>
      <c r="J404" s="43"/>
      <c r="K404" s="43"/>
      <c r="L404" s="43"/>
      <c r="M404" s="43"/>
      <c r="N404" s="43"/>
    </row>
    <row r="405" spans="1:14" ht="14.25" customHeight="1" x14ac:dyDescent="0.3">
      <c r="A405" s="149"/>
      <c r="B405" s="149"/>
      <c r="C405" s="149"/>
      <c r="D405" s="149"/>
      <c r="E405" s="149"/>
      <c r="F405" s="149" t="str">
        <f>IFERROR(INDEX(Catálogo!$F$8:$F$491,MATCH(E405,Catálogo!$B$8:$B$491,0)),"")</f>
        <v/>
      </c>
      <c r="G405" s="156"/>
      <c r="H405" s="156"/>
      <c r="I405" s="149"/>
      <c r="J405" s="149"/>
      <c r="K405" s="149"/>
      <c r="L405" s="149"/>
      <c r="M405" s="149"/>
      <c r="N405" s="149"/>
    </row>
  </sheetData>
  <autoFilter ref="A5:N405" xr:uid="{00000000-0009-0000-0000-000004000000}"/>
  <mergeCells count="1">
    <mergeCell ref="A1:N1"/>
  </mergeCells>
  <dataValidations count="4">
    <dataValidation type="list" allowBlank="1" sqref="J6:J405" xr:uid="{00000000-0002-0000-0400-000000000000}">
      <formula1>"Solicitado,Em separação,Separado,Expedido,Entregue,Cancelado"</formula1>
      <formula2>0</formula2>
    </dataValidation>
    <dataValidation type="list" allowBlank="1" sqref="C6:C405" xr:uid="{00000000-0002-0000-0400-000001000000}">
      <formula1>"Email,Catálogo (planilha),Telefone,Reunião,Outro"</formula1>
      <formula2>0</formula2>
    </dataValidation>
    <dataValidation type="list" allowBlank="1" sqref="I6:I405" xr:uid="{00000000-0002-0000-0400-000002000000}">
      <formula1>lstEstoque</formula1>
      <formula2>0</formula2>
    </dataValidation>
    <dataValidation type="whole" operator="greaterThanOrEqual" allowBlank="1" sqref="G6:H228" xr:uid="{00000000-0002-0000-04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B2:K52"/>
  <sheetViews>
    <sheetView topLeftCell="A5" zoomScaleNormal="100" workbookViewId="0">
      <selection activeCell="C21" sqref="C21"/>
    </sheetView>
  </sheetViews>
  <sheetFormatPr defaultColWidth="8.6640625" defaultRowHeight="14.4" x14ac:dyDescent="0.3"/>
  <cols>
    <col min="1" max="1" width="2.44140625" customWidth="1"/>
    <col min="2" max="3" width="16" customWidth="1"/>
    <col min="4" max="4" width="14" customWidth="1"/>
    <col min="5" max="6" width="10" customWidth="1"/>
    <col min="7" max="7" width="16" customWidth="1"/>
    <col min="8" max="8" width="14" customWidth="1"/>
    <col min="9" max="10" width="13" customWidth="1"/>
    <col min="11" max="11" width="4" customWidth="1"/>
  </cols>
  <sheetData>
    <row r="2" spans="2:11" ht="30" customHeight="1" x14ac:dyDescent="0.3">
      <c r="B2" s="197" t="s">
        <v>2075</v>
      </c>
      <c r="C2" s="197"/>
      <c r="D2" s="197"/>
      <c r="E2" s="197"/>
      <c r="F2" s="197"/>
      <c r="G2" s="197"/>
      <c r="H2" s="197"/>
      <c r="I2" s="197"/>
      <c r="J2" s="197"/>
      <c r="K2" s="197"/>
    </row>
    <row r="3" spans="2:11" ht="18" customHeight="1" x14ac:dyDescent="0.3">
      <c r="B3" s="189" t="s">
        <v>2076</v>
      </c>
      <c r="C3" s="189"/>
      <c r="D3" s="189"/>
      <c r="E3" s="189"/>
      <c r="F3" s="189"/>
      <c r="G3" s="189"/>
      <c r="H3" s="189"/>
      <c r="I3" s="189"/>
      <c r="J3" s="189"/>
      <c r="K3" s="189"/>
    </row>
    <row r="5" spans="2:11" ht="14.25" customHeight="1" x14ac:dyDescent="0.3">
      <c r="B5" s="193" t="s">
        <v>2077</v>
      </c>
      <c r="C5" s="193"/>
      <c r="D5" s="193"/>
      <c r="E5" s="193"/>
      <c r="F5" s="193"/>
      <c r="G5" s="193"/>
      <c r="H5" s="193"/>
      <c r="I5" s="193"/>
      <c r="J5" s="193"/>
      <c r="K5" s="193"/>
    </row>
    <row r="7" spans="2:11" ht="14.25" customHeight="1" x14ac:dyDescent="0.3">
      <c r="B7" s="198" t="s">
        <v>2078</v>
      </c>
      <c r="C7" s="198"/>
      <c r="D7" s="198"/>
      <c r="E7" s="198" t="s">
        <v>2079</v>
      </c>
      <c r="F7" s="198"/>
      <c r="G7" s="198"/>
      <c r="H7" s="198" t="s">
        <v>2080</v>
      </c>
      <c r="I7" s="198"/>
      <c r="J7" s="198"/>
    </row>
    <row r="8" spans="2:11" ht="36" customHeight="1" x14ac:dyDescent="0.3">
      <c r="B8" s="199">
        <f>COUNTIFS(SKUs!$A$6:$A$770,"&lt;&gt;",SKUs!$M$6:$M$770,"&lt;&gt;")</f>
        <v>765</v>
      </c>
      <c r="C8" s="199"/>
      <c r="D8" s="199"/>
      <c r="E8" s="199">
        <f>COUNTIFS(SKUs!$A$6:$A$770,"&lt;&gt;",SKUs!$M$6:$M$770,"")</f>
        <v>0</v>
      </c>
      <c r="F8" s="199"/>
      <c r="G8" s="199"/>
      <c r="H8" s="199">
        <f>SUM(SKUs!$R$6:$R$770)</f>
        <v>278</v>
      </c>
      <c r="I8" s="199"/>
      <c r="J8" s="199"/>
    </row>
    <row r="9" spans="2:11" ht="14.25" customHeight="1" x14ac:dyDescent="0.3">
      <c r="B9" s="192" t="s">
        <v>2081</v>
      </c>
      <c r="C9" s="192"/>
      <c r="D9" s="192"/>
      <c r="E9" s="192" t="s">
        <v>2082</v>
      </c>
      <c r="F9" s="192"/>
      <c r="G9" s="192"/>
      <c r="H9" s="192" t="s">
        <v>2083</v>
      </c>
      <c r="I9" s="192"/>
      <c r="J9" s="192"/>
    </row>
    <row r="12" spans="2:11" ht="14.25" customHeight="1" x14ac:dyDescent="0.3">
      <c r="B12" s="193" t="s">
        <v>2084</v>
      </c>
      <c r="C12" s="193"/>
      <c r="D12" s="193"/>
      <c r="E12" s="193"/>
      <c r="F12" s="193"/>
    </row>
    <row r="13" spans="2:11" ht="14.25" customHeight="1" x14ac:dyDescent="0.3">
      <c r="B13" s="1" t="s">
        <v>656</v>
      </c>
      <c r="C13" s="1" t="s">
        <v>2085</v>
      </c>
      <c r="D13" s="1" t="s">
        <v>2086</v>
      </c>
      <c r="E13" s="1" t="s">
        <v>2087</v>
      </c>
      <c r="F13" s="1" t="s">
        <v>2088</v>
      </c>
    </row>
    <row r="14" spans="2:11" ht="14.25" customHeight="1" x14ac:dyDescent="0.3">
      <c r="B14" s="2" t="str">
        <f>IFERROR(Configurações!D5,"")</f>
        <v>A</v>
      </c>
      <c r="C14" s="3">
        <f>IF(B14="","",SUMIFS(SKUs!$P$6:$P$770,SKUs!$K$6:$K$770,B14))</f>
        <v>15</v>
      </c>
      <c r="D14" s="3">
        <f>IF(B14="","",SUMIFS(SKUs!$Q$6:$Q$770,SKUs!$K$6:$K$770,B14))</f>
        <v>183</v>
      </c>
      <c r="E14" s="3">
        <f>IF(B14="","",COUNTIFS(SKUs!$A$6:$A$770,"&lt;&gt;",SKUs!$K$6:$K$770,B14))</f>
        <v>612</v>
      </c>
      <c r="F14" s="3">
        <f>IF(B14="","",SUMIFS(SKUs!$I$6:$I$770,SKUs!$K$6:$K$770,B14))</f>
        <v>5354</v>
      </c>
    </row>
    <row r="15" spans="2:11" ht="14.25" customHeight="1" x14ac:dyDescent="0.3">
      <c r="B15" s="6" t="str">
        <f>IFERROR(Configurações!D6,"")</f>
        <v>B</v>
      </c>
      <c r="C15" s="7">
        <f>IF(B15="","",SUMIFS(SKUs!$P$6:$P$770,SKUs!$K$6:$K$770,B15))</f>
        <v>10</v>
      </c>
      <c r="D15" s="7">
        <f>IF(B15="","",SUMIFS(SKUs!$Q$6:$Q$770,SKUs!$K$6:$K$770,B15))</f>
        <v>99</v>
      </c>
      <c r="E15" s="7">
        <f>IF(B15="","",COUNTIFS(SKUs!$A$6:$A$770,"&lt;&gt;",SKUs!$K$6:$K$770,B15))</f>
        <v>153</v>
      </c>
      <c r="F15" s="7">
        <f>IF(B15="","",SUMIFS(SKUs!$I$6:$I$770,SKUs!$K$6:$K$770,B15))</f>
        <v>4180</v>
      </c>
    </row>
    <row r="18" spans="2:11" ht="14.25" customHeight="1" x14ac:dyDescent="0.3">
      <c r="B18" s="193" t="s">
        <v>2089</v>
      </c>
      <c r="C18" s="193"/>
      <c r="D18" s="193"/>
      <c r="E18" s="193"/>
      <c r="F18" s="193"/>
      <c r="G18" s="193"/>
      <c r="H18" s="193"/>
      <c r="I18" s="193"/>
      <c r="J18" s="193"/>
      <c r="K18" s="193"/>
    </row>
    <row r="20" spans="2:11" ht="14.25" customHeight="1" x14ac:dyDescent="0.3">
      <c r="B20" s="157" t="s">
        <v>2090</v>
      </c>
      <c r="C20" s="158" t="s">
        <v>2091</v>
      </c>
      <c r="E20" s="159" t="s">
        <v>2092</v>
      </c>
      <c r="F20" t="str">
        <f>IFERROR(IF($C$20="","",INDEX(SKUs!$K$6:$K$770,MATCH($C$20,SKUs!$M$6:$M$770,0))),"—")</f>
        <v>A</v>
      </c>
      <c r="G20" s="159" t="s">
        <v>2093</v>
      </c>
      <c r="H20">
        <f>IFERROR(IF($C$20="","",INDEX(SKUs!$L$6:$L$770,MATCH($C$20,SKUs!$M$6:$M$770,0))),"—")</f>
        <v>13</v>
      </c>
      <c r="I20" s="159" t="s">
        <v>2094</v>
      </c>
      <c r="J20" s="160">
        <f>IF($C$20="","",SUMIFS(SKUs!$I$6:$I$770,SKUs!$M$6:$M$770,$C$20))</f>
        <v>25</v>
      </c>
    </row>
    <row r="22" spans="2:11" ht="14.25" customHeight="1" x14ac:dyDescent="0.3">
      <c r="B22" s="1" t="s">
        <v>33</v>
      </c>
      <c r="C22" s="1" t="s">
        <v>26</v>
      </c>
      <c r="D22" s="200" t="s">
        <v>27</v>
      </c>
      <c r="E22" s="200"/>
      <c r="F22" s="200"/>
      <c r="G22" s="1" t="s">
        <v>2095</v>
      </c>
      <c r="H22" s="1" t="s">
        <v>2096</v>
      </c>
      <c r="I22" s="1" t="s">
        <v>653</v>
      </c>
      <c r="J22" s="1" t="s">
        <v>655</v>
      </c>
    </row>
    <row r="23" spans="2:11" ht="14.25" customHeight="1" x14ac:dyDescent="0.3">
      <c r="B23" s="16">
        <f>IFERROR(IF(INDEX(SKUs!$A$6:$A$770,MATCH(1,SKUs!$T$6:$T$770,0))="","",1),"")</f>
        <v>1</v>
      </c>
      <c r="C23" s="16" t="str">
        <f>IF($C$20="","",IFERROR(INDEX(SKUs!$A$6:$A$770,MATCH(1,SKUs!$T$6:$T$770,0)),""))</f>
        <v>BTG-2024</v>
      </c>
      <c r="D23" s="201" t="str">
        <f>IF($C$20="","",IFERROR(INDEX(SKUs!$F$6:$F$770,MATCH(1,SKUs!$T$6:$T$770,0)),""))</f>
        <v>POLO PIQUET MASC.</v>
      </c>
      <c r="E23" s="201"/>
      <c r="F23" s="201"/>
      <c r="G23" s="16" t="str">
        <f>IF($C$20="","",IFERROR(INDEX(SKUs!$G$6:$G$770,MATCH(1,SKUs!$T$6:$T$770,0))&amp;" / "&amp;INDEX(SKUs!$H$6:$H$770,MATCH(1,SKUs!$T$6:$T$770,0)),""))</f>
        <v>INDICO / M</v>
      </c>
      <c r="H23" s="17">
        <f>IF($C$20="","",IFERROR(INDEX(SKUs!$I$6:$I$770,MATCH(1,SKUs!$T$6:$T$770,0)),""))</f>
        <v>25</v>
      </c>
      <c r="I23" s="161" t="str">
        <f>IF($C$20="","",IFERROR(INDEX(SKUs!#REF!,MATCH(1,SKUs!$T$6:$T$770,0)),""))</f>
        <v/>
      </c>
      <c r="J23" s="16" t="str">
        <f>IF($C$20="","",IFERROR(INDEX(SKUs!$J$6:$J$770,MATCH(1,SKUs!$T$6:$T$770,0)),""))</f>
        <v>✅ Ótimo</v>
      </c>
    </row>
    <row r="24" spans="2:11" ht="14.25" customHeight="1" x14ac:dyDescent="0.3">
      <c r="B24" s="20" t="str">
        <f>IFERROR(IF(INDEX(SKUs!$A$6:$A$770,MATCH(2,SKUs!$T$6:$T$770,0))="","",2),"")</f>
        <v/>
      </c>
      <c r="C24" s="20" t="str">
        <f>IF($C$20="","",IFERROR(INDEX(SKUs!$A$6:$A$770,MATCH(2,SKUs!$T$6:$T$770,0)),""))</f>
        <v/>
      </c>
      <c r="D24" s="202" t="str">
        <f>IF($C$20="","",IFERROR(INDEX(SKUs!$F$6:$F$770,MATCH(2,SKUs!$T$6:$T$770,0)),""))</f>
        <v/>
      </c>
      <c r="E24" s="202"/>
      <c r="F24" s="202"/>
      <c r="G24" s="20" t="str">
        <f>IF($C$20="","",IFERROR(INDEX(SKUs!$G$6:$G$770,MATCH(2,SKUs!$T$6:$T$770,0))&amp;" / "&amp;INDEX(SKUs!$H$6:$H$770,MATCH(2,SKUs!$T$6:$T$770,0)),""))</f>
        <v/>
      </c>
      <c r="H24" s="21" t="str">
        <f>IF($C$20="","",IFERROR(INDEX(SKUs!$I$6:$I$770,MATCH(2,SKUs!$T$6:$T$770,0)),""))</f>
        <v/>
      </c>
      <c r="I24" s="162" t="str">
        <f>IF($C$20="","",IFERROR(INDEX(SKUs!#REF!,MATCH(2,SKUs!$T$6:$T$770,0)),""))</f>
        <v/>
      </c>
      <c r="J24" s="20" t="str">
        <f>IF($C$20="","",IFERROR(INDEX(SKUs!$J$6:$J$770,MATCH(2,SKUs!$T$6:$T$770,0)),""))</f>
        <v/>
      </c>
    </row>
    <row r="25" spans="2:11" ht="14.25" customHeight="1" x14ac:dyDescent="0.3">
      <c r="B25" s="16" t="str">
        <f>IFERROR(IF(INDEX(SKUs!$A$6:$A$770,MATCH(3,SKUs!$T$6:$T$770,0))="","",3),"")</f>
        <v/>
      </c>
      <c r="C25" s="16" t="str">
        <f>IF($C$20="","",IFERROR(INDEX(SKUs!$A$6:$A$770,MATCH(3,SKUs!$T$6:$T$770,0)),""))</f>
        <v/>
      </c>
      <c r="D25" s="201" t="str">
        <f>IF($C$20="","",IFERROR(INDEX(SKUs!$F$6:$F$770,MATCH(3,SKUs!$T$6:$T$770,0)),""))</f>
        <v/>
      </c>
      <c r="E25" s="201"/>
      <c r="F25" s="201"/>
      <c r="G25" s="16" t="str">
        <f>IF($C$20="","",IFERROR(INDEX(SKUs!$G$6:$G$770,MATCH(3,SKUs!$T$6:$T$770,0))&amp;" / "&amp;INDEX(SKUs!$H$6:$H$770,MATCH(3,SKUs!$T$6:$T$770,0)),""))</f>
        <v/>
      </c>
      <c r="H25" s="17" t="str">
        <f>IF($C$20="","",IFERROR(INDEX(SKUs!$I$6:$I$770,MATCH(3,SKUs!$T$6:$T$770,0)),""))</f>
        <v/>
      </c>
      <c r="I25" s="161" t="str">
        <f>IF($C$20="","",IFERROR(INDEX(SKUs!#REF!,MATCH(3,SKUs!$T$6:$T$770,0)),""))</f>
        <v/>
      </c>
      <c r="J25" s="16" t="str">
        <f>IF($C$20="","",IFERROR(INDEX(SKUs!$J$6:$J$770,MATCH(3,SKUs!$T$6:$T$770,0)),""))</f>
        <v/>
      </c>
    </row>
    <row r="26" spans="2:11" ht="14.25" customHeight="1" x14ac:dyDescent="0.3">
      <c r="B26" s="20" t="str">
        <f>IFERROR(IF(INDEX(SKUs!$A$6:$A$770,MATCH(4,SKUs!$T$6:$T$770,0))="","",4),"")</f>
        <v/>
      </c>
      <c r="C26" s="20" t="str">
        <f>IF($C$20="","",IFERROR(INDEX(SKUs!$A$6:$A$770,MATCH(4,SKUs!$T$6:$T$770,0)),""))</f>
        <v/>
      </c>
      <c r="D26" s="202" t="str">
        <f>IF($C$20="","",IFERROR(INDEX(SKUs!$F$6:$F$770,MATCH(4,SKUs!$T$6:$T$770,0)),""))</f>
        <v/>
      </c>
      <c r="E26" s="202"/>
      <c r="F26" s="202"/>
      <c r="G26" s="20" t="str">
        <f>IF($C$20="","",IFERROR(INDEX(SKUs!$G$6:$G$770,MATCH(4,SKUs!$T$6:$T$770,0))&amp;" / "&amp;INDEX(SKUs!$H$6:$H$770,MATCH(4,SKUs!$T$6:$T$770,0)),""))</f>
        <v/>
      </c>
      <c r="H26" s="21" t="str">
        <f>IF($C$20="","",IFERROR(INDEX(SKUs!$I$6:$I$770,MATCH(4,SKUs!$T$6:$T$770,0)),""))</f>
        <v/>
      </c>
      <c r="I26" s="162" t="str">
        <f>IF($C$20="","",IFERROR(INDEX(SKUs!#REF!,MATCH(4,SKUs!$T$6:$T$770,0)),""))</f>
        <v/>
      </c>
      <c r="J26" s="20" t="str">
        <f>IF($C$20="","",IFERROR(INDEX(SKUs!$J$6:$J$770,MATCH(4,SKUs!$T$6:$T$770,0)),""))</f>
        <v/>
      </c>
    </row>
    <row r="27" spans="2:11" ht="14.25" customHeight="1" x14ac:dyDescent="0.3">
      <c r="B27" s="16" t="str">
        <f>IFERROR(IF(INDEX(SKUs!$A$6:$A$770,MATCH(5,SKUs!$T$6:$T$770,0))="","",5),"")</f>
        <v/>
      </c>
      <c r="C27" s="16" t="str">
        <f>IF($C$20="","",IFERROR(INDEX(SKUs!$A$6:$A$770,MATCH(5,SKUs!$T$6:$T$770,0)),""))</f>
        <v/>
      </c>
      <c r="D27" s="201" t="str">
        <f>IF($C$20="","",IFERROR(INDEX(SKUs!$F$6:$F$770,MATCH(5,SKUs!$T$6:$T$770,0)),""))</f>
        <v/>
      </c>
      <c r="E27" s="201"/>
      <c r="F27" s="201"/>
      <c r="G27" s="16" t="str">
        <f>IF($C$20="","",IFERROR(INDEX(SKUs!$G$6:$G$770,MATCH(5,SKUs!$T$6:$T$770,0))&amp;" / "&amp;INDEX(SKUs!$H$6:$H$770,MATCH(5,SKUs!$T$6:$T$770,0)),""))</f>
        <v/>
      </c>
      <c r="H27" s="17" t="str">
        <f>IF($C$20="","",IFERROR(INDEX(SKUs!$I$6:$I$770,MATCH(5,SKUs!$T$6:$T$770,0)),""))</f>
        <v/>
      </c>
      <c r="I27" s="161" t="str">
        <f>IF($C$20="","",IFERROR(INDEX(SKUs!#REF!,MATCH(5,SKUs!$T$6:$T$770,0)),""))</f>
        <v/>
      </c>
      <c r="J27" s="16" t="str">
        <f>IF($C$20="","",IFERROR(INDEX(SKUs!$J$6:$J$770,MATCH(5,SKUs!$T$6:$T$770,0)),""))</f>
        <v/>
      </c>
    </row>
    <row r="28" spans="2:11" ht="14.25" customHeight="1" x14ac:dyDescent="0.3">
      <c r="B28" s="20" t="str">
        <f>IFERROR(IF(INDEX(SKUs!$A$6:$A$770,MATCH(6,SKUs!$T$6:$T$770,0))="","",6),"")</f>
        <v/>
      </c>
      <c r="C28" s="20" t="str">
        <f>IF($C$20="","",IFERROR(INDEX(SKUs!$A$6:$A$770,MATCH(6,SKUs!$T$6:$T$770,0)),""))</f>
        <v/>
      </c>
      <c r="D28" s="202" t="str">
        <f>IF($C$20="","",IFERROR(INDEX(SKUs!$F$6:$F$770,MATCH(6,SKUs!$T$6:$T$770,0)),""))</f>
        <v/>
      </c>
      <c r="E28" s="202"/>
      <c r="F28" s="202"/>
      <c r="G28" s="20" t="str">
        <f>IF($C$20="","",IFERROR(INDEX(SKUs!$G$6:$G$770,MATCH(6,SKUs!$T$6:$T$770,0))&amp;" / "&amp;INDEX(SKUs!$H$6:$H$770,MATCH(6,SKUs!$T$6:$T$770,0)),""))</f>
        <v/>
      </c>
      <c r="H28" s="21" t="str">
        <f>IF($C$20="","",IFERROR(INDEX(SKUs!$I$6:$I$770,MATCH(6,SKUs!$T$6:$T$770,0)),""))</f>
        <v/>
      </c>
      <c r="I28" s="162" t="str">
        <f>IF($C$20="","",IFERROR(INDEX(SKUs!#REF!,MATCH(6,SKUs!$T$6:$T$770,0)),""))</f>
        <v/>
      </c>
      <c r="J28" s="20" t="str">
        <f>IF($C$20="","",IFERROR(INDEX(SKUs!$J$6:$J$770,MATCH(6,SKUs!$T$6:$T$770,0)),""))</f>
        <v/>
      </c>
    </row>
    <row r="29" spans="2:11" ht="14.25" customHeight="1" x14ac:dyDescent="0.3">
      <c r="B29" s="16" t="str">
        <f>IFERROR(IF(INDEX(SKUs!$A$6:$A$770,MATCH(7,SKUs!$T$6:$T$770,0))="","",7),"")</f>
        <v/>
      </c>
      <c r="C29" s="16" t="str">
        <f>IF($C$20="","",IFERROR(INDEX(SKUs!$A$6:$A$770,MATCH(7,SKUs!$T$6:$T$770,0)),""))</f>
        <v/>
      </c>
      <c r="D29" s="201" t="str">
        <f>IF($C$20="","",IFERROR(INDEX(SKUs!$F$6:$F$770,MATCH(7,SKUs!$T$6:$T$770,0)),""))</f>
        <v/>
      </c>
      <c r="E29" s="201"/>
      <c r="F29" s="201"/>
      <c r="G29" s="16" t="str">
        <f>IF($C$20="","",IFERROR(INDEX(SKUs!$G$6:$G$770,MATCH(7,SKUs!$T$6:$T$770,0))&amp;" / "&amp;INDEX(SKUs!$H$6:$H$770,MATCH(7,SKUs!$T$6:$T$770,0)),""))</f>
        <v/>
      </c>
      <c r="H29" s="17" t="str">
        <f>IF($C$20="","",IFERROR(INDEX(SKUs!$I$6:$I$770,MATCH(7,SKUs!$T$6:$T$770,0)),""))</f>
        <v/>
      </c>
      <c r="I29" s="161" t="str">
        <f>IF($C$20="","",IFERROR(INDEX(SKUs!#REF!,MATCH(7,SKUs!$T$6:$T$770,0)),""))</f>
        <v/>
      </c>
      <c r="J29" s="16" t="str">
        <f>IF($C$20="","",IFERROR(INDEX(SKUs!$J$6:$J$770,MATCH(7,SKUs!$T$6:$T$770,0)),""))</f>
        <v/>
      </c>
    </row>
    <row r="30" spans="2:11" ht="14.25" customHeight="1" x14ac:dyDescent="0.3">
      <c r="B30" s="20" t="str">
        <f>IFERROR(IF(INDEX(SKUs!$A$6:$A$770,MATCH(8,SKUs!$T$6:$T$770,0))="","",8),"")</f>
        <v/>
      </c>
      <c r="C30" s="20" t="str">
        <f>IF($C$20="","",IFERROR(INDEX(SKUs!$A$6:$A$770,MATCH(8,SKUs!$T$6:$T$770,0)),""))</f>
        <v/>
      </c>
      <c r="D30" s="202" t="str">
        <f>IF($C$20="","",IFERROR(INDEX(SKUs!$F$6:$F$770,MATCH(8,SKUs!$T$6:$T$770,0)),""))</f>
        <v/>
      </c>
      <c r="E30" s="202"/>
      <c r="F30" s="202"/>
      <c r="G30" s="20" t="str">
        <f>IF($C$20="","",IFERROR(INDEX(SKUs!$G$6:$G$770,MATCH(8,SKUs!$T$6:$T$770,0))&amp;" / "&amp;INDEX(SKUs!$H$6:$H$770,MATCH(8,SKUs!$T$6:$T$770,0)),""))</f>
        <v/>
      </c>
      <c r="H30" s="21" t="str">
        <f>IF($C$20="","",IFERROR(INDEX(SKUs!$I$6:$I$770,MATCH(8,SKUs!$T$6:$T$770,0)),""))</f>
        <v/>
      </c>
      <c r="I30" s="162" t="str">
        <f>IF($C$20="","",IFERROR(INDEX(SKUs!#REF!,MATCH(8,SKUs!$T$6:$T$770,0)),""))</f>
        <v/>
      </c>
      <c r="J30" s="20" t="str">
        <f>IF($C$20="","",IFERROR(INDEX(SKUs!$J$6:$J$770,MATCH(8,SKUs!$T$6:$T$770,0)),""))</f>
        <v/>
      </c>
    </row>
    <row r="31" spans="2:11" ht="14.25" customHeight="1" x14ac:dyDescent="0.3">
      <c r="B31" s="16" t="str">
        <f>IFERROR(IF(INDEX(SKUs!$A$6:$A$770,MATCH(9,SKUs!$T$6:$T$770,0))="","",9),"")</f>
        <v/>
      </c>
      <c r="C31" s="16" t="str">
        <f>IF($C$20="","",IFERROR(INDEX(SKUs!$A$6:$A$770,MATCH(9,SKUs!$T$6:$T$770,0)),""))</f>
        <v/>
      </c>
      <c r="D31" s="201" t="str">
        <f>IF($C$20="","",IFERROR(INDEX(SKUs!$F$6:$F$770,MATCH(9,SKUs!$T$6:$T$770,0)),""))</f>
        <v/>
      </c>
      <c r="E31" s="201"/>
      <c r="F31" s="201"/>
      <c r="G31" s="16" t="str">
        <f>IF($C$20="","",IFERROR(INDEX(SKUs!$G$6:$G$770,MATCH(9,SKUs!$T$6:$T$770,0))&amp;" / "&amp;INDEX(SKUs!$H$6:$H$770,MATCH(9,SKUs!$T$6:$T$770,0)),""))</f>
        <v/>
      </c>
      <c r="H31" s="17" t="str">
        <f>IF($C$20="","",IFERROR(INDEX(SKUs!$I$6:$I$770,MATCH(9,SKUs!$T$6:$T$770,0)),""))</f>
        <v/>
      </c>
      <c r="I31" s="161" t="str">
        <f>IF($C$20="","",IFERROR(INDEX(SKUs!#REF!,MATCH(9,SKUs!$T$6:$T$770,0)),""))</f>
        <v/>
      </c>
      <c r="J31" s="16" t="str">
        <f>IF($C$20="","",IFERROR(INDEX(SKUs!$J$6:$J$770,MATCH(9,SKUs!$T$6:$T$770,0)),""))</f>
        <v/>
      </c>
    </row>
    <row r="32" spans="2:11" ht="14.25" customHeight="1" x14ac:dyDescent="0.3">
      <c r="B32" s="20" t="str">
        <f>IFERROR(IF(INDEX(SKUs!$A$6:$A$770,MATCH(10,SKUs!$T$6:$T$770,0))="","",10),"")</f>
        <v/>
      </c>
      <c r="C32" s="20" t="str">
        <f>IF($C$20="","",IFERROR(INDEX(SKUs!$A$6:$A$770,MATCH(10,SKUs!$T$6:$T$770,0)),""))</f>
        <v/>
      </c>
      <c r="D32" s="202" t="str">
        <f>IF($C$20="","",IFERROR(INDEX(SKUs!$F$6:$F$770,MATCH(10,SKUs!$T$6:$T$770,0)),""))</f>
        <v/>
      </c>
      <c r="E32" s="202"/>
      <c r="F32" s="202"/>
      <c r="G32" s="20" t="str">
        <f>IF($C$20="","",IFERROR(INDEX(SKUs!$G$6:$G$770,MATCH(10,SKUs!$T$6:$T$770,0))&amp;" / "&amp;INDEX(SKUs!$H$6:$H$770,MATCH(10,SKUs!$T$6:$T$770,0)),""))</f>
        <v/>
      </c>
      <c r="H32" s="21" t="str">
        <f>IF($C$20="","",IFERROR(INDEX(SKUs!$I$6:$I$770,MATCH(10,SKUs!$T$6:$T$770,0)),""))</f>
        <v/>
      </c>
      <c r="I32" s="162" t="str">
        <f>IF($C$20="","",IFERROR(INDEX(SKUs!#REF!,MATCH(10,SKUs!$T$6:$T$770,0)),""))</f>
        <v/>
      </c>
      <c r="J32" s="20" t="str">
        <f>IF($C$20="","",IFERROR(INDEX(SKUs!$J$6:$J$770,MATCH(10,SKUs!$T$6:$T$770,0)),""))</f>
        <v/>
      </c>
    </row>
    <row r="33" spans="2:10" ht="14.25" customHeight="1" x14ac:dyDescent="0.3">
      <c r="B33" s="16" t="str">
        <f>IFERROR(IF(INDEX(SKUs!$A$6:$A$770,MATCH(11,SKUs!$T$6:$T$770,0))="","",11),"")</f>
        <v/>
      </c>
      <c r="C33" s="16" t="str">
        <f>IF($C$20="","",IFERROR(INDEX(SKUs!$A$6:$A$770,MATCH(11,SKUs!$T$6:$T$770,0)),""))</f>
        <v/>
      </c>
      <c r="D33" s="201" t="str">
        <f>IF($C$20="","",IFERROR(INDEX(SKUs!$F$6:$F$770,MATCH(11,SKUs!$T$6:$T$770,0)),""))</f>
        <v/>
      </c>
      <c r="E33" s="201"/>
      <c r="F33" s="201"/>
      <c r="G33" s="16" t="str">
        <f>IF($C$20="","",IFERROR(INDEX(SKUs!$G$6:$G$770,MATCH(11,SKUs!$T$6:$T$770,0))&amp;" / "&amp;INDEX(SKUs!$H$6:$H$770,MATCH(11,SKUs!$T$6:$T$770,0)),""))</f>
        <v/>
      </c>
      <c r="H33" s="17" t="str">
        <f>IF($C$20="","",IFERROR(INDEX(SKUs!$I$6:$I$770,MATCH(11,SKUs!$T$6:$T$770,0)),""))</f>
        <v/>
      </c>
      <c r="I33" s="161" t="str">
        <f>IF($C$20="","",IFERROR(INDEX(SKUs!#REF!,MATCH(11,SKUs!$T$6:$T$770,0)),""))</f>
        <v/>
      </c>
      <c r="J33" s="16" t="str">
        <f>IF($C$20="","",IFERROR(INDEX(SKUs!$J$6:$J$770,MATCH(11,SKUs!$T$6:$T$770,0)),""))</f>
        <v/>
      </c>
    </row>
    <row r="34" spans="2:10" ht="14.25" customHeight="1" x14ac:dyDescent="0.3">
      <c r="B34" s="20" t="str">
        <f>IFERROR(IF(INDEX(SKUs!$A$6:$A$770,MATCH(12,SKUs!$T$6:$T$770,0))="","",12),"")</f>
        <v/>
      </c>
      <c r="C34" s="20" t="str">
        <f>IF($C$20="","",IFERROR(INDEX(SKUs!$A$6:$A$770,MATCH(12,SKUs!$T$6:$T$770,0)),""))</f>
        <v/>
      </c>
      <c r="D34" s="202" t="str">
        <f>IF($C$20="","",IFERROR(INDEX(SKUs!$F$6:$F$770,MATCH(12,SKUs!$T$6:$T$770,0)),""))</f>
        <v/>
      </c>
      <c r="E34" s="202"/>
      <c r="F34" s="202"/>
      <c r="G34" s="20" t="str">
        <f>IF($C$20="","",IFERROR(INDEX(SKUs!$G$6:$G$770,MATCH(12,SKUs!$T$6:$T$770,0))&amp;" / "&amp;INDEX(SKUs!$H$6:$H$770,MATCH(12,SKUs!$T$6:$T$770,0)),""))</f>
        <v/>
      </c>
      <c r="H34" s="21" t="str">
        <f>IF($C$20="","",IFERROR(INDEX(SKUs!$I$6:$I$770,MATCH(12,SKUs!$T$6:$T$770,0)),""))</f>
        <v/>
      </c>
      <c r="I34" s="162" t="str">
        <f>IF($C$20="","",IFERROR(INDEX(SKUs!#REF!,MATCH(12,SKUs!$T$6:$T$770,0)),""))</f>
        <v/>
      </c>
      <c r="J34" s="20" t="str">
        <f>IF($C$20="","",IFERROR(INDEX(SKUs!$J$6:$J$770,MATCH(12,SKUs!$T$6:$T$770,0)),""))</f>
        <v/>
      </c>
    </row>
    <row r="35" spans="2:10" ht="14.25" customHeight="1" x14ac:dyDescent="0.3">
      <c r="B35" s="16" t="str">
        <f>IFERROR(IF(INDEX(SKUs!$A$6:$A$770,MATCH(13,SKUs!$T$6:$T$770,0))="","",13),"")</f>
        <v/>
      </c>
      <c r="C35" s="16" t="str">
        <f>IF($C$20="","",IFERROR(INDEX(SKUs!$A$6:$A$770,MATCH(13,SKUs!$T$6:$T$770,0)),""))</f>
        <v/>
      </c>
      <c r="D35" s="201" t="str">
        <f>IF($C$20="","",IFERROR(INDEX(SKUs!$F$6:$F$770,MATCH(13,SKUs!$T$6:$T$770,0)),""))</f>
        <v/>
      </c>
      <c r="E35" s="201"/>
      <c r="F35" s="201"/>
      <c r="G35" s="16" t="str">
        <f>IF($C$20="","",IFERROR(INDEX(SKUs!$G$6:$G$770,MATCH(13,SKUs!$T$6:$T$770,0))&amp;" / "&amp;INDEX(SKUs!$H$6:$H$770,MATCH(13,SKUs!$T$6:$T$770,0)),""))</f>
        <v/>
      </c>
      <c r="H35" s="17" t="str">
        <f>IF($C$20="","",IFERROR(INDEX(SKUs!$I$6:$I$770,MATCH(13,SKUs!$T$6:$T$770,0)),""))</f>
        <v/>
      </c>
      <c r="I35" s="161" t="str">
        <f>IF($C$20="","",IFERROR(INDEX(SKUs!#REF!,MATCH(13,SKUs!$T$6:$T$770,0)),""))</f>
        <v/>
      </c>
      <c r="J35" s="16" t="str">
        <f>IF($C$20="","",IFERROR(INDEX(SKUs!$J$6:$J$770,MATCH(13,SKUs!$T$6:$T$770,0)),""))</f>
        <v/>
      </c>
    </row>
    <row r="36" spans="2:10" ht="14.25" customHeight="1" x14ac:dyDescent="0.3">
      <c r="B36" s="20" t="str">
        <f>IFERROR(IF(INDEX(SKUs!$A$6:$A$770,MATCH(14,SKUs!$T$6:$T$770,0))="","",14),"")</f>
        <v/>
      </c>
      <c r="C36" s="20" t="str">
        <f>IF($C$20="","",IFERROR(INDEX(SKUs!$A$6:$A$770,MATCH(14,SKUs!$T$6:$T$770,0)),""))</f>
        <v/>
      </c>
      <c r="D36" s="202" t="str">
        <f>IF($C$20="","",IFERROR(INDEX(SKUs!$F$6:$F$770,MATCH(14,SKUs!$T$6:$T$770,0)),""))</f>
        <v/>
      </c>
      <c r="E36" s="202"/>
      <c r="F36" s="202"/>
      <c r="G36" s="20" t="str">
        <f>IF($C$20="","",IFERROR(INDEX(SKUs!$G$6:$G$770,MATCH(14,SKUs!$T$6:$T$770,0))&amp;" / "&amp;INDEX(SKUs!$H$6:$H$770,MATCH(14,SKUs!$T$6:$T$770,0)),""))</f>
        <v/>
      </c>
      <c r="H36" s="21" t="str">
        <f>IF($C$20="","",IFERROR(INDEX(SKUs!$I$6:$I$770,MATCH(14,SKUs!$T$6:$T$770,0)),""))</f>
        <v/>
      </c>
      <c r="I36" s="162" t="str">
        <f>IF($C$20="","",IFERROR(INDEX(SKUs!#REF!,MATCH(14,SKUs!$T$6:$T$770,0)),""))</f>
        <v/>
      </c>
      <c r="J36" s="20" t="str">
        <f>IF($C$20="","",IFERROR(INDEX(SKUs!$J$6:$J$770,MATCH(14,SKUs!$T$6:$T$770,0)),""))</f>
        <v/>
      </c>
    </row>
    <row r="37" spans="2:10" ht="14.25" customHeight="1" x14ac:dyDescent="0.3">
      <c r="B37" s="16" t="str">
        <f>IFERROR(IF(INDEX(SKUs!$A$6:$A$770,MATCH(15,SKUs!$T$6:$T$770,0))="","",15),"")</f>
        <v/>
      </c>
      <c r="C37" s="16" t="str">
        <f>IF($C$20="","",IFERROR(INDEX(SKUs!$A$6:$A$770,MATCH(15,SKUs!$T$6:$T$770,0)),""))</f>
        <v/>
      </c>
      <c r="D37" s="201" t="str">
        <f>IF($C$20="","",IFERROR(INDEX(SKUs!$F$6:$F$770,MATCH(15,SKUs!$T$6:$T$770,0)),""))</f>
        <v/>
      </c>
      <c r="E37" s="201"/>
      <c r="F37" s="201"/>
      <c r="G37" s="16" t="str">
        <f>IF($C$20="","",IFERROR(INDEX(SKUs!$G$6:$G$770,MATCH(15,SKUs!$T$6:$T$770,0))&amp;" / "&amp;INDEX(SKUs!$H$6:$H$770,MATCH(15,SKUs!$T$6:$T$770,0)),""))</f>
        <v/>
      </c>
      <c r="H37" s="17" t="str">
        <f>IF($C$20="","",IFERROR(INDEX(SKUs!$I$6:$I$770,MATCH(15,SKUs!$T$6:$T$770,0)),""))</f>
        <v/>
      </c>
      <c r="I37" s="161" t="str">
        <f>IF($C$20="","",IFERROR(INDEX(SKUs!#REF!,MATCH(15,SKUs!$T$6:$T$770,0)),""))</f>
        <v/>
      </c>
      <c r="J37" s="16" t="str">
        <f>IF($C$20="","",IFERROR(INDEX(SKUs!$J$6:$J$770,MATCH(15,SKUs!$T$6:$T$770,0)),""))</f>
        <v/>
      </c>
    </row>
    <row r="38" spans="2:10" ht="14.25" customHeight="1" x14ac:dyDescent="0.3">
      <c r="B38" s="20" t="str">
        <f>IFERROR(IF(INDEX(SKUs!$A$6:$A$770,MATCH(16,SKUs!$T$6:$T$770,0))="","",16),"")</f>
        <v/>
      </c>
      <c r="C38" s="20" t="str">
        <f>IF($C$20="","",IFERROR(INDEX(SKUs!$A$6:$A$770,MATCH(16,SKUs!$T$6:$T$770,0)),""))</f>
        <v/>
      </c>
      <c r="D38" s="202" t="str">
        <f>IF($C$20="","",IFERROR(INDEX(SKUs!$F$6:$F$770,MATCH(16,SKUs!$T$6:$T$770,0)),""))</f>
        <v/>
      </c>
      <c r="E38" s="202"/>
      <c r="F38" s="202"/>
      <c r="G38" s="20" t="str">
        <f>IF($C$20="","",IFERROR(INDEX(SKUs!$G$6:$G$770,MATCH(16,SKUs!$T$6:$T$770,0))&amp;" / "&amp;INDEX(SKUs!$H$6:$H$770,MATCH(16,SKUs!$T$6:$T$770,0)),""))</f>
        <v/>
      </c>
      <c r="H38" s="21" t="str">
        <f>IF($C$20="","",IFERROR(INDEX(SKUs!$I$6:$I$770,MATCH(16,SKUs!$T$6:$T$770,0)),""))</f>
        <v/>
      </c>
      <c r="I38" s="162" t="str">
        <f>IF($C$20="","",IFERROR(INDEX(SKUs!#REF!,MATCH(16,SKUs!$T$6:$T$770,0)),""))</f>
        <v/>
      </c>
      <c r="J38" s="20" t="str">
        <f>IF($C$20="","",IFERROR(INDEX(SKUs!$J$6:$J$770,MATCH(16,SKUs!$T$6:$T$770,0)),""))</f>
        <v/>
      </c>
    </row>
    <row r="39" spans="2:10" ht="14.25" customHeight="1" x14ac:dyDescent="0.3">
      <c r="B39" s="16" t="str">
        <f>IFERROR(IF(INDEX(SKUs!$A$6:$A$770,MATCH(17,SKUs!$T$6:$T$770,0))="","",17),"")</f>
        <v/>
      </c>
      <c r="C39" s="16" t="str">
        <f>IF($C$20="","",IFERROR(INDEX(SKUs!$A$6:$A$770,MATCH(17,SKUs!$T$6:$T$770,0)),""))</f>
        <v/>
      </c>
      <c r="D39" s="201" t="str">
        <f>IF($C$20="","",IFERROR(INDEX(SKUs!$F$6:$F$770,MATCH(17,SKUs!$T$6:$T$770,0)),""))</f>
        <v/>
      </c>
      <c r="E39" s="201"/>
      <c r="F39" s="201"/>
      <c r="G39" s="16" t="str">
        <f>IF($C$20="","",IFERROR(INDEX(SKUs!$G$6:$G$770,MATCH(17,SKUs!$T$6:$T$770,0))&amp;" / "&amp;INDEX(SKUs!$H$6:$H$770,MATCH(17,SKUs!$T$6:$T$770,0)),""))</f>
        <v/>
      </c>
      <c r="H39" s="17" t="str">
        <f>IF($C$20="","",IFERROR(INDEX(SKUs!$I$6:$I$770,MATCH(17,SKUs!$T$6:$T$770,0)),""))</f>
        <v/>
      </c>
      <c r="I39" s="161" t="str">
        <f>IF($C$20="","",IFERROR(INDEX(SKUs!#REF!,MATCH(17,SKUs!$T$6:$T$770,0)),""))</f>
        <v/>
      </c>
      <c r="J39" s="16" t="str">
        <f>IF($C$20="","",IFERROR(INDEX(SKUs!$J$6:$J$770,MATCH(17,SKUs!$T$6:$T$770,0)),""))</f>
        <v/>
      </c>
    </row>
    <row r="40" spans="2:10" ht="14.25" customHeight="1" x14ac:dyDescent="0.3">
      <c r="B40" s="20" t="str">
        <f>IFERROR(IF(INDEX(SKUs!$A$6:$A$770,MATCH(18,SKUs!$T$6:$T$770,0))="","",18),"")</f>
        <v/>
      </c>
      <c r="C40" s="20" t="str">
        <f>IF($C$20="","",IFERROR(INDEX(SKUs!$A$6:$A$770,MATCH(18,SKUs!$T$6:$T$770,0)),""))</f>
        <v/>
      </c>
      <c r="D40" s="202" t="str">
        <f>IF($C$20="","",IFERROR(INDEX(SKUs!$F$6:$F$770,MATCH(18,SKUs!$T$6:$T$770,0)),""))</f>
        <v/>
      </c>
      <c r="E40" s="202"/>
      <c r="F40" s="202"/>
      <c r="G40" s="20" t="str">
        <f>IF($C$20="","",IFERROR(INDEX(SKUs!$G$6:$G$770,MATCH(18,SKUs!$T$6:$T$770,0))&amp;" / "&amp;INDEX(SKUs!$H$6:$H$770,MATCH(18,SKUs!$T$6:$T$770,0)),""))</f>
        <v/>
      </c>
      <c r="H40" s="21" t="str">
        <f>IF($C$20="","",IFERROR(INDEX(SKUs!$I$6:$I$770,MATCH(18,SKUs!$T$6:$T$770,0)),""))</f>
        <v/>
      </c>
      <c r="I40" s="162" t="str">
        <f>IF($C$20="","",IFERROR(INDEX(SKUs!#REF!,MATCH(18,SKUs!$T$6:$T$770,0)),""))</f>
        <v/>
      </c>
      <c r="J40" s="20" t="str">
        <f>IF($C$20="","",IFERROR(INDEX(SKUs!$J$6:$J$770,MATCH(18,SKUs!$T$6:$T$770,0)),""))</f>
        <v/>
      </c>
    </row>
    <row r="41" spans="2:10" ht="14.25" customHeight="1" x14ac:dyDescent="0.3">
      <c r="B41" s="16" t="str">
        <f>IFERROR(IF(INDEX(SKUs!$A$6:$A$770,MATCH(19,SKUs!$T$6:$T$770,0))="","",19),"")</f>
        <v/>
      </c>
      <c r="C41" s="16" t="str">
        <f>IF($C$20="","",IFERROR(INDEX(SKUs!$A$6:$A$770,MATCH(19,SKUs!$T$6:$T$770,0)),""))</f>
        <v/>
      </c>
      <c r="D41" s="201" t="str">
        <f>IF($C$20="","",IFERROR(INDEX(SKUs!$F$6:$F$770,MATCH(19,SKUs!$T$6:$T$770,0)),""))</f>
        <v/>
      </c>
      <c r="E41" s="201"/>
      <c r="F41" s="201"/>
      <c r="G41" s="16" t="str">
        <f>IF($C$20="","",IFERROR(INDEX(SKUs!$G$6:$G$770,MATCH(19,SKUs!$T$6:$T$770,0))&amp;" / "&amp;INDEX(SKUs!$H$6:$H$770,MATCH(19,SKUs!$T$6:$T$770,0)),""))</f>
        <v/>
      </c>
      <c r="H41" s="17" t="str">
        <f>IF($C$20="","",IFERROR(INDEX(SKUs!$I$6:$I$770,MATCH(19,SKUs!$T$6:$T$770,0)),""))</f>
        <v/>
      </c>
      <c r="I41" s="161" t="str">
        <f>IF($C$20="","",IFERROR(INDEX(SKUs!#REF!,MATCH(19,SKUs!$T$6:$T$770,0)),""))</f>
        <v/>
      </c>
      <c r="J41" s="16" t="str">
        <f>IF($C$20="","",IFERROR(INDEX(SKUs!$J$6:$J$770,MATCH(19,SKUs!$T$6:$T$770,0)),""))</f>
        <v/>
      </c>
    </row>
    <row r="42" spans="2:10" ht="14.25" customHeight="1" x14ac:dyDescent="0.3">
      <c r="B42" s="20" t="str">
        <f>IFERROR(IF(INDEX(SKUs!$A$6:$A$770,MATCH(20,SKUs!$T$6:$T$770,0))="","",20),"")</f>
        <v/>
      </c>
      <c r="C42" s="20" t="str">
        <f>IF($C$20="","",IFERROR(INDEX(SKUs!$A$6:$A$770,MATCH(20,SKUs!$T$6:$T$770,0)),""))</f>
        <v/>
      </c>
      <c r="D42" s="202" t="str">
        <f>IF($C$20="","",IFERROR(INDEX(SKUs!$F$6:$F$770,MATCH(20,SKUs!$T$6:$T$770,0)),""))</f>
        <v/>
      </c>
      <c r="E42" s="202"/>
      <c r="F42" s="202"/>
      <c r="G42" s="20" t="str">
        <f>IF($C$20="","",IFERROR(INDEX(SKUs!$G$6:$G$770,MATCH(20,SKUs!$T$6:$T$770,0))&amp;" / "&amp;INDEX(SKUs!$H$6:$H$770,MATCH(20,SKUs!$T$6:$T$770,0)),""))</f>
        <v/>
      </c>
      <c r="H42" s="21" t="str">
        <f>IF($C$20="","",IFERROR(INDEX(SKUs!$I$6:$I$770,MATCH(20,SKUs!$T$6:$T$770,0)),""))</f>
        <v/>
      </c>
      <c r="I42" s="162" t="str">
        <f>IF($C$20="","",IFERROR(INDEX(SKUs!#REF!,MATCH(20,SKUs!$T$6:$T$770,0)),""))</f>
        <v/>
      </c>
      <c r="J42" s="20" t="str">
        <f>IF($C$20="","",IFERROR(INDEX(SKUs!$J$6:$J$770,MATCH(20,SKUs!$T$6:$T$770,0)),""))</f>
        <v/>
      </c>
    </row>
    <row r="43" spans="2:10" ht="14.25" customHeight="1" x14ac:dyDescent="0.3">
      <c r="B43" s="16" t="str">
        <f>IFERROR(IF(INDEX(SKUs!$A$6:$A$770,MATCH(21,SKUs!$T$6:$T$770,0))="","",21),"")</f>
        <v/>
      </c>
      <c r="C43" s="16" t="str">
        <f>IF($C$20="","",IFERROR(INDEX(SKUs!$A$6:$A$770,MATCH(21,SKUs!$T$6:$T$770,0)),""))</f>
        <v/>
      </c>
      <c r="D43" s="201" t="str">
        <f>IF($C$20="","",IFERROR(INDEX(SKUs!$F$6:$F$770,MATCH(21,SKUs!$T$6:$T$770,0)),""))</f>
        <v/>
      </c>
      <c r="E43" s="201"/>
      <c r="F43" s="201"/>
      <c r="G43" s="16" t="str">
        <f>IF($C$20="","",IFERROR(INDEX(SKUs!$G$6:$G$770,MATCH(21,SKUs!$T$6:$T$770,0))&amp;" / "&amp;INDEX(SKUs!$H$6:$H$770,MATCH(21,SKUs!$T$6:$T$770,0)),""))</f>
        <v/>
      </c>
      <c r="H43" s="17" t="str">
        <f>IF($C$20="","",IFERROR(INDEX(SKUs!$I$6:$I$770,MATCH(21,SKUs!$T$6:$T$770,0)),""))</f>
        <v/>
      </c>
      <c r="I43" s="161" t="str">
        <f>IF($C$20="","",IFERROR(INDEX(SKUs!#REF!,MATCH(21,SKUs!$T$6:$T$770,0)),""))</f>
        <v/>
      </c>
      <c r="J43" s="16" t="str">
        <f>IF($C$20="","",IFERROR(INDEX(SKUs!$J$6:$J$770,MATCH(21,SKUs!$T$6:$T$770,0)),""))</f>
        <v/>
      </c>
    </row>
    <row r="44" spans="2:10" ht="14.25" customHeight="1" x14ac:dyDescent="0.3">
      <c r="B44" s="20" t="str">
        <f>IFERROR(IF(INDEX(SKUs!$A$6:$A$770,MATCH(22,SKUs!$T$6:$T$770,0))="","",22),"")</f>
        <v/>
      </c>
      <c r="C44" s="20" t="str">
        <f>IF($C$20="","",IFERROR(INDEX(SKUs!$A$6:$A$770,MATCH(22,SKUs!$T$6:$T$770,0)),""))</f>
        <v/>
      </c>
      <c r="D44" s="202" t="str">
        <f>IF($C$20="","",IFERROR(INDEX(SKUs!$F$6:$F$770,MATCH(22,SKUs!$T$6:$T$770,0)),""))</f>
        <v/>
      </c>
      <c r="E44" s="202"/>
      <c r="F44" s="202"/>
      <c r="G44" s="20" t="str">
        <f>IF($C$20="","",IFERROR(INDEX(SKUs!$G$6:$G$770,MATCH(22,SKUs!$T$6:$T$770,0))&amp;" / "&amp;INDEX(SKUs!$H$6:$H$770,MATCH(22,SKUs!$T$6:$T$770,0)),""))</f>
        <v/>
      </c>
      <c r="H44" s="21" t="str">
        <f>IF($C$20="","",IFERROR(INDEX(SKUs!$I$6:$I$770,MATCH(22,SKUs!$T$6:$T$770,0)),""))</f>
        <v/>
      </c>
      <c r="I44" s="162" t="str">
        <f>IF($C$20="","",IFERROR(INDEX(SKUs!#REF!,MATCH(22,SKUs!$T$6:$T$770,0)),""))</f>
        <v/>
      </c>
      <c r="J44" s="20" t="str">
        <f>IF($C$20="","",IFERROR(INDEX(SKUs!$J$6:$J$770,MATCH(22,SKUs!$T$6:$T$770,0)),""))</f>
        <v/>
      </c>
    </row>
    <row r="45" spans="2:10" ht="14.25" customHeight="1" x14ac:dyDescent="0.3">
      <c r="B45" s="16" t="str">
        <f>IFERROR(IF(INDEX(SKUs!$A$6:$A$770,MATCH(23,SKUs!$T$6:$T$770,0))="","",23),"")</f>
        <v/>
      </c>
      <c r="C45" s="16" t="str">
        <f>IF($C$20="","",IFERROR(INDEX(SKUs!$A$6:$A$770,MATCH(23,SKUs!$T$6:$T$770,0)),""))</f>
        <v/>
      </c>
      <c r="D45" s="201" t="str">
        <f>IF($C$20="","",IFERROR(INDEX(SKUs!$F$6:$F$770,MATCH(23,SKUs!$T$6:$T$770,0)),""))</f>
        <v/>
      </c>
      <c r="E45" s="201"/>
      <c r="F45" s="201"/>
      <c r="G45" s="16" t="str">
        <f>IF($C$20="","",IFERROR(INDEX(SKUs!$G$6:$G$770,MATCH(23,SKUs!$T$6:$T$770,0))&amp;" / "&amp;INDEX(SKUs!$H$6:$H$770,MATCH(23,SKUs!$T$6:$T$770,0)),""))</f>
        <v/>
      </c>
      <c r="H45" s="17" t="str">
        <f>IF($C$20="","",IFERROR(INDEX(SKUs!$I$6:$I$770,MATCH(23,SKUs!$T$6:$T$770,0)),""))</f>
        <v/>
      </c>
      <c r="I45" s="161" t="str">
        <f>IF($C$20="","",IFERROR(INDEX(SKUs!#REF!,MATCH(23,SKUs!$T$6:$T$770,0)),""))</f>
        <v/>
      </c>
      <c r="J45" s="16" t="str">
        <f>IF($C$20="","",IFERROR(INDEX(SKUs!$J$6:$J$770,MATCH(23,SKUs!$T$6:$T$770,0)),""))</f>
        <v/>
      </c>
    </row>
    <row r="46" spans="2:10" ht="14.25" customHeight="1" x14ac:dyDescent="0.3">
      <c r="B46" s="20" t="str">
        <f>IFERROR(IF(INDEX(SKUs!$A$6:$A$770,MATCH(24,SKUs!$T$6:$T$770,0))="","",24),"")</f>
        <v/>
      </c>
      <c r="C46" s="20" t="str">
        <f>IF($C$20="","",IFERROR(INDEX(SKUs!$A$6:$A$770,MATCH(24,SKUs!$T$6:$T$770,0)),""))</f>
        <v/>
      </c>
      <c r="D46" s="202" t="str">
        <f>IF($C$20="","",IFERROR(INDEX(SKUs!$F$6:$F$770,MATCH(24,SKUs!$T$6:$T$770,0)),""))</f>
        <v/>
      </c>
      <c r="E46" s="202"/>
      <c r="F46" s="202"/>
      <c r="G46" s="20" t="str">
        <f>IF($C$20="","",IFERROR(INDEX(SKUs!$G$6:$G$770,MATCH(24,SKUs!$T$6:$T$770,0))&amp;" / "&amp;INDEX(SKUs!$H$6:$H$770,MATCH(24,SKUs!$T$6:$T$770,0)),""))</f>
        <v/>
      </c>
      <c r="H46" s="21" t="str">
        <f>IF($C$20="","",IFERROR(INDEX(SKUs!$I$6:$I$770,MATCH(24,SKUs!$T$6:$T$770,0)),""))</f>
        <v/>
      </c>
      <c r="I46" s="162" t="str">
        <f>IF($C$20="","",IFERROR(INDEX(SKUs!#REF!,MATCH(24,SKUs!$T$6:$T$770,0)),""))</f>
        <v/>
      </c>
      <c r="J46" s="20" t="str">
        <f>IF($C$20="","",IFERROR(INDEX(SKUs!$J$6:$J$770,MATCH(24,SKUs!$T$6:$T$770,0)),""))</f>
        <v/>
      </c>
    </row>
    <row r="47" spans="2:10" ht="14.25" customHeight="1" x14ac:dyDescent="0.3">
      <c r="B47" s="16" t="str">
        <f>IFERROR(IF(INDEX(SKUs!$A$6:$A$770,MATCH(25,SKUs!$T$6:$T$770,0))="","",25),"")</f>
        <v/>
      </c>
      <c r="C47" s="16" t="str">
        <f>IF($C$20="","",IFERROR(INDEX(SKUs!$A$6:$A$770,MATCH(25,SKUs!$T$6:$T$770,0)),""))</f>
        <v/>
      </c>
      <c r="D47" s="201" t="str">
        <f>IF($C$20="","",IFERROR(INDEX(SKUs!$F$6:$F$770,MATCH(25,SKUs!$T$6:$T$770,0)),""))</f>
        <v/>
      </c>
      <c r="E47" s="201"/>
      <c r="F47" s="201"/>
      <c r="G47" s="16" t="str">
        <f>IF($C$20="","",IFERROR(INDEX(SKUs!$G$6:$G$770,MATCH(25,SKUs!$T$6:$T$770,0))&amp;" / "&amp;INDEX(SKUs!$H$6:$H$770,MATCH(25,SKUs!$T$6:$T$770,0)),""))</f>
        <v/>
      </c>
      <c r="H47" s="17" t="str">
        <f>IF($C$20="","",IFERROR(INDEX(SKUs!$I$6:$I$770,MATCH(25,SKUs!$T$6:$T$770,0)),""))</f>
        <v/>
      </c>
      <c r="I47" s="161" t="str">
        <f>IF($C$20="","",IFERROR(INDEX(SKUs!#REF!,MATCH(25,SKUs!$T$6:$T$770,0)),""))</f>
        <v/>
      </c>
      <c r="J47" s="16" t="str">
        <f>IF($C$20="","",IFERROR(INDEX(SKUs!$J$6:$J$770,MATCH(25,SKUs!$T$6:$T$770,0)),""))</f>
        <v/>
      </c>
    </row>
    <row r="48" spans="2:10" ht="14.25" customHeight="1" x14ac:dyDescent="0.3">
      <c r="B48" s="20" t="str">
        <f>IFERROR(IF(INDEX(SKUs!$A$6:$A$770,MATCH(26,SKUs!$T$6:$T$770,0))="","",26),"")</f>
        <v/>
      </c>
      <c r="C48" s="20" t="str">
        <f>IF($C$20="","",IFERROR(INDEX(SKUs!$A$6:$A$770,MATCH(26,SKUs!$T$6:$T$770,0)),""))</f>
        <v/>
      </c>
      <c r="D48" s="202" t="str">
        <f>IF($C$20="","",IFERROR(INDEX(SKUs!$F$6:$F$770,MATCH(26,SKUs!$T$6:$T$770,0)),""))</f>
        <v/>
      </c>
      <c r="E48" s="202"/>
      <c r="F48" s="202"/>
      <c r="G48" s="20" t="str">
        <f>IF($C$20="","",IFERROR(INDEX(SKUs!$G$6:$G$770,MATCH(26,SKUs!$T$6:$T$770,0))&amp;" / "&amp;INDEX(SKUs!$H$6:$H$770,MATCH(26,SKUs!$T$6:$T$770,0)),""))</f>
        <v/>
      </c>
      <c r="H48" s="21" t="str">
        <f>IF($C$20="","",IFERROR(INDEX(SKUs!$I$6:$I$770,MATCH(26,SKUs!$T$6:$T$770,0)),""))</f>
        <v/>
      </c>
      <c r="I48" s="162" t="str">
        <f>IF($C$20="","",IFERROR(INDEX(SKUs!#REF!,MATCH(26,SKUs!$T$6:$T$770,0)),""))</f>
        <v/>
      </c>
      <c r="J48" s="20" t="str">
        <f>IF($C$20="","",IFERROR(INDEX(SKUs!$J$6:$J$770,MATCH(26,SKUs!$T$6:$T$770,0)),""))</f>
        <v/>
      </c>
    </row>
    <row r="49" spans="2:10" ht="14.25" customHeight="1" x14ac:dyDescent="0.3">
      <c r="B49" s="16" t="str">
        <f>IFERROR(IF(INDEX(SKUs!$A$6:$A$770,MATCH(27,SKUs!$T$6:$T$770,0))="","",27),"")</f>
        <v/>
      </c>
      <c r="C49" s="16" t="str">
        <f>IF($C$20="","",IFERROR(INDEX(SKUs!$A$6:$A$770,MATCH(27,SKUs!$T$6:$T$770,0)),""))</f>
        <v/>
      </c>
      <c r="D49" s="201" t="str">
        <f>IF($C$20="","",IFERROR(INDEX(SKUs!$F$6:$F$770,MATCH(27,SKUs!$T$6:$T$770,0)),""))</f>
        <v/>
      </c>
      <c r="E49" s="201"/>
      <c r="F49" s="201"/>
      <c r="G49" s="16" t="str">
        <f>IF($C$20="","",IFERROR(INDEX(SKUs!$G$6:$G$770,MATCH(27,SKUs!$T$6:$T$770,0))&amp;" / "&amp;INDEX(SKUs!$H$6:$H$770,MATCH(27,SKUs!$T$6:$T$770,0)),""))</f>
        <v/>
      </c>
      <c r="H49" s="17" t="str">
        <f>IF($C$20="","",IFERROR(INDEX(SKUs!$I$6:$I$770,MATCH(27,SKUs!$T$6:$T$770,0)),""))</f>
        <v/>
      </c>
      <c r="I49" s="161" t="str">
        <f>IF($C$20="","",IFERROR(INDEX(SKUs!#REF!,MATCH(27,SKUs!$T$6:$T$770,0)),""))</f>
        <v/>
      </c>
      <c r="J49" s="16" t="str">
        <f>IF($C$20="","",IFERROR(INDEX(SKUs!$J$6:$J$770,MATCH(27,SKUs!$T$6:$T$770,0)),""))</f>
        <v/>
      </c>
    </row>
    <row r="50" spans="2:10" ht="14.25" customHeight="1" x14ac:dyDescent="0.3">
      <c r="B50" s="20" t="str">
        <f>IFERROR(IF(INDEX(SKUs!$A$6:$A$770,MATCH(28,SKUs!$T$6:$T$770,0))="","",28),"")</f>
        <v/>
      </c>
      <c r="C50" s="20" t="str">
        <f>IF($C$20="","",IFERROR(INDEX(SKUs!$A$6:$A$770,MATCH(28,SKUs!$T$6:$T$770,0)),""))</f>
        <v/>
      </c>
      <c r="D50" s="202" t="str">
        <f>IF($C$20="","",IFERROR(INDEX(SKUs!$F$6:$F$770,MATCH(28,SKUs!$T$6:$T$770,0)),""))</f>
        <v/>
      </c>
      <c r="E50" s="202"/>
      <c r="F50" s="202"/>
      <c r="G50" s="20" t="str">
        <f>IF($C$20="","",IFERROR(INDEX(SKUs!$G$6:$G$770,MATCH(28,SKUs!$T$6:$T$770,0))&amp;" / "&amp;INDEX(SKUs!$H$6:$H$770,MATCH(28,SKUs!$T$6:$T$770,0)),""))</f>
        <v/>
      </c>
      <c r="H50" s="21" t="str">
        <f>IF($C$20="","",IFERROR(INDEX(SKUs!$I$6:$I$770,MATCH(28,SKUs!$T$6:$T$770,0)),""))</f>
        <v/>
      </c>
      <c r="I50" s="162" t="str">
        <f>IF($C$20="","",IFERROR(INDEX(SKUs!#REF!,MATCH(28,SKUs!$T$6:$T$770,0)),""))</f>
        <v/>
      </c>
      <c r="J50" s="20" t="str">
        <f>IF($C$20="","",IFERROR(INDEX(SKUs!$J$6:$J$770,MATCH(28,SKUs!$T$6:$T$770,0)),""))</f>
        <v/>
      </c>
    </row>
    <row r="51" spans="2:10" ht="14.25" customHeight="1" x14ac:dyDescent="0.3">
      <c r="B51" s="16" t="str">
        <f>IFERROR(IF(INDEX(SKUs!$A$6:$A$770,MATCH(29,SKUs!$T$6:$T$770,0))="","",29),"")</f>
        <v/>
      </c>
      <c r="C51" s="16" t="str">
        <f>IF($C$20="","",IFERROR(INDEX(SKUs!$A$6:$A$770,MATCH(29,SKUs!$T$6:$T$770,0)),""))</f>
        <v/>
      </c>
      <c r="D51" s="201" t="str">
        <f>IF($C$20="","",IFERROR(INDEX(SKUs!$F$6:$F$770,MATCH(29,SKUs!$T$6:$T$770,0)),""))</f>
        <v/>
      </c>
      <c r="E51" s="201"/>
      <c r="F51" s="201"/>
      <c r="G51" s="16" t="str">
        <f>IF($C$20="","",IFERROR(INDEX(SKUs!$G$6:$G$770,MATCH(29,SKUs!$T$6:$T$770,0))&amp;" / "&amp;INDEX(SKUs!$H$6:$H$770,MATCH(29,SKUs!$T$6:$T$770,0)),""))</f>
        <v/>
      </c>
      <c r="H51" s="17" t="str">
        <f>IF($C$20="","",IFERROR(INDEX(SKUs!$I$6:$I$770,MATCH(29,SKUs!$T$6:$T$770,0)),""))</f>
        <v/>
      </c>
      <c r="I51" s="161" t="str">
        <f>IF($C$20="","",IFERROR(INDEX(SKUs!#REF!,MATCH(29,SKUs!$T$6:$T$770,0)),""))</f>
        <v/>
      </c>
      <c r="J51" s="16" t="str">
        <f>IF($C$20="","",IFERROR(INDEX(SKUs!$J$6:$J$770,MATCH(29,SKUs!$T$6:$T$770,0)),""))</f>
        <v/>
      </c>
    </row>
    <row r="52" spans="2:10" ht="14.25" customHeight="1" x14ac:dyDescent="0.3">
      <c r="B52" s="20" t="str">
        <f>IFERROR(IF(INDEX(SKUs!$A$6:$A$770,MATCH(30,SKUs!$T$6:$T$770,0))="","",30),"")</f>
        <v/>
      </c>
      <c r="C52" s="20" t="str">
        <f>IF($C$20="","",IFERROR(INDEX(SKUs!$A$6:$A$770,MATCH(30,SKUs!$T$6:$T$770,0)),""))</f>
        <v/>
      </c>
      <c r="D52" s="202" t="str">
        <f>IF($C$20="","",IFERROR(INDEX(SKUs!$F$6:$F$770,MATCH(30,SKUs!$T$6:$T$770,0)),""))</f>
        <v/>
      </c>
      <c r="E52" s="202"/>
      <c r="F52" s="202"/>
      <c r="G52" s="20" t="str">
        <f>IF($C$20="","",IFERROR(INDEX(SKUs!$G$6:$G$770,MATCH(30,SKUs!$T$6:$T$770,0))&amp;" / "&amp;INDEX(SKUs!$H$6:$H$770,MATCH(30,SKUs!$T$6:$T$770,0)),""))</f>
        <v/>
      </c>
      <c r="H52" s="21" t="str">
        <f>IF($C$20="","",IFERROR(INDEX(SKUs!$I$6:$I$770,MATCH(30,SKUs!$T$6:$T$770,0)),""))</f>
        <v/>
      </c>
      <c r="I52" s="162" t="str">
        <f>IF($C$20="","",IFERROR(INDEX(SKUs!#REF!,MATCH(30,SKUs!$T$6:$T$770,0)),""))</f>
        <v/>
      </c>
      <c r="J52" s="20" t="str">
        <f>IF($C$20="","",IFERROR(INDEX(SKUs!$J$6:$J$770,MATCH(30,SKUs!$T$6:$T$770,0)),""))</f>
        <v/>
      </c>
    </row>
  </sheetData>
  <mergeCells count="45">
    <mergeCell ref="D50:F50"/>
    <mergeCell ref="D51:F51"/>
    <mergeCell ref="D52:F52"/>
    <mergeCell ref="D45:F45"/>
    <mergeCell ref="D46:F46"/>
    <mergeCell ref="D47:F47"/>
    <mergeCell ref="D48:F48"/>
    <mergeCell ref="D49:F49"/>
    <mergeCell ref="D40:F40"/>
    <mergeCell ref="D41:F41"/>
    <mergeCell ref="D42:F42"/>
    <mergeCell ref="D43:F43"/>
    <mergeCell ref="D44:F44"/>
    <mergeCell ref="D35:F35"/>
    <mergeCell ref="D36:F36"/>
    <mergeCell ref="D37:F37"/>
    <mergeCell ref="D38:F38"/>
    <mergeCell ref="D39:F39"/>
    <mergeCell ref="D30:F30"/>
    <mergeCell ref="D31:F31"/>
    <mergeCell ref="D32:F32"/>
    <mergeCell ref="D33:F33"/>
    <mergeCell ref="D34:F34"/>
    <mergeCell ref="D25:F25"/>
    <mergeCell ref="D26:F26"/>
    <mergeCell ref="D27:F27"/>
    <mergeCell ref="D28:F28"/>
    <mergeCell ref="D29:F29"/>
    <mergeCell ref="B12:F12"/>
    <mergeCell ref="B18:K18"/>
    <mergeCell ref="D22:F22"/>
    <mergeCell ref="D23:F23"/>
    <mergeCell ref="D24:F24"/>
    <mergeCell ref="B8:D8"/>
    <mergeCell ref="E8:G8"/>
    <mergeCell ref="H8:J8"/>
    <mergeCell ref="B9:D9"/>
    <mergeCell ref="E9:G9"/>
    <mergeCell ref="H9:J9"/>
    <mergeCell ref="B2:K2"/>
    <mergeCell ref="B3:K3"/>
    <mergeCell ref="B5:K5"/>
    <mergeCell ref="B7:D7"/>
    <mergeCell ref="E7:G7"/>
    <mergeCell ref="H7:J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2:O57"/>
  <sheetViews>
    <sheetView zoomScaleNormal="100" workbookViewId="0">
      <selection activeCell="I10" sqref="I10"/>
    </sheetView>
  </sheetViews>
  <sheetFormatPr defaultColWidth="8.6640625" defaultRowHeight="14.4" x14ac:dyDescent="0.3"/>
  <cols>
    <col min="2" max="2" width="22" customWidth="1"/>
    <col min="4" max="4" width="10" customWidth="1"/>
    <col min="6" max="6" width="22" customWidth="1"/>
    <col min="9" max="10" width="22" customWidth="1"/>
    <col min="12" max="12" width="22" customWidth="1"/>
    <col min="14" max="15" width="22" customWidth="1"/>
  </cols>
  <sheetData>
    <row r="2" spans="2:15" ht="18" customHeight="1" x14ac:dyDescent="0.35">
      <c r="B2" s="163" t="s">
        <v>2097</v>
      </c>
    </row>
    <row r="4" spans="2:15" ht="14.25" customHeight="1" x14ac:dyDescent="0.3">
      <c r="B4" s="164" t="s">
        <v>2098</v>
      </c>
      <c r="D4" s="164" t="s">
        <v>2099</v>
      </c>
      <c r="F4" s="164" t="s">
        <v>655</v>
      </c>
      <c r="I4" s="164" t="s">
        <v>25</v>
      </c>
      <c r="J4" s="164" t="s">
        <v>2100</v>
      </c>
      <c r="L4" s="164" t="s">
        <v>29</v>
      </c>
      <c r="N4" s="164" t="s">
        <v>11</v>
      </c>
      <c r="O4" s="164" t="s">
        <v>36</v>
      </c>
    </row>
    <row r="5" spans="2:15" ht="14.25" customHeight="1" x14ac:dyDescent="0.3">
      <c r="B5" t="s">
        <v>2101</v>
      </c>
      <c r="D5" t="s">
        <v>671</v>
      </c>
      <c r="F5" t="s">
        <v>670</v>
      </c>
      <c r="I5" t="s">
        <v>2049</v>
      </c>
      <c r="J5">
        <v>1</v>
      </c>
      <c r="L5" t="s">
        <v>665</v>
      </c>
      <c r="N5" t="s">
        <v>666</v>
      </c>
      <c r="O5" t="s">
        <v>16</v>
      </c>
    </row>
    <row r="6" spans="2:15" ht="14.25" customHeight="1" x14ac:dyDescent="0.3">
      <c r="B6" t="s">
        <v>1320</v>
      </c>
      <c r="D6" t="s">
        <v>1419</v>
      </c>
      <c r="F6" t="s">
        <v>2102</v>
      </c>
      <c r="I6" t="s">
        <v>2103</v>
      </c>
      <c r="J6">
        <v>-1</v>
      </c>
      <c r="L6" t="s">
        <v>1424</v>
      </c>
      <c r="N6" t="s">
        <v>684</v>
      </c>
      <c r="O6" t="s">
        <v>16</v>
      </c>
    </row>
    <row r="7" spans="2:15" ht="14.25" customHeight="1" x14ac:dyDescent="0.3">
      <c r="B7" t="s">
        <v>1305</v>
      </c>
      <c r="F7" t="s">
        <v>2104</v>
      </c>
      <c r="I7" t="s">
        <v>2105</v>
      </c>
      <c r="J7">
        <v>1</v>
      </c>
      <c r="N7" t="s">
        <v>709</v>
      </c>
      <c r="O7" t="s">
        <v>16</v>
      </c>
    </row>
    <row r="8" spans="2:15" ht="14.25" customHeight="1" x14ac:dyDescent="0.3">
      <c r="B8" t="s">
        <v>1286</v>
      </c>
      <c r="F8" t="s">
        <v>2106</v>
      </c>
      <c r="I8" t="s">
        <v>2107</v>
      </c>
      <c r="J8">
        <v>-1</v>
      </c>
      <c r="N8" t="s">
        <v>982</v>
      </c>
      <c r="O8" t="s">
        <v>16</v>
      </c>
    </row>
    <row r="9" spans="2:15" ht="14.25" customHeight="1" x14ac:dyDescent="0.3">
      <c r="B9" t="s">
        <v>1274</v>
      </c>
      <c r="I9" t="s">
        <v>2054</v>
      </c>
      <c r="J9">
        <v>1</v>
      </c>
      <c r="N9" t="s">
        <v>1274</v>
      </c>
      <c r="O9" t="s">
        <v>16</v>
      </c>
    </row>
    <row r="10" spans="2:15" ht="14.25" customHeight="1" x14ac:dyDescent="0.3">
      <c r="B10" t="s">
        <v>2108</v>
      </c>
      <c r="I10" t="s">
        <v>2109</v>
      </c>
      <c r="J10">
        <v>-1</v>
      </c>
      <c r="N10" t="s">
        <v>1378</v>
      </c>
      <c r="O10" t="s">
        <v>16</v>
      </c>
    </row>
    <row r="11" spans="2:15" ht="14.25" customHeight="1" x14ac:dyDescent="0.3">
      <c r="B11" t="s">
        <v>1085</v>
      </c>
      <c r="I11" t="s">
        <v>2110</v>
      </c>
      <c r="J11">
        <v>-1</v>
      </c>
      <c r="N11" t="s">
        <v>1266</v>
      </c>
      <c r="O11" t="s">
        <v>16</v>
      </c>
    </row>
    <row r="12" spans="2:15" ht="14.25" customHeight="1" x14ac:dyDescent="0.3">
      <c r="B12" t="s">
        <v>1355</v>
      </c>
      <c r="I12" t="s">
        <v>2052</v>
      </c>
      <c r="J12">
        <v>-1</v>
      </c>
      <c r="N12" t="s">
        <v>1167</v>
      </c>
      <c r="O12" t="s">
        <v>16</v>
      </c>
    </row>
    <row r="13" spans="2:15" ht="14.25" customHeight="1" x14ac:dyDescent="0.3">
      <c r="B13" t="s">
        <v>1310</v>
      </c>
      <c r="I13" t="s">
        <v>2111</v>
      </c>
      <c r="J13">
        <v>-1</v>
      </c>
      <c r="N13" t="s">
        <v>1310</v>
      </c>
      <c r="O13" t="s">
        <v>16</v>
      </c>
    </row>
    <row r="14" spans="2:15" ht="14.25" customHeight="1" x14ac:dyDescent="0.3">
      <c r="B14" t="s">
        <v>1124</v>
      </c>
      <c r="I14" t="s">
        <v>2112</v>
      </c>
      <c r="J14">
        <v>1</v>
      </c>
      <c r="N14" t="s">
        <v>1096</v>
      </c>
      <c r="O14" t="s">
        <v>16</v>
      </c>
    </row>
    <row r="15" spans="2:15" ht="14.25" customHeight="1" x14ac:dyDescent="0.3">
      <c r="B15" t="s">
        <v>2113</v>
      </c>
      <c r="I15" t="s">
        <v>2114</v>
      </c>
      <c r="J15">
        <v>-1</v>
      </c>
      <c r="N15" t="s">
        <v>1108</v>
      </c>
      <c r="O15" t="s">
        <v>17</v>
      </c>
    </row>
    <row r="16" spans="2:15" ht="14.25" customHeight="1" x14ac:dyDescent="0.3">
      <c r="B16" t="s">
        <v>684</v>
      </c>
      <c r="N16" t="s">
        <v>1154</v>
      </c>
      <c r="O16" t="s">
        <v>17</v>
      </c>
    </row>
    <row r="17" spans="2:15" ht="14.25" customHeight="1" x14ac:dyDescent="0.3">
      <c r="B17" t="s">
        <v>1170</v>
      </c>
      <c r="N17" t="s">
        <v>1100</v>
      </c>
      <c r="O17" t="s">
        <v>17</v>
      </c>
    </row>
    <row r="18" spans="2:15" ht="14.25" customHeight="1" x14ac:dyDescent="0.3">
      <c r="B18" t="s">
        <v>1215</v>
      </c>
      <c r="N18" t="s">
        <v>1135</v>
      </c>
      <c r="O18" t="s">
        <v>17</v>
      </c>
    </row>
    <row r="19" spans="2:15" ht="14.25" customHeight="1" x14ac:dyDescent="0.3">
      <c r="B19" t="s">
        <v>2115</v>
      </c>
      <c r="N19" t="s">
        <v>1085</v>
      </c>
      <c r="O19" t="s">
        <v>17</v>
      </c>
    </row>
    <row r="20" spans="2:15" ht="14.25" customHeight="1" x14ac:dyDescent="0.3">
      <c r="B20" t="s">
        <v>1262</v>
      </c>
      <c r="N20" t="s">
        <v>1355</v>
      </c>
      <c r="O20" t="s">
        <v>17</v>
      </c>
    </row>
    <row r="21" spans="2:15" ht="14.25" customHeight="1" x14ac:dyDescent="0.3">
      <c r="B21" t="s">
        <v>1179</v>
      </c>
      <c r="N21" t="s">
        <v>1159</v>
      </c>
      <c r="O21" t="s">
        <v>17</v>
      </c>
    </row>
    <row r="22" spans="2:15" ht="14.25" customHeight="1" x14ac:dyDescent="0.3">
      <c r="B22" t="s">
        <v>1401</v>
      </c>
      <c r="N22" t="s">
        <v>1133</v>
      </c>
      <c r="O22" t="s">
        <v>17</v>
      </c>
    </row>
    <row r="23" spans="2:15" ht="14.25" customHeight="1" x14ac:dyDescent="0.3">
      <c r="B23" t="s">
        <v>1184</v>
      </c>
      <c r="N23" t="s">
        <v>1297</v>
      </c>
      <c r="O23" t="s">
        <v>17</v>
      </c>
    </row>
    <row r="24" spans="2:15" ht="14.25" customHeight="1" x14ac:dyDescent="0.3">
      <c r="B24" t="s">
        <v>1126</v>
      </c>
      <c r="N24" t="s">
        <v>1307</v>
      </c>
      <c r="O24" t="s">
        <v>17</v>
      </c>
    </row>
    <row r="25" spans="2:15" ht="14.25" customHeight="1" x14ac:dyDescent="0.3">
      <c r="B25" t="s">
        <v>709</v>
      </c>
      <c r="N25" t="s">
        <v>1328</v>
      </c>
      <c r="O25" t="s">
        <v>17</v>
      </c>
    </row>
    <row r="26" spans="2:15" ht="14.25" customHeight="1" x14ac:dyDescent="0.3">
      <c r="B26" t="s">
        <v>1100</v>
      </c>
      <c r="N26" t="s">
        <v>1142</v>
      </c>
      <c r="O26" t="s">
        <v>17</v>
      </c>
    </row>
    <row r="27" spans="2:15" ht="14.25" customHeight="1" x14ac:dyDescent="0.3">
      <c r="B27" t="s">
        <v>1378</v>
      </c>
      <c r="N27" t="s">
        <v>1179</v>
      </c>
      <c r="O27" t="s">
        <v>18</v>
      </c>
    </row>
    <row r="28" spans="2:15" ht="14.25" customHeight="1" x14ac:dyDescent="0.3">
      <c r="B28" t="s">
        <v>1247</v>
      </c>
      <c r="N28" t="s">
        <v>1184</v>
      </c>
      <c r="O28" t="s">
        <v>18</v>
      </c>
    </row>
    <row r="29" spans="2:15" ht="14.25" customHeight="1" x14ac:dyDescent="0.3">
      <c r="B29" t="s">
        <v>1159</v>
      </c>
      <c r="N29" t="s">
        <v>1170</v>
      </c>
      <c r="O29" t="s">
        <v>18</v>
      </c>
    </row>
    <row r="30" spans="2:15" ht="14.25" customHeight="1" x14ac:dyDescent="0.3">
      <c r="B30" t="s">
        <v>1135</v>
      </c>
      <c r="N30" t="s">
        <v>1255</v>
      </c>
      <c r="O30" t="s">
        <v>18</v>
      </c>
    </row>
    <row r="31" spans="2:15" ht="14.25" customHeight="1" x14ac:dyDescent="0.3">
      <c r="B31" t="s">
        <v>2116</v>
      </c>
      <c r="N31" t="s">
        <v>1281</v>
      </c>
      <c r="O31" t="s">
        <v>19</v>
      </c>
    </row>
    <row r="32" spans="2:15" ht="14.25" customHeight="1" x14ac:dyDescent="0.3">
      <c r="B32" t="s">
        <v>1289</v>
      </c>
      <c r="N32" t="s">
        <v>1215</v>
      </c>
      <c r="O32" t="s">
        <v>19</v>
      </c>
    </row>
    <row r="33" spans="2:15" ht="14.25" customHeight="1" x14ac:dyDescent="0.3">
      <c r="B33" t="s">
        <v>1167</v>
      </c>
      <c r="N33" t="s">
        <v>1344</v>
      </c>
      <c r="O33" t="s">
        <v>19</v>
      </c>
    </row>
    <row r="34" spans="2:15" ht="14.25" customHeight="1" x14ac:dyDescent="0.3">
      <c r="B34" t="s">
        <v>21</v>
      </c>
      <c r="N34" t="s">
        <v>1351</v>
      </c>
      <c r="O34" t="s">
        <v>19</v>
      </c>
    </row>
    <row r="35" spans="2:15" ht="14.25" customHeight="1" x14ac:dyDescent="0.3">
      <c r="B35" t="s">
        <v>2117</v>
      </c>
      <c r="N35" t="s">
        <v>1294</v>
      </c>
      <c r="O35" t="s">
        <v>19</v>
      </c>
    </row>
    <row r="36" spans="2:15" ht="14.25" customHeight="1" x14ac:dyDescent="0.3">
      <c r="B36" t="s">
        <v>1154</v>
      </c>
      <c r="N36" t="s">
        <v>1262</v>
      </c>
      <c r="O36" t="s">
        <v>19</v>
      </c>
    </row>
    <row r="37" spans="2:15" ht="14.25" customHeight="1" x14ac:dyDescent="0.3">
      <c r="B37" t="s">
        <v>1281</v>
      </c>
      <c r="N37" t="s">
        <v>1302</v>
      </c>
      <c r="O37" t="s">
        <v>19</v>
      </c>
    </row>
    <row r="38" spans="2:15" ht="14.25" customHeight="1" x14ac:dyDescent="0.3">
      <c r="B38" t="s">
        <v>1294</v>
      </c>
      <c r="N38" t="s">
        <v>1247</v>
      </c>
      <c r="O38" t="s">
        <v>20</v>
      </c>
    </row>
    <row r="39" spans="2:15" ht="14.25" customHeight="1" x14ac:dyDescent="0.3">
      <c r="B39" t="s">
        <v>1328</v>
      </c>
      <c r="N39" t="s">
        <v>1286</v>
      </c>
      <c r="O39" t="s">
        <v>20</v>
      </c>
    </row>
    <row r="40" spans="2:15" ht="14.25" customHeight="1" x14ac:dyDescent="0.3">
      <c r="B40" t="s">
        <v>1142</v>
      </c>
      <c r="N40" t="s">
        <v>1289</v>
      </c>
      <c r="O40" t="s">
        <v>20</v>
      </c>
    </row>
    <row r="41" spans="2:15" ht="14.25" customHeight="1" x14ac:dyDescent="0.3">
      <c r="B41" t="s">
        <v>2118</v>
      </c>
      <c r="N41" t="s">
        <v>1104</v>
      </c>
      <c r="O41" t="s">
        <v>20</v>
      </c>
    </row>
    <row r="42" spans="2:15" ht="14.25" customHeight="1" x14ac:dyDescent="0.3">
      <c r="B42" t="s">
        <v>1398</v>
      </c>
      <c r="N42" t="s">
        <v>1320</v>
      </c>
      <c r="O42" t="s">
        <v>20</v>
      </c>
    </row>
    <row r="43" spans="2:15" ht="14.25" customHeight="1" x14ac:dyDescent="0.3">
      <c r="B43" t="s">
        <v>1302</v>
      </c>
      <c r="N43" t="s">
        <v>1126</v>
      </c>
      <c r="O43" t="s">
        <v>20</v>
      </c>
    </row>
    <row r="44" spans="2:15" ht="14.25" customHeight="1" x14ac:dyDescent="0.3">
      <c r="B44" t="s">
        <v>666</v>
      </c>
      <c r="N44" t="s">
        <v>1090</v>
      </c>
      <c r="O44" t="s">
        <v>20</v>
      </c>
    </row>
    <row r="45" spans="2:15" ht="14.25" customHeight="1" x14ac:dyDescent="0.3">
      <c r="B45" t="s">
        <v>1344</v>
      </c>
      <c r="N45" t="s">
        <v>1305</v>
      </c>
      <c r="O45" t="s">
        <v>20</v>
      </c>
    </row>
    <row r="46" spans="2:15" ht="14.25" customHeight="1" x14ac:dyDescent="0.3">
      <c r="B46" t="s">
        <v>1351</v>
      </c>
      <c r="N46" t="s">
        <v>21</v>
      </c>
      <c r="O46" t="s">
        <v>21</v>
      </c>
    </row>
    <row r="47" spans="2:15" ht="14.25" customHeight="1" x14ac:dyDescent="0.3">
      <c r="B47" t="s">
        <v>1255</v>
      </c>
    </row>
    <row r="48" spans="2:15" ht="14.25" customHeight="1" x14ac:dyDescent="0.3">
      <c r="B48" t="s">
        <v>1090</v>
      </c>
    </row>
    <row r="49" spans="2:2" ht="14.25" customHeight="1" x14ac:dyDescent="0.3">
      <c r="B49" t="s">
        <v>1133</v>
      </c>
    </row>
    <row r="50" spans="2:2" ht="14.25" customHeight="1" x14ac:dyDescent="0.3">
      <c r="B50" t="s">
        <v>1108</v>
      </c>
    </row>
    <row r="51" spans="2:2" ht="14.25" customHeight="1" x14ac:dyDescent="0.3">
      <c r="B51" t="s">
        <v>1297</v>
      </c>
    </row>
    <row r="52" spans="2:2" ht="14.25" customHeight="1" x14ac:dyDescent="0.3">
      <c r="B52" t="s">
        <v>1307</v>
      </c>
    </row>
    <row r="53" spans="2:2" ht="14.25" customHeight="1" x14ac:dyDescent="0.3">
      <c r="B53" t="s">
        <v>1266</v>
      </c>
    </row>
    <row r="54" spans="2:2" ht="14.25" customHeight="1" x14ac:dyDescent="0.3">
      <c r="B54" t="s">
        <v>2119</v>
      </c>
    </row>
    <row r="55" spans="2:2" ht="14.25" customHeight="1" x14ac:dyDescent="0.3">
      <c r="B55" t="s">
        <v>1104</v>
      </c>
    </row>
    <row r="56" spans="2:2" ht="14.25" customHeight="1" x14ac:dyDescent="0.3">
      <c r="B56" t="s">
        <v>982</v>
      </c>
    </row>
    <row r="57" spans="2:2" ht="14.25" customHeight="1" x14ac:dyDescent="0.3">
      <c r="B57" t="s">
        <v>1096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Dashboard</vt:lpstr>
      <vt:lpstr>Catálogo</vt:lpstr>
      <vt:lpstr>SKUs</vt:lpstr>
      <vt:lpstr>Movimentações</vt:lpstr>
      <vt:lpstr>Pedidos</vt:lpstr>
      <vt:lpstr>Mapa do Galpão</vt:lpstr>
      <vt:lpstr>Configurações</vt:lpstr>
      <vt:lpstr>lstCategorias</vt:lpstr>
      <vt:lpstr>lstEstado</vt:lpstr>
      <vt:lpstr>lstEstoque</vt:lpstr>
      <vt:lpstr>lstTipos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Santos</cp:lastModifiedBy>
  <cp:revision>0</cp:revision>
  <cp:lastPrinted>2026-06-08T11:51:47Z</cp:lastPrinted>
  <dcterms:created xsi:type="dcterms:W3CDTF">2026-05-28T19:33:03Z</dcterms:created>
  <dcterms:modified xsi:type="dcterms:W3CDTF">2026-07-08T11:31:29Z</dcterms:modified>
  <dc:language>en-US</dc:language>
</cp:coreProperties>
</file>